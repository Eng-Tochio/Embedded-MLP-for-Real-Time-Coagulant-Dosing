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80" windowWidth="16380" windowHeight="8010" tabRatio="809" firstSheet="1" activeTab="33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CONTROLE TINAS" sheetId="37" r:id="rId35"/>
    <sheet name="Para CCO" sheetId="35" r:id="rId36"/>
    <sheet name="Ferro e Manganês" sheetId="36" r:id="rId37"/>
    <sheet name="Parte 1" sheetId="38" r:id="rId38"/>
    <sheet name="Parte 2" sheetId="39" r:id="rId39"/>
    <sheet name="Parte3 " sheetId="40" r:id="rId40"/>
    <sheet name="Parte4 " sheetId="41" state="hidden" r:id="rId41"/>
    <sheet name="Parte5 " sheetId="42" state="hidden" r:id="rId42"/>
    <sheet name="PROD. QUÍM." sheetId="43" r:id="rId43"/>
    <sheet name="Controle qualidade GQL " sheetId="44" r:id="rId44"/>
    <sheet name="RelatSISÁGUA" sheetId="45" r:id="rId45"/>
    <sheet name="PQetasGPRs" sheetId="46" r:id="rId46"/>
  </sheets>
  <externalReferences>
    <externalReference r:id="rId47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'27'!$X$32:$AD$37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G16" i="46" l="1"/>
  <c r="M13" i="46"/>
  <c r="L13" i="46"/>
  <c r="K13" i="46"/>
  <c r="J13" i="46"/>
  <c r="I12" i="46"/>
  <c r="Q6" i="46"/>
  <c r="E6" i="46"/>
  <c r="E13" i="46" s="1"/>
  <c r="O5" i="44"/>
  <c r="O6" i="44" s="1"/>
  <c r="M87" i="43"/>
  <c r="M85" i="43"/>
  <c r="L85" i="43"/>
  <c r="K85" i="43"/>
  <c r="E54" i="43"/>
  <c r="I48" i="43"/>
  <c r="J47" i="43"/>
  <c r="I47" i="43"/>
  <c r="I46" i="43"/>
  <c r="I45" i="43"/>
  <c r="I44" i="43"/>
  <c r="I43" i="43"/>
  <c r="I42" i="43"/>
  <c r="I41" i="43"/>
  <c r="I40" i="43"/>
  <c r="G46" i="42"/>
  <c r="G44" i="42"/>
  <c r="G38" i="42"/>
  <c r="Y37" i="42"/>
  <c r="X37" i="42"/>
  <c r="W37" i="42"/>
  <c r="V37" i="42"/>
  <c r="U37" i="42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C37" i="42"/>
  <c r="B37" i="42"/>
  <c r="Y36" i="42"/>
  <c r="X36" i="42"/>
  <c r="W36" i="42"/>
  <c r="V36" i="42"/>
  <c r="U36" i="42"/>
  <c r="T36" i="42"/>
  <c r="S36" i="42"/>
  <c r="R36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C36" i="42"/>
  <c r="B36" i="42"/>
  <c r="Y35" i="42"/>
  <c r="X35" i="42"/>
  <c r="W35" i="42"/>
  <c r="V35" i="42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B35" i="42"/>
  <c r="Y34" i="42"/>
  <c r="X34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4" i="42"/>
  <c r="Y33" i="42"/>
  <c r="X33" i="42"/>
  <c r="W33" i="42"/>
  <c r="V33" i="42"/>
  <c r="U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H33" i="42"/>
  <c r="G33" i="42"/>
  <c r="F33" i="42"/>
  <c r="E33" i="42"/>
  <c r="D33" i="42"/>
  <c r="C33" i="42"/>
  <c r="B33" i="42"/>
  <c r="Y32" i="42"/>
  <c r="X32" i="42"/>
  <c r="W32" i="42"/>
  <c r="V32" i="42"/>
  <c r="U32" i="42"/>
  <c r="T32" i="42"/>
  <c r="S32" i="42"/>
  <c r="R32" i="42"/>
  <c r="Q32" i="42"/>
  <c r="P32" i="42"/>
  <c r="O32" i="42"/>
  <c r="N32" i="42"/>
  <c r="M32" i="42"/>
  <c r="L32" i="42"/>
  <c r="K32" i="42"/>
  <c r="J32" i="42"/>
  <c r="I32" i="42"/>
  <c r="H32" i="42"/>
  <c r="G32" i="42"/>
  <c r="F32" i="42"/>
  <c r="E32" i="42"/>
  <c r="D32" i="42"/>
  <c r="C32" i="42"/>
  <c r="B32" i="42"/>
  <c r="Y31" i="42"/>
  <c r="X31" i="42"/>
  <c r="W31" i="42"/>
  <c r="V31" i="42"/>
  <c r="U31" i="42"/>
  <c r="T31" i="42"/>
  <c r="S31" i="42"/>
  <c r="R31" i="42"/>
  <c r="Q31" i="42"/>
  <c r="P31" i="42"/>
  <c r="O31" i="42"/>
  <c r="N31" i="42"/>
  <c r="M31" i="42"/>
  <c r="L31" i="42"/>
  <c r="K31" i="42"/>
  <c r="J31" i="42"/>
  <c r="I31" i="42"/>
  <c r="H31" i="42"/>
  <c r="G31" i="42"/>
  <c r="F31" i="42"/>
  <c r="E31" i="42"/>
  <c r="D31" i="42"/>
  <c r="C31" i="42"/>
  <c r="B31" i="42"/>
  <c r="Y30" i="42"/>
  <c r="X30" i="42"/>
  <c r="W30" i="42"/>
  <c r="V30" i="42"/>
  <c r="U30" i="42"/>
  <c r="T30" i="42"/>
  <c r="S30" i="42"/>
  <c r="R30" i="42"/>
  <c r="Q30" i="42"/>
  <c r="P30" i="42"/>
  <c r="O30" i="42"/>
  <c r="N30" i="42"/>
  <c r="M30" i="42"/>
  <c r="L30" i="42"/>
  <c r="K30" i="42"/>
  <c r="J30" i="42"/>
  <c r="I30" i="42"/>
  <c r="H30" i="42"/>
  <c r="G30" i="42"/>
  <c r="F30" i="42"/>
  <c r="E30" i="42"/>
  <c r="D30" i="42"/>
  <c r="C30" i="42"/>
  <c r="B30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H29" i="42"/>
  <c r="G29" i="42"/>
  <c r="F29" i="42"/>
  <c r="E29" i="42"/>
  <c r="D29" i="42"/>
  <c r="C29" i="42"/>
  <c r="B29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H28" i="42"/>
  <c r="G28" i="42"/>
  <c r="F28" i="42"/>
  <c r="E28" i="42"/>
  <c r="D28" i="42"/>
  <c r="C28" i="42"/>
  <c r="B28" i="42"/>
  <c r="Y27" i="4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H27" i="42"/>
  <c r="G27" i="42"/>
  <c r="F27" i="42"/>
  <c r="E27" i="42"/>
  <c r="D27" i="42"/>
  <c r="C27" i="42"/>
  <c r="B27" i="42"/>
  <c r="Y26" i="42"/>
  <c r="X26" i="42"/>
  <c r="W26" i="42"/>
  <c r="V26" i="42"/>
  <c r="U26" i="42"/>
  <c r="T26" i="42"/>
  <c r="S26" i="42"/>
  <c r="R26" i="42"/>
  <c r="Q26" i="42"/>
  <c r="P26" i="42"/>
  <c r="O26" i="42"/>
  <c r="N26" i="42"/>
  <c r="M26" i="42"/>
  <c r="L26" i="42"/>
  <c r="K26" i="42"/>
  <c r="J26" i="42"/>
  <c r="I26" i="42"/>
  <c r="H26" i="42"/>
  <c r="G26" i="42"/>
  <c r="F26" i="42"/>
  <c r="E26" i="42"/>
  <c r="D26" i="42"/>
  <c r="C26" i="42"/>
  <c r="B26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H25" i="42"/>
  <c r="G25" i="42"/>
  <c r="F25" i="42"/>
  <c r="E25" i="42"/>
  <c r="D25" i="42"/>
  <c r="C25" i="42"/>
  <c r="B25" i="42"/>
  <c r="Y24" i="42"/>
  <c r="X24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H24" i="42"/>
  <c r="G24" i="42"/>
  <c r="F24" i="42"/>
  <c r="E24" i="42"/>
  <c r="D24" i="42"/>
  <c r="C24" i="42"/>
  <c r="B24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H23" i="42"/>
  <c r="G23" i="42"/>
  <c r="F23" i="42"/>
  <c r="E23" i="42"/>
  <c r="D23" i="42"/>
  <c r="C23" i="42"/>
  <c r="B23" i="42"/>
  <c r="Y22" i="42"/>
  <c r="X22" i="42"/>
  <c r="W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H22" i="42"/>
  <c r="G22" i="42"/>
  <c r="F22" i="42"/>
  <c r="E22" i="42"/>
  <c r="D22" i="42"/>
  <c r="C22" i="42"/>
  <c r="B22" i="42"/>
  <c r="Y21" i="42"/>
  <c r="X21" i="42"/>
  <c r="W21" i="42"/>
  <c r="V21" i="42"/>
  <c r="U21" i="42"/>
  <c r="T21" i="42"/>
  <c r="S21" i="42"/>
  <c r="R21" i="42"/>
  <c r="Q21" i="42"/>
  <c r="P21" i="42"/>
  <c r="O21" i="42"/>
  <c r="N21" i="42"/>
  <c r="M21" i="42"/>
  <c r="L21" i="42"/>
  <c r="K21" i="42"/>
  <c r="J21" i="42"/>
  <c r="I21" i="42"/>
  <c r="H21" i="42"/>
  <c r="G21" i="42"/>
  <c r="F21" i="42"/>
  <c r="E21" i="42"/>
  <c r="D21" i="42"/>
  <c r="C21" i="42"/>
  <c r="B21" i="42"/>
  <c r="Y20" i="42"/>
  <c r="X20" i="42"/>
  <c r="W20" i="42"/>
  <c r="V20" i="42"/>
  <c r="U20" i="42"/>
  <c r="T20" i="42"/>
  <c r="S20" i="42"/>
  <c r="R20" i="42"/>
  <c r="Q20" i="42"/>
  <c r="P20" i="42"/>
  <c r="O20" i="42"/>
  <c r="N20" i="42"/>
  <c r="M20" i="42"/>
  <c r="L20" i="42"/>
  <c r="K20" i="42"/>
  <c r="J20" i="42"/>
  <c r="I20" i="42"/>
  <c r="H20" i="42"/>
  <c r="G20" i="42"/>
  <c r="F20" i="42"/>
  <c r="E20" i="42"/>
  <c r="D20" i="42"/>
  <c r="C20" i="42"/>
  <c r="B20" i="42"/>
  <c r="Y19" i="42"/>
  <c r="X19" i="42"/>
  <c r="W19" i="42"/>
  <c r="V19" i="42"/>
  <c r="U19" i="42"/>
  <c r="T19" i="42"/>
  <c r="S19" i="42"/>
  <c r="R19" i="42"/>
  <c r="Q19" i="42"/>
  <c r="P19" i="42"/>
  <c r="O19" i="42"/>
  <c r="N19" i="42"/>
  <c r="M19" i="42"/>
  <c r="L19" i="42"/>
  <c r="K19" i="42"/>
  <c r="J19" i="42"/>
  <c r="I19" i="42"/>
  <c r="H19" i="42"/>
  <c r="G19" i="42"/>
  <c r="F19" i="42"/>
  <c r="E19" i="42"/>
  <c r="D19" i="42"/>
  <c r="C19" i="42"/>
  <c r="B19" i="42"/>
  <c r="Y18" i="42"/>
  <c r="X18" i="42"/>
  <c r="W18" i="42"/>
  <c r="V18" i="42"/>
  <c r="U18" i="42"/>
  <c r="T18" i="42"/>
  <c r="S18" i="42"/>
  <c r="R18" i="42"/>
  <c r="Q18" i="42"/>
  <c r="P18" i="42"/>
  <c r="O18" i="42"/>
  <c r="N18" i="42"/>
  <c r="M18" i="42"/>
  <c r="L18" i="42"/>
  <c r="K18" i="42"/>
  <c r="J18" i="42"/>
  <c r="I18" i="42"/>
  <c r="H18" i="42"/>
  <c r="G18" i="42"/>
  <c r="F18" i="42"/>
  <c r="E18" i="42"/>
  <c r="D18" i="42"/>
  <c r="C18" i="42"/>
  <c r="B18" i="42"/>
  <c r="Y17" i="42"/>
  <c r="X17" i="42"/>
  <c r="W17" i="42"/>
  <c r="V17" i="42"/>
  <c r="U17" i="42"/>
  <c r="T17" i="42"/>
  <c r="S17" i="42"/>
  <c r="R17" i="42"/>
  <c r="Q17" i="42"/>
  <c r="P17" i="42"/>
  <c r="O17" i="42"/>
  <c r="N17" i="42"/>
  <c r="M17" i="42"/>
  <c r="L17" i="42"/>
  <c r="K17" i="42"/>
  <c r="J17" i="42"/>
  <c r="I17" i="42"/>
  <c r="H17" i="42"/>
  <c r="G17" i="42"/>
  <c r="F17" i="42"/>
  <c r="E17" i="42"/>
  <c r="D17" i="42"/>
  <c r="C17" i="42"/>
  <c r="B17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G16" i="42"/>
  <c r="F16" i="42"/>
  <c r="E16" i="42"/>
  <c r="D16" i="42"/>
  <c r="C16" i="42"/>
  <c r="B16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G15" i="42"/>
  <c r="F15" i="42"/>
  <c r="E15" i="42"/>
  <c r="D15" i="42"/>
  <c r="C15" i="42"/>
  <c r="B15" i="42"/>
  <c r="Y14" i="42"/>
  <c r="X14" i="42"/>
  <c r="W14" i="42"/>
  <c r="V14" i="42"/>
  <c r="U14" i="42"/>
  <c r="T14" i="42"/>
  <c r="S14" i="42"/>
  <c r="R14" i="42"/>
  <c r="Q14" i="42"/>
  <c r="P14" i="42"/>
  <c r="O14" i="42"/>
  <c r="N14" i="42"/>
  <c r="M14" i="42"/>
  <c r="L14" i="42"/>
  <c r="K14" i="42"/>
  <c r="J14" i="42"/>
  <c r="I14" i="42"/>
  <c r="H14" i="42"/>
  <c r="G14" i="42"/>
  <c r="F14" i="42"/>
  <c r="E14" i="42"/>
  <c r="D14" i="42"/>
  <c r="C14" i="42"/>
  <c r="B14" i="42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H13" i="42"/>
  <c r="G13" i="42"/>
  <c r="F13" i="42"/>
  <c r="E13" i="42"/>
  <c r="D13" i="42"/>
  <c r="C13" i="42"/>
  <c r="B13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H12" i="42"/>
  <c r="G12" i="42"/>
  <c r="F12" i="42"/>
  <c r="E12" i="42"/>
  <c r="D12" i="42"/>
  <c r="C12" i="42"/>
  <c r="B12" i="42"/>
  <c r="Y11" i="42"/>
  <c r="X11" i="42"/>
  <c r="W11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J11" i="42"/>
  <c r="I11" i="42"/>
  <c r="H11" i="42"/>
  <c r="G11" i="42"/>
  <c r="F11" i="42"/>
  <c r="E11" i="42"/>
  <c r="D11" i="42"/>
  <c r="C11" i="42"/>
  <c r="B11" i="42"/>
  <c r="Y10" i="42"/>
  <c r="X10" i="42"/>
  <c r="W10" i="42"/>
  <c r="V10" i="42"/>
  <c r="U10" i="42"/>
  <c r="T10" i="42"/>
  <c r="S10" i="42"/>
  <c r="R10" i="42"/>
  <c r="Q10" i="42"/>
  <c r="P10" i="42"/>
  <c r="O10" i="42"/>
  <c r="N10" i="42"/>
  <c r="M10" i="42"/>
  <c r="L10" i="42"/>
  <c r="K10" i="42"/>
  <c r="J10" i="42"/>
  <c r="I10" i="42"/>
  <c r="H10" i="42"/>
  <c r="G10" i="42"/>
  <c r="F10" i="42"/>
  <c r="E10" i="42"/>
  <c r="D10" i="42"/>
  <c r="C10" i="42"/>
  <c r="B10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H9" i="42"/>
  <c r="G9" i="42"/>
  <c r="F9" i="42"/>
  <c r="E9" i="42"/>
  <c r="D9" i="42"/>
  <c r="C9" i="42"/>
  <c r="B9" i="42"/>
  <c r="Y8" i="42"/>
  <c r="Y38" i="42" s="1"/>
  <c r="X8" i="42"/>
  <c r="W8" i="42"/>
  <c r="V8" i="42"/>
  <c r="V38" i="42" s="1"/>
  <c r="U8" i="42"/>
  <c r="T8" i="42"/>
  <c r="S8" i="42"/>
  <c r="S38" i="42" s="1"/>
  <c r="R8" i="42"/>
  <c r="G47" i="42" s="1"/>
  <c r="Q8" i="42"/>
  <c r="E47" i="42" s="1"/>
  <c r="P8" i="42"/>
  <c r="P38" i="42" s="1"/>
  <c r="O8" i="42"/>
  <c r="N8" i="42"/>
  <c r="E46" i="42" s="1"/>
  <c r="M8" i="42"/>
  <c r="M38" i="42" s="1"/>
  <c r="L8" i="42"/>
  <c r="G45" i="42" s="1"/>
  <c r="K8" i="42"/>
  <c r="E45" i="42" s="1"/>
  <c r="J8" i="42"/>
  <c r="J38" i="42" s="1"/>
  <c r="I8" i="42"/>
  <c r="H8" i="42"/>
  <c r="E44" i="42" s="1"/>
  <c r="G8" i="42"/>
  <c r="F8" i="42"/>
  <c r="G43" i="42" s="1"/>
  <c r="E8" i="42"/>
  <c r="E43" i="42" s="1"/>
  <c r="D8" i="42"/>
  <c r="D38" i="42" s="1"/>
  <c r="C8" i="42"/>
  <c r="G42" i="42" s="1"/>
  <c r="B8" i="42"/>
  <c r="E42" i="42" s="1"/>
  <c r="F48" i="41"/>
  <c r="D48" i="41"/>
  <c r="F47" i="41"/>
  <c r="D47" i="41"/>
  <c r="F46" i="41"/>
  <c r="D46" i="41"/>
  <c r="F45" i="41"/>
  <c r="D45" i="41"/>
  <c r="Q44" i="41"/>
  <c r="O44" i="41"/>
  <c r="M44" i="41"/>
  <c r="K44" i="41"/>
  <c r="F44" i="41"/>
  <c r="D44" i="41"/>
  <c r="Q43" i="41"/>
  <c r="O43" i="41"/>
  <c r="M43" i="41"/>
  <c r="K43" i="41"/>
  <c r="F43" i="41"/>
  <c r="D43" i="41"/>
  <c r="Y38" i="41"/>
  <c r="V38" i="41"/>
  <c r="S38" i="41"/>
  <c r="P38" i="41"/>
  <c r="M38" i="41"/>
  <c r="J38" i="41"/>
  <c r="G38" i="41"/>
  <c r="D38" i="41"/>
  <c r="G90" i="40"/>
  <c r="C90" i="40"/>
  <c r="D87" i="40"/>
  <c r="J90" i="40" s="1"/>
  <c r="C87" i="40"/>
  <c r="I90" i="40" s="1"/>
  <c r="B87" i="40"/>
  <c r="H90" i="40" s="1"/>
  <c r="D86" i="40"/>
  <c r="C86" i="40"/>
  <c r="F90" i="40" s="1"/>
  <c r="B86" i="40"/>
  <c r="E90" i="40" s="1"/>
  <c r="D85" i="40"/>
  <c r="D90" i="40" s="1"/>
  <c r="C85" i="40"/>
  <c r="B85" i="40"/>
  <c r="B90" i="40" s="1"/>
  <c r="T40" i="40"/>
  <c r="AE39" i="40"/>
  <c r="M5" i="44" s="1"/>
  <c r="M6" i="44" s="1"/>
  <c r="Z39" i="40"/>
  <c r="I5" i="44" s="1"/>
  <c r="I6" i="44" s="1"/>
  <c r="X39" i="40"/>
  <c r="V39" i="40"/>
  <c r="AH37" i="40"/>
  <c r="S37" i="40"/>
  <c r="Q37" i="40"/>
  <c r="D37" i="40"/>
  <c r="C37" i="40"/>
  <c r="B37" i="40"/>
  <c r="AH36" i="40"/>
  <c r="S36" i="40"/>
  <c r="Q36" i="40"/>
  <c r="D36" i="40"/>
  <c r="C36" i="40"/>
  <c r="B36" i="40"/>
  <c r="AU5" i="44" s="1"/>
  <c r="AH35" i="40"/>
  <c r="S35" i="40"/>
  <c r="Q35" i="40"/>
  <c r="D35" i="40"/>
  <c r="C35" i="40"/>
  <c r="B35" i="40"/>
  <c r="AH34" i="40"/>
  <c r="S34" i="40"/>
  <c r="Q34" i="40"/>
  <c r="D34" i="40"/>
  <c r="C34" i="40"/>
  <c r="B34" i="40"/>
  <c r="AH33" i="40"/>
  <c r="S33" i="40"/>
  <c r="Q33" i="40"/>
  <c r="D33" i="40"/>
  <c r="C33" i="40"/>
  <c r="B33" i="40"/>
  <c r="AH32" i="40"/>
  <c r="S32" i="40"/>
  <c r="Q32" i="40"/>
  <c r="D32" i="40"/>
  <c r="C32" i="40"/>
  <c r="B32" i="40"/>
  <c r="AH31" i="40"/>
  <c r="S31" i="40"/>
  <c r="Q31" i="40"/>
  <c r="D31" i="40"/>
  <c r="C31" i="40"/>
  <c r="B31" i="40"/>
  <c r="AH30" i="40"/>
  <c r="S30" i="40"/>
  <c r="Q30" i="40"/>
  <c r="D30" i="40"/>
  <c r="C30" i="40"/>
  <c r="B30" i="40"/>
  <c r="AH29" i="40"/>
  <c r="S29" i="40"/>
  <c r="Q29" i="40"/>
  <c r="D29" i="40"/>
  <c r="C29" i="40"/>
  <c r="B29" i="40"/>
  <c r="AH28" i="40"/>
  <c r="S28" i="40"/>
  <c r="Q28" i="40"/>
  <c r="D28" i="40"/>
  <c r="C28" i="40"/>
  <c r="B28" i="40"/>
  <c r="AH27" i="40"/>
  <c r="S27" i="40"/>
  <c r="Q27" i="40"/>
  <c r="D27" i="40"/>
  <c r="C27" i="40"/>
  <c r="B27" i="40"/>
  <c r="AH26" i="40"/>
  <c r="S26" i="40"/>
  <c r="Q26" i="40"/>
  <c r="D26" i="40"/>
  <c r="C26" i="40"/>
  <c r="B26" i="40"/>
  <c r="AH25" i="40"/>
  <c r="S25" i="40"/>
  <c r="Q25" i="40"/>
  <c r="D25" i="40"/>
  <c r="C25" i="40"/>
  <c r="B25" i="40"/>
  <c r="AH24" i="40"/>
  <c r="S24" i="40"/>
  <c r="Q24" i="40"/>
  <c r="D24" i="40"/>
  <c r="C24" i="40"/>
  <c r="B24" i="40"/>
  <c r="AH23" i="40"/>
  <c r="S23" i="40"/>
  <c r="Q23" i="40"/>
  <c r="D23" i="40"/>
  <c r="C23" i="40"/>
  <c r="B23" i="40"/>
  <c r="AH22" i="40"/>
  <c r="S22" i="40"/>
  <c r="Q22" i="40"/>
  <c r="D22" i="40"/>
  <c r="C22" i="40"/>
  <c r="B22" i="40"/>
  <c r="AH21" i="40"/>
  <c r="S21" i="40"/>
  <c r="Q21" i="40"/>
  <c r="D21" i="40"/>
  <c r="C21" i="40"/>
  <c r="B21" i="40"/>
  <c r="AH20" i="40"/>
  <c r="S20" i="40"/>
  <c r="Q20" i="40"/>
  <c r="D20" i="40"/>
  <c r="C20" i="40"/>
  <c r="B20" i="40"/>
  <c r="AH19" i="40"/>
  <c r="S19" i="40"/>
  <c r="Q19" i="40"/>
  <c r="D19" i="40"/>
  <c r="C19" i="40"/>
  <c r="B19" i="40"/>
  <c r="AH18" i="40"/>
  <c r="S18" i="40"/>
  <c r="Q18" i="40"/>
  <c r="D18" i="40"/>
  <c r="C18" i="40"/>
  <c r="B18" i="40"/>
  <c r="AH17" i="40"/>
  <c r="S17" i="40"/>
  <c r="Q17" i="40"/>
  <c r="D17" i="40"/>
  <c r="C17" i="40"/>
  <c r="B17" i="40"/>
  <c r="AH16" i="40"/>
  <c r="S16" i="40"/>
  <c r="Q16" i="40"/>
  <c r="D16" i="40"/>
  <c r="C16" i="40"/>
  <c r="B16" i="40"/>
  <c r="AH15" i="40"/>
  <c r="S15" i="40"/>
  <c r="Q15" i="40"/>
  <c r="D15" i="40"/>
  <c r="C15" i="40"/>
  <c r="B15" i="40"/>
  <c r="AH14" i="40"/>
  <c r="S14" i="40"/>
  <c r="Q14" i="40"/>
  <c r="D14" i="40"/>
  <c r="C14" i="40"/>
  <c r="B14" i="40"/>
  <c r="AH13" i="40"/>
  <c r="S13" i="40"/>
  <c r="Q13" i="40"/>
  <c r="D13" i="40"/>
  <c r="C13" i="40"/>
  <c r="B13" i="40"/>
  <c r="AH12" i="40"/>
  <c r="S12" i="40"/>
  <c r="Q12" i="40"/>
  <c r="D12" i="40"/>
  <c r="C12" i="40"/>
  <c r="B12" i="40"/>
  <c r="AH11" i="40"/>
  <c r="S11" i="40"/>
  <c r="Q11" i="40"/>
  <c r="D11" i="40"/>
  <c r="C11" i="40"/>
  <c r="B11" i="40"/>
  <c r="AH10" i="40"/>
  <c r="S10" i="40"/>
  <c r="Q10" i="40"/>
  <c r="D10" i="40"/>
  <c r="C10" i="40"/>
  <c r="B10" i="40"/>
  <c r="AH9" i="40"/>
  <c r="S9" i="40"/>
  <c r="Q9" i="40"/>
  <c r="D9" i="40"/>
  <c r="C9" i="40"/>
  <c r="B9" i="40"/>
  <c r="AH8" i="40"/>
  <c r="S8" i="40"/>
  <c r="Q8" i="40"/>
  <c r="D8" i="40"/>
  <c r="C8" i="40"/>
  <c r="B8" i="40"/>
  <c r="AH7" i="40"/>
  <c r="S7" i="40"/>
  <c r="Q7" i="40"/>
  <c r="D7" i="40"/>
  <c r="C7" i="40"/>
  <c r="B7" i="40"/>
  <c r="W38" i="39"/>
  <c r="V38" i="39"/>
  <c r="U38" i="39"/>
  <c r="T38" i="39"/>
  <c r="W37" i="39"/>
  <c r="V37" i="39"/>
  <c r="U37" i="39"/>
  <c r="T37" i="39"/>
  <c r="W36" i="39"/>
  <c r="V36" i="39"/>
  <c r="U36" i="39"/>
  <c r="T36" i="39"/>
  <c r="W35" i="39"/>
  <c r="V35" i="39"/>
  <c r="U35" i="39"/>
  <c r="T35" i="39"/>
  <c r="W34" i="39"/>
  <c r="V34" i="39"/>
  <c r="U34" i="39"/>
  <c r="T34" i="39"/>
  <c r="W33" i="39"/>
  <c r="V33" i="39"/>
  <c r="U33" i="39"/>
  <c r="T33" i="39"/>
  <c r="W32" i="39"/>
  <c r="V32" i="39"/>
  <c r="U32" i="39"/>
  <c r="T32" i="39"/>
  <c r="W31" i="39"/>
  <c r="V31" i="39"/>
  <c r="U31" i="39"/>
  <c r="T31" i="39"/>
  <c r="G31" i="39"/>
  <c r="E31" i="39"/>
  <c r="D31" i="39"/>
  <c r="B31" i="39"/>
  <c r="W30" i="39"/>
  <c r="V30" i="39"/>
  <c r="U30" i="39"/>
  <c r="T30" i="39"/>
  <c r="K30" i="39"/>
  <c r="W29" i="39"/>
  <c r="V29" i="39"/>
  <c r="U29" i="39"/>
  <c r="T29" i="39"/>
  <c r="W28" i="39"/>
  <c r="V28" i="39"/>
  <c r="U28" i="39"/>
  <c r="T28" i="39"/>
  <c r="W27" i="39"/>
  <c r="V27" i="39"/>
  <c r="U27" i="39"/>
  <c r="T27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W25" i="39"/>
  <c r="V25" i="39"/>
  <c r="U25" i="39"/>
  <c r="T25" i="39"/>
  <c r="W24" i="39"/>
  <c r="V24" i="39"/>
  <c r="U24" i="39"/>
  <c r="T24" i="39"/>
  <c r="W23" i="39"/>
  <c r="V23" i="39"/>
  <c r="U23" i="39"/>
  <c r="T23" i="39"/>
  <c r="S23" i="39"/>
  <c r="P23" i="39"/>
  <c r="M23" i="39"/>
  <c r="J23" i="39"/>
  <c r="G23" i="39"/>
  <c r="W22" i="39"/>
  <c r="V22" i="39"/>
  <c r="U22" i="39"/>
  <c r="T22" i="39"/>
  <c r="W21" i="39"/>
  <c r="V21" i="39"/>
  <c r="U21" i="39"/>
  <c r="T21" i="39"/>
  <c r="W20" i="39"/>
  <c r="V20" i="39"/>
  <c r="U20" i="39"/>
  <c r="T20" i="39"/>
  <c r="W19" i="39"/>
  <c r="V19" i="39"/>
  <c r="U19" i="39"/>
  <c r="T19" i="39"/>
  <c r="W18" i="39"/>
  <c r="V18" i="39"/>
  <c r="U18" i="39"/>
  <c r="T18" i="39"/>
  <c r="W17" i="39"/>
  <c r="V17" i="39"/>
  <c r="U17" i="39"/>
  <c r="T17" i="39"/>
  <c r="W16" i="39"/>
  <c r="V16" i="39"/>
  <c r="U16" i="39"/>
  <c r="T16" i="39"/>
  <c r="W15" i="39"/>
  <c r="V15" i="39"/>
  <c r="U15" i="39"/>
  <c r="T15" i="39"/>
  <c r="W14" i="39"/>
  <c r="V14" i="39"/>
  <c r="U14" i="39"/>
  <c r="T14" i="39"/>
  <c r="W13" i="39"/>
  <c r="V13" i="39"/>
  <c r="U13" i="39"/>
  <c r="T13" i="39"/>
  <c r="W12" i="39"/>
  <c r="V12" i="39"/>
  <c r="U12" i="39"/>
  <c r="T12" i="39"/>
  <c r="W11" i="39"/>
  <c r="V11" i="39"/>
  <c r="U11" i="39"/>
  <c r="T11" i="39"/>
  <c r="W10" i="39"/>
  <c r="V10" i="39"/>
  <c r="U10" i="39"/>
  <c r="T10" i="39"/>
  <c r="W9" i="39"/>
  <c r="V9" i="39"/>
  <c r="U9" i="39"/>
  <c r="T9" i="39"/>
  <c r="W8" i="39"/>
  <c r="V8" i="39"/>
  <c r="U8" i="39"/>
  <c r="T8" i="39"/>
  <c r="AG81" i="38"/>
  <c r="X81" i="38"/>
  <c r="S81" i="38"/>
  <c r="N81" i="38"/>
  <c r="J81" i="38"/>
  <c r="AL78" i="38"/>
  <c r="AK78" i="38"/>
  <c r="AJ78" i="38"/>
  <c r="AG78" i="38"/>
  <c r="AF78" i="38"/>
  <c r="AE78" i="38"/>
  <c r="X78" i="38"/>
  <c r="W78" i="38"/>
  <c r="V78" i="38"/>
  <c r="S78" i="38"/>
  <c r="R78" i="38"/>
  <c r="Q78" i="38"/>
  <c r="N78" i="38"/>
  <c r="M78" i="38"/>
  <c r="L78" i="38"/>
  <c r="J78" i="38"/>
  <c r="I78" i="38"/>
  <c r="H78" i="38"/>
  <c r="S23" i="38"/>
  <c r="AE22" i="38"/>
  <c r="M22" i="38"/>
  <c r="V19" i="38"/>
  <c r="S19" i="38"/>
  <c r="E19" i="38"/>
  <c r="AA14" i="38"/>
  <c r="B12" i="38"/>
  <c r="B51" i="38" s="1"/>
  <c r="T1" i="37"/>
  <c r="G34" i="36"/>
  <c r="F34" i="36"/>
  <c r="E34" i="36"/>
  <c r="D34" i="36"/>
  <c r="C34" i="36"/>
  <c r="B34" i="36"/>
  <c r="G33" i="36"/>
  <c r="F33" i="36"/>
  <c r="E33" i="36"/>
  <c r="D33" i="36"/>
  <c r="C33" i="36"/>
  <c r="B33" i="36"/>
  <c r="G32" i="36"/>
  <c r="F32" i="36"/>
  <c r="E32" i="36"/>
  <c r="D32" i="36"/>
  <c r="C32" i="36"/>
  <c r="B32" i="36"/>
  <c r="G31" i="36"/>
  <c r="F31" i="36"/>
  <c r="E31" i="36"/>
  <c r="D31" i="36"/>
  <c r="C31" i="36"/>
  <c r="B31" i="36"/>
  <c r="G30" i="36"/>
  <c r="F30" i="36"/>
  <c r="E30" i="36"/>
  <c r="D30" i="36"/>
  <c r="C30" i="36"/>
  <c r="B30" i="36"/>
  <c r="G29" i="36"/>
  <c r="F29" i="36"/>
  <c r="E29" i="36"/>
  <c r="D29" i="36"/>
  <c r="C29" i="36"/>
  <c r="B29" i="36"/>
  <c r="G28" i="36"/>
  <c r="F28" i="36"/>
  <c r="E28" i="36"/>
  <c r="D28" i="36"/>
  <c r="C28" i="36"/>
  <c r="B28" i="36"/>
  <c r="G27" i="36"/>
  <c r="F27" i="36"/>
  <c r="E27" i="36"/>
  <c r="D27" i="36"/>
  <c r="C27" i="36"/>
  <c r="B27" i="36"/>
  <c r="G26" i="36"/>
  <c r="F26" i="36"/>
  <c r="E26" i="36"/>
  <c r="D26" i="36"/>
  <c r="C26" i="36"/>
  <c r="B26" i="36"/>
  <c r="G25" i="36"/>
  <c r="F25" i="36"/>
  <c r="E25" i="36"/>
  <c r="D25" i="36"/>
  <c r="C25" i="36"/>
  <c r="B25" i="36"/>
  <c r="G24" i="36"/>
  <c r="F24" i="36"/>
  <c r="E24" i="36"/>
  <c r="D24" i="36"/>
  <c r="C24" i="36"/>
  <c r="B24" i="36"/>
  <c r="G23" i="36"/>
  <c r="F23" i="36"/>
  <c r="E23" i="36"/>
  <c r="D23" i="36"/>
  <c r="C23" i="36"/>
  <c r="B23" i="36"/>
  <c r="G22" i="36"/>
  <c r="F22" i="36"/>
  <c r="E22" i="36"/>
  <c r="D22" i="36"/>
  <c r="C22" i="36"/>
  <c r="B22" i="36"/>
  <c r="G21" i="36"/>
  <c r="F21" i="36"/>
  <c r="E21" i="36"/>
  <c r="D21" i="36"/>
  <c r="C21" i="36"/>
  <c r="B21" i="36"/>
  <c r="G20" i="36"/>
  <c r="F20" i="36"/>
  <c r="E20" i="36"/>
  <c r="D20" i="36"/>
  <c r="C20" i="36"/>
  <c r="B20" i="36"/>
  <c r="G19" i="36"/>
  <c r="F19" i="36"/>
  <c r="E19" i="36"/>
  <c r="D19" i="36"/>
  <c r="C19" i="36"/>
  <c r="B19" i="36"/>
  <c r="G18" i="36"/>
  <c r="F18" i="36"/>
  <c r="E18" i="36"/>
  <c r="D18" i="36"/>
  <c r="C18" i="36"/>
  <c r="B18" i="36"/>
  <c r="G17" i="36"/>
  <c r="F17" i="36"/>
  <c r="E17" i="36"/>
  <c r="D17" i="36"/>
  <c r="C17" i="36"/>
  <c r="B17" i="36"/>
  <c r="G16" i="36"/>
  <c r="F16" i="36"/>
  <c r="E16" i="36"/>
  <c r="D16" i="36"/>
  <c r="C16" i="36"/>
  <c r="B16" i="36"/>
  <c r="G15" i="36"/>
  <c r="F15" i="36"/>
  <c r="E15" i="36"/>
  <c r="D15" i="36"/>
  <c r="C15" i="36"/>
  <c r="B15" i="36"/>
  <c r="G14" i="36"/>
  <c r="F14" i="36"/>
  <c r="E14" i="36"/>
  <c r="D14" i="36"/>
  <c r="C14" i="36"/>
  <c r="B14" i="36"/>
  <c r="G13" i="36"/>
  <c r="F13" i="36"/>
  <c r="E13" i="36"/>
  <c r="D13" i="36"/>
  <c r="C13" i="36"/>
  <c r="B13" i="36"/>
  <c r="G12" i="36"/>
  <c r="F12" i="36"/>
  <c r="E12" i="36"/>
  <c r="D12" i="36"/>
  <c r="C12" i="36"/>
  <c r="B12" i="36"/>
  <c r="G11" i="36"/>
  <c r="F11" i="36"/>
  <c r="E11" i="36"/>
  <c r="D11" i="36"/>
  <c r="C11" i="36"/>
  <c r="B11" i="36"/>
  <c r="G10" i="36"/>
  <c r="F10" i="36"/>
  <c r="E10" i="36"/>
  <c r="D10" i="36"/>
  <c r="C10" i="36"/>
  <c r="B10" i="36"/>
  <c r="G9" i="36"/>
  <c r="F9" i="36"/>
  <c r="E9" i="36"/>
  <c r="D9" i="36"/>
  <c r="C9" i="36"/>
  <c r="B9" i="36"/>
  <c r="G8" i="36"/>
  <c r="F8" i="36"/>
  <c r="E8" i="36"/>
  <c r="D8" i="36"/>
  <c r="C8" i="36"/>
  <c r="B8" i="36"/>
  <c r="G7" i="36"/>
  <c r="F7" i="36"/>
  <c r="E7" i="36"/>
  <c r="D7" i="36"/>
  <c r="C7" i="36"/>
  <c r="B7" i="36"/>
  <c r="G6" i="36"/>
  <c r="F6" i="36"/>
  <c r="E6" i="36"/>
  <c r="D6" i="36"/>
  <c r="C6" i="36"/>
  <c r="B6" i="36"/>
  <c r="G5" i="36"/>
  <c r="F5" i="36"/>
  <c r="E5" i="36"/>
  <c r="D5" i="36"/>
  <c r="C5" i="36"/>
  <c r="B5" i="36"/>
  <c r="G4" i="36"/>
  <c r="F4" i="36"/>
  <c r="E4" i="36"/>
  <c r="D4" i="36"/>
  <c r="C4" i="36"/>
  <c r="B4" i="36"/>
  <c r="A1" i="36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W160" i="34"/>
  <c r="V160" i="34"/>
  <c r="T160" i="34"/>
  <c r="S160" i="34"/>
  <c r="H159" i="34"/>
  <c r="F159" i="34"/>
  <c r="E159" i="34"/>
  <c r="D159" i="34"/>
  <c r="C159" i="34"/>
  <c r="W158" i="34"/>
  <c r="V158" i="34"/>
  <c r="T158" i="34"/>
  <c r="S158" i="34"/>
  <c r="H154" i="34"/>
  <c r="F154" i="34"/>
  <c r="E154" i="34"/>
  <c r="D154" i="34"/>
  <c r="C154" i="34"/>
  <c r="W153" i="34"/>
  <c r="V153" i="34"/>
  <c r="U153" i="34"/>
  <c r="T153" i="34"/>
  <c r="S153" i="34"/>
  <c r="R153" i="34"/>
  <c r="H149" i="34"/>
  <c r="F149" i="34"/>
  <c r="E149" i="34"/>
  <c r="D149" i="34"/>
  <c r="C149" i="34"/>
  <c r="W148" i="34"/>
  <c r="V148" i="34"/>
  <c r="U148" i="34"/>
  <c r="T148" i="34"/>
  <c r="S148" i="34"/>
  <c r="R148" i="34"/>
  <c r="H144" i="34"/>
  <c r="F144" i="34"/>
  <c r="E144" i="34"/>
  <c r="D144" i="34"/>
  <c r="C144" i="34"/>
  <c r="W143" i="34"/>
  <c r="V143" i="34"/>
  <c r="U143" i="34"/>
  <c r="T143" i="34"/>
  <c r="S143" i="34"/>
  <c r="R143" i="34"/>
  <c r="H139" i="34"/>
  <c r="F139" i="34"/>
  <c r="E139" i="34"/>
  <c r="D139" i="34"/>
  <c r="C139" i="34"/>
  <c r="W138" i="34"/>
  <c r="V138" i="34"/>
  <c r="U138" i="34"/>
  <c r="U160" i="34" s="1"/>
  <c r="T138" i="34"/>
  <c r="S138" i="34"/>
  <c r="R138" i="34"/>
  <c r="R160" i="34" s="1"/>
  <c r="H134" i="34"/>
  <c r="F134" i="34"/>
  <c r="E134" i="34"/>
  <c r="D134" i="34"/>
  <c r="C134" i="34"/>
  <c r="W133" i="34"/>
  <c r="V133" i="34"/>
  <c r="U133" i="34"/>
  <c r="T133" i="34"/>
  <c r="S133" i="34"/>
  <c r="R133" i="34"/>
  <c r="H129" i="34"/>
  <c r="F129" i="34"/>
  <c r="E129" i="34"/>
  <c r="D129" i="34"/>
  <c r="C129" i="34"/>
  <c r="W128" i="34"/>
  <c r="V128" i="34"/>
  <c r="U128" i="34"/>
  <c r="T128" i="34"/>
  <c r="S128" i="34"/>
  <c r="R128" i="34"/>
  <c r="H124" i="34"/>
  <c r="F124" i="34"/>
  <c r="E124" i="34"/>
  <c r="D124" i="34"/>
  <c r="C124" i="34"/>
  <c r="W123" i="34"/>
  <c r="V123" i="34"/>
  <c r="U123" i="34"/>
  <c r="T123" i="34"/>
  <c r="S123" i="34"/>
  <c r="R123" i="34"/>
  <c r="H119" i="34"/>
  <c r="F119" i="34"/>
  <c r="E119" i="34"/>
  <c r="D119" i="34"/>
  <c r="C119" i="34"/>
  <c r="W118" i="34"/>
  <c r="V118" i="34"/>
  <c r="U118" i="34"/>
  <c r="T118" i="34"/>
  <c r="S118" i="34"/>
  <c r="R118" i="34"/>
  <c r="H114" i="34"/>
  <c r="F114" i="34"/>
  <c r="E114" i="34"/>
  <c r="D114" i="34"/>
  <c r="C114" i="34"/>
  <c r="W113" i="34"/>
  <c r="V113" i="34"/>
  <c r="U113" i="34"/>
  <c r="T113" i="34"/>
  <c r="S113" i="34"/>
  <c r="R113" i="34"/>
  <c r="H109" i="34"/>
  <c r="F109" i="34"/>
  <c r="E109" i="34"/>
  <c r="D109" i="34"/>
  <c r="C109" i="34"/>
  <c r="W108" i="34"/>
  <c r="V108" i="34"/>
  <c r="U108" i="34"/>
  <c r="T108" i="34"/>
  <c r="S108" i="34"/>
  <c r="R108" i="34"/>
  <c r="H104" i="34"/>
  <c r="F104" i="34"/>
  <c r="E104" i="34"/>
  <c r="D104" i="34"/>
  <c r="C104" i="34"/>
  <c r="W103" i="34"/>
  <c r="V103" i="34"/>
  <c r="U103" i="34"/>
  <c r="T103" i="34"/>
  <c r="S103" i="34"/>
  <c r="R103" i="34"/>
  <c r="H99" i="34"/>
  <c r="F99" i="34"/>
  <c r="E99" i="34"/>
  <c r="D99" i="34"/>
  <c r="C99" i="34"/>
  <c r="W98" i="34"/>
  <c r="V98" i="34"/>
  <c r="U98" i="34"/>
  <c r="T98" i="34"/>
  <c r="S98" i="34"/>
  <c r="R98" i="34"/>
  <c r="H94" i="34"/>
  <c r="F94" i="34"/>
  <c r="E94" i="34"/>
  <c r="D94" i="34"/>
  <c r="C94" i="34"/>
  <c r="R93" i="34" s="1"/>
  <c r="W93" i="34"/>
  <c r="V93" i="34"/>
  <c r="U93" i="34"/>
  <c r="T93" i="34"/>
  <c r="S93" i="34"/>
  <c r="H89" i="34"/>
  <c r="F89" i="34"/>
  <c r="E89" i="34"/>
  <c r="D89" i="34"/>
  <c r="C89" i="34"/>
  <c r="R88" i="34" s="1"/>
  <c r="W88" i="34"/>
  <c r="V88" i="34"/>
  <c r="U88" i="34"/>
  <c r="T88" i="34"/>
  <c r="S88" i="34"/>
  <c r="H84" i="34"/>
  <c r="F84" i="34"/>
  <c r="E84" i="34"/>
  <c r="D84" i="34"/>
  <c r="U83" i="34" s="1"/>
  <c r="C84" i="34"/>
  <c r="R83" i="34" s="1"/>
  <c r="W83" i="34"/>
  <c r="V83" i="34"/>
  <c r="T83" i="34"/>
  <c r="S83" i="34"/>
  <c r="H79" i="34"/>
  <c r="F79" i="34"/>
  <c r="E79" i="34"/>
  <c r="D79" i="34"/>
  <c r="C79" i="34"/>
  <c r="W78" i="34"/>
  <c r="V78" i="34"/>
  <c r="U78" i="34"/>
  <c r="T78" i="34"/>
  <c r="S78" i="34"/>
  <c r="R78" i="34"/>
  <c r="H74" i="34"/>
  <c r="F74" i="34"/>
  <c r="E74" i="34"/>
  <c r="D74" i="34"/>
  <c r="C74" i="34"/>
  <c r="R73" i="34" s="1"/>
  <c r="W73" i="34"/>
  <c r="V73" i="34"/>
  <c r="U73" i="34"/>
  <c r="T73" i="34"/>
  <c r="S73" i="34"/>
  <c r="H69" i="34"/>
  <c r="F69" i="34"/>
  <c r="E69" i="34"/>
  <c r="D69" i="34"/>
  <c r="C69" i="34"/>
  <c r="R68" i="34" s="1"/>
  <c r="W68" i="34"/>
  <c r="V68" i="34"/>
  <c r="U68" i="34"/>
  <c r="T68" i="34"/>
  <c r="S68" i="34"/>
  <c r="H64" i="34"/>
  <c r="F64" i="34"/>
  <c r="F160" i="34" s="1"/>
  <c r="E64" i="34"/>
  <c r="D64" i="34"/>
  <c r="C64" i="34"/>
  <c r="R63" i="34" s="1"/>
  <c r="W63" i="34"/>
  <c r="V63" i="34"/>
  <c r="U63" i="34"/>
  <c r="T63" i="34"/>
  <c r="S63" i="34"/>
  <c r="H59" i="34"/>
  <c r="F59" i="34"/>
  <c r="E59" i="34"/>
  <c r="D59" i="34"/>
  <c r="C59" i="34"/>
  <c r="W58" i="34"/>
  <c r="V58" i="34"/>
  <c r="U58" i="34"/>
  <c r="T58" i="34"/>
  <c r="S58" i="34"/>
  <c r="R58" i="34"/>
  <c r="H54" i="34"/>
  <c r="F54" i="34"/>
  <c r="E54" i="34"/>
  <c r="D54" i="34"/>
  <c r="C54" i="34"/>
  <c r="R53" i="34" s="1"/>
  <c r="W53" i="34"/>
  <c r="V53" i="34"/>
  <c r="U53" i="34"/>
  <c r="T53" i="34"/>
  <c r="S53" i="34"/>
  <c r="H49" i="34"/>
  <c r="F49" i="34"/>
  <c r="E49" i="34"/>
  <c r="D49" i="34"/>
  <c r="C49" i="34"/>
  <c r="R48" i="34" s="1"/>
  <c r="W48" i="34"/>
  <c r="V48" i="34"/>
  <c r="U48" i="34"/>
  <c r="T48" i="34"/>
  <c r="S48" i="34"/>
  <c r="A45" i="34"/>
  <c r="A50" i="34" s="1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44" i="34"/>
  <c r="F46" i="43" s="1"/>
  <c r="F44" i="34"/>
  <c r="E44" i="34"/>
  <c r="D44" i="34"/>
  <c r="C44" i="34"/>
  <c r="W43" i="34"/>
  <c r="V43" i="34"/>
  <c r="U43" i="34"/>
  <c r="T43" i="34"/>
  <c r="S43" i="34"/>
  <c r="N43" i="34"/>
  <c r="L43" i="34"/>
  <c r="H39" i="34"/>
  <c r="F39" i="34"/>
  <c r="E39" i="34"/>
  <c r="D39" i="34"/>
  <c r="C39" i="34"/>
  <c r="R38" i="34" s="1"/>
  <c r="W38" i="34"/>
  <c r="V38" i="34"/>
  <c r="U38" i="34"/>
  <c r="T38" i="34"/>
  <c r="S38" i="34"/>
  <c r="P35" i="34"/>
  <c r="P40" i="34" s="1"/>
  <c r="P45" i="34" s="1"/>
  <c r="P50" i="34" s="1"/>
  <c r="P55" i="34" s="1"/>
  <c r="P60" i="34" s="1"/>
  <c r="P65" i="34" s="1"/>
  <c r="P70" i="34" s="1"/>
  <c r="P75" i="34" s="1"/>
  <c r="P80" i="34" s="1"/>
  <c r="P85" i="34" s="1"/>
  <c r="P90" i="34" s="1"/>
  <c r="P95" i="34" s="1"/>
  <c r="P100" i="34" s="1"/>
  <c r="P105" i="34" s="1"/>
  <c r="P110" i="34" s="1"/>
  <c r="P115" i="34" s="1"/>
  <c r="P120" i="34" s="1"/>
  <c r="P125" i="34" s="1"/>
  <c r="P130" i="34" s="1"/>
  <c r="P135" i="34" s="1"/>
  <c r="P140" i="34" s="1"/>
  <c r="P145" i="34" s="1"/>
  <c r="P150" i="34" s="1"/>
  <c r="P155" i="34" s="1"/>
  <c r="H34" i="34"/>
  <c r="F34" i="34"/>
  <c r="E34" i="34"/>
  <c r="D34" i="34"/>
  <c r="C34" i="34"/>
  <c r="R33" i="34" s="1"/>
  <c r="W33" i="34"/>
  <c r="V33" i="34"/>
  <c r="U33" i="34"/>
  <c r="T33" i="34"/>
  <c r="S33" i="34"/>
  <c r="H29" i="34"/>
  <c r="F29" i="34"/>
  <c r="E29" i="34"/>
  <c r="D29" i="34"/>
  <c r="C29" i="34"/>
  <c r="W28" i="34"/>
  <c r="V28" i="34"/>
  <c r="U28" i="34"/>
  <c r="T28" i="34"/>
  <c r="S28" i="34"/>
  <c r="R28" i="34"/>
  <c r="H24" i="34"/>
  <c r="F24" i="34"/>
  <c r="E24" i="34"/>
  <c r="D24" i="34"/>
  <c r="C24" i="34"/>
  <c r="W23" i="34"/>
  <c r="V23" i="34"/>
  <c r="U23" i="34"/>
  <c r="T23" i="34"/>
  <c r="S23" i="34"/>
  <c r="R23" i="34"/>
  <c r="H19" i="34"/>
  <c r="F19" i="34"/>
  <c r="E19" i="34"/>
  <c r="D19" i="34"/>
  <c r="C19" i="34"/>
  <c r="R18" i="34" s="1"/>
  <c r="W18" i="34"/>
  <c r="V18" i="34"/>
  <c r="U18" i="34"/>
  <c r="T18" i="34"/>
  <c r="S18" i="34"/>
  <c r="P15" i="34"/>
  <c r="P20" i="34" s="1"/>
  <c r="P25" i="34" s="1"/>
  <c r="P30" i="34" s="1"/>
  <c r="H14" i="34"/>
  <c r="F14" i="34"/>
  <c r="E14" i="34"/>
  <c r="D14" i="34"/>
  <c r="C14" i="34"/>
  <c r="R13" i="34" s="1"/>
  <c r="W13" i="34"/>
  <c r="V13" i="34"/>
  <c r="U13" i="34"/>
  <c r="T13" i="34"/>
  <c r="S13" i="34"/>
  <c r="A10" i="34"/>
  <c r="A15" i="34" s="1"/>
  <c r="A20" i="34" s="1"/>
  <c r="A25" i="34" s="1"/>
  <c r="A30" i="34" s="1"/>
  <c r="A35" i="34" s="1"/>
  <c r="A40" i="34" s="1"/>
  <c r="H9" i="34"/>
  <c r="F9" i="34"/>
  <c r="E9" i="34"/>
  <c r="E160" i="34" s="1"/>
  <c r="D9" i="34"/>
  <c r="C9" i="34"/>
  <c r="W8" i="34"/>
  <c r="V8" i="34"/>
  <c r="U9" i="34" s="1"/>
  <c r="U14" i="34" s="1"/>
  <c r="U19" i="34" s="1"/>
  <c r="U24" i="34" s="1"/>
  <c r="U29" i="34" s="1"/>
  <c r="U34" i="34" s="1"/>
  <c r="U39" i="34" s="1"/>
  <c r="U44" i="34" s="1"/>
  <c r="U49" i="34" s="1"/>
  <c r="U54" i="34" s="1"/>
  <c r="U59" i="34" s="1"/>
  <c r="U8" i="34"/>
  <c r="T8" i="34"/>
  <c r="S8" i="34"/>
  <c r="R8" i="34"/>
  <c r="R9" i="34" s="1"/>
  <c r="R14" i="34" s="1"/>
  <c r="R19" i="34" s="1"/>
  <c r="R24" i="34" s="1"/>
  <c r="R29" i="34" s="1"/>
  <c r="R34" i="34" s="1"/>
  <c r="R39" i="34" s="1"/>
  <c r="A5" i="34"/>
  <c r="P5" i="34" s="1"/>
  <c r="P10" i="34" s="1"/>
  <c r="AL63" i="32"/>
  <c r="AQ62" i="32"/>
  <c r="R57" i="32"/>
  <c r="AF37" i="40" s="1"/>
  <c r="O57" i="32"/>
  <c r="AE37" i="40" s="1"/>
  <c r="AR56" i="32"/>
  <c r="AL56" i="32"/>
  <c r="AJ56" i="32"/>
  <c r="AN56" i="32" s="1"/>
  <c r="AN57" i="32" s="1"/>
  <c r="AN55" i="32"/>
  <c r="AL55" i="32"/>
  <c r="AL57" i="32" s="1"/>
  <c r="AJ55" i="32"/>
  <c r="AJ57" i="32" s="1"/>
  <c r="AL62" i="32" s="1"/>
  <c r="AL64" i="32" s="1"/>
  <c r="AE55" i="32"/>
  <c r="Y55" i="32"/>
  <c r="AE54" i="32"/>
  <c r="AC54" i="32"/>
  <c r="AA54" i="32"/>
  <c r="Y54" i="32"/>
  <c r="AC53" i="32"/>
  <c r="AC55" i="32" s="1"/>
  <c r="AA53" i="32"/>
  <c r="AA55" i="32" s="1"/>
  <c r="Y53" i="32"/>
  <c r="AG52" i="32" s="1"/>
  <c r="R51" i="32"/>
  <c r="P51" i="32"/>
  <c r="O51" i="32"/>
  <c r="AR49" i="32"/>
  <c r="AJ49" i="32"/>
  <c r="AN48" i="32"/>
  <c r="AJ48" i="32"/>
  <c r="Y47" i="32"/>
  <c r="AA46" i="32"/>
  <c r="Y46" i="32"/>
  <c r="AE46" i="32" s="1"/>
  <c r="AE47" i="32" s="1"/>
  <c r="AC45" i="32"/>
  <c r="AA45" i="32"/>
  <c r="AA47" i="32" s="1"/>
  <c r="Y45" i="32"/>
  <c r="L45" i="32"/>
  <c r="AG37" i="40" s="1"/>
  <c r="H45" i="32"/>
  <c r="Y37" i="40" s="1"/>
  <c r="AG44" i="32"/>
  <c r="S41" i="32"/>
  <c r="O41" i="32"/>
  <c r="AA37" i="40" s="1"/>
  <c r="G41" i="32"/>
  <c r="L41" i="32" s="1"/>
  <c r="E41" i="32"/>
  <c r="D41" i="32"/>
  <c r="C41" i="32"/>
  <c r="Z37" i="40" s="1"/>
  <c r="B41" i="32"/>
  <c r="X37" i="40" s="1"/>
  <c r="A41" i="32"/>
  <c r="Z37" i="32"/>
  <c r="B39" i="43" s="1"/>
  <c r="AC34" i="32"/>
  <c r="Z34" i="32"/>
  <c r="Y34" i="32"/>
  <c r="P37" i="40" s="1"/>
  <c r="AC33" i="32"/>
  <c r="AB33" i="32"/>
  <c r="G39" i="43" s="1"/>
  <c r="Z33" i="32"/>
  <c r="AA33" i="32" s="1"/>
  <c r="F39" i="43" s="1"/>
  <c r="AC32" i="32"/>
  <c r="Z32" i="32"/>
  <c r="AA32" i="32" s="1"/>
  <c r="Z30" i="32"/>
  <c r="Y30" i="32"/>
  <c r="C39" i="43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S18" i="32" s="1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N30" i="32" s="1"/>
  <c r="AL26" i="32"/>
  <c r="AJ26" i="32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S17" i="32" s="1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S16" i="32" s="1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S15" i="32" s="1"/>
  <c r="Q21" i="32"/>
  <c r="P21" i="32"/>
  <c r="O21" i="32"/>
  <c r="N37" i="40" s="1"/>
  <c r="N21" i="32"/>
  <c r="AD37" i="38" s="1"/>
  <c r="M21" i="32"/>
  <c r="L21" i="32"/>
  <c r="K21" i="32"/>
  <c r="X37" i="38" s="1"/>
  <c r="J21" i="32"/>
  <c r="U37" i="38" s="1"/>
  <c r="I21" i="32"/>
  <c r="R37" i="38" s="1"/>
  <c r="H21" i="32"/>
  <c r="G21" i="32"/>
  <c r="F21" i="32"/>
  <c r="L37" i="38" s="1"/>
  <c r="E21" i="32"/>
  <c r="I37" i="38" s="1"/>
  <c r="D21" i="32"/>
  <c r="C21" i="32"/>
  <c r="B21" i="32"/>
  <c r="C37" i="38" s="1"/>
  <c r="AP20" i="32"/>
  <c r="AN20" i="32"/>
  <c r="AL20" i="32"/>
  <c r="AJ20" i="32"/>
  <c r="AH20" i="32"/>
  <c r="AF20" i="32"/>
  <c r="AD20" i="32"/>
  <c r="AB20" i="32"/>
  <c r="Q20" i="32"/>
  <c r="P20" i="32"/>
  <c r="O20" i="32"/>
  <c r="M37" i="40" s="1"/>
  <c r="N20" i="32"/>
  <c r="AC37" i="38" s="1"/>
  <c r="M20" i="32"/>
  <c r="L20" i="32"/>
  <c r="Z37" i="38" s="1"/>
  <c r="K20" i="32"/>
  <c r="W37" i="38" s="1"/>
  <c r="J20" i="32"/>
  <c r="T37" i="38" s="1"/>
  <c r="I20" i="32"/>
  <c r="Q37" i="38" s="1"/>
  <c r="H20" i="32"/>
  <c r="G20" i="32"/>
  <c r="F20" i="32"/>
  <c r="K37" i="38" s="1"/>
  <c r="E20" i="32"/>
  <c r="H37" i="38" s="1"/>
  <c r="D20" i="32"/>
  <c r="C20" i="32"/>
  <c r="B20" i="32"/>
  <c r="B37" i="38" s="1"/>
  <c r="AP19" i="32"/>
  <c r="AN19" i="32"/>
  <c r="AL19" i="32"/>
  <c r="AJ19" i="32"/>
  <c r="AH19" i="32"/>
  <c r="AF19" i="32"/>
  <c r="AD19" i="32"/>
  <c r="AB19" i="32"/>
  <c r="S14" i="32" s="1"/>
  <c r="Q19" i="32"/>
  <c r="P19" i="32"/>
  <c r="O19" i="32"/>
  <c r="N19" i="32"/>
  <c r="AE37" i="38" s="1"/>
  <c r="M19" i="32"/>
  <c r="L19" i="32"/>
  <c r="AB37" i="38" s="1"/>
  <c r="K19" i="32"/>
  <c r="Y37" i="38" s="1"/>
  <c r="J19" i="32"/>
  <c r="V37" i="38" s="1"/>
  <c r="I19" i="32"/>
  <c r="S37" i="38" s="1"/>
  <c r="H19" i="32"/>
  <c r="G19" i="32"/>
  <c r="F19" i="32"/>
  <c r="M37" i="38" s="1"/>
  <c r="E19" i="32"/>
  <c r="J37" i="38" s="1"/>
  <c r="D19" i="32"/>
  <c r="C19" i="32"/>
  <c r="B19" i="32"/>
  <c r="D37" i="38" s="1"/>
  <c r="AP18" i="32"/>
  <c r="AN18" i="32"/>
  <c r="AL18" i="32"/>
  <c r="AJ18" i="32"/>
  <c r="AH18" i="32"/>
  <c r="AF18" i="32"/>
  <c r="AD18" i="32"/>
  <c r="AB18" i="32"/>
  <c r="U18" i="32"/>
  <c r="T18" i="32"/>
  <c r="R18" i="32"/>
  <c r="AP17" i="32"/>
  <c r="AN17" i="32"/>
  <c r="AL17" i="32"/>
  <c r="AJ17" i="32"/>
  <c r="AH17" i="32"/>
  <c r="AF17" i="32"/>
  <c r="AD17" i="32"/>
  <c r="AB17" i="32"/>
  <c r="S13" i="32" s="1"/>
  <c r="U17" i="32"/>
  <c r="T17" i="32"/>
  <c r="R17" i="32"/>
  <c r="AP16" i="32"/>
  <c r="AN16" i="32"/>
  <c r="AL16" i="32"/>
  <c r="AJ16" i="32"/>
  <c r="AH16" i="32"/>
  <c r="AF16" i="32"/>
  <c r="AD16" i="32"/>
  <c r="AB16" i="32"/>
  <c r="U16" i="32"/>
  <c r="T16" i="32"/>
  <c r="R16" i="32"/>
  <c r="AP15" i="32"/>
  <c r="AN15" i="32"/>
  <c r="AL15" i="32"/>
  <c r="AJ15" i="32"/>
  <c r="AH15" i="32"/>
  <c r="AF15" i="32"/>
  <c r="AD15" i="32"/>
  <c r="AB15" i="32"/>
  <c r="S12" i="32" s="1"/>
  <c r="U15" i="32"/>
  <c r="T15" i="32"/>
  <c r="R15" i="32"/>
  <c r="AP14" i="32"/>
  <c r="AN14" i="32"/>
  <c r="AL14" i="32"/>
  <c r="AJ14" i="32"/>
  <c r="AH14" i="32"/>
  <c r="AF14" i="32"/>
  <c r="AD14" i="32"/>
  <c r="AB14" i="32"/>
  <c r="U14" i="32"/>
  <c r="T14" i="32"/>
  <c r="R14" i="32"/>
  <c r="AP13" i="32"/>
  <c r="AN13" i="32"/>
  <c r="AL13" i="32"/>
  <c r="AJ13" i="32"/>
  <c r="AH13" i="32"/>
  <c r="AF13" i="32"/>
  <c r="AD13" i="32"/>
  <c r="AB13" i="32"/>
  <c r="S11" i="32" s="1"/>
  <c r="U13" i="32"/>
  <c r="T13" i="32"/>
  <c r="R13" i="32"/>
  <c r="AP12" i="32"/>
  <c r="AN12" i="32"/>
  <c r="AL12" i="32"/>
  <c r="AJ12" i="32"/>
  <c r="AH12" i="32"/>
  <c r="AF12" i="32"/>
  <c r="AD12" i="32"/>
  <c r="AB12" i="32"/>
  <c r="V12" i="32"/>
  <c r="U37" i="32" s="1"/>
  <c r="U12" i="32"/>
  <c r="T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R11" i="32"/>
  <c r="AP10" i="32"/>
  <c r="AN10" i="32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N8" i="32"/>
  <c r="AL8" i="32"/>
  <c r="AJ8" i="32"/>
  <c r="AH8" i="32"/>
  <c r="AF8" i="32"/>
  <c r="AD8" i="32"/>
  <c r="AB8" i="32"/>
  <c r="U8" i="32"/>
  <c r="T8" i="32"/>
  <c r="R8" i="32"/>
  <c r="AP7" i="32"/>
  <c r="AN7" i="32"/>
  <c r="AL7" i="32"/>
  <c r="AJ7" i="32"/>
  <c r="AH7" i="32"/>
  <c r="AF7" i="32"/>
  <c r="AD7" i="32"/>
  <c r="AB7" i="32"/>
  <c r="S8" i="32" s="1"/>
  <c r="V7" i="32"/>
  <c r="U7" i="32"/>
  <c r="T7" i="32"/>
  <c r="S7" i="32"/>
  <c r="R7" i="32"/>
  <c r="AP6" i="32"/>
  <c r="AN6" i="32"/>
  <c r="AL6" i="32"/>
  <c r="AJ6" i="32"/>
  <c r="AH6" i="32"/>
  <c r="AF6" i="32"/>
  <c r="AD6" i="32"/>
  <c r="AB6" i="32"/>
  <c r="R57" i="31"/>
  <c r="AF36" i="40" s="1"/>
  <c r="O57" i="31"/>
  <c r="AE36" i="40" s="1"/>
  <c r="AR56" i="31"/>
  <c r="AN55" i="31"/>
  <c r="AL55" i="31"/>
  <c r="AJ55" i="31"/>
  <c r="Y54" i="31"/>
  <c r="AC53" i="31"/>
  <c r="AA53" i="31"/>
  <c r="Y53" i="31"/>
  <c r="Y55" i="31" s="1"/>
  <c r="AG52" i="31"/>
  <c r="R51" i="31"/>
  <c r="P51" i="31"/>
  <c r="O51" i="31"/>
  <c r="AN50" i="31"/>
  <c r="AR49" i="31"/>
  <c r="AN48" i="31"/>
  <c r="AJ48" i="31"/>
  <c r="AJ50" i="31" s="1"/>
  <c r="AA46" i="31"/>
  <c r="Y46" i="31"/>
  <c r="AE46" i="31" s="1"/>
  <c r="AE47" i="31" s="1"/>
  <c r="AC45" i="31"/>
  <c r="AA45" i="31"/>
  <c r="Y45" i="31"/>
  <c r="L45" i="31"/>
  <c r="AG36" i="40" s="1"/>
  <c r="H45" i="31"/>
  <c r="Y36" i="40" s="1"/>
  <c r="S41" i="31"/>
  <c r="O41" i="31"/>
  <c r="AA36" i="40" s="1"/>
  <c r="G41" i="31"/>
  <c r="E41" i="31"/>
  <c r="D41" i="31"/>
  <c r="C41" i="31"/>
  <c r="Z36" i="40" s="1"/>
  <c r="B41" i="31"/>
  <c r="X36" i="40" s="1"/>
  <c r="A41" i="31"/>
  <c r="Z37" i="31"/>
  <c r="B38" i="43" s="1"/>
  <c r="AC34" i="31"/>
  <c r="Z34" i="31"/>
  <c r="Y34" i="31"/>
  <c r="P36" i="40" s="1"/>
  <c r="AC33" i="31"/>
  <c r="AB33" i="31"/>
  <c r="G38" i="43" s="1"/>
  <c r="AA33" i="31"/>
  <c r="F38" i="43" s="1"/>
  <c r="Z33" i="31"/>
  <c r="AC32" i="31"/>
  <c r="Z32" i="31"/>
  <c r="AA32" i="31" s="1"/>
  <c r="AQ63" i="31" s="1"/>
  <c r="AN30" i="31"/>
  <c r="Z30" i="31"/>
  <c r="Y30" i="31"/>
  <c r="C38" i="43" s="1"/>
  <c r="AP29" i="31"/>
  <c r="AN29" i="31"/>
  <c r="AL29" i="31"/>
  <c r="AJ29" i="31"/>
  <c r="AH29" i="31"/>
  <c r="AF29" i="31"/>
  <c r="AD29" i="31"/>
  <c r="AB29" i="3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S17" i="31" s="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S15" i="31" s="1"/>
  <c r="Q21" i="31"/>
  <c r="P21" i="31"/>
  <c r="O21" i="31"/>
  <c r="N36" i="40" s="1"/>
  <c r="N21" i="31"/>
  <c r="AD36" i="38" s="1"/>
  <c r="M21" i="31"/>
  <c r="L21" i="31"/>
  <c r="K21" i="31"/>
  <c r="X36" i="38" s="1"/>
  <c r="J21" i="31"/>
  <c r="U36" i="38" s="1"/>
  <c r="I21" i="31"/>
  <c r="R36" i="38" s="1"/>
  <c r="H21" i="31"/>
  <c r="G21" i="31"/>
  <c r="F21" i="31"/>
  <c r="L36" i="38" s="1"/>
  <c r="E21" i="31"/>
  <c r="I36" i="38" s="1"/>
  <c r="D21" i="31"/>
  <c r="C21" i="31"/>
  <c r="B21" i="31"/>
  <c r="C36" i="38" s="1"/>
  <c r="AP20" i="31"/>
  <c r="AN20" i="31"/>
  <c r="AL20" i="31"/>
  <c r="AJ20" i="31"/>
  <c r="AH20" i="31"/>
  <c r="AF20" i="31"/>
  <c r="AD20" i="31"/>
  <c r="AB20" i="31"/>
  <c r="Q20" i="31"/>
  <c r="P20" i="31"/>
  <c r="O20" i="31"/>
  <c r="M36" i="40" s="1"/>
  <c r="N20" i="31"/>
  <c r="AC36" i="38" s="1"/>
  <c r="M20" i="31"/>
  <c r="L20" i="31"/>
  <c r="K20" i="31"/>
  <c r="W36" i="38" s="1"/>
  <c r="J20" i="31"/>
  <c r="T36" i="38" s="1"/>
  <c r="I20" i="31"/>
  <c r="Q36" i="38" s="1"/>
  <c r="H20" i="31"/>
  <c r="K37" i="39" s="1"/>
  <c r="G20" i="31"/>
  <c r="F20" i="31"/>
  <c r="K36" i="38" s="1"/>
  <c r="E20" i="31"/>
  <c r="H36" i="38" s="1"/>
  <c r="D20" i="31"/>
  <c r="C20" i="31"/>
  <c r="B20" i="31"/>
  <c r="B36" i="38" s="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N19" i="31"/>
  <c r="AE36" i="38" s="1"/>
  <c r="M19" i="31"/>
  <c r="L19" i="31"/>
  <c r="K19" i="31"/>
  <c r="Y36" i="38" s="1"/>
  <c r="J19" i="31"/>
  <c r="V36" i="38" s="1"/>
  <c r="I19" i="31"/>
  <c r="S36" i="38" s="1"/>
  <c r="H19" i="31"/>
  <c r="G19" i="31"/>
  <c r="F19" i="31"/>
  <c r="M36" i="38" s="1"/>
  <c r="E19" i="31"/>
  <c r="J36" i="38" s="1"/>
  <c r="D19" i="31"/>
  <c r="C19" i="31"/>
  <c r="B19" i="31"/>
  <c r="D36" i="38" s="1"/>
  <c r="AP18" i="31"/>
  <c r="AN18" i="31"/>
  <c r="AL18" i="31"/>
  <c r="AJ18" i="31"/>
  <c r="AH18" i="31"/>
  <c r="AF18" i="31"/>
  <c r="AD18" i="31"/>
  <c r="AB18" i="31"/>
  <c r="U18" i="31"/>
  <c r="T18" i="31"/>
  <c r="S18" i="31"/>
  <c r="R18" i="31"/>
  <c r="AP17" i="31"/>
  <c r="AN17" i="31"/>
  <c r="AL17" i="31"/>
  <c r="AJ17" i="31"/>
  <c r="AH17" i="31"/>
  <c r="AF17" i="31"/>
  <c r="AD17" i="31"/>
  <c r="AB17" i="31"/>
  <c r="S13" i="31" s="1"/>
  <c r="U17" i="31"/>
  <c r="T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U15" i="31"/>
  <c r="T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L13" i="31"/>
  <c r="AJ13" i="31"/>
  <c r="AH13" i="31"/>
  <c r="AF13" i="31"/>
  <c r="AD13" i="31"/>
  <c r="AB13" i="31"/>
  <c r="S11" i="31" s="1"/>
  <c r="U13" i="31"/>
  <c r="T13" i="31"/>
  <c r="R13" i="31"/>
  <c r="AP12" i="31"/>
  <c r="AN12" i="31"/>
  <c r="AL12" i="31"/>
  <c r="AJ12" i="31"/>
  <c r="AH12" i="31"/>
  <c r="AF12" i="31"/>
  <c r="AD12" i="31"/>
  <c r="AB12" i="31"/>
  <c r="V12" i="31"/>
  <c r="U37" i="31" s="1"/>
  <c r="U12" i="31"/>
  <c r="T12" i="31"/>
  <c r="S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R11" i="31"/>
  <c r="AP10" i="31"/>
  <c r="AN10" i="3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N7" i="31"/>
  <c r="AL7" i="31"/>
  <c r="AJ7" i="31"/>
  <c r="AH7" i="31"/>
  <c r="AF7" i="31"/>
  <c r="AD7" i="31"/>
  <c r="AB7" i="31"/>
  <c r="S8" i="31" s="1"/>
  <c r="V7" i="31"/>
  <c r="U7" i="31"/>
  <c r="T7" i="31"/>
  <c r="R7" i="31"/>
  <c r="AP6" i="31"/>
  <c r="AN6" i="31"/>
  <c r="AL6" i="31"/>
  <c r="AJ6" i="31"/>
  <c r="AH6" i="31"/>
  <c r="AF6" i="31"/>
  <c r="AD6" i="31"/>
  <c r="AB6" i="31"/>
  <c r="R57" i="30"/>
  <c r="AF35" i="40" s="1"/>
  <c r="O57" i="30"/>
  <c r="AE35" i="40" s="1"/>
  <c r="AN54" i="30"/>
  <c r="AL54" i="30"/>
  <c r="AJ54" i="30"/>
  <c r="AE54" i="30"/>
  <c r="AE55" i="30" s="1"/>
  <c r="AC54" i="30"/>
  <c r="AA54" i="30"/>
  <c r="Y54" i="30"/>
  <c r="AJ55" i="30" s="1"/>
  <c r="AL55" i="30" s="1"/>
  <c r="AC53" i="30"/>
  <c r="AG52" i="30" s="1"/>
  <c r="AA53" i="30"/>
  <c r="AA55" i="30" s="1"/>
  <c r="Y53" i="30"/>
  <c r="Y55" i="30" s="1"/>
  <c r="R51" i="30"/>
  <c r="AD35" i="40" s="1"/>
  <c r="P51" i="30"/>
  <c r="O51" i="30"/>
  <c r="AC35" i="40" s="1"/>
  <c r="AN48" i="30"/>
  <c r="AJ48" i="30"/>
  <c r="AN47" i="30"/>
  <c r="AL47" i="30"/>
  <c r="AJ47" i="30"/>
  <c r="AJ49" i="30" s="1"/>
  <c r="AE46" i="30"/>
  <c r="AE47" i="30" s="1"/>
  <c r="AC46" i="30"/>
  <c r="AA46" i="30"/>
  <c r="Y46" i="30"/>
  <c r="AC45" i="30"/>
  <c r="AA45" i="30"/>
  <c r="Y45" i="30"/>
  <c r="Y47" i="30" s="1"/>
  <c r="L45" i="30"/>
  <c r="AG35" i="40" s="1"/>
  <c r="H45" i="30"/>
  <c r="Y35" i="40" s="1"/>
  <c r="S41" i="30"/>
  <c r="O41" i="30"/>
  <c r="AA35" i="40" s="1"/>
  <c r="G41" i="30"/>
  <c r="E41" i="30"/>
  <c r="D41" i="30"/>
  <c r="C41" i="30"/>
  <c r="Z35" i="40" s="1"/>
  <c r="B41" i="30"/>
  <c r="X35" i="40" s="1"/>
  <c r="A41" i="30"/>
  <c r="V35" i="40" s="1"/>
  <c r="Z37" i="30"/>
  <c r="B37" i="43" s="1"/>
  <c r="AC34" i="30"/>
  <c r="Z34" i="30"/>
  <c r="Y34" i="30"/>
  <c r="P35" i="40" s="1"/>
  <c r="AC33" i="30"/>
  <c r="AB33" i="30"/>
  <c r="G37" i="43" s="1"/>
  <c r="Z33" i="30"/>
  <c r="AA33" i="30" s="1"/>
  <c r="AC32" i="30"/>
  <c r="Z32" i="30"/>
  <c r="AA32" i="30" s="1"/>
  <c r="Z30" i="30"/>
  <c r="Y30" i="30"/>
  <c r="C37" i="43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P30" i="30" s="1"/>
  <c r="AR38" i="30" s="1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S16" i="30" s="1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S15" i="30" s="1"/>
  <c r="Q21" i="30"/>
  <c r="P21" i="30"/>
  <c r="O21" i="30"/>
  <c r="N35" i="40" s="1"/>
  <c r="N21" i="30"/>
  <c r="AD35" i="38" s="1"/>
  <c r="M21" i="30"/>
  <c r="R36" i="39" s="1"/>
  <c r="L21" i="30"/>
  <c r="K21" i="30"/>
  <c r="X35" i="38" s="1"/>
  <c r="J21" i="30"/>
  <c r="U35" i="38" s="1"/>
  <c r="I21" i="30"/>
  <c r="R35" i="38" s="1"/>
  <c r="H21" i="30"/>
  <c r="L36" i="39" s="1"/>
  <c r="G21" i="30"/>
  <c r="F21" i="30"/>
  <c r="L35" i="38" s="1"/>
  <c r="E21" i="30"/>
  <c r="I35" i="38" s="1"/>
  <c r="D21" i="30"/>
  <c r="F36" i="39" s="1"/>
  <c r="C21" i="30"/>
  <c r="B21" i="30"/>
  <c r="C35" i="38" s="1"/>
  <c r="AP20" i="30"/>
  <c r="AN20" i="30"/>
  <c r="AL20" i="30"/>
  <c r="AJ20" i="30"/>
  <c r="AH20" i="30"/>
  <c r="AF20" i="30"/>
  <c r="AD20" i="30"/>
  <c r="AB20" i="30"/>
  <c r="Q20" i="30"/>
  <c r="P20" i="30"/>
  <c r="O20" i="30"/>
  <c r="M35" i="40" s="1"/>
  <c r="N20" i="30"/>
  <c r="AC35" i="38" s="1"/>
  <c r="M20" i="30"/>
  <c r="Q36" i="39" s="1"/>
  <c r="L20" i="30"/>
  <c r="K20" i="30"/>
  <c r="W35" i="38" s="1"/>
  <c r="J20" i="30"/>
  <c r="T35" i="38" s="1"/>
  <c r="I20" i="30"/>
  <c r="Q35" i="38" s="1"/>
  <c r="H20" i="30"/>
  <c r="K36" i="39" s="1"/>
  <c r="G20" i="30"/>
  <c r="F20" i="30"/>
  <c r="K35" i="38" s="1"/>
  <c r="E20" i="30"/>
  <c r="H35" i="38" s="1"/>
  <c r="D20" i="30"/>
  <c r="E36" i="39" s="1"/>
  <c r="C20" i="30"/>
  <c r="B20" i="30"/>
  <c r="B35" i="38" s="1"/>
  <c r="AP19" i="30"/>
  <c r="AN19" i="30"/>
  <c r="AL19" i="30"/>
  <c r="AJ19" i="30"/>
  <c r="AH19" i="30"/>
  <c r="AF19" i="30"/>
  <c r="AD19" i="30"/>
  <c r="AB19" i="30"/>
  <c r="S14" i="30" s="1"/>
  <c r="Q19" i="30"/>
  <c r="P19" i="30"/>
  <c r="O19" i="30"/>
  <c r="N19" i="30"/>
  <c r="AE35" i="38" s="1"/>
  <c r="M19" i="30"/>
  <c r="S36" i="39" s="1"/>
  <c r="L19" i="30"/>
  <c r="K19" i="30"/>
  <c r="Y35" i="38" s="1"/>
  <c r="J19" i="30"/>
  <c r="V35" i="38" s="1"/>
  <c r="I19" i="30"/>
  <c r="S35" i="38" s="1"/>
  <c r="H19" i="30"/>
  <c r="M36" i="39" s="1"/>
  <c r="G19" i="30"/>
  <c r="J36" i="39" s="1"/>
  <c r="F19" i="30"/>
  <c r="M35" i="38" s="1"/>
  <c r="E19" i="30"/>
  <c r="J35" i="38" s="1"/>
  <c r="D19" i="30"/>
  <c r="G36" i="39" s="1"/>
  <c r="C19" i="30"/>
  <c r="B19" i="30"/>
  <c r="D35" i="38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R16" i="30"/>
  <c r="AP15" i="30"/>
  <c r="AN15" i="30"/>
  <c r="AL15" i="30"/>
  <c r="AJ15" i="30"/>
  <c r="AH15" i="30"/>
  <c r="AF15" i="30"/>
  <c r="AD15" i="30"/>
  <c r="AB15" i="30"/>
  <c r="U15" i="30"/>
  <c r="T15" i="30"/>
  <c r="R15" i="30"/>
  <c r="AP14" i="30"/>
  <c r="AN14" i="30"/>
  <c r="AL14" i="30"/>
  <c r="AJ14" i="30"/>
  <c r="AH14" i="30"/>
  <c r="AF14" i="30"/>
  <c r="AD14" i="30"/>
  <c r="AB14" i="30"/>
  <c r="U14" i="30"/>
  <c r="T14" i="30"/>
  <c r="R14" i="30"/>
  <c r="AP13" i="30"/>
  <c r="AN13" i="30"/>
  <c r="AL13" i="30"/>
  <c r="AJ13" i="30"/>
  <c r="AH13" i="30"/>
  <c r="AH30" i="30" s="1"/>
  <c r="AF13" i="30"/>
  <c r="AD13" i="30"/>
  <c r="AB13" i="30"/>
  <c r="S11" i="30" s="1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37" i="30" s="1"/>
  <c r="U12" i="30"/>
  <c r="T12" i="30"/>
  <c r="S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L7" i="30"/>
  <c r="AJ7" i="30"/>
  <c r="AH7" i="30"/>
  <c r="AF7" i="30"/>
  <c r="AD7" i="30"/>
  <c r="AB7" i="30"/>
  <c r="S8" i="30" s="1"/>
  <c r="V7" i="30"/>
  <c r="U7" i="30"/>
  <c r="T7" i="30"/>
  <c r="R7" i="30"/>
  <c r="AP6" i="30"/>
  <c r="AP34" i="30" s="1"/>
  <c r="AN6" i="30"/>
  <c r="AL6" i="30"/>
  <c r="AJ6" i="30"/>
  <c r="AH6" i="30"/>
  <c r="AH34" i="30" s="1"/>
  <c r="AF6" i="30"/>
  <c r="AD6" i="30"/>
  <c r="AB6" i="30"/>
  <c r="R57" i="29"/>
  <c r="AF34" i="40" s="1"/>
  <c r="O57" i="29"/>
  <c r="AE34" i="40" s="1"/>
  <c r="AN54" i="29"/>
  <c r="AL54" i="29"/>
  <c r="AJ54" i="29"/>
  <c r="AE54" i="29"/>
  <c r="AE55" i="29" s="1"/>
  <c r="AC54" i="29"/>
  <c r="AA54" i="29"/>
  <c r="Y54" i="29"/>
  <c r="AJ55" i="29" s="1"/>
  <c r="AL55" i="29" s="1"/>
  <c r="AC53" i="29"/>
  <c r="AC55" i="29" s="1"/>
  <c r="AA53" i="29"/>
  <c r="AA55" i="29" s="1"/>
  <c r="Y53" i="29"/>
  <c r="Y55" i="29" s="1"/>
  <c r="R51" i="29"/>
  <c r="AD34" i="40" s="1"/>
  <c r="P51" i="29"/>
  <c r="O51" i="29"/>
  <c r="AC34" i="40" s="1"/>
  <c r="AJ48" i="29"/>
  <c r="AN48" i="29" s="1"/>
  <c r="AN49" i="29" s="1"/>
  <c r="AN47" i="29"/>
  <c r="AL47" i="29"/>
  <c r="AJ47" i="29"/>
  <c r="AJ49" i="29" s="1"/>
  <c r="AE47" i="29"/>
  <c r="Y47" i="29"/>
  <c r="AE46" i="29"/>
  <c r="AC46" i="29"/>
  <c r="AA46" i="29"/>
  <c r="Y46" i="29"/>
  <c r="AC45" i="29"/>
  <c r="AA45" i="29"/>
  <c r="Y45" i="29"/>
  <c r="L45" i="29"/>
  <c r="AG34" i="40" s="1"/>
  <c r="H45" i="29"/>
  <c r="Y34" i="40" s="1"/>
  <c r="S41" i="29"/>
  <c r="O41" i="29"/>
  <c r="AA34" i="40" s="1"/>
  <c r="G41" i="29"/>
  <c r="E41" i="29"/>
  <c r="D41" i="29"/>
  <c r="C41" i="29"/>
  <c r="Z34" i="40" s="1"/>
  <c r="B41" i="29"/>
  <c r="X34" i="40" s="1"/>
  <c r="A41" i="29"/>
  <c r="V34" i="40" s="1"/>
  <c r="Z37" i="29"/>
  <c r="B36" i="43" s="1"/>
  <c r="U37" i="29"/>
  <c r="AL34" i="29"/>
  <c r="AC34" i="29"/>
  <c r="Z34" i="29"/>
  <c r="Y34" i="29"/>
  <c r="P34" i="40" s="1"/>
  <c r="AC33" i="29"/>
  <c r="AB33" i="29"/>
  <c r="G36" i="43" s="1"/>
  <c r="Z33" i="29"/>
  <c r="AA33" i="29" s="1"/>
  <c r="AC32" i="29"/>
  <c r="Z32" i="29"/>
  <c r="AA32" i="29" s="1"/>
  <c r="Z30" i="29"/>
  <c r="Y30" i="29"/>
  <c r="C36" i="43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S18" i="29" s="1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Q21" i="29"/>
  <c r="P21" i="29"/>
  <c r="O21" i="29"/>
  <c r="N34" i="40" s="1"/>
  <c r="N21" i="29"/>
  <c r="AD34" i="38" s="1"/>
  <c r="M21" i="29"/>
  <c r="R35" i="39" s="1"/>
  <c r="L21" i="29"/>
  <c r="K21" i="29"/>
  <c r="X34" i="38" s="1"/>
  <c r="J21" i="29"/>
  <c r="U34" i="38" s="1"/>
  <c r="I21" i="29"/>
  <c r="R34" i="38" s="1"/>
  <c r="H21" i="29"/>
  <c r="L35" i="39" s="1"/>
  <c r="G21" i="29"/>
  <c r="F21" i="29"/>
  <c r="L34" i="38" s="1"/>
  <c r="E21" i="29"/>
  <c r="I34" i="38" s="1"/>
  <c r="D21" i="29"/>
  <c r="F35" i="39" s="1"/>
  <c r="C21" i="29"/>
  <c r="C35" i="39" s="1"/>
  <c r="B21" i="29"/>
  <c r="C34" i="38" s="1"/>
  <c r="AP20" i="29"/>
  <c r="AN20" i="29"/>
  <c r="AL20" i="29"/>
  <c r="AJ20" i="29"/>
  <c r="AH20" i="29"/>
  <c r="AF20" i="29"/>
  <c r="AD20" i="29"/>
  <c r="AB20" i="29"/>
  <c r="Q20" i="29"/>
  <c r="P20" i="29"/>
  <c r="O20" i="29"/>
  <c r="M34" i="40" s="1"/>
  <c r="N20" i="29"/>
  <c r="AC34" i="38" s="1"/>
  <c r="M20" i="29"/>
  <c r="Q35" i="39" s="1"/>
  <c r="L20" i="29"/>
  <c r="K20" i="29"/>
  <c r="W34" i="38" s="1"/>
  <c r="J20" i="29"/>
  <c r="T34" i="38" s="1"/>
  <c r="I20" i="29"/>
  <c r="Q34" i="38" s="1"/>
  <c r="H20" i="29"/>
  <c r="K35" i="39" s="1"/>
  <c r="G20" i="29"/>
  <c r="H35" i="39" s="1"/>
  <c r="F20" i="29"/>
  <c r="K34" i="38" s="1"/>
  <c r="E20" i="29"/>
  <c r="H34" i="38" s="1"/>
  <c r="D20" i="29"/>
  <c r="E35" i="39" s="1"/>
  <c r="C20" i="29"/>
  <c r="B20" i="29"/>
  <c r="B34" i="38" s="1"/>
  <c r="AP19" i="29"/>
  <c r="AN19" i="29"/>
  <c r="AL19" i="29"/>
  <c r="AJ19" i="29"/>
  <c r="AH19" i="29"/>
  <c r="AF19" i="29"/>
  <c r="AD19" i="29"/>
  <c r="AB19" i="29"/>
  <c r="Q19" i="29"/>
  <c r="P19" i="29"/>
  <c r="O19" i="29"/>
  <c r="N19" i="29"/>
  <c r="AE34" i="38" s="1"/>
  <c r="M19" i="29"/>
  <c r="S35" i="39" s="1"/>
  <c r="L19" i="29"/>
  <c r="K19" i="29"/>
  <c r="Y34" i="38" s="1"/>
  <c r="J19" i="29"/>
  <c r="V34" i="38" s="1"/>
  <c r="I19" i="29"/>
  <c r="S34" i="38" s="1"/>
  <c r="H19" i="29"/>
  <c r="M35" i="39" s="1"/>
  <c r="G19" i="29"/>
  <c r="F19" i="29"/>
  <c r="M34" i="38" s="1"/>
  <c r="E19" i="29"/>
  <c r="J34" i="38" s="1"/>
  <c r="D19" i="29"/>
  <c r="G35" i="39" s="1"/>
  <c r="C19" i="29"/>
  <c r="B19" i="29"/>
  <c r="D34" i="38" s="1"/>
  <c r="AP18" i="29"/>
  <c r="AN18" i="29"/>
  <c r="AL18" i="29"/>
  <c r="AJ18" i="29"/>
  <c r="AH18" i="29"/>
  <c r="AF18" i="29"/>
  <c r="AD18" i="29"/>
  <c r="AB18" i="29"/>
  <c r="U18" i="29"/>
  <c r="T18" i="29"/>
  <c r="R18" i="29"/>
  <c r="AP17" i="29"/>
  <c r="AN17" i="29"/>
  <c r="AL17" i="29"/>
  <c r="AJ17" i="29"/>
  <c r="AH17" i="29"/>
  <c r="AF17" i="29"/>
  <c r="AD17" i="29"/>
  <c r="AB17" i="29"/>
  <c r="V17" i="29"/>
  <c r="U17" i="29"/>
  <c r="T17" i="29"/>
  <c r="S17" i="29"/>
  <c r="R17" i="29"/>
  <c r="AP16" i="29"/>
  <c r="AN16" i="29"/>
  <c r="AL16" i="29"/>
  <c r="AJ16" i="29"/>
  <c r="AH16" i="29"/>
  <c r="AF16" i="29"/>
  <c r="AD16" i="29"/>
  <c r="AB16" i="29"/>
  <c r="U16" i="29"/>
  <c r="T16" i="29"/>
  <c r="S16" i="29"/>
  <c r="R16" i="29"/>
  <c r="AP15" i="29"/>
  <c r="AN15" i="29"/>
  <c r="AL15" i="29"/>
  <c r="AJ15" i="29"/>
  <c r="AH15" i="29"/>
  <c r="AF15" i="29"/>
  <c r="AD15" i="29"/>
  <c r="AB15" i="29"/>
  <c r="U15" i="29"/>
  <c r="T15" i="29"/>
  <c r="S15" i="29"/>
  <c r="R15" i="29"/>
  <c r="AP14" i="29"/>
  <c r="AN14" i="29"/>
  <c r="AL14" i="29"/>
  <c r="AJ14" i="29"/>
  <c r="AH14" i="29"/>
  <c r="AF14" i="29"/>
  <c r="AD14" i="29"/>
  <c r="AB14" i="29"/>
  <c r="U14" i="29"/>
  <c r="T14" i="29"/>
  <c r="S14" i="29"/>
  <c r="R14" i="29"/>
  <c r="AP13" i="29"/>
  <c r="AN13" i="29"/>
  <c r="AL13" i="29"/>
  <c r="AJ13" i="29"/>
  <c r="AH13" i="29"/>
  <c r="AF13" i="29"/>
  <c r="AD13" i="29"/>
  <c r="AB13" i="29"/>
  <c r="U13" i="29"/>
  <c r="T13" i="29"/>
  <c r="S13" i="29"/>
  <c r="R13" i="29"/>
  <c r="AP12" i="29"/>
  <c r="AN12" i="29"/>
  <c r="AL12" i="29"/>
  <c r="AJ12" i="29"/>
  <c r="AH12" i="29"/>
  <c r="AF12" i="29"/>
  <c r="AD12" i="29"/>
  <c r="AB12" i="29"/>
  <c r="V12" i="29"/>
  <c r="U12" i="29"/>
  <c r="T12" i="29"/>
  <c r="S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S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N8" i="29"/>
  <c r="AL8" i="29"/>
  <c r="AJ8" i="29"/>
  <c r="AH8" i="29"/>
  <c r="AF8" i="29"/>
  <c r="AD8" i="29"/>
  <c r="AB8" i="29"/>
  <c r="U8" i="29"/>
  <c r="T8" i="29"/>
  <c r="R8" i="29"/>
  <c r="AP7" i="29"/>
  <c r="AN7" i="29"/>
  <c r="AL7" i="29"/>
  <c r="AJ7" i="29"/>
  <c r="AH7" i="29"/>
  <c r="AF7" i="29"/>
  <c r="AD7" i="29"/>
  <c r="AB7" i="29"/>
  <c r="S8" i="29" s="1"/>
  <c r="V7" i="29"/>
  <c r="U7" i="29"/>
  <c r="T7" i="29"/>
  <c r="R7" i="29"/>
  <c r="AP6" i="29"/>
  <c r="AN6" i="29"/>
  <c r="AN30" i="29" s="1"/>
  <c r="AL6" i="29"/>
  <c r="AJ6" i="29"/>
  <c r="AH6" i="29"/>
  <c r="AF6" i="29"/>
  <c r="AF30" i="29" s="1"/>
  <c r="AD6" i="29"/>
  <c r="AB6" i="29"/>
  <c r="R57" i="28"/>
  <c r="AF33" i="40" s="1"/>
  <c r="O57" i="28"/>
  <c r="AE33" i="40" s="1"/>
  <c r="AJ56" i="28"/>
  <c r="AJ55" i="28"/>
  <c r="AE55" i="28"/>
  <c r="Y55" i="28"/>
  <c r="AN54" i="28"/>
  <c r="AL54" i="28"/>
  <c r="AJ54" i="28"/>
  <c r="AC54" i="28"/>
  <c r="Y54" i="28"/>
  <c r="AA54" i="28" s="1"/>
  <c r="AA55" i="28" s="1"/>
  <c r="AC53" i="28"/>
  <c r="AC55" i="28" s="1"/>
  <c r="AG54" i="28" s="1"/>
  <c r="AA53" i="28"/>
  <c r="Y53" i="28"/>
  <c r="AG52" i="28"/>
  <c r="R51" i="28"/>
  <c r="AD33" i="40" s="1"/>
  <c r="P51" i="28"/>
  <c r="O51" i="28"/>
  <c r="AC33" i="40" s="1"/>
  <c r="AN47" i="28"/>
  <c r="AL47" i="28"/>
  <c r="AJ47" i="28"/>
  <c r="Y47" i="28"/>
  <c r="AE46" i="28"/>
  <c r="AE47" i="28" s="1"/>
  <c r="AC46" i="28"/>
  <c r="Y46" i="28"/>
  <c r="AJ48" i="28" s="1"/>
  <c r="AN48" i="28" s="1"/>
  <c r="AN49" i="28" s="1"/>
  <c r="AC45" i="28"/>
  <c r="AC47" i="28" s="1"/>
  <c r="AA45" i="28"/>
  <c r="Y45" i="28"/>
  <c r="L45" i="28"/>
  <c r="AG33" i="40" s="1"/>
  <c r="H45" i="28"/>
  <c r="Y33" i="40" s="1"/>
  <c r="S41" i="28"/>
  <c r="O41" i="28"/>
  <c r="AA33" i="40" s="1"/>
  <c r="G41" i="28"/>
  <c r="E41" i="28"/>
  <c r="D41" i="28"/>
  <c r="C41" i="28"/>
  <c r="B41" i="28"/>
  <c r="X33" i="40" s="1"/>
  <c r="A41" i="28"/>
  <c r="V33" i="40" s="1"/>
  <c r="Z37" i="28"/>
  <c r="B35" i="43" s="1"/>
  <c r="AN34" i="28"/>
  <c r="AC34" i="28"/>
  <c r="Z34" i="28"/>
  <c r="Y34" i="28"/>
  <c r="P33" i="40" s="1"/>
  <c r="AC33" i="28"/>
  <c r="AB33" i="28"/>
  <c r="G35" i="43" s="1"/>
  <c r="Z33" i="28"/>
  <c r="AA33" i="28" s="1"/>
  <c r="AC32" i="28"/>
  <c r="AA32" i="28"/>
  <c r="AQ62" i="28" s="1"/>
  <c r="Z32" i="28"/>
  <c r="Z30" i="28"/>
  <c r="Y30" i="28"/>
  <c r="C35" i="43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S18" i="28" s="1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40" s="1"/>
  <c r="N21" i="28"/>
  <c r="AD33" i="38" s="1"/>
  <c r="M21" i="28"/>
  <c r="R34" i="39" s="1"/>
  <c r="L21" i="28"/>
  <c r="K21" i="28"/>
  <c r="X33" i="38" s="1"/>
  <c r="J21" i="28"/>
  <c r="U33" i="38" s="1"/>
  <c r="I21" i="28"/>
  <c r="R33" i="38" s="1"/>
  <c r="H21" i="28"/>
  <c r="L34" i="39" s="1"/>
  <c r="G21" i="28"/>
  <c r="F21" i="28"/>
  <c r="L33" i="38" s="1"/>
  <c r="E21" i="28"/>
  <c r="I33" i="38" s="1"/>
  <c r="D21" i="28"/>
  <c r="F34" i="39" s="1"/>
  <c r="C21" i="28"/>
  <c r="B21" i="28"/>
  <c r="C33" i="38" s="1"/>
  <c r="AP20" i="28"/>
  <c r="AN20" i="28"/>
  <c r="AL20" i="28"/>
  <c r="AJ20" i="28"/>
  <c r="AH20" i="28"/>
  <c r="AF20" i="28"/>
  <c r="AD20" i="28"/>
  <c r="AB20" i="28"/>
  <c r="Q20" i="28"/>
  <c r="P20" i="28"/>
  <c r="O20" i="28"/>
  <c r="M33" i="40" s="1"/>
  <c r="N20" i="28"/>
  <c r="AC33" i="38" s="1"/>
  <c r="M20" i="28"/>
  <c r="Q34" i="39" s="1"/>
  <c r="L20" i="28"/>
  <c r="K20" i="28"/>
  <c r="W33" i="38" s="1"/>
  <c r="J20" i="28"/>
  <c r="T33" i="38" s="1"/>
  <c r="I20" i="28"/>
  <c r="Q33" i="38" s="1"/>
  <c r="H20" i="28"/>
  <c r="K34" i="39" s="1"/>
  <c r="G20" i="28"/>
  <c r="F20" i="28"/>
  <c r="K33" i="38" s="1"/>
  <c r="E20" i="28"/>
  <c r="H33" i="38" s="1"/>
  <c r="D20" i="28"/>
  <c r="E34" i="39" s="1"/>
  <c r="C20" i="28"/>
  <c r="B20" i="28"/>
  <c r="B33" i="38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8" s="1"/>
  <c r="M19" i="28"/>
  <c r="S34" i="39" s="1"/>
  <c r="L19" i="28"/>
  <c r="P34" i="39" s="1"/>
  <c r="K19" i="28"/>
  <c r="Y33" i="38" s="1"/>
  <c r="J19" i="28"/>
  <c r="V33" i="38" s="1"/>
  <c r="I19" i="28"/>
  <c r="S33" i="38" s="1"/>
  <c r="H19" i="28"/>
  <c r="M34" i="39" s="1"/>
  <c r="G19" i="28"/>
  <c r="F19" i="28"/>
  <c r="M33" i="38" s="1"/>
  <c r="E19" i="28"/>
  <c r="J33" i="38" s="1"/>
  <c r="D19" i="28"/>
  <c r="G34" i="39" s="1"/>
  <c r="C19" i="28"/>
  <c r="B19" i="28"/>
  <c r="D33" i="38" s="1"/>
  <c r="AP18" i="28"/>
  <c r="AN18" i="28"/>
  <c r="AL18" i="28"/>
  <c r="AJ18" i="28"/>
  <c r="AH18" i="28"/>
  <c r="AF18" i="28"/>
  <c r="AD18" i="28"/>
  <c r="AB18" i="28"/>
  <c r="U18" i="28"/>
  <c r="T18" i="28"/>
  <c r="R18" i="28"/>
  <c r="AP17" i="28"/>
  <c r="AN17" i="28"/>
  <c r="AL17" i="28"/>
  <c r="AJ17" i="28"/>
  <c r="AH17" i="28"/>
  <c r="AF17" i="28"/>
  <c r="AD17" i="28"/>
  <c r="AB17" i="28"/>
  <c r="S13" i="28" s="1"/>
  <c r="U17" i="28"/>
  <c r="T17" i="28"/>
  <c r="S17" i="28"/>
  <c r="R17" i="28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S11" i="28" s="1"/>
  <c r="U13" i="28"/>
  <c r="T13" i="28"/>
  <c r="R13" i="28"/>
  <c r="AP12" i="28"/>
  <c r="AN12" i="28"/>
  <c r="AL12" i="28"/>
  <c r="AJ12" i="28"/>
  <c r="AH12" i="28"/>
  <c r="AF12" i="28"/>
  <c r="AD12" i="28"/>
  <c r="AB12" i="28"/>
  <c r="V12" i="28"/>
  <c r="U37" i="28" s="1"/>
  <c r="U12" i="28"/>
  <c r="T12" i="28"/>
  <c r="S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U9" i="28"/>
  <c r="T9" i="28"/>
  <c r="S9" i="28"/>
  <c r="R9" i="28"/>
  <c r="AP8" i="28"/>
  <c r="AN8" i="28"/>
  <c r="AL8" i="28"/>
  <c r="AJ8" i="28"/>
  <c r="AH8" i="28"/>
  <c r="AF8" i="28"/>
  <c r="AD8" i="28"/>
  <c r="AB8" i="28"/>
  <c r="U8" i="28"/>
  <c r="T8" i="28"/>
  <c r="S8" i="28"/>
  <c r="R8" i="28"/>
  <c r="AP7" i="28"/>
  <c r="AN7" i="28"/>
  <c r="AL7" i="28"/>
  <c r="AJ7" i="28"/>
  <c r="AH7" i="28"/>
  <c r="AF7" i="28"/>
  <c r="AF34" i="28" s="1"/>
  <c r="AD7" i="28"/>
  <c r="AB7" i="28"/>
  <c r="V7" i="28"/>
  <c r="U7" i="28"/>
  <c r="T7" i="28"/>
  <c r="R7" i="28"/>
  <c r="AP6" i="28"/>
  <c r="AN6" i="28"/>
  <c r="AN30" i="28" s="1"/>
  <c r="AL6" i="28"/>
  <c r="AJ6" i="28"/>
  <c r="AH6" i="28"/>
  <c r="AF6" i="28"/>
  <c r="AF30" i="28" s="1"/>
  <c r="AD6" i="28"/>
  <c r="AB6" i="28"/>
  <c r="R57" i="27"/>
  <c r="AF32" i="40" s="1"/>
  <c r="O57" i="27"/>
  <c r="AE32" i="40" s="1"/>
  <c r="AJ56" i="27"/>
  <c r="AJ55" i="27"/>
  <c r="AN54" i="27"/>
  <c r="AL54" i="27"/>
  <c r="AJ54" i="27"/>
  <c r="Y54" i="27"/>
  <c r="AC53" i="27"/>
  <c r="AA53" i="27"/>
  <c r="Y53" i="27"/>
  <c r="AG52" i="27" s="1"/>
  <c r="R51" i="27"/>
  <c r="AD32" i="40" s="1"/>
  <c r="P51" i="27"/>
  <c r="O51" i="27"/>
  <c r="AC32" i="40" s="1"/>
  <c r="AN47" i="27"/>
  <c r="AL47" i="27"/>
  <c r="AJ47" i="27"/>
  <c r="Y46" i="27"/>
  <c r="AC45" i="27"/>
  <c r="AG44" i="27" s="1"/>
  <c r="AA45" i="27"/>
  <c r="Y45" i="27"/>
  <c r="L45" i="27"/>
  <c r="AG32" i="40" s="1"/>
  <c r="H45" i="27"/>
  <c r="Y32" i="40" s="1"/>
  <c r="S41" i="27"/>
  <c r="O41" i="27"/>
  <c r="AA32" i="40" s="1"/>
  <c r="J41" i="27"/>
  <c r="W32" i="40" s="1"/>
  <c r="G41" i="27"/>
  <c r="E41" i="27"/>
  <c r="D41" i="27"/>
  <c r="C41" i="27"/>
  <c r="B41" i="27"/>
  <c r="X32" i="40" s="1"/>
  <c r="A41" i="27"/>
  <c r="V32" i="40" s="1"/>
  <c r="Z37" i="27"/>
  <c r="B34" i="43" s="1"/>
  <c r="AH34" i="27"/>
  <c r="AC34" i="27"/>
  <c r="Z34" i="27"/>
  <c r="Y34" i="27"/>
  <c r="P32" i="40" s="1"/>
  <c r="AC33" i="27"/>
  <c r="AB33" i="27"/>
  <c r="G34" i="43" s="1"/>
  <c r="Z33" i="27"/>
  <c r="AA33" i="27" s="1"/>
  <c r="AC32" i="27"/>
  <c r="Z32" i="27"/>
  <c r="AA32" i="27" s="1"/>
  <c r="Z30" i="27"/>
  <c r="Y30" i="27"/>
  <c r="C34" i="43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S15" i="27" s="1"/>
  <c r="Q21" i="27"/>
  <c r="P21" i="27"/>
  <c r="O21" i="27"/>
  <c r="N32" i="40" s="1"/>
  <c r="N21" i="27"/>
  <c r="AD32" i="38" s="1"/>
  <c r="M21" i="27"/>
  <c r="R33" i="39" s="1"/>
  <c r="L21" i="27"/>
  <c r="K21" i="27"/>
  <c r="X32" i="38" s="1"/>
  <c r="J21" i="27"/>
  <c r="U32" i="38" s="1"/>
  <c r="I21" i="27"/>
  <c r="R32" i="38" s="1"/>
  <c r="H21" i="27"/>
  <c r="L33" i="39" s="1"/>
  <c r="G21" i="27"/>
  <c r="F21" i="27"/>
  <c r="L32" i="38" s="1"/>
  <c r="E21" i="27"/>
  <c r="I32" i="38" s="1"/>
  <c r="D21" i="27"/>
  <c r="F33" i="39" s="1"/>
  <c r="C21" i="27"/>
  <c r="B21" i="27"/>
  <c r="C32" i="38" s="1"/>
  <c r="AP20" i="27"/>
  <c r="AN20" i="27"/>
  <c r="AL20" i="27"/>
  <c r="AJ20" i="27"/>
  <c r="AH20" i="27"/>
  <c r="AF20" i="27"/>
  <c r="AD20" i="27"/>
  <c r="AB20" i="27"/>
  <c r="Q20" i="27"/>
  <c r="P20" i="27"/>
  <c r="O20" i="27"/>
  <c r="M32" i="40" s="1"/>
  <c r="N20" i="27"/>
  <c r="AC32" i="38" s="1"/>
  <c r="M20" i="27"/>
  <c r="Q33" i="39" s="1"/>
  <c r="L20" i="27"/>
  <c r="N33" i="39" s="1"/>
  <c r="K20" i="27"/>
  <c r="W32" i="38" s="1"/>
  <c r="J20" i="27"/>
  <c r="T32" i="38" s="1"/>
  <c r="I20" i="27"/>
  <c r="Q32" i="38" s="1"/>
  <c r="H20" i="27"/>
  <c r="K33" i="39" s="1"/>
  <c r="G20" i="27"/>
  <c r="F20" i="27"/>
  <c r="K32" i="38" s="1"/>
  <c r="E20" i="27"/>
  <c r="H32" i="38" s="1"/>
  <c r="D20" i="27"/>
  <c r="E33" i="39" s="1"/>
  <c r="C20" i="27"/>
  <c r="B20" i="27"/>
  <c r="B32" i="38" s="1"/>
  <c r="AP19" i="27"/>
  <c r="AN19" i="27"/>
  <c r="AL19" i="27"/>
  <c r="AJ19" i="27"/>
  <c r="AH19" i="27"/>
  <c r="AF19" i="27"/>
  <c r="AD19" i="27"/>
  <c r="AB19" i="27"/>
  <c r="S14" i="27" s="1"/>
  <c r="Q19" i="27"/>
  <c r="P19" i="27"/>
  <c r="O19" i="27"/>
  <c r="N19" i="27"/>
  <c r="AE32" i="38" s="1"/>
  <c r="M19" i="27"/>
  <c r="S33" i="39" s="1"/>
  <c r="L19" i="27"/>
  <c r="K19" i="27"/>
  <c r="Y32" i="38" s="1"/>
  <c r="J19" i="27"/>
  <c r="V32" i="38" s="1"/>
  <c r="I19" i="27"/>
  <c r="S32" i="38" s="1"/>
  <c r="H19" i="27"/>
  <c r="M33" i="39" s="1"/>
  <c r="G19" i="27"/>
  <c r="F19" i="27"/>
  <c r="M32" i="38" s="1"/>
  <c r="E19" i="27"/>
  <c r="J32" i="38" s="1"/>
  <c r="D19" i="27"/>
  <c r="G33" i="39" s="1"/>
  <c r="C19" i="27"/>
  <c r="B19" i="27"/>
  <c r="D32" i="38" s="1"/>
  <c r="AP18" i="27"/>
  <c r="AN18" i="27"/>
  <c r="AL18" i="27"/>
  <c r="AJ18" i="27"/>
  <c r="AH18" i="27"/>
  <c r="AF18" i="27"/>
  <c r="AD18" i="27"/>
  <c r="AB18" i="27"/>
  <c r="U18" i="27"/>
  <c r="T18" i="27"/>
  <c r="S18" i="27"/>
  <c r="R18" i="27"/>
  <c r="AP17" i="27"/>
  <c r="AN17" i="27"/>
  <c r="AL17" i="27"/>
  <c r="AJ17" i="27"/>
  <c r="AH17" i="27"/>
  <c r="AF17" i="27"/>
  <c r="AD17" i="27"/>
  <c r="AB17" i="27"/>
  <c r="S13" i="27" s="1"/>
  <c r="U17" i="27"/>
  <c r="T17" i="27"/>
  <c r="S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S12" i="27" s="1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R14" i="27"/>
  <c r="AP13" i="27"/>
  <c r="AN13" i="27"/>
  <c r="AL13" i="27"/>
  <c r="AJ13" i="27"/>
  <c r="AH13" i="27"/>
  <c r="AF13" i="27"/>
  <c r="AD13" i="27"/>
  <c r="AB13" i="27"/>
  <c r="S11" i="27" s="1"/>
  <c r="U13" i="27"/>
  <c r="T13" i="27"/>
  <c r="R13" i="27"/>
  <c r="AP12" i="27"/>
  <c r="AN12" i="27"/>
  <c r="AL12" i="27"/>
  <c r="AJ12" i="27"/>
  <c r="AH12" i="27"/>
  <c r="AF12" i="27"/>
  <c r="AD12" i="27"/>
  <c r="AB12" i="27"/>
  <c r="V12" i="27"/>
  <c r="U37" i="27" s="1"/>
  <c r="U12" i="27"/>
  <c r="T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R9" i="27"/>
  <c r="AP8" i="27"/>
  <c r="AN8" i="27"/>
  <c r="AL8" i="27"/>
  <c r="AJ8" i="27"/>
  <c r="AH8" i="27"/>
  <c r="AF8" i="27"/>
  <c r="AD8" i="27"/>
  <c r="AB8" i="27"/>
  <c r="U8" i="27"/>
  <c r="T8" i="27"/>
  <c r="R8" i="27"/>
  <c r="AP7" i="27"/>
  <c r="AN7" i="27"/>
  <c r="AL7" i="27"/>
  <c r="AJ7" i="27"/>
  <c r="AH7" i="27"/>
  <c r="AF7" i="27"/>
  <c r="AD7" i="27"/>
  <c r="AB7" i="27"/>
  <c r="S8" i="27" s="1"/>
  <c r="V7" i="27"/>
  <c r="U7" i="27"/>
  <c r="T7" i="27"/>
  <c r="R7" i="27"/>
  <c r="AP6" i="27"/>
  <c r="AP34" i="27" s="1"/>
  <c r="AN6" i="27"/>
  <c r="AL6" i="27"/>
  <c r="AJ6" i="27"/>
  <c r="AH6" i="27"/>
  <c r="AF6" i="27"/>
  <c r="AD6" i="27"/>
  <c r="AB6" i="27"/>
  <c r="R57" i="26"/>
  <c r="AF31" i="40" s="1"/>
  <c r="O57" i="26"/>
  <c r="AE31" i="40" s="1"/>
  <c r="AL55" i="26"/>
  <c r="AL56" i="26" s="1"/>
  <c r="AJ55" i="26"/>
  <c r="AN55" i="26" s="1"/>
  <c r="AN56" i="26" s="1"/>
  <c r="Y55" i="26"/>
  <c r="AN54" i="26"/>
  <c r="AL54" i="26"/>
  <c r="AJ54" i="26"/>
  <c r="AJ56" i="26" s="1"/>
  <c r="AC54" i="26"/>
  <c r="Y54" i="26"/>
  <c r="AE54" i="26" s="1"/>
  <c r="AE55" i="26" s="1"/>
  <c r="AC53" i="26"/>
  <c r="AC55" i="26" s="1"/>
  <c r="AA53" i="26"/>
  <c r="Y53" i="26"/>
  <c r="AG52" i="26"/>
  <c r="R51" i="26"/>
  <c r="AD31" i="40" s="1"/>
  <c r="P51" i="26"/>
  <c r="O51" i="26"/>
  <c r="AC31" i="40" s="1"/>
  <c r="AJ49" i="26"/>
  <c r="AJ48" i="26"/>
  <c r="AN48" i="26" s="1"/>
  <c r="AN47" i="26"/>
  <c r="AN49" i="26" s="1"/>
  <c r="AL47" i="26"/>
  <c r="AJ47" i="26"/>
  <c r="AE47" i="26"/>
  <c r="AC46" i="26"/>
  <c r="AC47" i="26" s="1"/>
  <c r="AA46" i="26"/>
  <c r="Y46" i="26"/>
  <c r="AE46" i="26" s="1"/>
  <c r="AC45" i="26"/>
  <c r="AA45" i="26"/>
  <c r="Y45" i="26"/>
  <c r="Y47" i="26" s="1"/>
  <c r="L45" i="26"/>
  <c r="AG31" i="40" s="1"/>
  <c r="H45" i="26"/>
  <c r="Y31" i="40" s="1"/>
  <c r="S41" i="26"/>
  <c r="O41" i="26"/>
  <c r="AA31" i="40" s="1"/>
  <c r="G41" i="26"/>
  <c r="E41" i="26"/>
  <c r="D41" i="26"/>
  <c r="C41" i="26"/>
  <c r="Z31" i="40" s="1"/>
  <c r="B41" i="26"/>
  <c r="X31" i="40" s="1"/>
  <c r="A41" i="26"/>
  <c r="Z37" i="26"/>
  <c r="B33" i="43" s="1"/>
  <c r="AC34" i="26"/>
  <c r="Z34" i="26"/>
  <c r="Y34" i="26"/>
  <c r="P31" i="40" s="1"/>
  <c r="AC33" i="26"/>
  <c r="AB33" i="26"/>
  <c r="G33" i="43" s="1"/>
  <c r="Z33" i="26"/>
  <c r="AA33" i="26" s="1"/>
  <c r="AC32" i="26"/>
  <c r="Z32" i="26"/>
  <c r="AA32" i="26" s="1"/>
  <c r="Z30" i="26"/>
  <c r="Y30" i="26"/>
  <c r="C33" i="43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S18" i="26" s="1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S17" i="26" s="1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S16" i="26" s="1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S15" i="26" s="1"/>
  <c r="Q21" i="26"/>
  <c r="P21" i="26"/>
  <c r="O21" i="26"/>
  <c r="N31" i="40" s="1"/>
  <c r="N21" i="26"/>
  <c r="AD31" i="38" s="1"/>
  <c r="M21" i="26"/>
  <c r="R32" i="39" s="1"/>
  <c r="L21" i="26"/>
  <c r="K21" i="26"/>
  <c r="X31" i="38" s="1"/>
  <c r="J21" i="26"/>
  <c r="U31" i="38" s="1"/>
  <c r="I21" i="26"/>
  <c r="R31" i="38" s="1"/>
  <c r="H21" i="26"/>
  <c r="L32" i="39" s="1"/>
  <c r="G21" i="26"/>
  <c r="F21" i="26"/>
  <c r="L31" i="38" s="1"/>
  <c r="E21" i="26"/>
  <c r="I31" i="38" s="1"/>
  <c r="D21" i="26"/>
  <c r="F32" i="39" s="1"/>
  <c r="C21" i="26"/>
  <c r="B21" i="26"/>
  <c r="C31" i="38" s="1"/>
  <c r="AP20" i="26"/>
  <c r="AN20" i="26"/>
  <c r="AL20" i="26"/>
  <c r="AJ20" i="26"/>
  <c r="AH20" i="26"/>
  <c r="AF20" i="26"/>
  <c r="AD20" i="26"/>
  <c r="AB20" i="26"/>
  <c r="Q20" i="26"/>
  <c r="P20" i="26"/>
  <c r="O20" i="26"/>
  <c r="M31" i="40" s="1"/>
  <c r="N20" i="26"/>
  <c r="AC31" i="38" s="1"/>
  <c r="M20" i="26"/>
  <c r="Q32" i="39" s="1"/>
  <c r="L20" i="26"/>
  <c r="K20" i="26"/>
  <c r="W31" i="38" s="1"/>
  <c r="J20" i="26"/>
  <c r="T31" i="38" s="1"/>
  <c r="I20" i="26"/>
  <c r="Q31" i="38" s="1"/>
  <c r="H20" i="26"/>
  <c r="K32" i="39" s="1"/>
  <c r="G20" i="26"/>
  <c r="F20" i="26"/>
  <c r="K31" i="38" s="1"/>
  <c r="E20" i="26"/>
  <c r="H31" i="38" s="1"/>
  <c r="D20" i="26"/>
  <c r="E32" i="39" s="1"/>
  <c r="C20" i="26"/>
  <c r="B20" i="26"/>
  <c r="B31" i="38" s="1"/>
  <c r="AP19" i="26"/>
  <c r="AN19" i="26"/>
  <c r="AL19" i="26"/>
  <c r="AJ19" i="26"/>
  <c r="AH19" i="26"/>
  <c r="AF19" i="26"/>
  <c r="AD19" i="26"/>
  <c r="AB19" i="26"/>
  <c r="S14" i="26" s="1"/>
  <c r="Q19" i="26"/>
  <c r="P19" i="26"/>
  <c r="O19" i="26"/>
  <c r="N19" i="26"/>
  <c r="AE31" i="38" s="1"/>
  <c r="M19" i="26"/>
  <c r="S32" i="39" s="1"/>
  <c r="L19" i="26"/>
  <c r="K19" i="26"/>
  <c r="Y31" i="38" s="1"/>
  <c r="J19" i="26"/>
  <c r="V31" i="38" s="1"/>
  <c r="I19" i="26"/>
  <c r="S31" i="38" s="1"/>
  <c r="H19" i="26"/>
  <c r="M32" i="39" s="1"/>
  <c r="G19" i="26"/>
  <c r="F19" i="26"/>
  <c r="M31" i="38" s="1"/>
  <c r="E19" i="26"/>
  <c r="J31" i="38" s="1"/>
  <c r="D19" i="26"/>
  <c r="G32" i="39" s="1"/>
  <c r="C19" i="26"/>
  <c r="B19" i="26"/>
  <c r="D31" i="38" s="1"/>
  <c r="AP18" i="26"/>
  <c r="AN18" i="26"/>
  <c r="AL18" i="26"/>
  <c r="AJ18" i="26"/>
  <c r="AH18" i="26"/>
  <c r="AF18" i="26"/>
  <c r="AD18" i="26"/>
  <c r="AB18" i="26"/>
  <c r="U18" i="26"/>
  <c r="T18" i="26"/>
  <c r="R18" i="26"/>
  <c r="AP17" i="26"/>
  <c r="AN17" i="26"/>
  <c r="AL17" i="26"/>
  <c r="AJ17" i="26"/>
  <c r="AH17" i="26"/>
  <c r="AF17" i="26"/>
  <c r="AD17" i="26"/>
  <c r="AB17" i="26"/>
  <c r="V17" i="26"/>
  <c r="U17" i="26"/>
  <c r="T17" i="26"/>
  <c r="R17" i="26"/>
  <c r="AP16" i="26"/>
  <c r="AN16" i="26"/>
  <c r="AL16" i="26"/>
  <c r="AJ16" i="26"/>
  <c r="AH16" i="26"/>
  <c r="AF16" i="26"/>
  <c r="AD16" i="26"/>
  <c r="AB16" i="26"/>
  <c r="U16" i="26"/>
  <c r="T16" i="26"/>
  <c r="R16" i="26"/>
  <c r="AP15" i="26"/>
  <c r="AN15" i="26"/>
  <c r="AL15" i="26"/>
  <c r="AJ15" i="26"/>
  <c r="AH15" i="26"/>
  <c r="AF15" i="26"/>
  <c r="AD15" i="26"/>
  <c r="AB15" i="26"/>
  <c r="S12" i="26" s="1"/>
  <c r="U15" i="26"/>
  <c r="T15" i="26"/>
  <c r="R15" i="26"/>
  <c r="AP14" i="26"/>
  <c r="AN14" i="26"/>
  <c r="AL14" i="26"/>
  <c r="AJ14" i="26"/>
  <c r="AH14" i="26"/>
  <c r="AF14" i="26"/>
  <c r="AD14" i="26"/>
  <c r="AB14" i="26"/>
  <c r="U14" i="26"/>
  <c r="T14" i="26"/>
  <c r="R14" i="26"/>
  <c r="AP13" i="26"/>
  <c r="AN13" i="26"/>
  <c r="AL13" i="26"/>
  <c r="AJ13" i="26"/>
  <c r="AH13" i="26"/>
  <c r="AF13" i="26"/>
  <c r="AD13" i="26"/>
  <c r="AB13" i="26"/>
  <c r="U13" i="26"/>
  <c r="T13" i="26"/>
  <c r="S13" i="26"/>
  <c r="R13" i="26"/>
  <c r="AP12" i="26"/>
  <c r="AN12" i="26"/>
  <c r="AL12" i="26"/>
  <c r="AJ12" i="26"/>
  <c r="AH12" i="26"/>
  <c r="AF12" i="26"/>
  <c r="AD12" i="26"/>
  <c r="AB12" i="26"/>
  <c r="V12" i="26"/>
  <c r="U37" i="26" s="1"/>
  <c r="U12" i="26"/>
  <c r="T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S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N7" i="26"/>
  <c r="AL7" i="26"/>
  <c r="AJ7" i="26"/>
  <c r="AH7" i="26"/>
  <c r="AF7" i="26"/>
  <c r="AD7" i="26"/>
  <c r="AB7" i="26"/>
  <c r="S8" i="26" s="1"/>
  <c r="V7" i="26"/>
  <c r="U7" i="26"/>
  <c r="T7" i="26"/>
  <c r="R7" i="26"/>
  <c r="AP6" i="26"/>
  <c r="AN6" i="26"/>
  <c r="AL6" i="26"/>
  <c r="AJ6" i="26"/>
  <c r="AH6" i="26"/>
  <c r="AF6" i="26"/>
  <c r="AD6" i="26"/>
  <c r="AB6" i="26"/>
  <c r="R57" i="25"/>
  <c r="AF30" i="40" s="1"/>
  <c r="O57" i="25"/>
  <c r="AE30" i="40" s="1"/>
  <c r="AN55" i="25"/>
  <c r="AE55" i="25"/>
  <c r="AN54" i="25"/>
  <c r="AN56" i="25" s="1"/>
  <c r="AL54" i="25"/>
  <c r="AJ54" i="25"/>
  <c r="AJ56" i="25" s="1"/>
  <c r="AE54" i="25"/>
  <c r="AC54" i="25"/>
  <c r="AA54" i="25"/>
  <c r="Y54" i="25"/>
  <c r="AJ55" i="25" s="1"/>
  <c r="AC53" i="25"/>
  <c r="AA53" i="25"/>
  <c r="AA55" i="25" s="1"/>
  <c r="Y53" i="25"/>
  <c r="R51" i="25"/>
  <c r="AD30" i="40" s="1"/>
  <c r="P51" i="25"/>
  <c r="O51" i="25"/>
  <c r="AC30" i="40" s="1"/>
  <c r="AJ48" i="25"/>
  <c r="AN47" i="25"/>
  <c r="AL47" i="25"/>
  <c r="AJ47" i="25"/>
  <c r="AE47" i="25"/>
  <c r="AE46" i="25"/>
  <c r="AC46" i="25"/>
  <c r="AC47" i="25" s="1"/>
  <c r="Y46" i="25"/>
  <c r="AA46" i="25" s="1"/>
  <c r="AC45" i="25"/>
  <c r="AA45" i="25"/>
  <c r="Y45" i="25"/>
  <c r="Y47" i="25" s="1"/>
  <c r="L45" i="25"/>
  <c r="AG30" i="40" s="1"/>
  <c r="H45" i="25"/>
  <c r="Y30" i="40" s="1"/>
  <c r="S41" i="25"/>
  <c r="O41" i="25"/>
  <c r="AA30" i="40" s="1"/>
  <c r="G41" i="25"/>
  <c r="E41" i="25"/>
  <c r="D41" i="25"/>
  <c r="C41" i="25"/>
  <c r="Z30" i="40" s="1"/>
  <c r="B41" i="25"/>
  <c r="X30" i="40" s="1"/>
  <c r="A41" i="25"/>
  <c r="V30" i="40" s="1"/>
  <c r="Z37" i="25"/>
  <c r="B32" i="43" s="1"/>
  <c r="AC34" i="25"/>
  <c r="Z34" i="25"/>
  <c r="Y34" i="25"/>
  <c r="P30" i="40" s="1"/>
  <c r="AC33" i="25"/>
  <c r="AB33" i="25"/>
  <c r="G32" i="43" s="1"/>
  <c r="Z33" i="25"/>
  <c r="AA33" i="25" s="1"/>
  <c r="F32" i="43" s="1"/>
  <c r="AC32" i="25"/>
  <c r="Z32" i="25"/>
  <c r="AA32" i="25" s="1"/>
  <c r="AQ62" i="25" s="1"/>
  <c r="Z30" i="25"/>
  <c r="Y30" i="25"/>
  <c r="C32" i="43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S18" i="25" s="1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S17" i="25" s="1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Q21" i="25"/>
  <c r="P21" i="25"/>
  <c r="O21" i="25"/>
  <c r="N30" i="40" s="1"/>
  <c r="N21" i="25"/>
  <c r="AD30" i="38" s="1"/>
  <c r="M21" i="25"/>
  <c r="R31" i="39" s="1"/>
  <c r="L21" i="25"/>
  <c r="K21" i="25"/>
  <c r="X30" i="38" s="1"/>
  <c r="J21" i="25"/>
  <c r="U30" i="38" s="1"/>
  <c r="I21" i="25"/>
  <c r="R30" i="38" s="1"/>
  <c r="H21" i="25"/>
  <c r="L31" i="39" s="1"/>
  <c r="G21" i="25"/>
  <c r="F21" i="25"/>
  <c r="L30" i="38" s="1"/>
  <c r="E21" i="25"/>
  <c r="I30" i="38" s="1"/>
  <c r="D21" i="25"/>
  <c r="F31" i="39" s="1"/>
  <c r="C21" i="25"/>
  <c r="B21" i="25"/>
  <c r="C30" i="38" s="1"/>
  <c r="AP20" i="25"/>
  <c r="AN20" i="25"/>
  <c r="AL20" i="25"/>
  <c r="AJ20" i="25"/>
  <c r="AH20" i="25"/>
  <c r="AF20" i="25"/>
  <c r="AD20" i="25"/>
  <c r="AB20" i="25"/>
  <c r="Q20" i="25"/>
  <c r="P20" i="25"/>
  <c r="O20" i="25"/>
  <c r="M30" i="40" s="1"/>
  <c r="N20" i="25"/>
  <c r="AC30" i="38" s="1"/>
  <c r="M20" i="25"/>
  <c r="Q31" i="39" s="1"/>
  <c r="L20" i="25"/>
  <c r="K20" i="25"/>
  <c r="W30" i="38" s="1"/>
  <c r="J20" i="25"/>
  <c r="T30" i="38" s="1"/>
  <c r="I20" i="25"/>
  <c r="Q30" i="38" s="1"/>
  <c r="H20" i="25"/>
  <c r="K31" i="39" s="1"/>
  <c r="G20" i="25"/>
  <c r="F20" i="25"/>
  <c r="K30" i="38" s="1"/>
  <c r="E20" i="25"/>
  <c r="H30" i="38" s="1"/>
  <c r="D20" i="25"/>
  <c r="C20" i="25"/>
  <c r="B20" i="25"/>
  <c r="B30" i="38" s="1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N19" i="25"/>
  <c r="AE30" i="38" s="1"/>
  <c r="M19" i="25"/>
  <c r="S31" i="39" s="1"/>
  <c r="L19" i="25"/>
  <c r="K19" i="25"/>
  <c r="Y30" i="38" s="1"/>
  <c r="J19" i="25"/>
  <c r="V30" i="38" s="1"/>
  <c r="I19" i="25"/>
  <c r="S30" i="38" s="1"/>
  <c r="H19" i="25"/>
  <c r="M31" i="39" s="1"/>
  <c r="G19" i="25"/>
  <c r="F19" i="25"/>
  <c r="M30" i="38" s="1"/>
  <c r="E19" i="25"/>
  <c r="J30" i="38" s="1"/>
  <c r="D19" i="25"/>
  <c r="C19" i="25"/>
  <c r="B19" i="25"/>
  <c r="D30" i="38" s="1"/>
  <c r="AP18" i="25"/>
  <c r="AN18" i="25"/>
  <c r="AL18" i="25"/>
  <c r="AJ18" i="25"/>
  <c r="AH18" i="25"/>
  <c r="AF18" i="25"/>
  <c r="AD18" i="25"/>
  <c r="AB18" i="25"/>
  <c r="U18" i="25"/>
  <c r="T18" i="25"/>
  <c r="R18" i="25"/>
  <c r="AP17" i="25"/>
  <c r="AN17" i="25"/>
  <c r="AL17" i="25"/>
  <c r="AJ17" i="25"/>
  <c r="AH17" i="25"/>
  <c r="AF17" i="25"/>
  <c r="AD17" i="25"/>
  <c r="AB17" i="25"/>
  <c r="S13" i="25" s="1"/>
  <c r="V17" i="25"/>
  <c r="U17" i="25"/>
  <c r="T17" i="25"/>
  <c r="R17" i="25"/>
  <c r="AP16" i="25"/>
  <c r="AN16" i="25"/>
  <c r="AL16" i="25"/>
  <c r="AJ16" i="25"/>
  <c r="AH16" i="25"/>
  <c r="AF16" i="25"/>
  <c r="AD16" i="25"/>
  <c r="AB16" i="25"/>
  <c r="U16" i="25"/>
  <c r="T16" i="25"/>
  <c r="S16" i="25"/>
  <c r="R16" i="25"/>
  <c r="AP15" i="25"/>
  <c r="AN15" i="25"/>
  <c r="AL15" i="25"/>
  <c r="AJ15" i="25"/>
  <c r="AH15" i="25"/>
  <c r="AF15" i="25"/>
  <c r="AD15" i="25"/>
  <c r="AB15" i="25"/>
  <c r="U15" i="25"/>
  <c r="T15" i="25"/>
  <c r="S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U13" i="25"/>
  <c r="T13" i="25"/>
  <c r="R13" i="25"/>
  <c r="AP12" i="25"/>
  <c r="AN12" i="25"/>
  <c r="AL12" i="25"/>
  <c r="AJ12" i="25"/>
  <c r="AH12" i="25"/>
  <c r="AF12" i="25"/>
  <c r="AD12" i="25"/>
  <c r="AB12" i="25"/>
  <c r="V12" i="25"/>
  <c r="U37" i="25" s="1"/>
  <c r="U12" i="25"/>
  <c r="T12" i="25"/>
  <c r="R12" i="25"/>
  <c r="AP11" i="25"/>
  <c r="AN11" i="25"/>
  <c r="AL11" i="25"/>
  <c r="AJ11" i="25"/>
  <c r="AH11" i="25"/>
  <c r="AF11" i="25"/>
  <c r="AD11" i="25"/>
  <c r="AB11" i="25"/>
  <c r="U11" i="25"/>
  <c r="T11" i="25"/>
  <c r="S11" i="25"/>
  <c r="R11" i="25"/>
  <c r="AP10" i="25"/>
  <c r="AN10" i="25"/>
  <c r="AL10" i="25"/>
  <c r="AJ10" i="25"/>
  <c r="AH10" i="25"/>
  <c r="AF10" i="25"/>
  <c r="AD10" i="25"/>
  <c r="AB10" i="25"/>
  <c r="U10" i="25"/>
  <c r="T10" i="25"/>
  <c r="S10" i="25"/>
  <c r="R10" i="25"/>
  <c r="AP9" i="25"/>
  <c r="AN9" i="25"/>
  <c r="AL9" i="25"/>
  <c r="AJ9" i="25"/>
  <c r="AH9" i="25"/>
  <c r="AF9" i="25"/>
  <c r="AD9" i="25"/>
  <c r="AB9" i="25"/>
  <c r="U9" i="25"/>
  <c r="T9" i="25"/>
  <c r="S9" i="25"/>
  <c r="R9" i="25"/>
  <c r="AP8" i="25"/>
  <c r="AN8" i="25"/>
  <c r="AL8" i="25"/>
  <c r="AJ8" i="25"/>
  <c r="AH8" i="25"/>
  <c r="AF8" i="25"/>
  <c r="AD8" i="25"/>
  <c r="AB8" i="25"/>
  <c r="U8" i="25"/>
  <c r="T8" i="25"/>
  <c r="S8" i="25"/>
  <c r="R8" i="25"/>
  <c r="AP7" i="25"/>
  <c r="AN7" i="25"/>
  <c r="AL7" i="25"/>
  <c r="AL34" i="25" s="1"/>
  <c r="AJ7" i="25"/>
  <c r="AH7" i="25"/>
  <c r="AF7" i="25"/>
  <c r="AD7" i="25"/>
  <c r="AB7" i="25"/>
  <c r="V7" i="25"/>
  <c r="U7" i="25"/>
  <c r="T7" i="25"/>
  <c r="R7" i="25"/>
  <c r="AP6" i="25"/>
  <c r="AN6" i="25"/>
  <c r="AL6" i="25"/>
  <c r="AJ6" i="25"/>
  <c r="AH6" i="25"/>
  <c r="AF6" i="25"/>
  <c r="AD6" i="25"/>
  <c r="AB6" i="25"/>
  <c r="R57" i="24"/>
  <c r="AF29" i="40" s="1"/>
  <c r="O57" i="24"/>
  <c r="AE29" i="40" s="1"/>
  <c r="AC55" i="24"/>
  <c r="AN54" i="24"/>
  <c r="AL54" i="24"/>
  <c r="AJ54" i="24"/>
  <c r="AE54" i="24"/>
  <c r="AE55" i="24" s="1"/>
  <c r="AC54" i="24"/>
  <c r="AA54" i="24"/>
  <c r="Y54" i="24"/>
  <c r="AJ55" i="24" s="1"/>
  <c r="AN55" i="24" s="1"/>
  <c r="AN56" i="24" s="1"/>
  <c r="AC53" i="24"/>
  <c r="AA53" i="24"/>
  <c r="AA55" i="24" s="1"/>
  <c r="Y53" i="24"/>
  <c r="Y55" i="24" s="1"/>
  <c r="R51" i="24"/>
  <c r="AD29" i="40" s="1"/>
  <c r="P51" i="24"/>
  <c r="O51" i="24"/>
  <c r="AC29" i="40" s="1"/>
  <c r="AN47" i="24"/>
  <c r="AN49" i="24" s="1"/>
  <c r="AL47" i="24"/>
  <c r="AJ47" i="24"/>
  <c r="AE46" i="24"/>
  <c r="AE47" i="24" s="1"/>
  <c r="AC46" i="24"/>
  <c r="Y46" i="24"/>
  <c r="AA46" i="24" s="1"/>
  <c r="AC45" i="24"/>
  <c r="AC47" i="24" s="1"/>
  <c r="AA45" i="24"/>
  <c r="AA47" i="24" s="1"/>
  <c r="Y45" i="24"/>
  <c r="Y47" i="24" s="1"/>
  <c r="L45" i="24"/>
  <c r="AG29" i="40" s="1"/>
  <c r="H45" i="24"/>
  <c r="Y29" i="40" s="1"/>
  <c r="S41" i="24"/>
  <c r="O41" i="24"/>
  <c r="AA29" i="40" s="1"/>
  <c r="G41" i="24"/>
  <c r="E41" i="24"/>
  <c r="D41" i="24"/>
  <c r="C41" i="24"/>
  <c r="B41" i="24"/>
  <c r="X29" i="40" s="1"/>
  <c r="A41" i="24"/>
  <c r="V29" i="40" s="1"/>
  <c r="Z37" i="24"/>
  <c r="B31" i="43" s="1"/>
  <c r="AC34" i="24"/>
  <c r="Z34" i="24"/>
  <c r="Y34" i="24"/>
  <c r="P29" i="40" s="1"/>
  <c r="AC33" i="24"/>
  <c r="AB33" i="24"/>
  <c r="G31" i="43" s="1"/>
  <c r="Z33" i="24"/>
  <c r="AA33" i="24" s="1"/>
  <c r="F31" i="43" s="1"/>
  <c r="AC32" i="24"/>
  <c r="Z32" i="24"/>
  <c r="AA32" i="24" s="1"/>
  <c r="Z30" i="24"/>
  <c r="Y30" i="24"/>
  <c r="C31" i="43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S18" i="24" s="1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S17" i="24" s="1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S16" i="24" s="1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S15" i="24" s="1"/>
  <c r="Q21" i="24"/>
  <c r="P21" i="24"/>
  <c r="O21" i="24"/>
  <c r="N29" i="40" s="1"/>
  <c r="N21" i="24"/>
  <c r="AD29" i="38" s="1"/>
  <c r="M21" i="24"/>
  <c r="R30" i="39" s="1"/>
  <c r="L21" i="24"/>
  <c r="K21" i="24"/>
  <c r="X29" i="38" s="1"/>
  <c r="J21" i="24"/>
  <c r="U29" i="38" s="1"/>
  <c r="I21" i="24"/>
  <c r="R29" i="38" s="1"/>
  <c r="H21" i="24"/>
  <c r="L30" i="39" s="1"/>
  <c r="G21" i="24"/>
  <c r="F21" i="24"/>
  <c r="L29" i="38" s="1"/>
  <c r="E21" i="24"/>
  <c r="I29" i="38" s="1"/>
  <c r="D21" i="24"/>
  <c r="F30" i="39" s="1"/>
  <c r="C21" i="24"/>
  <c r="B21" i="24"/>
  <c r="C29" i="38" s="1"/>
  <c r="AP20" i="24"/>
  <c r="AN20" i="24"/>
  <c r="AL20" i="24"/>
  <c r="AJ20" i="24"/>
  <c r="AH20" i="24"/>
  <c r="AF20" i="24"/>
  <c r="AD20" i="24"/>
  <c r="AB20" i="24"/>
  <c r="Q20" i="24"/>
  <c r="P20" i="24"/>
  <c r="O20" i="24"/>
  <c r="M29" i="40" s="1"/>
  <c r="N20" i="24"/>
  <c r="AC29" i="38" s="1"/>
  <c r="M20" i="24"/>
  <c r="Q30" i="39" s="1"/>
  <c r="L20" i="24"/>
  <c r="K20" i="24"/>
  <c r="W29" i="38" s="1"/>
  <c r="J20" i="24"/>
  <c r="T29" i="38" s="1"/>
  <c r="I20" i="24"/>
  <c r="Q29" i="38" s="1"/>
  <c r="G20" i="24"/>
  <c r="F20" i="24"/>
  <c r="K29" i="38" s="1"/>
  <c r="E20" i="24"/>
  <c r="H29" i="38" s="1"/>
  <c r="D20" i="24"/>
  <c r="E30" i="39" s="1"/>
  <c r="C20" i="24"/>
  <c r="B20" i="24"/>
  <c r="B29" i="38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8" s="1"/>
  <c r="M19" i="24"/>
  <c r="S30" i="39" s="1"/>
  <c r="L19" i="24"/>
  <c r="K19" i="24"/>
  <c r="Y29" i="38" s="1"/>
  <c r="J19" i="24"/>
  <c r="V29" i="38" s="1"/>
  <c r="I19" i="24"/>
  <c r="S29" i="38" s="1"/>
  <c r="H19" i="24"/>
  <c r="M30" i="39" s="1"/>
  <c r="G19" i="24"/>
  <c r="F19" i="24"/>
  <c r="M29" i="38" s="1"/>
  <c r="E19" i="24"/>
  <c r="J29" i="38" s="1"/>
  <c r="D19" i="24"/>
  <c r="G30" i="39" s="1"/>
  <c r="C19" i="24"/>
  <c r="B19" i="24"/>
  <c r="D29" i="38" s="1"/>
  <c r="AP18" i="24"/>
  <c r="AN18" i="24"/>
  <c r="AL18" i="24"/>
  <c r="AJ18" i="24"/>
  <c r="AH18" i="24"/>
  <c r="AF18" i="24"/>
  <c r="AD18" i="24"/>
  <c r="AB18" i="24"/>
  <c r="U18" i="24"/>
  <c r="T18" i="24"/>
  <c r="R18" i="24"/>
  <c r="AP17" i="24"/>
  <c r="AN17" i="24"/>
  <c r="AL17" i="24"/>
  <c r="AJ17" i="24"/>
  <c r="AH17" i="24"/>
  <c r="AF17" i="24"/>
  <c r="AD17" i="24"/>
  <c r="AB17" i="24"/>
  <c r="V17" i="24"/>
  <c r="U17" i="24"/>
  <c r="T17" i="24"/>
  <c r="R17" i="24"/>
  <c r="AP16" i="24"/>
  <c r="AN16" i="24"/>
  <c r="AL16" i="24"/>
  <c r="AJ16" i="24"/>
  <c r="AH16" i="24"/>
  <c r="AF16" i="24"/>
  <c r="AD16" i="24"/>
  <c r="AB16" i="24"/>
  <c r="U16" i="24"/>
  <c r="T16" i="24"/>
  <c r="R16" i="24"/>
  <c r="AP15" i="24"/>
  <c r="AN15" i="24"/>
  <c r="AL15" i="24"/>
  <c r="AJ15" i="24"/>
  <c r="AH15" i="24"/>
  <c r="AF15" i="24"/>
  <c r="AD15" i="24"/>
  <c r="AB15" i="24"/>
  <c r="U15" i="24"/>
  <c r="T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U13" i="24"/>
  <c r="T13" i="24"/>
  <c r="S13" i="24"/>
  <c r="R13" i="24"/>
  <c r="AP12" i="24"/>
  <c r="AN12" i="24"/>
  <c r="AL12" i="24"/>
  <c r="AJ12" i="24"/>
  <c r="AH12" i="24"/>
  <c r="AF12" i="24"/>
  <c r="AD12" i="24"/>
  <c r="AB12" i="24"/>
  <c r="V12" i="24"/>
  <c r="U37" i="24" s="1"/>
  <c r="U12" i="24"/>
  <c r="T12" i="24"/>
  <c r="S12" i="24"/>
  <c r="R12" i="24"/>
  <c r="AP11" i="24"/>
  <c r="AN11" i="24"/>
  <c r="AL11" i="24"/>
  <c r="AJ11" i="24"/>
  <c r="AH11" i="24"/>
  <c r="AF11" i="24"/>
  <c r="AD11" i="24"/>
  <c r="AB11" i="24"/>
  <c r="U11" i="24"/>
  <c r="T11" i="24"/>
  <c r="S11" i="24"/>
  <c r="R11" i="24"/>
  <c r="AP10" i="24"/>
  <c r="AN10" i="24"/>
  <c r="AL10" i="24"/>
  <c r="AJ10" i="24"/>
  <c r="AH10" i="24"/>
  <c r="AF10" i="24"/>
  <c r="AD10" i="24"/>
  <c r="AB10" i="24"/>
  <c r="U10" i="24"/>
  <c r="T10" i="24"/>
  <c r="S10" i="24"/>
  <c r="R10" i="24"/>
  <c r="AP9" i="24"/>
  <c r="AN9" i="24"/>
  <c r="AL9" i="24"/>
  <c r="AJ9" i="24"/>
  <c r="AH9" i="24"/>
  <c r="AF9" i="24"/>
  <c r="AD9" i="24"/>
  <c r="AB9" i="24"/>
  <c r="U9" i="24"/>
  <c r="T9" i="24"/>
  <c r="S9" i="24"/>
  <c r="R9" i="24"/>
  <c r="AP8" i="24"/>
  <c r="AN8" i="24"/>
  <c r="AL8" i="24"/>
  <c r="AJ8" i="24"/>
  <c r="AH8" i="24"/>
  <c r="AF8" i="24"/>
  <c r="AD8" i="24"/>
  <c r="AB8" i="24"/>
  <c r="U8" i="24"/>
  <c r="T8" i="24"/>
  <c r="S8" i="24"/>
  <c r="R8" i="24"/>
  <c r="AP7" i="24"/>
  <c r="AN7" i="24"/>
  <c r="AN34" i="24" s="1"/>
  <c r="AL7" i="24"/>
  <c r="AJ7" i="24"/>
  <c r="AH7" i="24"/>
  <c r="AF7" i="24"/>
  <c r="AD7" i="24"/>
  <c r="AB7" i="24"/>
  <c r="V7" i="24"/>
  <c r="U7" i="24"/>
  <c r="T7" i="24"/>
  <c r="R7" i="24"/>
  <c r="AP6" i="24"/>
  <c r="AN6" i="24"/>
  <c r="AN30" i="24" s="1"/>
  <c r="AL6" i="24"/>
  <c r="AJ6" i="24"/>
  <c r="AH6" i="24"/>
  <c r="AF6" i="24"/>
  <c r="AD6" i="24"/>
  <c r="AB6" i="24"/>
  <c r="R57" i="23"/>
  <c r="AF28" i="40" s="1"/>
  <c r="O57" i="23"/>
  <c r="AE28" i="40" s="1"/>
  <c r="AJ56" i="23"/>
  <c r="AJ55" i="23"/>
  <c r="AN55" i="23" s="1"/>
  <c r="AN54" i="23"/>
  <c r="AL54" i="23"/>
  <c r="AJ54" i="23"/>
  <c r="Y54" i="23"/>
  <c r="AC53" i="23"/>
  <c r="AA53" i="23"/>
  <c r="Y53" i="23"/>
  <c r="R51" i="23"/>
  <c r="AD28" i="40" s="1"/>
  <c r="P51" i="23"/>
  <c r="O51" i="23"/>
  <c r="AC28" i="40" s="1"/>
  <c r="AN47" i="23"/>
  <c r="AL47" i="23"/>
  <c r="AJ47" i="23"/>
  <c r="Y46" i="23"/>
  <c r="AC45" i="23"/>
  <c r="AA45" i="23"/>
  <c r="Y45" i="23"/>
  <c r="L45" i="23"/>
  <c r="AG28" i="40" s="1"/>
  <c r="H45" i="23"/>
  <c r="Y28" i="40" s="1"/>
  <c r="S41" i="23"/>
  <c r="O41" i="23"/>
  <c r="AA28" i="40" s="1"/>
  <c r="G41" i="23"/>
  <c r="E41" i="23"/>
  <c r="D41" i="23"/>
  <c r="C41" i="23"/>
  <c r="Z28" i="40" s="1"/>
  <c r="B41" i="23"/>
  <c r="X28" i="40" s="1"/>
  <c r="A41" i="23"/>
  <c r="V28" i="40" s="1"/>
  <c r="Z37" i="23"/>
  <c r="B30" i="43" s="1"/>
  <c r="AC34" i="23"/>
  <c r="Z34" i="23"/>
  <c r="Y34" i="23"/>
  <c r="P28" i="40" s="1"/>
  <c r="AC33" i="23"/>
  <c r="AB33" i="23"/>
  <c r="G30" i="43" s="1"/>
  <c r="AA33" i="23"/>
  <c r="Z33" i="23"/>
  <c r="AC32" i="23"/>
  <c r="Z32" i="23"/>
  <c r="AA32" i="23" s="1"/>
  <c r="Z30" i="23"/>
  <c r="Y30" i="23"/>
  <c r="C30" i="43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S17" i="23" s="1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S15" i="23" s="1"/>
  <c r="Q21" i="23"/>
  <c r="P21" i="23"/>
  <c r="O21" i="23"/>
  <c r="N28" i="40" s="1"/>
  <c r="N21" i="23"/>
  <c r="AD28" i="38" s="1"/>
  <c r="M21" i="23"/>
  <c r="R29" i="39" s="1"/>
  <c r="L21" i="23"/>
  <c r="K21" i="23"/>
  <c r="X28" i="38" s="1"/>
  <c r="J21" i="23"/>
  <c r="U28" i="38" s="1"/>
  <c r="I21" i="23"/>
  <c r="R28" i="38" s="1"/>
  <c r="H21" i="23"/>
  <c r="L29" i="39" s="1"/>
  <c r="G21" i="23"/>
  <c r="F21" i="23"/>
  <c r="L28" i="38" s="1"/>
  <c r="E21" i="23"/>
  <c r="I28" i="38" s="1"/>
  <c r="D21" i="23"/>
  <c r="F29" i="39" s="1"/>
  <c r="C21" i="23"/>
  <c r="B21" i="23"/>
  <c r="C28" i="38" s="1"/>
  <c r="AP20" i="23"/>
  <c r="AN20" i="23"/>
  <c r="AL20" i="23"/>
  <c r="AJ20" i="23"/>
  <c r="AH20" i="23"/>
  <c r="AF20" i="23"/>
  <c r="AD20" i="23"/>
  <c r="AB20" i="23"/>
  <c r="Q20" i="23"/>
  <c r="P20" i="23"/>
  <c r="O20" i="23"/>
  <c r="M28" i="40" s="1"/>
  <c r="N20" i="23"/>
  <c r="AC28" i="38" s="1"/>
  <c r="M20" i="23"/>
  <c r="Q29" i="39" s="1"/>
  <c r="L20" i="23"/>
  <c r="K20" i="23"/>
  <c r="W28" i="38" s="1"/>
  <c r="J20" i="23"/>
  <c r="T28" i="38" s="1"/>
  <c r="I20" i="23"/>
  <c r="Q28" i="38" s="1"/>
  <c r="H20" i="23"/>
  <c r="K29" i="39" s="1"/>
  <c r="G20" i="23"/>
  <c r="F20" i="23"/>
  <c r="K28" i="38" s="1"/>
  <c r="E20" i="23"/>
  <c r="H28" i="38" s="1"/>
  <c r="D20" i="23"/>
  <c r="E29" i="39" s="1"/>
  <c r="C20" i="23"/>
  <c r="B20" i="23"/>
  <c r="B28" i="38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8" s="1"/>
  <c r="M19" i="23"/>
  <c r="S29" i="39" s="1"/>
  <c r="L19" i="23"/>
  <c r="K19" i="23"/>
  <c r="Y28" i="38" s="1"/>
  <c r="J19" i="23"/>
  <c r="V28" i="38" s="1"/>
  <c r="I19" i="23"/>
  <c r="S28" i="38" s="1"/>
  <c r="H19" i="23"/>
  <c r="M29" i="39" s="1"/>
  <c r="G19" i="23"/>
  <c r="F19" i="23"/>
  <c r="M28" i="38" s="1"/>
  <c r="E19" i="23"/>
  <c r="J28" i="38" s="1"/>
  <c r="D19" i="23"/>
  <c r="G29" i="39" s="1"/>
  <c r="C19" i="23"/>
  <c r="B19" i="23"/>
  <c r="D28" i="38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V17" i="23"/>
  <c r="U17" i="23"/>
  <c r="T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S11" i="23" s="1"/>
  <c r="U13" i="23"/>
  <c r="T13" i="23"/>
  <c r="S13" i="23"/>
  <c r="R13" i="23"/>
  <c r="AP12" i="23"/>
  <c r="AP34" i="23" s="1"/>
  <c r="AN12" i="23"/>
  <c r="AL12" i="23"/>
  <c r="AJ12" i="23"/>
  <c r="AH12" i="23"/>
  <c r="AF12" i="23"/>
  <c r="AD12" i="23"/>
  <c r="AB12" i="23"/>
  <c r="V12" i="23"/>
  <c r="U37" i="23" s="1"/>
  <c r="U12" i="23"/>
  <c r="T12" i="23"/>
  <c r="S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R8" i="23"/>
  <c r="AP7" i="23"/>
  <c r="AN7" i="23"/>
  <c r="AL7" i="23"/>
  <c r="AJ7" i="23"/>
  <c r="AH7" i="23"/>
  <c r="AF7" i="23"/>
  <c r="AD7" i="23"/>
  <c r="AB7" i="23"/>
  <c r="S8" i="23" s="1"/>
  <c r="V7" i="23"/>
  <c r="U7" i="23"/>
  <c r="T7" i="23"/>
  <c r="R7" i="23"/>
  <c r="AP6" i="23"/>
  <c r="AN6" i="23"/>
  <c r="AL6" i="23"/>
  <c r="AL34" i="23" s="1"/>
  <c r="AJ6" i="23"/>
  <c r="AH6" i="23"/>
  <c r="AF6" i="23"/>
  <c r="AD6" i="23"/>
  <c r="AB6" i="23"/>
  <c r="R57" i="22"/>
  <c r="AF27" i="40" s="1"/>
  <c r="O57" i="22"/>
  <c r="AE27" i="40" s="1"/>
  <c r="AN54" i="22"/>
  <c r="AL54" i="22"/>
  <c r="AJ54" i="22"/>
  <c r="AA54" i="22"/>
  <c r="AA55" i="22" s="1"/>
  <c r="Y54" i="22"/>
  <c r="AJ55" i="22" s="1"/>
  <c r="AN55" i="22" s="1"/>
  <c r="AN56" i="22" s="1"/>
  <c r="AC53" i="22"/>
  <c r="AA53" i="22"/>
  <c r="Y53" i="22"/>
  <c r="R51" i="22"/>
  <c r="AD27" i="40" s="1"/>
  <c r="P51" i="22"/>
  <c r="O51" i="22"/>
  <c r="AC27" i="40" s="1"/>
  <c r="AN47" i="22"/>
  <c r="AL47" i="22"/>
  <c r="AJ47" i="22"/>
  <c r="AA47" i="22"/>
  <c r="AE46" i="22"/>
  <c r="AE47" i="22" s="1"/>
  <c r="AC46" i="22"/>
  <c r="AA46" i="22"/>
  <c r="Y46" i="22"/>
  <c r="AJ48" i="22" s="1"/>
  <c r="AN48" i="22" s="1"/>
  <c r="AN49" i="22" s="1"/>
  <c r="AC45" i="22"/>
  <c r="AC47" i="22" s="1"/>
  <c r="AA45" i="22"/>
  <c r="AG44" i="22" s="1"/>
  <c r="Y45" i="22"/>
  <c r="Y47" i="22" s="1"/>
  <c r="L45" i="22"/>
  <c r="AG27" i="40" s="1"/>
  <c r="H45" i="22"/>
  <c r="Y27" i="40" s="1"/>
  <c r="S41" i="22"/>
  <c r="O41" i="22"/>
  <c r="AA27" i="40" s="1"/>
  <c r="G41" i="22"/>
  <c r="E41" i="22"/>
  <c r="D41" i="22"/>
  <c r="C41" i="22"/>
  <c r="Z27" i="40" s="1"/>
  <c r="B41" i="22"/>
  <c r="X27" i="40" s="1"/>
  <c r="A41" i="22"/>
  <c r="V27" i="40" s="1"/>
  <c r="Z37" i="22"/>
  <c r="B29" i="43" s="1"/>
  <c r="U37" i="22"/>
  <c r="AC34" i="22"/>
  <c r="Z34" i="22"/>
  <c r="Y34" i="22"/>
  <c r="P27" i="40" s="1"/>
  <c r="AC33" i="22"/>
  <c r="AB33" i="22"/>
  <c r="G29" i="43" s="1"/>
  <c r="Z33" i="22"/>
  <c r="AA33" i="22" s="1"/>
  <c r="AC32" i="22"/>
  <c r="Z32" i="22"/>
  <c r="AA32" i="22" s="1"/>
  <c r="Z30" i="22"/>
  <c r="Y30" i="22"/>
  <c r="C29" i="43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S18" i="22" s="1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P30" i="22" s="1"/>
  <c r="AR38" i="22" s="1"/>
  <c r="AN26" i="22"/>
  <c r="AL26" i="22"/>
  <c r="AJ26" i="22"/>
  <c r="AH26" i="22"/>
  <c r="AH30" i="22" s="1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S17" i="22" s="1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S15" i="22" s="1"/>
  <c r="Q21" i="22"/>
  <c r="P21" i="22"/>
  <c r="O21" i="22"/>
  <c r="N27" i="40" s="1"/>
  <c r="N21" i="22"/>
  <c r="AD27" i="38" s="1"/>
  <c r="M21" i="22"/>
  <c r="R28" i="39" s="1"/>
  <c r="L21" i="22"/>
  <c r="O28" i="39" s="1"/>
  <c r="K21" i="22"/>
  <c r="X27" i="38" s="1"/>
  <c r="J21" i="22"/>
  <c r="U27" i="38" s="1"/>
  <c r="I21" i="22"/>
  <c r="R27" i="38" s="1"/>
  <c r="H21" i="22"/>
  <c r="L28" i="39" s="1"/>
  <c r="G21" i="22"/>
  <c r="F21" i="22"/>
  <c r="L27" i="38" s="1"/>
  <c r="E21" i="22"/>
  <c r="I27" i="38" s="1"/>
  <c r="D21" i="22"/>
  <c r="F28" i="39" s="1"/>
  <c r="C21" i="22"/>
  <c r="B21" i="22"/>
  <c r="C27" i="38" s="1"/>
  <c r="AP20" i="22"/>
  <c r="AN20" i="22"/>
  <c r="AL20" i="22"/>
  <c r="AJ20" i="22"/>
  <c r="AH20" i="22"/>
  <c r="AF20" i="22"/>
  <c r="AD20" i="22"/>
  <c r="AB20" i="22"/>
  <c r="Q20" i="22"/>
  <c r="P20" i="22"/>
  <c r="O20" i="22"/>
  <c r="M27" i="40" s="1"/>
  <c r="N20" i="22"/>
  <c r="AC27" i="38" s="1"/>
  <c r="M20" i="22"/>
  <c r="Q28" i="39" s="1"/>
  <c r="L20" i="22"/>
  <c r="K20" i="22"/>
  <c r="W27" i="38" s="1"/>
  <c r="J20" i="22"/>
  <c r="T27" i="38" s="1"/>
  <c r="I20" i="22"/>
  <c r="Q27" i="38" s="1"/>
  <c r="H20" i="22"/>
  <c r="K28" i="39" s="1"/>
  <c r="G20" i="22"/>
  <c r="F20" i="22"/>
  <c r="K27" i="38" s="1"/>
  <c r="E20" i="22"/>
  <c r="H27" i="38" s="1"/>
  <c r="D20" i="22"/>
  <c r="E28" i="39" s="1"/>
  <c r="C20" i="22"/>
  <c r="B28" i="39" s="1"/>
  <c r="B20" i="22"/>
  <c r="B27" i="38" s="1"/>
  <c r="AP19" i="22"/>
  <c r="AN19" i="22"/>
  <c r="AL19" i="22"/>
  <c r="AJ19" i="22"/>
  <c r="AH19" i="22"/>
  <c r="AF19" i="22"/>
  <c r="AD19" i="22"/>
  <c r="AB19" i="22"/>
  <c r="S14" i="22" s="1"/>
  <c r="Q19" i="22"/>
  <c r="P19" i="22"/>
  <c r="O19" i="22"/>
  <c r="N19" i="22"/>
  <c r="AE27" i="38" s="1"/>
  <c r="M19" i="22"/>
  <c r="S28" i="39" s="1"/>
  <c r="L19" i="22"/>
  <c r="K19" i="22"/>
  <c r="Y27" i="38" s="1"/>
  <c r="J19" i="22"/>
  <c r="V27" i="38" s="1"/>
  <c r="I19" i="22"/>
  <c r="S27" i="38" s="1"/>
  <c r="H19" i="22"/>
  <c r="M28" i="39" s="1"/>
  <c r="G19" i="22"/>
  <c r="F19" i="22"/>
  <c r="M27" i="38" s="1"/>
  <c r="E19" i="22"/>
  <c r="J27" i="38" s="1"/>
  <c r="D19" i="22"/>
  <c r="G28" i="39" s="1"/>
  <c r="C19" i="22"/>
  <c r="B19" i="22"/>
  <c r="D27" i="38" s="1"/>
  <c r="AP18" i="22"/>
  <c r="AN18" i="22"/>
  <c r="AL18" i="22"/>
  <c r="AJ18" i="22"/>
  <c r="AH18" i="22"/>
  <c r="AF18" i="22"/>
  <c r="AD18" i="22"/>
  <c r="AB18" i="22"/>
  <c r="U18" i="22"/>
  <c r="T18" i="22"/>
  <c r="R18" i="22"/>
  <c r="AP17" i="22"/>
  <c r="AN17" i="22"/>
  <c r="AL17" i="22"/>
  <c r="AJ17" i="22"/>
  <c r="AH17" i="22"/>
  <c r="AF17" i="22"/>
  <c r="AD17" i="22"/>
  <c r="AB17" i="22"/>
  <c r="S13" i="22" s="1"/>
  <c r="V17" i="22"/>
  <c r="U17" i="22"/>
  <c r="T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N15" i="22"/>
  <c r="AL15" i="22"/>
  <c r="AJ15" i="22"/>
  <c r="AH15" i="22"/>
  <c r="AF15" i="22"/>
  <c r="AD15" i="22"/>
  <c r="AB15" i="22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R14" i="22"/>
  <c r="AP13" i="22"/>
  <c r="AN13" i="22"/>
  <c r="AL13" i="22"/>
  <c r="AJ13" i="22"/>
  <c r="AH13" i="22"/>
  <c r="AF13" i="22"/>
  <c r="AD13" i="22"/>
  <c r="AB13" i="22"/>
  <c r="U13" i="22"/>
  <c r="T13" i="22"/>
  <c r="R13" i="22"/>
  <c r="AP12" i="22"/>
  <c r="AN12" i="22"/>
  <c r="AL12" i="22"/>
  <c r="AL34" i="22" s="1"/>
  <c r="AJ12" i="22"/>
  <c r="AH12" i="22"/>
  <c r="AF12" i="22"/>
  <c r="AD12" i="22"/>
  <c r="AB12" i="22"/>
  <c r="V12" i="22"/>
  <c r="U12" i="22"/>
  <c r="T12" i="22"/>
  <c r="S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S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R8" i="22"/>
  <c r="AP7" i="22"/>
  <c r="AN7" i="22"/>
  <c r="AL7" i="22"/>
  <c r="AJ7" i="22"/>
  <c r="AH7" i="22"/>
  <c r="AF7" i="22"/>
  <c r="AD7" i="22"/>
  <c r="AB7" i="22"/>
  <c r="S8" i="22" s="1"/>
  <c r="V7" i="22"/>
  <c r="U7" i="22"/>
  <c r="T7" i="22"/>
  <c r="R7" i="22"/>
  <c r="AP6" i="22"/>
  <c r="AN6" i="22"/>
  <c r="AL6" i="22"/>
  <c r="AL30" i="22" s="1"/>
  <c r="AJ6" i="22"/>
  <c r="AH6" i="22"/>
  <c r="AF6" i="22"/>
  <c r="AD6" i="22"/>
  <c r="AB6" i="22"/>
  <c r="AC65" i="21"/>
  <c r="Y65" i="21"/>
  <c r="R57" i="21"/>
  <c r="AF26" i="40" s="1"/>
  <c r="O57" i="21"/>
  <c r="AE26" i="40" s="1"/>
  <c r="AN54" i="21"/>
  <c r="AL54" i="21"/>
  <c r="AJ54" i="21"/>
  <c r="AE54" i="21"/>
  <c r="AE55" i="21" s="1"/>
  <c r="AC54" i="21"/>
  <c r="Y54" i="21"/>
  <c r="AA54" i="21" s="1"/>
  <c r="AC53" i="21"/>
  <c r="AC55" i="21" s="1"/>
  <c r="AA53" i="21"/>
  <c r="AA55" i="21" s="1"/>
  <c r="Y53" i="21"/>
  <c r="R51" i="21"/>
  <c r="AD26" i="40" s="1"/>
  <c r="P51" i="21"/>
  <c r="O51" i="21"/>
  <c r="AC26" i="40" s="1"/>
  <c r="AN47" i="21"/>
  <c r="AL47" i="21"/>
  <c r="AJ47" i="21"/>
  <c r="Y46" i="21"/>
  <c r="AJ48" i="21" s="1"/>
  <c r="AC45" i="21"/>
  <c r="AA45" i="21"/>
  <c r="Y45" i="21"/>
  <c r="Y47" i="21" s="1"/>
  <c r="L45" i="21"/>
  <c r="AG26" i="40" s="1"/>
  <c r="H45" i="21"/>
  <c r="Y26" i="40" s="1"/>
  <c r="S41" i="21"/>
  <c r="O41" i="21"/>
  <c r="AA26" i="40" s="1"/>
  <c r="G41" i="21"/>
  <c r="E41" i="21"/>
  <c r="D41" i="21"/>
  <c r="C41" i="21"/>
  <c r="Z26" i="40" s="1"/>
  <c r="B41" i="21"/>
  <c r="X26" i="40" s="1"/>
  <c r="A41" i="21"/>
  <c r="V26" i="40" s="1"/>
  <c r="Z37" i="21"/>
  <c r="B28" i="43" s="1"/>
  <c r="AC34" i="21"/>
  <c r="Z34" i="21"/>
  <c r="Y34" i="21"/>
  <c r="P26" i="40" s="1"/>
  <c r="AC33" i="21"/>
  <c r="AB33" i="21"/>
  <c r="G28" i="43" s="1"/>
  <c r="Z33" i="21"/>
  <c r="AA33" i="21" s="1"/>
  <c r="AC32" i="21"/>
  <c r="Z32" i="21"/>
  <c r="AA32" i="21" s="1"/>
  <c r="Z30" i="21"/>
  <c r="Y30" i="21"/>
  <c r="C28" i="43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N25" i="21"/>
  <c r="AL25" i="21"/>
  <c r="AJ25" i="21"/>
  <c r="AH25" i="21"/>
  <c r="AF25" i="21"/>
  <c r="AD25" i="21"/>
  <c r="AB25" i="21"/>
  <c r="S17" i="21" s="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S16" i="21" s="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40" s="1"/>
  <c r="N21" i="21"/>
  <c r="AD26" i="38" s="1"/>
  <c r="M21" i="21"/>
  <c r="R27" i="39" s="1"/>
  <c r="L21" i="21"/>
  <c r="K21" i="21"/>
  <c r="X26" i="38" s="1"/>
  <c r="J21" i="21"/>
  <c r="U26" i="38" s="1"/>
  <c r="I21" i="21"/>
  <c r="R26" i="38" s="1"/>
  <c r="H21" i="21"/>
  <c r="L27" i="39" s="1"/>
  <c r="G21" i="21"/>
  <c r="F21" i="21"/>
  <c r="L26" i="38" s="1"/>
  <c r="E21" i="21"/>
  <c r="I26" i="38" s="1"/>
  <c r="D21" i="21"/>
  <c r="F27" i="39" s="1"/>
  <c r="C21" i="21"/>
  <c r="B21" i="21"/>
  <c r="C26" i="38" s="1"/>
  <c r="AP20" i="21"/>
  <c r="AN20" i="21"/>
  <c r="AL20" i="21"/>
  <c r="AJ20" i="21"/>
  <c r="AH20" i="21"/>
  <c r="AF20" i="21"/>
  <c r="AD20" i="21"/>
  <c r="AB20" i="21"/>
  <c r="Q20" i="21"/>
  <c r="P20" i="21"/>
  <c r="O20" i="21"/>
  <c r="M26" i="40" s="1"/>
  <c r="N20" i="21"/>
  <c r="AC26" i="38" s="1"/>
  <c r="M20" i="21"/>
  <c r="Q27" i="39" s="1"/>
  <c r="L20" i="21"/>
  <c r="K20" i="21"/>
  <c r="W26" i="38" s="1"/>
  <c r="J20" i="21"/>
  <c r="T26" i="38" s="1"/>
  <c r="I20" i="21"/>
  <c r="Q26" i="38" s="1"/>
  <c r="H20" i="21"/>
  <c r="K27" i="39" s="1"/>
  <c r="G20" i="21"/>
  <c r="H27" i="39" s="1"/>
  <c r="F20" i="21"/>
  <c r="K26" i="38" s="1"/>
  <c r="E20" i="21"/>
  <c r="H26" i="38" s="1"/>
  <c r="D20" i="21"/>
  <c r="E27" i="39" s="1"/>
  <c r="C20" i="21"/>
  <c r="B20" i="21"/>
  <c r="B26" i="38" s="1"/>
  <c r="AP19" i="21"/>
  <c r="AN19" i="21"/>
  <c r="AL19" i="21"/>
  <c r="AJ19" i="21"/>
  <c r="AH19" i="21"/>
  <c r="AF19" i="21"/>
  <c r="AD19" i="21"/>
  <c r="AB19" i="21"/>
  <c r="S14" i="21" s="1"/>
  <c r="Q19" i="21"/>
  <c r="P19" i="21"/>
  <c r="O19" i="21"/>
  <c r="N19" i="21"/>
  <c r="AE26" i="38" s="1"/>
  <c r="M19" i="21"/>
  <c r="S27" i="39" s="1"/>
  <c r="L19" i="21"/>
  <c r="K19" i="21"/>
  <c r="Y26" i="38" s="1"/>
  <c r="J19" i="21"/>
  <c r="V26" i="38" s="1"/>
  <c r="I19" i="21"/>
  <c r="S26" i="38" s="1"/>
  <c r="H19" i="21"/>
  <c r="M27" i="39" s="1"/>
  <c r="G19" i="21"/>
  <c r="F19" i="21"/>
  <c r="M26" i="38" s="1"/>
  <c r="E19" i="21"/>
  <c r="J26" i="38" s="1"/>
  <c r="D19" i="21"/>
  <c r="G27" i="39" s="1"/>
  <c r="C19" i="21"/>
  <c r="B19" i="21"/>
  <c r="D26" i="38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V17" i="21"/>
  <c r="U17" i="21"/>
  <c r="T17" i="21"/>
  <c r="R17" i="21"/>
  <c r="AP16" i="21"/>
  <c r="AN16" i="21"/>
  <c r="AL16" i="21"/>
  <c r="AJ16" i="21"/>
  <c r="AH16" i="21"/>
  <c r="AF16" i="21"/>
  <c r="AD16" i="21"/>
  <c r="AB16" i="21"/>
  <c r="U16" i="21"/>
  <c r="T16" i="21"/>
  <c r="R16" i="21"/>
  <c r="AP15" i="21"/>
  <c r="AN15" i="21"/>
  <c r="AL15" i="21"/>
  <c r="AJ15" i="21"/>
  <c r="AH15" i="21"/>
  <c r="AF15" i="21"/>
  <c r="AD15" i="21"/>
  <c r="AB15" i="21"/>
  <c r="S12" i="21" s="1"/>
  <c r="U15" i="21"/>
  <c r="T15" i="21"/>
  <c r="R15" i="21"/>
  <c r="AP14" i="21"/>
  <c r="AN14" i="21"/>
  <c r="AL14" i="21"/>
  <c r="AJ14" i="21"/>
  <c r="AH14" i="21"/>
  <c r="AH34" i="21" s="1"/>
  <c r="AF14" i="21"/>
  <c r="AD14" i="21"/>
  <c r="AB14" i="21"/>
  <c r="U14" i="21"/>
  <c r="T14" i="21"/>
  <c r="R14" i="21"/>
  <c r="AP13" i="21"/>
  <c r="AN13" i="21"/>
  <c r="AL13" i="21"/>
  <c r="AJ13" i="21"/>
  <c r="AH13" i="21"/>
  <c r="AF13" i="21"/>
  <c r="AD13" i="21"/>
  <c r="AB13" i="21"/>
  <c r="U13" i="21"/>
  <c r="T13" i="21"/>
  <c r="S13" i="21"/>
  <c r="R13" i="21"/>
  <c r="AP12" i="21"/>
  <c r="AN12" i="21"/>
  <c r="AL12" i="21"/>
  <c r="AJ12" i="21"/>
  <c r="AH12" i="21"/>
  <c r="AF12" i="21"/>
  <c r="AD12" i="21"/>
  <c r="AB12" i="21"/>
  <c r="V12" i="21"/>
  <c r="U37" i="21" s="1"/>
  <c r="U12" i="21"/>
  <c r="T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S11" i="21"/>
  <c r="R11" i="21"/>
  <c r="AP10" i="21"/>
  <c r="AN10" i="21"/>
  <c r="AL10" i="21"/>
  <c r="AJ10" i="21"/>
  <c r="AH10" i="21"/>
  <c r="AF10" i="21"/>
  <c r="AD10" i="21"/>
  <c r="AB10" i="21"/>
  <c r="U10" i="21"/>
  <c r="T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L7" i="21"/>
  <c r="AJ7" i="21"/>
  <c r="AH7" i="21"/>
  <c r="AF7" i="21"/>
  <c r="AD7" i="21"/>
  <c r="AB7" i="21"/>
  <c r="S8" i="21" s="1"/>
  <c r="V7" i="21"/>
  <c r="U7" i="21"/>
  <c r="T7" i="21"/>
  <c r="S7" i="21"/>
  <c r="R7" i="21"/>
  <c r="AP6" i="21"/>
  <c r="AN6" i="21"/>
  <c r="AL6" i="21"/>
  <c r="AJ6" i="21"/>
  <c r="AH6" i="21"/>
  <c r="AF6" i="21"/>
  <c r="AD6" i="21"/>
  <c r="AB6" i="21"/>
  <c r="R57" i="20"/>
  <c r="AF25" i="40" s="1"/>
  <c r="O57" i="20"/>
  <c r="AE25" i="40" s="1"/>
  <c r="AN56" i="20"/>
  <c r="AN54" i="20"/>
  <c r="AL54" i="20"/>
  <c r="AJ54" i="20"/>
  <c r="AA54" i="20"/>
  <c r="AA55" i="20" s="1"/>
  <c r="Y54" i="20"/>
  <c r="AJ55" i="20" s="1"/>
  <c r="AN55" i="20" s="1"/>
  <c r="AC53" i="20"/>
  <c r="AA53" i="20"/>
  <c r="Y53" i="20"/>
  <c r="R51" i="20"/>
  <c r="AD25" i="40" s="1"/>
  <c r="P51" i="20"/>
  <c r="O51" i="20"/>
  <c r="AC25" i="40" s="1"/>
  <c r="AN47" i="20"/>
  <c r="AL47" i="20"/>
  <c r="AJ47" i="20"/>
  <c r="AJ49" i="20" s="1"/>
  <c r="AA47" i="20"/>
  <c r="AE46" i="20"/>
  <c r="AE47" i="20" s="1"/>
  <c r="AC46" i="20"/>
  <c r="AA46" i="20"/>
  <c r="Y46" i="20"/>
  <c r="AJ48" i="20" s="1"/>
  <c r="AN48" i="20" s="1"/>
  <c r="AN49" i="20" s="1"/>
  <c r="AC45" i="20"/>
  <c r="AA45" i="20"/>
  <c r="AG44" i="20" s="1"/>
  <c r="Y45" i="20"/>
  <c r="Y47" i="20" s="1"/>
  <c r="L45" i="20"/>
  <c r="AG25" i="40" s="1"/>
  <c r="H45" i="20"/>
  <c r="Y25" i="40" s="1"/>
  <c r="S41" i="20"/>
  <c r="O41" i="20"/>
  <c r="AA25" i="40" s="1"/>
  <c r="G41" i="20"/>
  <c r="E41" i="20"/>
  <c r="D41" i="20"/>
  <c r="C41" i="20"/>
  <c r="Z25" i="40" s="1"/>
  <c r="B41" i="20"/>
  <c r="X25" i="40" s="1"/>
  <c r="A41" i="20"/>
  <c r="V25" i="40" s="1"/>
  <c r="Z37" i="20"/>
  <c r="B27" i="43" s="1"/>
  <c r="AC34" i="20"/>
  <c r="Z34" i="20"/>
  <c r="Y34" i="20"/>
  <c r="P25" i="40" s="1"/>
  <c r="AC33" i="20"/>
  <c r="AB33" i="20"/>
  <c r="G27" i="43" s="1"/>
  <c r="Z33" i="20"/>
  <c r="AA33" i="20" s="1"/>
  <c r="AC32" i="20"/>
  <c r="Z32" i="20"/>
  <c r="AA32" i="20" s="1"/>
  <c r="Z30" i="20"/>
  <c r="Y30" i="20"/>
  <c r="C27" i="43" s="1"/>
  <c r="AP29" i="20"/>
  <c r="AN29" i="20"/>
  <c r="AL29" i="20"/>
  <c r="AJ29" i="20"/>
  <c r="AH29" i="20"/>
  <c r="AF29" i="20"/>
  <c r="AD29" i="20"/>
  <c r="AB29" i="20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S18" i="20" s="1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P30" i="20" s="1"/>
  <c r="AR38" i="20" s="1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S17" i="20" s="1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S16" i="20" s="1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S15" i="20" s="1"/>
  <c r="Q21" i="20"/>
  <c r="P21" i="20"/>
  <c r="O21" i="20"/>
  <c r="N25" i="40" s="1"/>
  <c r="N21" i="20"/>
  <c r="AD25" i="38" s="1"/>
  <c r="M21" i="20"/>
  <c r="L21" i="20"/>
  <c r="K21" i="20"/>
  <c r="X25" i="38" s="1"/>
  <c r="J21" i="20"/>
  <c r="U25" i="38" s="1"/>
  <c r="I21" i="20"/>
  <c r="R25" i="38" s="1"/>
  <c r="H21" i="20"/>
  <c r="G21" i="20"/>
  <c r="F21" i="20"/>
  <c r="L25" i="38" s="1"/>
  <c r="E21" i="20"/>
  <c r="I25" i="38" s="1"/>
  <c r="D21" i="20"/>
  <c r="C21" i="20"/>
  <c r="B21" i="20"/>
  <c r="C25" i="38" s="1"/>
  <c r="AP20" i="20"/>
  <c r="AN20" i="20"/>
  <c r="AL20" i="20"/>
  <c r="AJ20" i="20"/>
  <c r="AH20" i="20"/>
  <c r="AF20" i="20"/>
  <c r="AD20" i="20"/>
  <c r="AB20" i="20"/>
  <c r="Q20" i="20"/>
  <c r="P20" i="20"/>
  <c r="O20" i="20"/>
  <c r="M25" i="40" s="1"/>
  <c r="N20" i="20"/>
  <c r="AC25" i="38" s="1"/>
  <c r="M20" i="20"/>
  <c r="L20" i="20"/>
  <c r="K20" i="20"/>
  <c r="W25" i="38" s="1"/>
  <c r="J20" i="20"/>
  <c r="T25" i="38" s="1"/>
  <c r="I20" i="20"/>
  <c r="Q25" i="38" s="1"/>
  <c r="H20" i="20"/>
  <c r="G20" i="20"/>
  <c r="F20" i="20"/>
  <c r="K25" i="38" s="1"/>
  <c r="E20" i="20"/>
  <c r="H25" i="38" s="1"/>
  <c r="D20" i="20"/>
  <c r="C20" i="20"/>
  <c r="B20" i="20"/>
  <c r="B25" i="38" s="1"/>
  <c r="AP19" i="20"/>
  <c r="AN19" i="20"/>
  <c r="AL19" i="20"/>
  <c r="AJ19" i="20"/>
  <c r="AH19" i="20"/>
  <c r="AF19" i="20"/>
  <c r="AD19" i="20"/>
  <c r="AB19" i="20"/>
  <c r="S14" i="20" s="1"/>
  <c r="Q19" i="20"/>
  <c r="P19" i="20"/>
  <c r="O19" i="20"/>
  <c r="N19" i="20"/>
  <c r="AE25" i="38" s="1"/>
  <c r="M19" i="20"/>
  <c r="L19" i="20"/>
  <c r="K19" i="20"/>
  <c r="Y25" i="38" s="1"/>
  <c r="J19" i="20"/>
  <c r="V25" i="38" s="1"/>
  <c r="I19" i="20"/>
  <c r="S25" i="38" s="1"/>
  <c r="H19" i="20"/>
  <c r="G19" i="20"/>
  <c r="F19" i="20"/>
  <c r="M25" i="38" s="1"/>
  <c r="E19" i="20"/>
  <c r="J25" i="38" s="1"/>
  <c r="D19" i="20"/>
  <c r="C19" i="20"/>
  <c r="B19" i="20"/>
  <c r="D25" i="38" s="1"/>
  <c r="AP18" i="20"/>
  <c r="AN18" i="20"/>
  <c r="AL18" i="20"/>
  <c r="AJ18" i="20"/>
  <c r="AH18" i="20"/>
  <c r="AF18" i="20"/>
  <c r="AD18" i="20"/>
  <c r="AB18" i="20"/>
  <c r="U18" i="20"/>
  <c r="T18" i="20"/>
  <c r="R18" i="20"/>
  <c r="AP17" i="20"/>
  <c r="AN17" i="20"/>
  <c r="AL17" i="20"/>
  <c r="AJ17" i="20"/>
  <c r="AH17" i="20"/>
  <c r="AH30" i="20" s="1"/>
  <c r="AF17" i="20"/>
  <c r="AD17" i="20"/>
  <c r="AB17" i="20"/>
  <c r="S13" i="20" s="1"/>
  <c r="V17" i="20"/>
  <c r="U17" i="20"/>
  <c r="T17" i="20"/>
  <c r="R17" i="20"/>
  <c r="AP16" i="20"/>
  <c r="AN16" i="20"/>
  <c r="AL16" i="20"/>
  <c r="AJ16" i="20"/>
  <c r="AH16" i="20"/>
  <c r="AF16" i="20"/>
  <c r="AD16" i="20"/>
  <c r="AB16" i="20"/>
  <c r="U16" i="20"/>
  <c r="T16" i="20"/>
  <c r="R16" i="20"/>
  <c r="AP15" i="20"/>
  <c r="AN15" i="20"/>
  <c r="AL15" i="20"/>
  <c r="AJ15" i="20"/>
  <c r="AH15" i="20"/>
  <c r="AF15" i="20"/>
  <c r="AD15" i="20"/>
  <c r="AB15" i="20"/>
  <c r="S12" i="20" s="1"/>
  <c r="U15" i="20"/>
  <c r="T15" i="20"/>
  <c r="R15" i="20"/>
  <c r="AP14" i="20"/>
  <c r="AN14" i="20"/>
  <c r="AL14" i="20"/>
  <c r="AJ14" i="20"/>
  <c r="AH14" i="20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U13" i="20"/>
  <c r="T13" i="20"/>
  <c r="R13" i="20"/>
  <c r="AP12" i="20"/>
  <c r="AN12" i="20"/>
  <c r="AL12" i="20"/>
  <c r="AJ12" i="20"/>
  <c r="AH12" i="20"/>
  <c r="AF12" i="20"/>
  <c r="AD12" i="20"/>
  <c r="AB12" i="20"/>
  <c r="V12" i="20"/>
  <c r="U37" i="20" s="1"/>
  <c r="U12" i="20"/>
  <c r="T12" i="20"/>
  <c r="R12" i="20"/>
  <c r="AP11" i="20"/>
  <c r="AN11" i="20"/>
  <c r="AL11" i="20"/>
  <c r="AJ11" i="20"/>
  <c r="AH11" i="20"/>
  <c r="AF11" i="20"/>
  <c r="AD11" i="20"/>
  <c r="AB11" i="20"/>
  <c r="U11" i="20"/>
  <c r="T11" i="20"/>
  <c r="S11" i="20"/>
  <c r="R11" i="20"/>
  <c r="AP10" i="20"/>
  <c r="AN10" i="20"/>
  <c r="AL10" i="20"/>
  <c r="AJ10" i="20"/>
  <c r="AH10" i="20"/>
  <c r="AF10" i="20"/>
  <c r="AD10" i="20"/>
  <c r="AB10" i="20"/>
  <c r="U10" i="20"/>
  <c r="T10" i="20"/>
  <c r="S10" i="20"/>
  <c r="R10" i="20"/>
  <c r="AP9" i="20"/>
  <c r="AN9" i="20"/>
  <c r="AL9" i="20"/>
  <c r="AJ9" i="20"/>
  <c r="AH9" i="20"/>
  <c r="AF9" i="20"/>
  <c r="AD9" i="20"/>
  <c r="AB9" i="20"/>
  <c r="U9" i="20"/>
  <c r="T9" i="20"/>
  <c r="S9" i="20"/>
  <c r="R9" i="20"/>
  <c r="AP8" i="20"/>
  <c r="AN8" i="20"/>
  <c r="AL8" i="20"/>
  <c r="AJ8" i="20"/>
  <c r="AH8" i="20"/>
  <c r="AF8" i="20"/>
  <c r="AD8" i="20"/>
  <c r="AB8" i="20"/>
  <c r="U8" i="20"/>
  <c r="T8" i="20"/>
  <c r="S8" i="20"/>
  <c r="R8" i="20"/>
  <c r="AP7" i="20"/>
  <c r="AN7" i="20"/>
  <c r="AL7" i="20"/>
  <c r="AL34" i="20" s="1"/>
  <c r="AJ7" i="20"/>
  <c r="AH7" i="20"/>
  <c r="AF7" i="20"/>
  <c r="AD7" i="20"/>
  <c r="AB7" i="20"/>
  <c r="V7" i="20"/>
  <c r="U7" i="20"/>
  <c r="T7" i="20"/>
  <c r="R7" i="20"/>
  <c r="AP6" i="20"/>
  <c r="AN6" i="20"/>
  <c r="AL6" i="20"/>
  <c r="AJ6" i="20"/>
  <c r="AH6" i="20"/>
  <c r="AF6" i="20"/>
  <c r="AD6" i="20"/>
  <c r="AB6" i="20"/>
  <c r="R57" i="19"/>
  <c r="AF24" i="40" s="1"/>
  <c r="O57" i="19"/>
  <c r="AE24" i="40" s="1"/>
  <c r="AL55" i="19"/>
  <c r="AN54" i="19"/>
  <c r="AL54" i="19"/>
  <c r="AJ54" i="19"/>
  <c r="AJ56" i="19" s="1"/>
  <c r="AA54" i="19"/>
  <c r="AA55" i="19" s="1"/>
  <c r="Y54" i="19"/>
  <c r="AJ55" i="19" s="1"/>
  <c r="AN55" i="19" s="1"/>
  <c r="AC53" i="19"/>
  <c r="AA53" i="19"/>
  <c r="Y53" i="19"/>
  <c r="Y55" i="19" s="1"/>
  <c r="R51" i="19"/>
  <c r="AD24" i="40" s="1"/>
  <c r="P51" i="19"/>
  <c r="O51" i="19"/>
  <c r="AC24" i="40" s="1"/>
  <c r="AJ49" i="19"/>
  <c r="AN48" i="19"/>
  <c r="AJ48" i="19"/>
  <c r="AN47" i="19"/>
  <c r="AN49" i="19" s="1"/>
  <c r="AL47" i="19"/>
  <c r="AJ47" i="19"/>
  <c r="AE47" i="19"/>
  <c r="AC46" i="19"/>
  <c r="AC47" i="19" s="1"/>
  <c r="AA46" i="19"/>
  <c r="Y46" i="19"/>
  <c r="AC45" i="19"/>
  <c r="AA45" i="19"/>
  <c r="Y45" i="19"/>
  <c r="Y47" i="19" s="1"/>
  <c r="L45" i="19"/>
  <c r="AG24" i="40" s="1"/>
  <c r="H45" i="19"/>
  <c r="Y24" i="40" s="1"/>
  <c r="S41" i="19"/>
  <c r="Q45" i="19" s="1"/>
  <c r="AB24" i="40" s="1"/>
  <c r="O41" i="19"/>
  <c r="AA24" i="40" s="1"/>
  <c r="G41" i="19"/>
  <c r="E41" i="19"/>
  <c r="D41" i="19"/>
  <c r="C41" i="19"/>
  <c r="Z24" i="40" s="1"/>
  <c r="B41" i="19"/>
  <c r="X24" i="40" s="1"/>
  <c r="A41" i="19"/>
  <c r="V24" i="40" s="1"/>
  <c r="Z37" i="19"/>
  <c r="B26" i="43" s="1"/>
  <c r="U37" i="19"/>
  <c r="AL34" i="19"/>
  <c r="AC34" i="19"/>
  <c r="Z34" i="19"/>
  <c r="Y34" i="19"/>
  <c r="P24" i="40" s="1"/>
  <c r="AC33" i="19"/>
  <c r="AB33" i="19"/>
  <c r="G26" i="43" s="1"/>
  <c r="Z33" i="19"/>
  <c r="AA33" i="19" s="1"/>
  <c r="F26" i="43" s="1"/>
  <c r="AC32" i="19"/>
  <c r="Z32" i="19"/>
  <c r="AA32" i="19" s="1"/>
  <c r="Z30" i="19"/>
  <c r="Y30" i="19"/>
  <c r="C26" i="43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R21" i="19"/>
  <c r="Q21" i="19"/>
  <c r="P21" i="19"/>
  <c r="O21" i="19"/>
  <c r="N24" i="40" s="1"/>
  <c r="N21" i="19"/>
  <c r="AD24" i="38" s="1"/>
  <c r="M21" i="19"/>
  <c r="R25" i="39" s="1"/>
  <c r="L21" i="19"/>
  <c r="K21" i="19"/>
  <c r="X24" i="38" s="1"/>
  <c r="J21" i="19"/>
  <c r="U24" i="38" s="1"/>
  <c r="I21" i="19"/>
  <c r="R24" i="38" s="1"/>
  <c r="H21" i="19"/>
  <c r="L25" i="39" s="1"/>
  <c r="G21" i="19"/>
  <c r="F21" i="19"/>
  <c r="L24" i="38" s="1"/>
  <c r="E21" i="19"/>
  <c r="I24" i="38" s="1"/>
  <c r="D21" i="19"/>
  <c r="F25" i="39" s="1"/>
  <c r="C21" i="19"/>
  <c r="B21" i="19"/>
  <c r="C24" i="38" s="1"/>
  <c r="AP20" i="19"/>
  <c r="AN20" i="19"/>
  <c r="AL20" i="19"/>
  <c r="AJ20" i="19"/>
  <c r="AH20" i="19"/>
  <c r="AF20" i="19"/>
  <c r="AD20" i="19"/>
  <c r="AB20" i="19"/>
  <c r="Q20" i="19"/>
  <c r="P20" i="19"/>
  <c r="O20" i="19"/>
  <c r="M24" i="40" s="1"/>
  <c r="N20" i="19"/>
  <c r="AC24" i="38" s="1"/>
  <c r="M20" i="19"/>
  <c r="Q25" i="39" s="1"/>
  <c r="L20" i="19"/>
  <c r="K20" i="19"/>
  <c r="W24" i="38" s="1"/>
  <c r="J20" i="19"/>
  <c r="T24" i="38" s="1"/>
  <c r="I20" i="19"/>
  <c r="Q24" i="38" s="1"/>
  <c r="H20" i="19"/>
  <c r="K25" i="39" s="1"/>
  <c r="G20" i="19"/>
  <c r="F20" i="19"/>
  <c r="K24" i="38" s="1"/>
  <c r="E20" i="19"/>
  <c r="H24" i="38" s="1"/>
  <c r="D20" i="19"/>
  <c r="E25" i="39" s="1"/>
  <c r="C20" i="19"/>
  <c r="B20" i="19"/>
  <c r="B24" i="38" s="1"/>
  <c r="AP19" i="19"/>
  <c r="AN19" i="19"/>
  <c r="AL19" i="19"/>
  <c r="AJ19" i="19"/>
  <c r="AH19" i="19"/>
  <c r="AF19" i="19"/>
  <c r="AD19" i="19"/>
  <c r="AB19" i="19"/>
  <c r="Q19" i="19"/>
  <c r="P19" i="19"/>
  <c r="O19" i="19"/>
  <c r="N19" i="19"/>
  <c r="AE24" i="38" s="1"/>
  <c r="M19" i="19"/>
  <c r="S25" i="39" s="1"/>
  <c r="L19" i="19"/>
  <c r="K19" i="19"/>
  <c r="Y24" i="38" s="1"/>
  <c r="J19" i="19"/>
  <c r="V24" i="38" s="1"/>
  <c r="I19" i="19"/>
  <c r="S24" i="38" s="1"/>
  <c r="H19" i="19"/>
  <c r="M25" i="39" s="1"/>
  <c r="G19" i="19"/>
  <c r="F19" i="19"/>
  <c r="M24" i="38" s="1"/>
  <c r="E19" i="19"/>
  <c r="J24" i="38" s="1"/>
  <c r="D19" i="19"/>
  <c r="G25" i="39" s="1"/>
  <c r="C19" i="19"/>
  <c r="B19" i="19"/>
  <c r="D24" i="38" s="1"/>
  <c r="AP18" i="19"/>
  <c r="AN18" i="19"/>
  <c r="AL18" i="19"/>
  <c r="AJ18" i="19"/>
  <c r="AH18" i="19"/>
  <c r="AF18" i="19"/>
  <c r="AD18" i="19"/>
  <c r="AB18" i="19"/>
  <c r="U18" i="19"/>
  <c r="T18" i="19"/>
  <c r="S18" i="19"/>
  <c r="R18" i="19"/>
  <c r="R19" i="19" s="1"/>
  <c r="AP17" i="19"/>
  <c r="AN17" i="19"/>
  <c r="AL17" i="19"/>
  <c r="AJ17" i="19"/>
  <c r="AH17" i="19"/>
  <c r="AF17" i="19"/>
  <c r="AD17" i="19"/>
  <c r="AB17" i="19"/>
  <c r="V17" i="19"/>
  <c r="U17" i="19"/>
  <c r="T17" i="19"/>
  <c r="S17" i="19"/>
  <c r="R17" i="19"/>
  <c r="AP16" i="19"/>
  <c r="AN16" i="19"/>
  <c r="AL16" i="19"/>
  <c r="AJ16" i="19"/>
  <c r="AH16" i="19"/>
  <c r="AF16" i="19"/>
  <c r="AD16" i="19"/>
  <c r="AB16" i="19"/>
  <c r="U16" i="19"/>
  <c r="T16" i="19"/>
  <c r="S16" i="19"/>
  <c r="R16" i="19"/>
  <c r="AP15" i="19"/>
  <c r="AN15" i="19"/>
  <c r="AL15" i="19"/>
  <c r="AJ15" i="19"/>
  <c r="AH15" i="19"/>
  <c r="AF15" i="19"/>
  <c r="AD15" i="19"/>
  <c r="AB15" i="19"/>
  <c r="U15" i="19"/>
  <c r="T15" i="19"/>
  <c r="S15" i="19"/>
  <c r="R15" i="19"/>
  <c r="AP14" i="19"/>
  <c r="AN14" i="19"/>
  <c r="AL14" i="19"/>
  <c r="AJ14" i="19"/>
  <c r="AH14" i="19"/>
  <c r="AF14" i="19"/>
  <c r="AD14" i="19"/>
  <c r="AB14" i="19"/>
  <c r="U14" i="19"/>
  <c r="T14" i="19"/>
  <c r="S14" i="19"/>
  <c r="R14" i="19"/>
  <c r="AP13" i="19"/>
  <c r="AN13" i="19"/>
  <c r="AL13" i="19"/>
  <c r="AJ13" i="19"/>
  <c r="AH13" i="19"/>
  <c r="AF13" i="19"/>
  <c r="AD13" i="19"/>
  <c r="AB13" i="19"/>
  <c r="U13" i="19"/>
  <c r="T13" i="19"/>
  <c r="S13" i="19"/>
  <c r="R13" i="19"/>
  <c r="AP12" i="19"/>
  <c r="AN12" i="19"/>
  <c r="AL12" i="19"/>
  <c r="AJ12" i="19"/>
  <c r="AH12" i="19"/>
  <c r="AF12" i="19"/>
  <c r="AD12" i="19"/>
  <c r="AD34" i="19" s="1"/>
  <c r="AB12" i="19"/>
  <c r="V12" i="19"/>
  <c r="U12" i="19"/>
  <c r="T12" i="19"/>
  <c r="S12" i="19"/>
  <c r="R12" i="19"/>
  <c r="AP11" i="19"/>
  <c r="AN11" i="19"/>
  <c r="AL11" i="19"/>
  <c r="AJ11" i="19"/>
  <c r="AH11" i="19"/>
  <c r="AF11" i="19"/>
  <c r="AD11" i="19"/>
  <c r="AB11" i="19"/>
  <c r="U11" i="19"/>
  <c r="T11" i="19"/>
  <c r="S11" i="19"/>
  <c r="R11" i="19"/>
  <c r="AP10" i="19"/>
  <c r="AN10" i="19"/>
  <c r="AL10" i="19"/>
  <c r="AJ10" i="19"/>
  <c r="AH10" i="19"/>
  <c r="AF10" i="19"/>
  <c r="AD10" i="19"/>
  <c r="AB10" i="19"/>
  <c r="U10" i="19"/>
  <c r="T10" i="19"/>
  <c r="S10" i="19"/>
  <c r="R10" i="19"/>
  <c r="AP9" i="19"/>
  <c r="AN9" i="19"/>
  <c r="AL9" i="19"/>
  <c r="AJ9" i="19"/>
  <c r="AH9" i="19"/>
  <c r="AF9" i="19"/>
  <c r="AD9" i="19"/>
  <c r="AB9" i="19"/>
  <c r="U9" i="19"/>
  <c r="T9" i="19"/>
  <c r="S9" i="19"/>
  <c r="R9" i="19"/>
  <c r="AP8" i="19"/>
  <c r="AN8" i="19"/>
  <c r="AL8" i="19"/>
  <c r="AJ8" i="19"/>
  <c r="AH8" i="19"/>
  <c r="AF8" i="19"/>
  <c r="AD8" i="19"/>
  <c r="AB8" i="19"/>
  <c r="U8" i="19"/>
  <c r="T8" i="19"/>
  <c r="S8" i="19"/>
  <c r="R8" i="19"/>
  <c r="AP7" i="19"/>
  <c r="AN7" i="19"/>
  <c r="AL7" i="19"/>
  <c r="AJ7" i="19"/>
  <c r="AH7" i="19"/>
  <c r="AF7" i="19"/>
  <c r="AD7" i="19"/>
  <c r="AB7" i="19"/>
  <c r="V7" i="19"/>
  <c r="U7" i="19"/>
  <c r="T7" i="19"/>
  <c r="R7" i="19"/>
  <c r="AP6" i="19"/>
  <c r="AN6" i="19"/>
  <c r="AN30" i="19" s="1"/>
  <c r="AL6" i="19"/>
  <c r="AJ6" i="19"/>
  <c r="AH6" i="19"/>
  <c r="AF6" i="19"/>
  <c r="AF30" i="19" s="1"/>
  <c r="AD6" i="19"/>
  <c r="AB6" i="19"/>
  <c r="R57" i="18"/>
  <c r="AF23" i="40" s="1"/>
  <c r="O57" i="18"/>
  <c r="AE23" i="40" s="1"/>
  <c r="AN54" i="18"/>
  <c r="AL54" i="18"/>
  <c r="AJ54" i="18"/>
  <c r="AE54" i="18"/>
  <c r="AE55" i="18" s="1"/>
  <c r="AC54" i="18"/>
  <c r="AA54" i="18"/>
  <c r="Y54" i="18"/>
  <c r="AJ55" i="18" s="1"/>
  <c r="AL55" i="18" s="1"/>
  <c r="AC53" i="18"/>
  <c r="AA53" i="18"/>
  <c r="AA55" i="18" s="1"/>
  <c r="Y53" i="18"/>
  <c r="Y55" i="18" s="1"/>
  <c r="R51" i="18"/>
  <c r="AD23" i="40" s="1"/>
  <c r="P51" i="18"/>
  <c r="O51" i="18"/>
  <c r="AC23" i="40" s="1"/>
  <c r="AN47" i="18"/>
  <c r="AL47" i="18"/>
  <c r="AJ47" i="18"/>
  <c r="Y46" i="18"/>
  <c r="AC45" i="18"/>
  <c r="AA45" i="18"/>
  <c r="Y45" i="18"/>
  <c r="Q45" i="18"/>
  <c r="AB23" i="40" s="1"/>
  <c r="L45" i="18"/>
  <c r="AG23" i="40" s="1"/>
  <c r="H45" i="18"/>
  <c r="Y23" i="40" s="1"/>
  <c r="S41" i="18"/>
  <c r="O41" i="18"/>
  <c r="AA23" i="40" s="1"/>
  <c r="L41" i="18"/>
  <c r="J41" i="18"/>
  <c r="W23" i="40" s="1"/>
  <c r="G41" i="18"/>
  <c r="E41" i="18"/>
  <c r="D41" i="18"/>
  <c r="C41" i="18"/>
  <c r="Z23" i="40" s="1"/>
  <c r="B41" i="18"/>
  <c r="X23" i="40" s="1"/>
  <c r="A41" i="18"/>
  <c r="V23" i="40" s="1"/>
  <c r="Z37" i="18"/>
  <c r="B25" i="43" s="1"/>
  <c r="AC34" i="18"/>
  <c r="Z34" i="18"/>
  <c r="Y34" i="18"/>
  <c r="P23" i="40" s="1"/>
  <c r="AC33" i="18"/>
  <c r="AB33" i="18"/>
  <c r="G25" i="43" s="1"/>
  <c r="AA33" i="18"/>
  <c r="Z33" i="18"/>
  <c r="AC32" i="18"/>
  <c r="AA32" i="18"/>
  <c r="Z32" i="18"/>
  <c r="Z30" i="18"/>
  <c r="Y30" i="18"/>
  <c r="C25" i="43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L21" i="18"/>
  <c r="AJ21" i="18"/>
  <c r="AH21" i="18"/>
  <c r="AF21" i="18"/>
  <c r="AD21" i="18"/>
  <c r="AB21" i="18"/>
  <c r="S15" i="18" s="1"/>
  <c r="Q21" i="18"/>
  <c r="P21" i="18"/>
  <c r="O21" i="18"/>
  <c r="N23" i="40" s="1"/>
  <c r="N21" i="18"/>
  <c r="AD23" i="38" s="1"/>
  <c r="M21" i="18"/>
  <c r="R24" i="39" s="1"/>
  <c r="L21" i="18"/>
  <c r="K21" i="18"/>
  <c r="X23" i="38" s="1"/>
  <c r="J21" i="18"/>
  <c r="U23" i="38" s="1"/>
  <c r="I21" i="18"/>
  <c r="R23" i="38" s="1"/>
  <c r="H21" i="18"/>
  <c r="L24" i="39" s="1"/>
  <c r="G21" i="18"/>
  <c r="F21" i="18"/>
  <c r="L23" i="38" s="1"/>
  <c r="E21" i="18"/>
  <c r="I23" i="38" s="1"/>
  <c r="D21" i="18"/>
  <c r="F24" i="39" s="1"/>
  <c r="C21" i="18"/>
  <c r="B21" i="18"/>
  <c r="C23" i="38" s="1"/>
  <c r="AP20" i="18"/>
  <c r="AN20" i="18"/>
  <c r="AL20" i="18"/>
  <c r="AJ20" i="18"/>
  <c r="AH20" i="18"/>
  <c r="AF20" i="18"/>
  <c r="AD20" i="18"/>
  <c r="AB20" i="18"/>
  <c r="Q20" i="18"/>
  <c r="P20" i="18"/>
  <c r="O20" i="18"/>
  <c r="M23" i="40" s="1"/>
  <c r="N20" i="18"/>
  <c r="AC23" i="38" s="1"/>
  <c r="M20" i="18"/>
  <c r="Q24" i="39" s="1"/>
  <c r="L20" i="18"/>
  <c r="N24" i="39" s="1"/>
  <c r="K20" i="18"/>
  <c r="W23" i="38" s="1"/>
  <c r="J20" i="18"/>
  <c r="T23" i="38" s="1"/>
  <c r="I20" i="18"/>
  <c r="Q23" i="38" s="1"/>
  <c r="H20" i="18"/>
  <c r="K24" i="39" s="1"/>
  <c r="G20" i="18"/>
  <c r="F20" i="18"/>
  <c r="K23" i="38" s="1"/>
  <c r="E20" i="18"/>
  <c r="H23" i="38" s="1"/>
  <c r="D20" i="18"/>
  <c r="E24" i="39" s="1"/>
  <c r="C20" i="18"/>
  <c r="B20" i="18"/>
  <c r="B23" i="38" s="1"/>
  <c r="AP19" i="18"/>
  <c r="AN19" i="18"/>
  <c r="AL19" i="18"/>
  <c r="AJ19" i="18"/>
  <c r="AH19" i="18"/>
  <c r="AF19" i="18"/>
  <c r="AD19" i="18"/>
  <c r="AB19" i="18"/>
  <c r="S14" i="18" s="1"/>
  <c r="Q19" i="18"/>
  <c r="P19" i="18"/>
  <c r="O19" i="18"/>
  <c r="N19" i="18"/>
  <c r="AE23" i="38" s="1"/>
  <c r="M19" i="18"/>
  <c r="S24" i="39" s="1"/>
  <c r="L19" i="18"/>
  <c r="K19" i="18"/>
  <c r="Y23" i="38" s="1"/>
  <c r="J19" i="18"/>
  <c r="V23" i="38" s="1"/>
  <c r="I19" i="18"/>
  <c r="H19" i="18"/>
  <c r="M24" i="39" s="1"/>
  <c r="G19" i="18"/>
  <c r="F19" i="18"/>
  <c r="M23" i="38" s="1"/>
  <c r="E19" i="18"/>
  <c r="J23" i="38" s="1"/>
  <c r="D19" i="18"/>
  <c r="G24" i="39" s="1"/>
  <c r="C19" i="18"/>
  <c r="B19" i="18"/>
  <c r="D23" i="38" s="1"/>
  <c r="AP18" i="18"/>
  <c r="AN18" i="18"/>
  <c r="AL18" i="18"/>
  <c r="AJ18" i="18"/>
  <c r="AH18" i="18"/>
  <c r="AF18" i="18"/>
  <c r="AD18" i="18"/>
  <c r="AB18" i="18"/>
  <c r="U18" i="18"/>
  <c r="T18" i="18"/>
  <c r="S18" i="18"/>
  <c r="R18" i="18"/>
  <c r="AP17" i="18"/>
  <c r="AN17" i="18"/>
  <c r="AL17" i="18"/>
  <c r="AJ17" i="18"/>
  <c r="AH17" i="18"/>
  <c r="AF17" i="18"/>
  <c r="AD17" i="18"/>
  <c r="AB17" i="18"/>
  <c r="V17" i="18"/>
  <c r="U17" i="18"/>
  <c r="T17" i="18"/>
  <c r="S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U13" i="18"/>
  <c r="T13" i="18"/>
  <c r="S13" i="18"/>
  <c r="R13" i="18"/>
  <c r="AP12" i="18"/>
  <c r="AN12" i="18"/>
  <c r="AL12" i="18"/>
  <c r="AJ12" i="18"/>
  <c r="AH12" i="18"/>
  <c r="AF12" i="18"/>
  <c r="AD12" i="18"/>
  <c r="AB12" i="18"/>
  <c r="V12" i="18"/>
  <c r="U37" i="18" s="1"/>
  <c r="U12" i="18"/>
  <c r="T12" i="18"/>
  <c r="S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S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N7" i="18"/>
  <c r="AL7" i="18"/>
  <c r="AJ7" i="18"/>
  <c r="AH7" i="18"/>
  <c r="AF7" i="18"/>
  <c r="AD7" i="18"/>
  <c r="AB7" i="18"/>
  <c r="S8" i="18" s="1"/>
  <c r="V7" i="18"/>
  <c r="U7" i="18"/>
  <c r="T7" i="18"/>
  <c r="S7" i="18"/>
  <c r="R7" i="18"/>
  <c r="R21" i="18" s="1"/>
  <c r="AP6" i="18"/>
  <c r="AN6" i="18"/>
  <c r="AL6" i="18"/>
  <c r="AL34" i="18" s="1"/>
  <c r="AJ6" i="18"/>
  <c r="AH6" i="18"/>
  <c r="AF6" i="18"/>
  <c r="AD6" i="18"/>
  <c r="AD34" i="18" s="1"/>
  <c r="AB6" i="18"/>
  <c r="AB32" i="18" s="1"/>
  <c r="R57" i="17"/>
  <c r="AF22" i="40" s="1"/>
  <c r="O57" i="17"/>
  <c r="AE22" i="40" s="1"/>
  <c r="AN54" i="17"/>
  <c r="AL54" i="17"/>
  <c r="AJ54" i="17"/>
  <c r="AA54" i="17"/>
  <c r="AA55" i="17" s="1"/>
  <c r="Y54" i="17"/>
  <c r="AJ55" i="17" s="1"/>
  <c r="AN55" i="17" s="1"/>
  <c r="AN56" i="17" s="1"/>
  <c r="AC53" i="17"/>
  <c r="AA53" i="17"/>
  <c r="Y53" i="17"/>
  <c r="R51" i="17"/>
  <c r="AD22" i="40" s="1"/>
  <c r="P51" i="17"/>
  <c r="O51" i="17"/>
  <c r="AC22" i="40" s="1"/>
  <c r="AN47" i="17"/>
  <c r="AL47" i="17"/>
  <c r="AJ47" i="17"/>
  <c r="AA47" i="17"/>
  <c r="AE46" i="17"/>
  <c r="AE47" i="17" s="1"/>
  <c r="AC46" i="17"/>
  <c r="AA46" i="17"/>
  <c r="Y46" i="17"/>
  <c r="AJ48" i="17" s="1"/>
  <c r="AN48" i="17" s="1"/>
  <c r="AN49" i="17" s="1"/>
  <c r="AC45" i="17"/>
  <c r="AC47" i="17" s="1"/>
  <c r="AA45" i="17"/>
  <c r="AG44" i="17" s="1"/>
  <c r="Y45" i="17"/>
  <c r="Y47" i="17" s="1"/>
  <c r="L45" i="17"/>
  <c r="AG22" i="40" s="1"/>
  <c r="H45" i="17"/>
  <c r="Y22" i="40" s="1"/>
  <c r="S41" i="17"/>
  <c r="Q45" i="17" s="1"/>
  <c r="AB22" i="40" s="1"/>
  <c r="O41" i="17"/>
  <c r="AA22" i="40" s="1"/>
  <c r="G41" i="17"/>
  <c r="E41" i="17"/>
  <c r="D41" i="17"/>
  <c r="C41" i="17"/>
  <c r="Z22" i="40" s="1"/>
  <c r="B41" i="17"/>
  <c r="X22" i="40" s="1"/>
  <c r="A41" i="17"/>
  <c r="V22" i="40" s="1"/>
  <c r="Z37" i="17"/>
  <c r="B24" i="43" s="1"/>
  <c r="AC34" i="17"/>
  <c r="Y34" i="17"/>
  <c r="P22" i="40" s="1"/>
  <c r="AC33" i="17"/>
  <c r="AB33" i="17"/>
  <c r="G24" i="43" s="1"/>
  <c r="AA33" i="17"/>
  <c r="F24" i="43" s="1"/>
  <c r="Z33" i="17"/>
  <c r="AC32" i="17"/>
  <c r="AA32" i="17"/>
  <c r="AQ62" i="17" s="1"/>
  <c r="Z32" i="17"/>
  <c r="Z30" i="17"/>
  <c r="Y30" i="17"/>
  <c r="C24" i="43" s="1"/>
  <c r="AP29" i="17"/>
  <c r="AN29" i="17"/>
  <c r="AL29" i="17"/>
  <c r="AJ29" i="17"/>
  <c r="AH29" i="17"/>
  <c r="AF29" i="17"/>
  <c r="AD29" i="17"/>
  <c r="AB29" i="17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Q21" i="17"/>
  <c r="P21" i="17"/>
  <c r="O21" i="17"/>
  <c r="N22" i="40" s="1"/>
  <c r="N21" i="17"/>
  <c r="AD22" i="38" s="1"/>
  <c r="M21" i="17"/>
  <c r="R23" i="39" s="1"/>
  <c r="L21" i="17"/>
  <c r="K21" i="17"/>
  <c r="X22" i="38" s="1"/>
  <c r="J21" i="17"/>
  <c r="U22" i="38" s="1"/>
  <c r="I21" i="17"/>
  <c r="R22" i="38" s="1"/>
  <c r="H21" i="17"/>
  <c r="L23" i="39" s="1"/>
  <c r="G21" i="17"/>
  <c r="F21" i="17"/>
  <c r="L22" i="38" s="1"/>
  <c r="E21" i="17"/>
  <c r="I22" i="38" s="1"/>
  <c r="D21" i="17"/>
  <c r="F23" i="39" s="1"/>
  <c r="C21" i="17"/>
  <c r="B21" i="17"/>
  <c r="C22" i="38" s="1"/>
  <c r="AP20" i="17"/>
  <c r="AN20" i="17"/>
  <c r="AL20" i="17"/>
  <c r="AJ20" i="17"/>
  <c r="AH20" i="17"/>
  <c r="AF20" i="17"/>
  <c r="AD20" i="17"/>
  <c r="AB20" i="17"/>
  <c r="Q20" i="17"/>
  <c r="P20" i="17"/>
  <c r="O20" i="17"/>
  <c r="M22" i="40" s="1"/>
  <c r="N20" i="17"/>
  <c r="AC22" i="38" s="1"/>
  <c r="M20" i="17"/>
  <c r="Q23" i="39" s="1"/>
  <c r="L20" i="17"/>
  <c r="K20" i="17"/>
  <c r="W22" i="38" s="1"/>
  <c r="J20" i="17"/>
  <c r="T22" i="38" s="1"/>
  <c r="I20" i="17"/>
  <c r="Q22" i="38" s="1"/>
  <c r="H20" i="17"/>
  <c r="K23" i="39" s="1"/>
  <c r="G20" i="17"/>
  <c r="F20" i="17"/>
  <c r="K22" i="38" s="1"/>
  <c r="E20" i="17"/>
  <c r="H22" i="38" s="1"/>
  <c r="D20" i="17"/>
  <c r="E23" i="39" s="1"/>
  <c r="C20" i="17"/>
  <c r="B20" i="17"/>
  <c r="B22" i="38" s="1"/>
  <c r="AP19" i="17"/>
  <c r="AN19" i="17"/>
  <c r="AL19" i="17"/>
  <c r="AJ19" i="17"/>
  <c r="AH19" i="17"/>
  <c r="AF19" i="17"/>
  <c r="AD19" i="17"/>
  <c r="AB19" i="17"/>
  <c r="Q19" i="17" a="1"/>
  <c r="Q19" i="17"/>
  <c r="P19" i="17" a="1"/>
  <c r="P19" i="17" s="1"/>
  <c r="O19" i="17" a="1"/>
  <c r="O19" i="17"/>
  <c r="N19" i="17" a="1"/>
  <c r="N19" i="17" s="1"/>
  <c r="M19" i="17" a="1"/>
  <c r="M19" i="17"/>
  <c r="L19" i="17" a="1"/>
  <c r="L19" i="17" s="1"/>
  <c r="AB22" i="38" s="1"/>
  <c r="K19" i="17" a="1"/>
  <c r="K19" i="17"/>
  <c r="Y22" i="38" s="1"/>
  <c r="J19" i="17" a="1"/>
  <c r="J19" i="17" s="1"/>
  <c r="I19" i="17" a="1"/>
  <c r="I19" i="17"/>
  <c r="S22" i="38" s="1"/>
  <c r="H19" i="17" a="1"/>
  <c r="H19" i="17" s="1"/>
  <c r="V22" i="38" s="1"/>
  <c r="G19" i="17" a="1"/>
  <c r="G19" i="17"/>
  <c r="F19" i="17" a="1"/>
  <c r="F19" i="17" s="1"/>
  <c r="E19" i="17" a="1"/>
  <c r="E19" i="17"/>
  <c r="J22" i="38" s="1"/>
  <c r="D19" i="17" a="1"/>
  <c r="D19" i="17" s="1"/>
  <c r="C19" i="17" a="1"/>
  <c r="C19" i="17"/>
  <c r="B19" i="17" a="1"/>
  <c r="B19" i="17" s="1"/>
  <c r="D22" i="38" s="1"/>
  <c r="AP18" i="17"/>
  <c r="AN18" i="17"/>
  <c r="AL18" i="17"/>
  <c r="AJ18" i="17"/>
  <c r="AH18" i="17"/>
  <c r="AF18" i="17"/>
  <c r="AD18" i="17"/>
  <c r="AB18" i="17"/>
  <c r="U18" i="17"/>
  <c r="T18" i="17"/>
  <c r="S18" i="17"/>
  <c r="R18" i="17"/>
  <c r="AP17" i="17"/>
  <c r="AN17" i="17"/>
  <c r="AL17" i="17"/>
  <c r="AL34" i="17" s="1"/>
  <c r="AJ17" i="17"/>
  <c r="AH17" i="17"/>
  <c r="AF17" i="17"/>
  <c r="AD17" i="17"/>
  <c r="AD34" i="17" s="1"/>
  <c r="AB17" i="17"/>
  <c r="V17" i="17"/>
  <c r="U17" i="17"/>
  <c r="T17" i="17"/>
  <c r="S17" i="17"/>
  <c r="R17" i="17"/>
  <c r="AP16" i="17"/>
  <c r="AN16" i="17"/>
  <c r="AL16" i="17"/>
  <c r="AJ16" i="17"/>
  <c r="AH16" i="17"/>
  <c r="AF16" i="17"/>
  <c r="AD16" i="17"/>
  <c r="AB16" i="17"/>
  <c r="U16" i="17"/>
  <c r="T16" i="17"/>
  <c r="S16" i="17"/>
  <c r="R16" i="17"/>
  <c r="AP15" i="17"/>
  <c r="AN15" i="17"/>
  <c r="AL15" i="17"/>
  <c r="AJ15" i="17"/>
  <c r="AH15" i="17"/>
  <c r="AF15" i="17"/>
  <c r="AD15" i="17"/>
  <c r="AB15" i="17"/>
  <c r="U15" i="17"/>
  <c r="T15" i="17"/>
  <c r="S15" i="17"/>
  <c r="R15" i="17"/>
  <c r="AP14" i="17"/>
  <c r="AN14" i="17"/>
  <c r="AL14" i="17"/>
  <c r="AJ14" i="17"/>
  <c r="AH14" i="17"/>
  <c r="AF14" i="17"/>
  <c r="AD14" i="17"/>
  <c r="AB14" i="17"/>
  <c r="U14" i="17"/>
  <c r="T14" i="17"/>
  <c r="S14" i="17"/>
  <c r="R14" i="17"/>
  <c r="AP13" i="17"/>
  <c r="AN13" i="17"/>
  <c r="AL13" i="17"/>
  <c r="AJ13" i="17"/>
  <c r="AH13" i="17"/>
  <c r="AF13" i="17"/>
  <c r="AD13" i="17"/>
  <c r="AB13" i="17"/>
  <c r="U13" i="17"/>
  <c r="T13" i="17"/>
  <c r="S13" i="17"/>
  <c r="R13" i="17"/>
  <c r="AP12" i="17"/>
  <c r="AN12" i="17"/>
  <c r="AN30" i="17" s="1"/>
  <c r="AL12" i="17"/>
  <c r="AJ12" i="17"/>
  <c r="AH12" i="17"/>
  <c r="AF12" i="17"/>
  <c r="AF30" i="17" s="1"/>
  <c r="AD12" i="17"/>
  <c r="AB12" i="17"/>
  <c r="V12" i="17"/>
  <c r="U37" i="17" s="1"/>
  <c r="U12" i="17"/>
  <c r="T12" i="17"/>
  <c r="S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S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J7" i="17"/>
  <c r="AH7" i="17"/>
  <c r="AF7" i="17"/>
  <c r="AD7" i="17"/>
  <c r="AB7" i="17"/>
  <c r="S8" i="17" s="1"/>
  <c r="S20" i="17" s="1"/>
  <c r="V7" i="17"/>
  <c r="U7" i="17"/>
  <c r="T7" i="17"/>
  <c r="S7" i="17"/>
  <c r="S21" i="17" s="1"/>
  <c r="R7" i="17"/>
  <c r="AP6" i="17"/>
  <c r="AN6" i="17"/>
  <c r="AL6" i="17"/>
  <c r="AL30" i="17" s="1"/>
  <c r="AM38" i="17" s="1"/>
  <c r="AJ6" i="17"/>
  <c r="AJ30" i="17" s="1"/>
  <c r="AH6" i="17"/>
  <c r="AF6" i="17"/>
  <c r="AD6" i="17"/>
  <c r="AB6" i="17"/>
  <c r="AB32" i="17" s="1"/>
  <c r="R57" i="16"/>
  <c r="AF21" i="40" s="1"/>
  <c r="O57" i="16"/>
  <c r="AE21" i="40" s="1"/>
  <c r="AN54" i="16"/>
  <c r="AL54" i="16"/>
  <c r="AJ54" i="16"/>
  <c r="AE54" i="16"/>
  <c r="AE55" i="16" s="1"/>
  <c r="AC54" i="16"/>
  <c r="Y54" i="16"/>
  <c r="AA54" i="16" s="1"/>
  <c r="AC53" i="16"/>
  <c r="AC55" i="16" s="1"/>
  <c r="AA53" i="16"/>
  <c r="Y53" i="16"/>
  <c r="Y55" i="16" s="1"/>
  <c r="AG52" i="16"/>
  <c r="R51" i="16"/>
  <c r="AD21" i="40" s="1"/>
  <c r="P51" i="16"/>
  <c r="O51" i="16"/>
  <c r="AC21" i="40" s="1"/>
  <c r="AN49" i="16"/>
  <c r="AL48" i="16"/>
  <c r="AL49" i="16" s="1"/>
  <c r="AN47" i="16"/>
  <c r="AL47" i="16"/>
  <c r="AJ47" i="16"/>
  <c r="AJ49" i="16" s="1"/>
  <c r="AQ61" i="16" s="1"/>
  <c r="AA46" i="16"/>
  <c r="Y46" i="16"/>
  <c r="AJ48" i="16" s="1"/>
  <c r="AN48" i="16" s="1"/>
  <c r="AC45" i="16"/>
  <c r="AA45" i="16"/>
  <c r="AA47" i="16" s="1"/>
  <c r="Y45" i="16"/>
  <c r="AG44" i="16" s="1"/>
  <c r="L45" i="16"/>
  <c r="AG21" i="40" s="1"/>
  <c r="H45" i="16"/>
  <c r="Y21" i="40" s="1"/>
  <c r="S41" i="16"/>
  <c r="O41" i="16"/>
  <c r="L41" i="16"/>
  <c r="G41" i="16"/>
  <c r="E41" i="16"/>
  <c r="D41" i="16"/>
  <c r="C41" i="16"/>
  <c r="Z21" i="40" s="1"/>
  <c r="B41" i="16"/>
  <c r="X21" i="40" s="1"/>
  <c r="A41" i="16"/>
  <c r="AP38" i="16"/>
  <c r="Z37" i="16"/>
  <c r="B23" i="43" s="1"/>
  <c r="U37" i="16"/>
  <c r="AC34" i="16"/>
  <c r="Z34" i="16"/>
  <c r="Y34" i="16"/>
  <c r="P21" i="40" s="1"/>
  <c r="AC33" i="16"/>
  <c r="AB33" i="16"/>
  <c r="G23" i="43" s="1"/>
  <c r="AA33" i="16"/>
  <c r="F23" i="43" s="1"/>
  <c r="Z33" i="16"/>
  <c r="AC32" i="16"/>
  <c r="AB32" i="16"/>
  <c r="AA32" i="16"/>
  <c r="Z32" i="16"/>
  <c r="Z30" i="16"/>
  <c r="Y30" i="16"/>
  <c r="C23" i="43" s="1"/>
  <c r="AP29" i="16"/>
  <c r="AN29" i="16"/>
  <c r="AL29" i="16"/>
  <c r="AJ29" i="16"/>
  <c r="AH29" i="16"/>
  <c r="AF29" i="16"/>
  <c r="AD29" i="16"/>
  <c r="AB29" i="16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N30" i="16" s="1"/>
  <c r="AL26" i="16"/>
  <c r="AJ26" i="16"/>
  <c r="AH26" i="16"/>
  <c r="AF26" i="16"/>
  <c r="AF30" i="16" s="1"/>
  <c r="AD26" i="16"/>
  <c r="AB26" i="16"/>
  <c r="R26" i="16"/>
  <c r="AP25" i="16"/>
  <c r="AN25" i="16"/>
  <c r="AL25" i="16"/>
  <c r="AJ25" i="16"/>
  <c r="AH25" i="16"/>
  <c r="AF25" i="16"/>
  <c r="AD25" i="16"/>
  <c r="AB25" i="16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Q21" i="16"/>
  <c r="P21" i="16"/>
  <c r="O21" i="16"/>
  <c r="N21" i="40" s="1"/>
  <c r="N21" i="16"/>
  <c r="AD21" i="38" s="1"/>
  <c r="M21" i="16"/>
  <c r="R22" i="39" s="1"/>
  <c r="L21" i="16"/>
  <c r="K21" i="16"/>
  <c r="X21" i="38" s="1"/>
  <c r="J21" i="16"/>
  <c r="U21" i="38" s="1"/>
  <c r="I21" i="16"/>
  <c r="R21" i="38" s="1"/>
  <c r="H21" i="16"/>
  <c r="L22" i="39" s="1"/>
  <c r="G21" i="16"/>
  <c r="F21" i="16"/>
  <c r="L21" i="38" s="1"/>
  <c r="E21" i="16"/>
  <c r="I21" i="38" s="1"/>
  <c r="D21" i="16"/>
  <c r="F22" i="39" s="1"/>
  <c r="C21" i="16"/>
  <c r="B21" i="16"/>
  <c r="C21" i="38" s="1"/>
  <c r="AP20" i="16"/>
  <c r="AN20" i="16"/>
  <c r="AL20" i="16"/>
  <c r="AJ20" i="16"/>
  <c r="AH20" i="16"/>
  <c r="AF20" i="16"/>
  <c r="AD20" i="16"/>
  <c r="AB20" i="16"/>
  <c r="Q20" i="16"/>
  <c r="P20" i="16"/>
  <c r="O20" i="16"/>
  <c r="M21" i="40" s="1"/>
  <c r="N20" i="16"/>
  <c r="AC21" i="38" s="1"/>
  <c r="M20" i="16"/>
  <c r="Q22" i="39" s="1"/>
  <c r="L20" i="16"/>
  <c r="K20" i="16"/>
  <c r="W21" i="38" s="1"/>
  <c r="J20" i="16"/>
  <c r="T21" i="38" s="1"/>
  <c r="I20" i="16"/>
  <c r="Q21" i="38" s="1"/>
  <c r="H20" i="16"/>
  <c r="K22" i="39" s="1"/>
  <c r="G20" i="16"/>
  <c r="F20" i="16"/>
  <c r="K21" i="38" s="1"/>
  <c r="E20" i="16"/>
  <c r="H21" i="38" s="1"/>
  <c r="D20" i="16"/>
  <c r="C20" i="16"/>
  <c r="B20" i="16"/>
  <c r="B21" i="38" s="1"/>
  <c r="B60" i="38" s="1"/>
  <c r="AP19" i="16"/>
  <c r="AN19" i="16"/>
  <c r="AL19" i="16"/>
  <c r="AJ19" i="16"/>
  <c r="AH19" i="16"/>
  <c r="AF19" i="16"/>
  <c r="AD19" i="16"/>
  <c r="AB19" i="16"/>
  <c r="Q19" i="16" a="1"/>
  <c r="Q19" i="16"/>
  <c r="P19" i="16" a="1"/>
  <c r="P19" i="16" s="1"/>
  <c r="O19" i="16" a="1"/>
  <c r="O19" i="16"/>
  <c r="N19" i="16" a="1"/>
  <c r="N19" i="16" s="1"/>
  <c r="AE21" i="38" s="1"/>
  <c r="M19" i="16" a="1"/>
  <c r="M19" i="16"/>
  <c r="S22" i="39" s="1"/>
  <c r="L19" i="16" a="1"/>
  <c r="L19" i="16" s="1"/>
  <c r="K19" i="16" a="1"/>
  <c r="K19" i="16"/>
  <c r="Y21" i="38" s="1"/>
  <c r="J19" i="16" a="1"/>
  <c r="J19" i="16" s="1"/>
  <c r="V21" i="38" s="1"/>
  <c r="I19" i="16" a="1"/>
  <c r="I19" i="16" s="1"/>
  <c r="S21" i="38" s="1"/>
  <c r="H19" i="16" a="1"/>
  <c r="H19" i="16" s="1"/>
  <c r="M22" i="39" s="1"/>
  <c r="G19" i="16" a="1"/>
  <c r="G19" i="16"/>
  <c r="F19" i="16" a="1"/>
  <c r="F19" i="16" s="1"/>
  <c r="M21" i="38" s="1"/>
  <c r="E19" i="16" a="1"/>
  <c r="E19" i="16"/>
  <c r="J21" i="38" s="1"/>
  <c r="D19" i="16" a="1"/>
  <c r="D19" i="16" s="1"/>
  <c r="C19" i="16" a="1"/>
  <c r="C19" i="16"/>
  <c r="B19" i="16" a="1"/>
  <c r="B19" i="16" s="1"/>
  <c r="D21" i="38" s="1"/>
  <c r="AP18" i="16"/>
  <c r="AN18" i="16"/>
  <c r="AL18" i="16"/>
  <c r="AJ18" i="16"/>
  <c r="AH18" i="16"/>
  <c r="AF18" i="16"/>
  <c r="AD18" i="16"/>
  <c r="AB18" i="16"/>
  <c r="U18" i="16"/>
  <c r="T18" i="16"/>
  <c r="S18" i="16"/>
  <c r="R18" i="16"/>
  <c r="AP17" i="16"/>
  <c r="AN17" i="16"/>
  <c r="AL17" i="16"/>
  <c r="AJ17" i="16"/>
  <c r="AH17" i="16"/>
  <c r="AF17" i="16"/>
  <c r="AD17" i="16"/>
  <c r="AB17" i="16"/>
  <c r="V17" i="16"/>
  <c r="U17" i="16"/>
  <c r="T17" i="16"/>
  <c r="S17" i="16"/>
  <c r="R17" i="16"/>
  <c r="AP16" i="16"/>
  <c r="AN16" i="16"/>
  <c r="AL16" i="16"/>
  <c r="AJ16" i="16"/>
  <c r="AH16" i="16"/>
  <c r="AF16" i="16"/>
  <c r="AD16" i="16"/>
  <c r="AB16" i="16"/>
  <c r="U16" i="16"/>
  <c r="T16" i="16"/>
  <c r="S16" i="16"/>
  <c r="R16" i="16"/>
  <c r="AP15" i="16"/>
  <c r="AN15" i="16"/>
  <c r="AL15" i="16"/>
  <c r="AJ15" i="16"/>
  <c r="AH15" i="16"/>
  <c r="AF15" i="16"/>
  <c r="AD15" i="16"/>
  <c r="AB15" i="16"/>
  <c r="U15" i="16"/>
  <c r="T15" i="16"/>
  <c r="S15" i="16"/>
  <c r="R15" i="16"/>
  <c r="AP14" i="16"/>
  <c r="AN14" i="16"/>
  <c r="AL14" i="16"/>
  <c r="AJ14" i="16"/>
  <c r="AH14" i="16"/>
  <c r="AF14" i="16"/>
  <c r="AD14" i="16"/>
  <c r="AB14" i="16"/>
  <c r="U14" i="16"/>
  <c r="T14" i="16"/>
  <c r="S14" i="16"/>
  <c r="R14" i="16"/>
  <c r="AP13" i="16"/>
  <c r="AN13" i="16"/>
  <c r="AL13" i="16"/>
  <c r="AJ13" i="16"/>
  <c r="AH13" i="16"/>
  <c r="AF13" i="16"/>
  <c r="AD13" i="16"/>
  <c r="AB13" i="16"/>
  <c r="U13" i="16"/>
  <c r="T13" i="16"/>
  <c r="S13" i="16"/>
  <c r="R13" i="16"/>
  <c r="AP12" i="16"/>
  <c r="AN12" i="16"/>
  <c r="AL12" i="16"/>
  <c r="AJ12" i="16"/>
  <c r="AH12" i="16"/>
  <c r="AF12" i="16"/>
  <c r="AD12" i="16"/>
  <c r="AB12" i="16"/>
  <c r="V12" i="16"/>
  <c r="U12" i="16"/>
  <c r="T12" i="16"/>
  <c r="S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S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H9" i="16"/>
  <c r="AF9" i="16"/>
  <c r="AD9" i="16"/>
  <c r="AB9" i="16"/>
  <c r="S9" i="16" s="1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R8" i="16"/>
  <c r="AP7" i="16"/>
  <c r="AN7" i="16"/>
  <c r="AL7" i="16"/>
  <c r="AJ7" i="16"/>
  <c r="AH7" i="16"/>
  <c r="AF7" i="16"/>
  <c r="AD7" i="16"/>
  <c r="AB7" i="16"/>
  <c r="S8" i="16" s="1"/>
  <c r="V7" i="16"/>
  <c r="U7" i="16"/>
  <c r="T7" i="16"/>
  <c r="S7" i="16"/>
  <c r="R7" i="16"/>
  <c r="AP6" i="16"/>
  <c r="AP34" i="16" s="1"/>
  <c r="AN6" i="16"/>
  <c r="AL6" i="16"/>
  <c r="AJ6" i="16"/>
  <c r="AJ30" i="16" s="1"/>
  <c r="AJ34" i="16" s="1"/>
  <c r="AH6" i="16"/>
  <c r="AH34" i="16" s="1"/>
  <c r="AF6" i="16"/>
  <c r="AD6" i="16"/>
  <c r="AB6" i="16"/>
  <c r="R57" i="15"/>
  <c r="AF20" i="40" s="1"/>
  <c r="O57" i="15"/>
  <c r="AE20" i="40" s="1"/>
  <c r="AN54" i="15"/>
  <c r="AL54" i="15"/>
  <c r="AJ54" i="15"/>
  <c r="AE54" i="15"/>
  <c r="AE55" i="15" s="1"/>
  <c r="AC54" i="15"/>
  <c r="Y54" i="15"/>
  <c r="AA54" i="15" s="1"/>
  <c r="AC53" i="15"/>
  <c r="AC55" i="15" s="1"/>
  <c r="AA53" i="15"/>
  <c r="AA55" i="15" s="1"/>
  <c r="Y53" i="15"/>
  <c r="Y55" i="15" s="1"/>
  <c r="AG52" i="15"/>
  <c r="R51" i="15"/>
  <c r="AD20" i="40" s="1"/>
  <c r="P51" i="15"/>
  <c r="O51" i="15"/>
  <c r="AC20" i="40" s="1"/>
  <c r="AN47" i="15"/>
  <c r="AL47" i="15"/>
  <c r="AJ47" i="15"/>
  <c r="AA46" i="15"/>
  <c r="Y46" i="15"/>
  <c r="AJ48" i="15" s="1"/>
  <c r="AN48" i="15" s="1"/>
  <c r="AN49" i="15" s="1"/>
  <c r="AC45" i="15"/>
  <c r="AA45" i="15"/>
  <c r="Y45" i="15"/>
  <c r="L45" i="15"/>
  <c r="AG20" i="40" s="1"/>
  <c r="H45" i="15"/>
  <c r="Y20" i="40" s="1"/>
  <c r="S41" i="15"/>
  <c r="O41" i="15"/>
  <c r="G41" i="15"/>
  <c r="L41" i="15" s="1"/>
  <c r="E41" i="15"/>
  <c r="D41" i="15"/>
  <c r="C41" i="15"/>
  <c r="Z20" i="40" s="1"/>
  <c r="B41" i="15"/>
  <c r="X20" i="40" s="1"/>
  <c r="A41" i="15"/>
  <c r="Z37" i="15"/>
  <c r="B22" i="43" s="1"/>
  <c r="U37" i="15"/>
  <c r="AC34" i="15"/>
  <c r="Z34" i="15"/>
  <c r="Y34" i="15"/>
  <c r="P20" i="40" s="1"/>
  <c r="AC33" i="15"/>
  <c r="AB33" i="15"/>
  <c r="G22" i="43" s="1"/>
  <c r="AA33" i="15"/>
  <c r="F22" i="43" s="1"/>
  <c r="Z33" i="15"/>
  <c r="AC32" i="15"/>
  <c r="AA32" i="15"/>
  <c r="Z32" i="15"/>
  <c r="AN30" i="15"/>
  <c r="Z30" i="15"/>
  <c r="Y30" i="15"/>
  <c r="C22" i="43" s="1"/>
  <c r="AP29" i="15"/>
  <c r="AN29" i="15"/>
  <c r="AL29" i="15"/>
  <c r="AJ29" i="15"/>
  <c r="AH29" i="15"/>
  <c r="AF29" i="15"/>
  <c r="AD29" i="15"/>
  <c r="AB29" i="15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S17" i="15" s="1"/>
  <c r="S20" i="15" s="1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Q21" i="15"/>
  <c r="P21" i="15"/>
  <c r="O21" i="15"/>
  <c r="N20" i="40" s="1"/>
  <c r="N21" i="15"/>
  <c r="AD20" i="38" s="1"/>
  <c r="M21" i="15"/>
  <c r="R21" i="39" s="1"/>
  <c r="L21" i="15"/>
  <c r="K21" i="15"/>
  <c r="X20" i="38" s="1"/>
  <c r="J21" i="15"/>
  <c r="U20" i="38" s="1"/>
  <c r="I21" i="15"/>
  <c r="R20" i="38" s="1"/>
  <c r="H21" i="15"/>
  <c r="L21" i="39" s="1"/>
  <c r="G21" i="15"/>
  <c r="I21" i="39" s="1"/>
  <c r="F21" i="15"/>
  <c r="L20" i="38" s="1"/>
  <c r="E21" i="15"/>
  <c r="I20" i="38" s="1"/>
  <c r="D21" i="15"/>
  <c r="F21" i="39" s="1"/>
  <c r="C21" i="15"/>
  <c r="B21" i="15"/>
  <c r="C20" i="38" s="1"/>
  <c r="C59" i="38" s="1"/>
  <c r="AP20" i="15"/>
  <c r="AN20" i="15"/>
  <c r="AL20" i="15"/>
  <c r="AJ20" i="15"/>
  <c r="AH20" i="15"/>
  <c r="AF20" i="15"/>
  <c r="AD20" i="15"/>
  <c r="AB20" i="15"/>
  <c r="Q20" i="15"/>
  <c r="P20" i="15"/>
  <c r="O20" i="15"/>
  <c r="M20" i="40" s="1"/>
  <c r="N20" i="15"/>
  <c r="AC20" i="38" s="1"/>
  <c r="M20" i="15"/>
  <c r="Q21" i="39" s="1"/>
  <c r="L20" i="15"/>
  <c r="K20" i="15"/>
  <c r="W20" i="38" s="1"/>
  <c r="J20" i="15"/>
  <c r="T20" i="38" s="1"/>
  <c r="I20" i="15"/>
  <c r="Q20" i="38" s="1"/>
  <c r="H20" i="15"/>
  <c r="K21" i="39" s="1"/>
  <c r="G20" i="15"/>
  <c r="F20" i="15"/>
  <c r="K20" i="38" s="1"/>
  <c r="E20" i="15"/>
  <c r="H20" i="38" s="1"/>
  <c r="D20" i="15"/>
  <c r="E21" i="39" s="1"/>
  <c r="C20" i="15"/>
  <c r="B20" i="15"/>
  <c r="B20" i="38" s="1"/>
  <c r="B59" i="38" s="1"/>
  <c r="AP19" i="15"/>
  <c r="AN19" i="15"/>
  <c r="AL19" i="15"/>
  <c r="AJ19" i="15"/>
  <c r="AH19" i="15"/>
  <c r="AF19" i="15"/>
  <c r="AD19" i="15"/>
  <c r="AB19" i="15"/>
  <c r="Q19" i="15" a="1"/>
  <c r="Q19" i="15"/>
  <c r="P19" i="15" a="1"/>
  <c r="P19" i="15"/>
  <c r="O19" i="15" a="1"/>
  <c r="O19" i="15"/>
  <c r="N19" i="15" a="1"/>
  <c r="N19" i="15"/>
  <c r="AE20" i="38" s="1"/>
  <c r="M19" i="15" a="1"/>
  <c r="M19" i="15"/>
  <c r="S21" i="39" s="1"/>
  <c r="L19" i="15" a="1"/>
  <c r="L19" i="15"/>
  <c r="K19" i="15" a="1"/>
  <c r="K19" i="15"/>
  <c r="Y20" i="38" s="1"/>
  <c r="J19" i="15" a="1"/>
  <c r="J19" i="15"/>
  <c r="V20" i="38" s="1"/>
  <c r="I19" i="15" a="1"/>
  <c r="I19" i="15"/>
  <c r="S20" i="38" s="1"/>
  <c r="H19" i="15" a="1"/>
  <c r="H19" i="15"/>
  <c r="M21" i="39" s="1"/>
  <c r="G19" i="15" a="1"/>
  <c r="G19" i="15"/>
  <c r="F19" i="15" a="1"/>
  <c r="F19" i="15" s="1"/>
  <c r="M20" i="38" s="1"/>
  <c r="E19" i="15" a="1"/>
  <c r="E19" i="15"/>
  <c r="J20" i="38" s="1"/>
  <c r="D19" i="15" a="1"/>
  <c r="D19" i="15"/>
  <c r="G21" i="39" s="1"/>
  <c r="C19" i="15" a="1"/>
  <c r="C19" i="15"/>
  <c r="B19" i="15" a="1"/>
  <c r="B19" i="15"/>
  <c r="D20" i="38" s="1"/>
  <c r="D59" i="38" s="1"/>
  <c r="AP18" i="15"/>
  <c r="AN18" i="15"/>
  <c r="AL18" i="15"/>
  <c r="AJ18" i="15"/>
  <c r="AH18" i="15"/>
  <c r="AF18" i="15"/>
  <c r="AD18" i="15"/>
  <c r="AB18" i="15"/>
  <c r="U18" i="15"/>
  <c r="T18" i="15"/>
  <c r="S18" i="15"/>
  <c r="R18" i="15"/>
  <c r="AP17" i="15"/>
  <c r="AN17" i="15"/>
  <c r="AL17" i="15"/>
  <c r="AJ17" i="15"/>
  <c r="AH17" i="15"/>
  <c r="AF17" i="15"/>
  <c r="AD17" i="15"/>
  <c r="AB17" i="15"/>
  <c r="V17" i="15"/>
  <c r="U17" i="15"/>
  <c r="T17" i="15"/>
  <c r="R17" i="15"/>
  <c r="AP16" i="15"/>
  <c r="AN16" i="15"/>
  <c r="AL16" i="15"/>
  <c r="AJ16" i="15"/>
  <c r="AH16" i="15"/>
  <c r="AF16" i="15"/>
  <c r="AD16" i="15"/>
  <c r="AB16" i="15"/>
  <c r="U16" i="15"/>
  <c r="T16" i="15"/>
  <c r="S16" i="15"/>
  <c r="R16" i="15"/>
  <c r="AP15" i="15"/>
  <c r="AN15" i="15"/>
  <c r="AL15" i="15"/>
  <c r="AJ15" i="15"/>
  <c r="AH15" i="15"/>
  <c r="AF15" i="15"/>
  <c r="AD15" i="15"/>
  <c r="AB15" i="15"/>
  <c r="U15" i="15"/>
  <c r="T15" i="15"/>
  <c r="S15" i="15"/>
  <c r="R15" i="15"/>
  <c r="AP14" i="15"/>
  <c r="AN14" i="15"/>
  <c r="AL14" i="15"/>
  <c r="AJ14" i="15"/>
  <c r="AH14" i="15"/>
  <c r="AF14" i="15"/>
  <c r="AD14" i="15"/>
  <c r="AB14" i="15"/>
  <c r="U14" i="15"/>
  <c r="T14" i="15"/>
  <c r="S14" i="15"/>
  <c r="R14" i="15"/>
  <c r="AP13" i="15"/>
  <c r="AN13" i="15"/>
  <c r="AL13" i="15"/>
  <c r="AJ13" i="15"/>
  <c r="AH13" i="15"/>
  <c r="AF13" i="15"/>
  <c r="AD13" i="15"/>
  <c r="AB13" i="15"/>
  <c r="U13" i="15"/>
  <c r="T13" i="15"/>
  <c r="S13" i="15"/>
  <c r="R13" i="15"/>
  <c r="AP12" i="15"/>
  <c r="AN12" i="15"/>
  <c r="AL12" i="15"/>
  <c r="AJ12" i="15"/>
  <c r="AH12" i="15"/>
  <c r="AF12" i="15"/>
  <c r="AD12" i="15"/>
  <c r="AB12" i="15"/>
  <c r="V12" i="15"/>
  <c r="U12" i="15"/>
  <c r="T12" i="15"/>
  <c r="S12" i="15"/>
  <c r="R12" i="15"/>
  <c r="AP11" i="15"/>
  <c r="AN11" i="15"/>
  <c r="AL11" i="15"/>
  <c r="AJ11" i="15"/>
  <c r="AH11" i="15"/>
  <c r="AF11" i="15"/>
  <c r="AD11" i="15"/>
  <c r="AB11" i="15"/>
  <c r="S10" i="15" s="1"/>
  <c r="U11" i="15"/>
  <c r="T11" i="15"/>
  <c r="S11" i="15"/>
  <c r="R11" i="15"/>
  <c r="AP10" i="15"/>
  <c r="AN10" i="15"/>
  <c r="AL10" i="15"/>
  <c r="AJ10" i="15"/>
  <c r="AH10" i="15"/>
  <c r="AF10" i="15"/>
  <c r="AD10" i="15"/>
  <c r="AB10" i="15"/>
  <c r="U10" i="15"/>
  <c r="T10" i="15"/>
  <c r="R10" i="15"/>
  <c r="AP9" i="15"/>
  <c r="AN9" i="15"/>
  <c r="AL9" i="15"/>
  <c r="AJ9" i="15"/>
  <c r="AH9" i="15"/>
  <c r="AF9" i="15"/>
  <c r="AD9" i="15"/>
  <c r="AB9" i="15"/>
  <c r="S9" i="15" s="1"/>
  <c r="U9" i="15"/>
  <c r="T9" i="15"/>
  <c r="R9" i="15"/>
  <c r="AP8" i="15"/>
  <c r="AN8" i="15"/>
  <c r="AL8" i="15"/>
  <c r="AJ8" i="15"/>
  <c r="AH8" i="15"/>
  <c r="AF8" i="15"/>
  <c r="AD8" i="15"/>
  <c r="AB8" i="15"/>
  <c r="U8" i="15"/>
  <c r="T8" i="15"/>
  <c r="R8" i="15"/>
  <c r="AP7" i="15"/>
  <c r="AN7" i="15"/>
  <c r="AL7" i="15"/>
  <c r="AJ7" i="15"/>
  <c r="AH7" i="15"/>
  <c r="AF7" i="15"/>
  <c r="AF30" i="15" s="1"/>
  <c r="AD7" i="15"/>
  <c r="AB7" i="15"/>
  <c r="S8" i="15" s="1"/>
  <c r="V7" i="15"/>
  <c r="U7" i="15"/>
  <c r="T7" i="15"/>
  <c r="S7" i="15"/>
  <c r="R7" i="15"/>
  <c r="AP6" i="15"/>
  <c r="AN6" i="15"/>
  <c r="AL6" i="15"/>
  <c r="AJ6" i="15"/>
  <c r="AH6" i="15"/>
  <c r="AF6" i="15"/>
  <c r="AD6" i="15"/>
  <c r="AB6" i="15"/>
  <c r="AQ63" i="14"/>
  <c r="R57" i="14"/>
  <c r="AF19" i="40" s="1"/>
  <c r="O57" i="14"/>
  <c r="AE19" i="40" s="1"/>
  <c r="AJ56" i="14"/>
  <c r="AN56" i="14" s="1"/>
  <c r="AE56" i="14"/>
  <c r="AN55" i="14"/>
  <c r="AN57" i="14" s="1"/>
  <c r="AL55" i="14"/>
  <c r="AJ55" i="14"/>
  <c r="AE55" i="14"/>
  <c r="AA55" i="14"/>
  <c r="AA56" i="14" s="1"/>
  <c r="Y55" i="14"/>
  <c r="AC55" i="14" s="1"/>
  <c r="AC54" i="14"/>
  <c r="AA54" i="14"/>
  <c r="Y54" i="14"/>
  <c r="R51" i="14"/>
  <c r="AD19" i="40" s="1"/>
  <c r="P51" i="14"/>
  <c r="O51" i="14"/>
  <c r="AC19" i="40" s="1"/>
  <c r="AN48" i="14"/>
  <c r="AL48" i="14"/>
  <c r="AJ48" i="14"/>
  <c r="Y47" i="14"/>
  <c r="AE47" i="14" s="1"/>
  <c r="AE48" i="14" s="1"/>
  <c r="AC46" i="14"/>
  <c r="AA46" i="14"/>
  <c r="Y46" i="14"/>
  <c r="AG45" i="14"/>
  <c r="L45" i="14"/>
  <c r="AG19" i="40" s="1"/>
  <c r="H45" i="14"/>
  <c r="Y19" i="40" s="1"/>
  <c r="S41" i="14"/>
  <c r="Q45" i="14" s="1"/>
  <c r="AB19" i="40" s="1"/>
  <c r="O41" i="14"/>
  <c r="AA19" i="40" s="1"/>
  <c r="J41" i="14"/>
  <c r="W19" i="40" s="1"/>
  <c r="G41" i="14"/>
  <c r="E41" i="14"/>
  <c r="D41" i="14"/>
  <c r="C41" i="14"/>
  <c r="B41" i="14"/>
  <c r="X19" i="40" s="1"/>
  <c r="A41" i="14"/>
  <c r="V19" i="40" s="1"/>
  <c r="Z38" i="14"/>
  <c r="B21" i="43" s="1"/>
  <c r="AL35" i="14"/>
  <c r="AC35" i="14"/>
  <c r="Z35" i="14"/>
  <c r="Y35" i="14"/>
  <c r="P19" i="40" s="1"/>
  <c r="AC34" i="14"/>
  <c r="AB34" i="14"/>
  <c r="G21" i="43" s="1"/>
  <c r="AA34" i="14"/>
  <c r="Z34" i="14"/>
  <c r="AC33" i="14"/>
  <c r="AA33" i="14"/>
  <c r="Z33" i="14"/>
  <c r="Z31" i="14"/>
  <c r="Y31" i="14"/>
  <c r="C21" i="43" s="1"/>
  <c r="AP30" i="14"/>
  <c r="AN30" i="14"/>
  <c r="AL30" i="14"/>
  <c r="AJ30" i="14"/>
  <c r="AH30" i="14"/>
  <c r="AF30" i="14"/>
  <c r="AD30" i="14"/>
  <c r="AB30" i="14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D26" i="14"/>
  <c r="AB26" i="14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S16" i="14" s="1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S15" i="14" s="1"/>
  <c r="AP21" i="14"/>
  <c r="AN21" i="14"/>
  <c r="AL21" i="14"/>
  <c r="AJ21" i="14"/>
  <c r="AH21" i="14"/>
  <c r="AF21" i="14"/>
  <c r="AD21" i="14"/>
  <c r="AB21" i="14"/>
  <c r="Q21" i="14"/>
  <c r="P21" i="14"/>
  <c r="O21" i="14"/>
  <c r="N19" i="40" s="1"/>
  <c r="N21" i="14"/>
  <c r="AD19" i="38" s="1"/>
  <c r="M21" i="14"/>
  <c r="R20" i="39" s="1"/>
  <c r="L21" i="14"/>
  <c r="K21" i="14"/>
  <c r="X19" i="38" s="1"/>
  <c r="J21" i="14"/>
  <c r="U19" i="38" s="1"/>
  <c r="I21" i="14"/>
  <c r="R19" i="38" s="1"/>
  <c r="H21" i="14"/>
  <c r="L20" i="39" s="1"/>
  <c r="G21" i="14"/>
  <c r="F21" i="14"/>
  <c r="L19" i="38" s="1"/>
  <c r="E21" i="14"/>
  <c r="I19" i="38" s="1"/>
  <c r="D21" i="14"/>
  <c r="F20" i="39" s="1"/>
  <c r="C21" i="14"/>
  <c r="B21" i="14"/>
  <c r="C19" i="38" s="1"/>
  <c r="C58" i="38" s="1"/>
  <c r="AP20" i="14"/>
  <c r="AN20" i="14"/>
  <c r="AL20" i="14"/>
  <c r="AJ20" i="14"/>
  <c r="AH20" i="14"/>
  <c r="AF20" i="14"/>
  <c r="AD20" i="14"/>
  <c r="AB20" i="14"/>
  <c r="S14" i="14" s="1"/>
  <c r="Q20" i="14"/>
  <c r="P20" i="14"/>
  <c r="O20" i="14"/>
  <c r="M19" i="40" s="1"/>
  <c r="N20" i="14"/>
  <c r="AC19" i="38" s="1"/>
  <c r="M20" i="14"/>
  <c r="Q20" i="39" s="1"/>
  <c r="L20" i="14"/>
  <c r="K20" i="14"/>
  <c r="W19" i="38" s="1"/>
  <c r="J20" i="14"/>
  <c r="T19" i="38" s="1"/>
  <c r="I20" i="14"/>
  <c r="Q19" i="38" s="1"/>
  <c r="H20" i="14"/>
  <c r="K20" i="39" s="1"/>
  <c r="G20" i="14"/>
  <c r="F20" i="14"/>
  <c r="K19" i="38" s="1"/>
  <c r="E20" i="14"/>
  <c r="H19" i="38" s="1"/>
  <c r="D20" i="14"/>
  <c r="E20" i="39" s="1"/>
  <c r="C20" i="14"/>
  <c r="B20" i="39" s="1"/>
  <c r="B20" i="14"/>
  <c r="B19" i="38" s="1"/>
  <c r="B58" i="38" s="1"/>
  <c r="AP19" i="14"/>
  <c r="AN19" i="14"/>
  <c r="AL19" i="14"/>
  <c r="AJ19" i="14"/>
  <c r="AH19" i="14"/>
  <c r="AF19" i="14"/>
  <c r="AD19" i="14"/>
  <c r="AB19" i="14"/>
  <c r="Q19" i="14" a="1"/>
  <c r="Q19" i="14"/>
  <c r="P19" i="14" a="1"/>
  <c r="P19" i="14" s="1"/>
  <c r="O19" i="14" a="1"/>
  <c r="O19" i="14"/>
  <c r="N19" i="14" a="1"/>
  <c r="N19" i="14" s="1"/>
  <c r="AE19" i="38" s="1"/>
  <c r="M19" i="14" a="1"/>
  <c r="M19" i="14"/>
  <c r="S20" i="39" s="1"/>
  <c r="L19" i="14" a="1"/>
  <c r="L19" i="14" s="1"/>
  <c r="K19" i="14" a="1"/>
  <c r="K19" i="14"/>
  <c r="Y19" i="38" s="1"/>
  <c r="J19" i="14" a="1"/>
  <c r="J19" i="14" s="1"/>
  <c r="I19" i="14" a="1"/>
  <c r="I19" i="14"/>
  <c r="H19" i="14" a="1"/>
  <c r="H19" i="14" s="1"/>
  <c r="M20" i="39" s="1"/>
  <c r="G19" i="14" a="1"/>
  <c r="G19" i="14"/>
  <c r="F19" i="14" a="1"/>
  <c r="F19" i="14" s="1"/>
  <c r="M19" i="38" s="1"/>
  <c r="E19" i="14" a="1"/>
  <c r="E19" i="14"/>
  <c r="J19" i="38" s="1"/>
  <c r="D19" i="14" a="1"/>
  <c r="D19" i="14" s="1"/>
  <c r="G20" i="39" s="1"/>
  <c r="C19" i="14" a="1"/>
  <c r="C19" i="14"/>
  <c r="B19" i="14" a="1"/>
  <c r="B19" i="14" s="1"/>
  <c r="D19" i="38" s="1"/>
  <c r="D58" i="38" s="1"/>
  <c r="AP18" i="14"/>
  <c r="AN18" i="14"/>
  <c r="AL18" i="14"/>
  <c r="AJ18" i="14"/>
  <c r="AH18" i="14"/>
  <c r="AF18" i="14"/>
  <c r="AD18" i="14"/>
  <c r="AB18" i="14"/>
  <c r="U18" i="14"/>
  <c r="T18" i="14"/>
  <c r="S18" i="14"/>
  <c r="R18" i="14"/>
  <c r="AP17" i="14"/>
  <c r="AN17" i="14"/>
  <c r="AL17" i="14"/>
  <c r="AL31" i="14" s="1"/>
  <c r="AJ17" i="14"/>
  <c r="AH17" i="14"/>
  <c r="AF17" i="14"/>
  <c r="AD17" i="14"/>
  <c r="AD35" i="14" s="1"/>
  <c r="AB17" i="14"/>
  <c r="V17" i="14"/>
  <c r="U17" i="14"/>
  <c r="T17" i="14"/>
  <c r="S17" i="14"/>
  <c r="R17" i="14"/>
  <c r="AP16" i="14"/>
  <c r="AN16" i="14"/>
  <c r="AL16" i="14"/>
  <c r="AJ16" i="14"/>
  <c r="AH16" i="14"/>
  <c r="AF16" i="14"/>
  <c r="AD16" i="14"/>
  <c r="AB16" i="14"/>
  <c r="U16" i="14"/>
  <c r="T16" i="14"/>
  <c r="R16" i="14"/>
  <c r="AP15" i="14"/>
  <c r="AN15" i="14"/>
  <c r="AL15" i="14"/>
  <c r="AJ15" i="14"/>
  <c r="AH15" i="14"/>
  <c r="AF15" i="14"/>
  <c r="AD15" i="14"/>
  <c r="AB15" i="14"/>
  <c r="U15" i="14"/>
  <c r="T15" i="14"/>
  <c r="R15" i="14"/>
  <c r="AP14" i="14"/>
  <c r="AN14" i="14"/>
  <c r="AL14" i="14"/>
  <c r="AJ14" i="14"/>
  <c r="AH14" i="14"/>
  <c r="AF14" i="14"/>
  <c r="AD14" i="14"/>
  <c r="AB14" i="14"/>
  <c r="U14" i="14"/>
  <c r="T14" i="14"/>
  <c r="R14" i="14"/>
  <c r="AP13" i="14"/>
  <c r="AN13" i="14"/>
  <c r="AL13" i="14"/>
  <c r="AJ13" i="14"/>
  <c r="AH13" i="14"/>
  <c r="AF13" i="14"/>
  <c r="AD13" i="14"/>
  <c r="AB13" i="14"/>
  <c r="U13" i="14"/>
  <c r="T13" i="14"/>
  <c r="S13" i="14"/>
  <c r="R13" i="14"/>
  <c r="AP12" i="14"/>
  <c r="AN12" i="14"/>
  <c r="AL12" i="14"/>
  <c r="AJ12" i="14"/>
  <c r="AH12" i="14"/>
  <c r="AF12" i="14"/>
  <c r="AD12" i="14"/>
  <c r="AB12" i="14"/>
  <c r="V12" i="14"/>
  <c r="U37" i="14" s="1"/>
  <c r="U12" i="14"/>
  <c r="T12" i="14"/>
  <c r="S12" i="14"/>
  <c r="R12" i="14"/>
  <c r="AP11" i="14"/>
  <c r="AN11" i="14"/>
  <c r="AL11" i="14"/>
  <c r="AJ11" i="14"/>
  <c r="AH11" i="14"/>
  <c r="AF11" i="14"/>
  <c r="AD11" i="14"/>
  <c r="AB11" i="14"/>
  <c r="U11" i="14"/>
  <c r="T11" i="14"/>
  <c r="S11" i="14"/>
  <c r="R11" i="14"/>
  <c r="AP10" i="14"/>
  <c r="AN10" i="14"/>
  <c r="AL10" i="14"/>
  <c r="AJ10" i="14"/>
  <c r="AH10" i="14"/>
  <c r="AF10" i="14"/>
  <c r="AD10" i="14"/>
  <c r="AB10" i="14"/>
  <c r="S9" i="14" s="1"/>
  <c r="U10" i="14"/>
  <c r="T10" i="14"/>
  <c r="S10" i="14"/>
  <c r="R10" i="14"/>
  <c r="AP9" i="14"/>
  <c r="AN9" i="14"/>
  <c r="AL9" i="14"/>
  <c r="AJ9" i="14"/>
  <c r="AH9" i="14"/>
  <c r="AF9" i="14"/>
  <c r="AD9" i="14"/>
  <c r="AB9" i="14"/>
  <c r="U9" i="14"/>
  <c r="T9" i="14"/>
  <c r="R9" i="14"/>
  <c r="AP8" i="14"/>
  <c r="AN8" i="14"/>
  <c r="AL8" i="14"/>
  <c r="AJ8" i="14"/>
  <c r="AH8" i="14"/>
  <c r="AF8" i="14"/>
  <c r="AD8" i="14"/>
  <c r="AB8" i="14"/>
  <c r="S8" i="14" s="1"/>
  <c r="U8" i="14"/>
  <c r="T8" i="14"/>
  <c r="R8" i="14"/>
  <c r="AP7" i="14"/>
  <c r="AN7" i="14"/>
  <c r="AN35" i="14" s="1"/>
  <c r="AL7" i="14"/>
  <c r="AJ7" i="14"/>
  <c r="AH7" i="14"/>
  <c r="AF7" i="14"/>
  <c r="AD7" i="14"/>
  <c r="AB7" i="14"/>
  <c r="V7" i="14"/>
  <c r="U7" i="14"/>
  <c r="T7" i="14"/>
  <c r="R7" i="14"/>
  <c r="R57" i="13"/>
  <c r="AF18" i="40" s="1"/>
  <c r="O57" i="13"/>
  <c r="AE18" i="40" s="1"/>
  <c r="Y55" i="13"/>
  <c r="AN54" i="13"/>
  <c r="AL54" i="13"/>
  <c r="AJ54" i="13"/>
  <c r="AE54" i="13"/>
  <c r="AE55" i="13" s="1"/>
  <c r="Y54" i="13"/>
  <c r="AA54" i="13" s="1"/>
  <c r="AC53" i="13"/>
  <c r="AA53" i="13"/>
  <c r="Y53" i="13"/>
  <c r="AG52" i="13"/>
  <c r="R51" i="13"/>
  <c r="AD18" i="40" s="1"/>
  <c r="P51" i="13"/>
  <c r="O51" i="13"/>
  <c r="AC18" i="40" s="1"/>
  <c r="AN49" i="13"/>
  <c r="AJ48" i="13"/>
  <c r="AN48" i="13" s="1"/>
  <c r="AN47" i="13"/>
  <c r="AL47" i="13"/>
  <c r="AJ47" i="13"/>
  <c r="AE47" i="13"/>
  <c r="AC46" i="13"/>
  <c r="AA46" i="13"/>
  <c r="Y46" i="13"/>
  <c r="AE46" i="13" s="1"/>
  <c r="AC45" i="13"/>
  <c r="AA45" i="13"/>
  <c r="Y45" i="13"/>
  <c r="Y47" i="13" s="1"/>
  <c r="L45" i="13"/>
  <c r="AG18" i="40" s="1"/>
  <c r="H45" i="13"/>
  <c r="Y18" i="40" s="1"/>
  <c r="S41" i="13"/>
  <c r="O41" i="13"/>
  <c r="AA18" i="40" s="1"/>
  <c r="L41" i="13"/>
  <c r="G41" i="13"/>
  <c r="E41" i="13"/>
  <c r="D41" i="13"/>
  <c r="C41" i="13"/>
  <c r="Z18" i="40" s="1"/>
  <c r="B41" i="13"/>
  <c r="X18" i="40" s="1"/>
  <c r="A41" i="13"/>
  <c r="Z37" i="13"/>
  <c r="B20" i="43" s="1"/>
  <c r="U37" i="13"/>
  <c r="AC34" i="13"/>
  <c r="Z34" i="13"/>
  <c r="Y34" i="13"/>
  <c r="P18" i="40" s="1"/>
  <c r="AC33" i="13"/>
  <c r="AB33" i="13"/>
  <c r="G20" i="43" s="1"/>
  <c r="AA33" i="13"/>
  <c r="Z33" i="13"/>
  <c r="AC32" i="13"/>
  <c r="AA32" i="13"/>
  <c r="Z32" i="13"/>
  <c r="Z30" i="13"/>
  <c r="Y30" i="13"/>
  <c r="C20" i="43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S18" i="13" s="1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S17" i="13" s="1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H34" i="13" s="1"/>
  <c r="AF21" i="13"/>
  <c r="AD21" i="13"/>
  <c r="AB21" i="13"/>
  <c r="Q21" i="13"/>
  <c r="P21" i="13"/>
  <c r="O21" i="13"/>
  <c r="N18" i="40" s="1"/>
  <c r="N21" i="13"/>
  <c r="AD18" i="38" s="1"/>
  <c r="M21" i="13"/>
  <c r="R19" i="39" s="1"/>
  <c r="L21" i="13"/>
  <c r="K21" i="13"/>
  <c r="X18" i="38" s="1"/>
  <c r="J21" i="13"/>
  <c r="U18" i="38" s="1"/>
  <c r="I21" i="13"/>
  <c r="R18" i="38" s="1"/>
  <c r="H21" i="13"/>
  <c r="L19" i="39" s="1"/>
  <c r="G21" i="13"/>
  <c r="F21" i="13"/>
  <c r="L18" i="38" s="1"/>
  <c r="E21" i="13"/>
  <c r="I18" i="38" s="1"/>
  <c r="D21" i="13"/>
  <c r="F19" i="39" s="1"/>
  <c r="C21" i="13"/>
  <c r="B21" i="13"/>
  <c r="C18" i="38" s="1"/>
  <c r="C57" i="38" s="1"/>
  <c r="AP20" i="13"/>
  <c r="AN20" i="13"/>
  <c r="AL20" i="13"/>
  <c r="AJ20" i="13"/>
  <c r="AH20" i="13"/>
  <c r="AF20" i="13"/>
  <c r="AD20" i="13"/>
  <c r="AB20" i="13"/>
  <c r="Q20" i="13"/>
  <c r="P20" i="13"/>
  <c r="O20" i="13"/>
  <c r="M18" i="40" s="1"/>
  <c r="N20" i="13"/>
  <c r="AC18" i="38" s="1"/>
  <c r="M20" i="13"/>
  <c r="Q19" i="39" s="1"/>
  <c r="L20" i="13"/>
  <c r="K20" i="13"/>
  <c r="W18" i="38" s="1"/>
  <c r="J20" i="13"/>
  <c r="T18" i="38" s="1"/>
  <c r="I20" i="13"/>
  <c r="Q18" i="38" s="1"/>
  <c r="H20" i="13"/>
  <c r="K19" i="39" s="1"/>
  <c r="G20" i="13"/>
  <c r="F20" i="13"/>
  <c r="K18" i="38" s="1"/>
  <c r="E20" i="13"/>
  <c r="H18" i="38" s="1"/>
  <c r="D20" i="13"/>
  <c r="E19" i="39" s="1"/>
  <c r="C20" i="13"/>
  <c r="B20" i="13"/>
  <c r="B18" i="38" s="1"/>
  <c r="B57" i="38" s="1"/>
  <c r="AP19" i="13"/>
  <c r="AN19" i="13"/>
  <c r="AL19" i="13"/>
  <c r="AJ19" i="13"/>
  <c r="AH19" i="13"/>
  <c r="AF19" i="13"/>
  <c r="AD19" i="13"/>
  <c r="AB19" i="13"/>
  <c r="Q19" i="13" a="1"/>
  <c r="Q19" i="13" s="1"/>
  <c r="P19" i="13" a="1"/>
  <c r="P19" i="13"/>
  <c r="O19" i="13" a="1"/>
  <c r="O19" i="13" s="1"/>
  <c r="N19" i="13" a="1"/>
  <c r="N19" i="13"/>
  <c r="AE18" i="38" s="1"/>
  <c r="M19" i="13" a="1"/>
  <c r="M19" i="13" s="1"/>
  <c r="S19" i="39" s="1"/>
  <c r="L19" i="13" a="1"/>
  <c r="L19" i="13"/>
  <c r="K19" i="13" a="1"/>
  <c r="K19" i="13" s="1"/>
  <c r="Y18" i="38" s="1"/>
  <c r="J19" i="13" a="1"/>
  <c r="J19" i="13"/>
  <c r="V18" i="38" s="1"/>
  <c r="I19" i="13" a="1"/>
  <c r="I19" i="13" s="1"/>
  <c r="S18" i="38" s="1"/>
  <c r="H19" i="13" a="1"/>
  <c r="H19" i="13"/>
  <c r="M19" i="39" s="1"/>
  <c r="G19" i="13" a="1"/>
  <c r="G19" i="13" s="1"/>
  <c r="F19" i="13" a="1"/>
  <c r="F19" i="13"/>
  <c r="M18" i="38" s="1"/>
  <c r="E19" i="13" a="1"/>
  <c r="E19" i="13" s="1"/>
  <c r="J18" i="38" s="1"/>
  <c r="D19" i="13" a="1"/>
  <c r="D19" i="13"/>
  <c r="G19" i="39" s="1"/>
  <c r="C19" i="13" a="1"/>
  <c r="C19" i="13" s="1"/>
  <c r="B19" i="13" a="1"/>
  <c r="B19" i="13"/>
  <c r="D18" i="38" s="1"/>
  <c r="D57" i="38" s="1"/>
  <c r="AP18" i="13"/>
  <c r="AN18" i="13"/>
  <c r="AL18" i="13"/>
  <c r="AJ18" i="13"/>
  <c r="AH18" i="13"/>
  <c r="AF18" i="13"/>
  <c r="AD18" i="13"/>
  <c r="AB18" i="13"/>
  <c r="U18" i="13"/>
  <c r="T18" i="13"/>
  <c r="R18" i="13"/>
  <c r="AP17" i="13"/>
  <c r="AN17" i="13"/>
  <c r="AL17" i="13"/>
  <c r="AJ17" i="13"/>
  <c r="AH17" i="13"/>
  <c r="AF17" i="13"/>
  <c r="AD17" i="13"/>
  <c r="AB17" i="13"/>
  <c r="V17" i="13"/>
  <c r="U17" i="13"/>
  <c r="T17" i="13"/>
  <c r="R17" i="13"/>
  <c r="AP16" i="13"/>
  <c r="AN16" i="13"/>
  <c r="AL16" i="13"/>
  <c r="AJ16" i="13"/>
  <c r="AH16" i="13"/>
  <c r="AF16" i="13"/>
  <c r="AD16" i="13"/>
  <c r="AB16" i="13"/>
  <c r="U16" i="13"/>
  <c r="T16" i="13"/>
  <c r="S16" i="13"/>
  <c r="R16" i="13"/>
  <c r="AP15" i="13"/>
  <c r="AN15" i="13"/>
  <c r="AL15" i="13"/>
  <c r="AJ15" i="13"/>
  <c r="AH15" i="13"/>
  <c r="AF15" i="13"/>
  <c r="AD15" i="13"/>
  <c r="AB15" i="13"/>
  <c r="U15" i="13"/>
  <c r="T15" i="13"/>
  <c r="S15" i="13"/>
  <c r="R15" i="13"/>
  <c r="AP14" i="13"/>
  <c r="AN14" i="13"/>
  <c r="AL14" i="13"/>
  <c r="AJ14" i="13"/>
  <c r="AH14" i="13"/>
  <c r="AF14" i="13"/>
  <c r="AD14" i="13"/>
  <c r="AB14" i="13"/>
  <c r="U14" i="13"/>
  <c r="T14" i="13"/>
  <c r="S14" i="13"/>
  <c r="R14" i="13"/>
  <c r="AP13" i="13"/>
  <c r="AN13" i="13"/>
  <c r="AL13" i="13"/>
  <c r="AJ13" i="13"/>
  <c r="AH13" i="13"/>
  <c r="AF13" i="13"/>
  <c r="AD13" i="13"/>
  <c r="AB13" i="13"/>
  <c r="U13" i="13"/>
  <c r="T13" i="13"/>
  <c r="S13" i="13"/>
  <c r="R13" i="13"/>
  <c r="AP12" i="13"/>
  <c r="AN12" i="13"/>
  <c r="AL12" i="13"/>
  <c r="AJ12" i="13"/>
  <c r="AJ30" i="13" s="1"/>
  <c r="AH12" i="13"/>
  <c r="AF12" i="13"/>
  <c r="AD12" i="13"/>
  <c r="AB12" i="13"/>
  <c r="V12" i="13"/>
  <c r="U12" i="13"/>
  <c r="T12" i="13"/>
  <c r="S12" i="13"/>
  <c r="R12" i="13"/>
  <c r="AP11" i="13"/>
  <c r="AN11" i="13"/>
  <c r="AL11" i="13"/>
  <c r="AJ11" i="13"/>
  <c r="AH11" i="13"/>
  <c r="AF11" i="13"/>
  <c r="AD11" i="13"/>
  <c r="AB11" i="13"/>
  <c r="U11" i="13"/>
  <c r="T11" i="13"/>
  <c r="S11" i="13"/>
  <c r="R11" i="13"/>
  <c r="AP10" i="13"/>
  <c r="AN10" i="13"/>
  <c r="AL10" i="13"/>
  <c r="AJ10" i="13"/>
  <c r="AH10" i="13"/>
  <c r="AF10" i="13"/>
  <c r="AD10" i="13"/>
  <c r="AB10" i="13"/>
  <c r="U10" i="13"/>
  <c r="T10" i="13"/>
  <c r="S10" i="13"/>
  <c r="R10" i="13"/>
  <c r="AP9" i="13"/>
  <c r="AN9" i="13"/>
  <c r="AL9" i="13"/>
  <c r="AJ9" i="13"/>
  <c r="AH9" i="13"/>
  <c r="AF9" i="13"/>
  <c r="AD9" i="13"/>
  <c r="AB9" i="13"/>
  <c r="U9" i="13"/>
  <c r="T9" i="13"/>
  <c r="S9" i="13"/>
  <c r="R9" i="13"/>
  <c r="AP8" i="13"/>
  <c r="AN8" i="13"/>
  <c r="AL8" i="13"/>
  <c r="AJ8" i="13"/>
  <c r="AH8" i="13"/>
  <c r="AF8" i="13"/>
  <c r="AD8" i="13"/>
  <c r="AB8" i="13"/>
  <c r="U8" i="13"/>
  <c r="T8" i="13"/>
  <c r="S8" i="13"/>
  <c r="S21" i="13" s="1"/>
  <c r="R8" i="13"/>
  <c r="AP7" i="13"/>
  <c r="AN7" i="13"/>
  <c r="AL7" i="13"/>
  <c r="AJ7" i="13"/>
  <c r="AH7" i="13"/>
  <c r="AF7" i="13"/>
  <c r="AD7" i="13"/>
  <c r="AB7" i="13"/>
  <c r="V7" i="13"/>
  <c r="U7" i="13"/>
  <c r="T7" i="13"/>
  <c r="R7" i="13"/>
  <c r="AP6" i="13"/>
  <c r="AN6" i="13"/>
  <c r="AL6" i="13"/>
  <c r="AL34" i="13" s="1"/>
  <c r="AJ6" i="13"/>
  <c r="AH6" i="13"/>
  <c r="AF6" i="13"/>
  <c r="AD6" i="13"/>
  <c r="AD34" i="13" s="1"/>
  <c r="AB6" i="13"/>
  <c r="AL62" i="12"/>
  <c r="R57" i="12"/>
  <c r="AF17" i="40" s="1"/>
  <c r="O57" i="12"/>
  <c r="AE17" i="40" s="1"/>
  <c r="AN54" i="12"/>
  <c r="AL54" i="12"/>
  <c r="AJ54" i="12"/>
  <c r="AA54" i="12"/>
  <c r="Y54" i="12"/>
  <c r="AE54" i="12" s="1"/>
  <c r="AE55" i="12" s="1"/>
  <c r="AC53" i="12"/>
  <c r="AA53" i="12"/>
  <c r="AA55" i="12" s="1"/>
  <c r="Y53" i="12"/>
  <c r="Y55" i="12" s="1"/>
  <c r="R51" i="12"/>
  <c r="AD17" i="40" s="1"/>
  <c r="P51" i="12"/>
  <c r="O51" i="12"/>
  <c r="AC17" i="40" s="1"/>
  <c r="AN47" i="12"/>
  <c r="AL47" i="12"/>
  <c r="AJ47" i="12"/>
  <c r="AE46" i="12"/>
  <c r="AE47" i="12" s="1"/>
  <c r="AC46" i="12"/>
  <c r="Y46" i="12"/>
  <c r="AA46" i="12" s="1"/>
  <c r="AC45" i="12"/>
  <c r="AC47" i="12" s="1"/>
  <c r="AA45" i="12"/>
  <c r="Y45" i="12"/>
  <c r="Y47" i="12" s="1"/>
  <c r="L45" i="12"/>
  <c r="AG17" i="40" s="1"/>
  <c r="H45" i="12"/>
  <c r="Y17" i="40" s="1"/>
  <c r="S41" i="12"/>
  <c r="Q45" i="12" s="1"/>
  <c r="AB17" i="40" s="1"/>
  <c r="O41" i="12"/>
  <c r="AA17" i="40" s="1"/>
  <c r="J41" i="12"/>
  <c r="W17" i="40" s="1"/>
  <c r="G41" i="12"/>
  <c r="E41" i="12"/>
  <c r="D41" i="12"/>
  <c r="C41" i="12"/>
  <c r="B41" i="12"/>
  <c r="X17" i="40" s="1"/>
  <c r="A41" i="12"/>
  <c r="V17" i="40" s="1"/>
  <c r="Z37" i="12"/>
  <c r="B19" i="43" s="1"/>
  <c r="AN34" i="12"/>
  <c r="AF34" i="12"/>
  <c r="AC34" i="12"/>
  <c r="Z34" i="12"/>
  <c r="Y34" i="12"/>
  <c r="P17" i="40" s="1"/>
  <c r="AC33" i="12"/>
  <c r="AB33" i="12"/>
  <c r="G19" i="43" s="1"/>
  <c r="Z33" i="12"/>
  <c r="AA33" i="12" s="1"/>
  <c r="F19" i="43" s="1"/>
  <c r="AC32" i="12"/>
  <c r="Z32" i="12"/>
  <c r="AA32" i="12" s="1"/>
  <c r="Z30" i="12"/>
  <c r="Y30" i="12"/>
  <c r="C19" i="43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S18" i="12" s="1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S17" i="12" s="1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Q21" i="12"/>
  <c r="P21" i="12"/>
  <c r="O21" i="12"/>
  <c r="N17" i="40" s="1"/>
  <c r="N21" i="12"/>
  <c r="AD17" i="38" s="1"/>
  <c r="M21" i="12"/>
  <c r="R18" i="39" s="1"/>
  <c r="L21" i="12"/>
  <c r="K21" i="12"/>
  <c r="X17" i="38" s="1"/>
  <c r="J21" i="12"/>
  <c r="U17" i="38" s="1"/>
  <c r="I21" i="12"/>
  <c r="R17" i="38" s="1"/>
  <c r="H21" i="12"/>
  <c r="L18" i="39" s="1"/>
  <c r="G21" i="12"/>
  <c r="F21" i="12"/>
  <c r="L17" i="38" s="1"/>
  <c r="E21" i="12"/>
  <c r="I17" i="38" s="1"/>
  <c r="D21" i="12"/>
  <c r="C21" i="12"/>
  <c r="B21" i="12"/>
  <c r="C17" i="38" s="1"/>
  <c r="C56" i="38" s="1"/>
  <c r="AP20" i="12"/>
  <c r="AN20" i="12"/>
  <c r="AL20" i="12"/>
  <c r="AJ20" i="12"/>
  <c r="AH20" i="12"/>
  <c r="AF20" i="12"/>
  <c r="AD20" i="12"/>
  <c r="AB20" i="12"/>
  <c r="Q20" i="12"/>
  <c r="P20" i="12"/>
  <c r="O20" i="12"/>
  <c r="M17" i="40" s="1"/>
  <c r="N20" i="12"/>
  <c r="AC17" i="38" s="1"/>
  <c r="M20" i="12"/>
  <c r="Q18" i="39" s="1"/>
  <c r="L20" i="12"/>
  <c r="K20" i="12"/>
  <c r="W17" i="38" s="1"/>
  <c r="J20" i="12"/>
  <c r="T17" i="38" s="1"/>
  <c r="I20" i="12"/>
  <c r="Q17" i="38" s="1"/>
  <c r="H20" i="12"/>
  <c r="K18" i="39" s="1"/>
  <c r="G20" i="12"/>
  <c r="F20" i="12"/>
  <c r="K17" i="38" s="1"/>
  <c r="E20" i="12"/>
  <c r="H17" i="38" s="1"/>
  <c r="D20" i="12"/>
  <c r="E18" i="39" s="1"/>
  <c r="C20" i="12"/>
  <c r="B20" i="12"/>
  <c r="B17" i="38" s="1"/>
  <c r="B56" i="38" s="1"/>
  <c r="AP19" i="12"/>
  <c r="AN19" i="12"/>
  <c r="AL19" i="12"/>
  <c r="AJ19" i="12"/>
  <c r="AH19" i="12"/>
  <c r="AF19" i="12"/>
  <c r="AD19" i="12"/>
  <c r="AB19" i="12"/>
  <c r="S19" i="12" a="1"/>
  <c r="S19" i="12" s="1"/>
  <c r="Q19" i="12" a="1"/>
  <c r="Q19" i="12" s="1"/>
  <c r="P19" i="12" a="1"/>
  <c r="P19" i="12"/>
  <c r="O19" i="12" a="1"/>
  <c r="O19" i="12" s="1"/>
  <c r="N19" i="12" a="1"/>
  <c r="N19" i="12"/>
  <c r="AE17" i="38" s="1"/>
  <c r="M19" i="12" a="1"/>
  <c r="M19" i="12" s="1"/>
  <c r="L19" i="12" a="1"/>
  <c r="L19" i="12"/>
  <c r="K19" i="12" a="1"/>
  <c r="K19" i="12" s="1"/>
  <c r="Y17" i="38" s="1"/>
  <c r="J19" i="12" a="1"/>
  <c r="J19" i="12"/>
  <c r="V17" i="38" s="1"/>
  <c r="I19" i="12" a="1"/>
  <c r="I19" i="12" s="1"/>
  <c r="S17" i="38" s="1"/>
  <c r="H19" i="12" a="1"/>
  <c r="H19" i="12"/>
  <c r="M18" i="39" s="1"/>
  <c r="G19" i="12" a="1"/>
  <c r="G19" i="12" s="1"/>
  <c r="P17" i="38" s="1"/>
  <c r="F19" i="12" a="1"/>
  <c r="F19" i="12"/>
  <c r="M17" i="38" s="1"/>
  <c r="E19" i="12" a="1"/>
  <c r="E19" i="12" s="1"/>
  <c r="J17" i="38" s="1"/>
  <c r="D19" i="12" a="1"/>
  <c r="D19" i="12"/>
  <c r="C19" i="12" a="1"/>
  <c r="C19" i="12" s="1"/>
  <c r="G17" i="38" s="1"/>
  <c r="B19" i="12" a="1"/>
  <c r="B19" i="12"/>
  <c r="D17" i="38" s="1"/>
  <c r="D56" i="38" s="1"/>
  <c r="AP18" i="12"/>
  <c r="AN18" i="12"/>
  <c r="AL18" i="12"/>
  <c r="AJ18" i="12"/>
  <c r="AH18" i="12"/>
  <c r="AF18" i="12"/>
  <c r="AD18" i="12"/>
  <c r="AB18" i="12"/>
  <c r="U18" i="12"/>
  <c r="T18" i="12"/>
  <c r="R18" i="12"/>
  <c r="AP17" i="12"/>
  <c r="AN17" i="12"/>
  <c r="AL17" i="12"/>
  <c r="AJ17" i="12"/>
  <c r="AH17" i="12"/>
  <c r="AF17" i="12"/>
  <c r="AD17" i="12"/>
  <c r="AB17" i="12"/>
  <c r="V17" i="12"/>
  <c r="U17" i="12"/>
  <c r="T17" i="12"/>
  <c r="R17" i="12"/>
  <c r="AP16" i="12"/>
  <c r="AN16" i="12"/>
  <c r="AL16" i="12"/>
  <c r="AJ16" i="12"/>
  <c r="AH16" i="12"/>
  <c r="AF16" i="12"/>
  <c r="AD16" i="12"/>
  <c r="AB16" i="12"/>
  <c r="U16" i="12"/>
  <c r="T16" i="12"/>
  <c r="S16" i="12"/>
  <c r="R16" i="12"/>
  <c r="AP15" i="12"/>
  <c r="AN15" i="12"/>
  <c r="AL15" i="12"/>
  <c r="AJ15" i="12"/>
  <c r="AH15" i="12"/>
  <c r="AF15" i="12"/>
  <c r="AD15" i="12"/>
  <c r="AB15" i="12"/>
  <c r="U15" i="12"/>
  <c r="T15" i="12"/>
  <c r="S15" i="12"/>
  <c r="R15" i="12"/>
  <c r="AP14" i="12"/>
  <c r="AN14" i="12"/>
  <c r="AL14" i="12"/>
  <c r="AJ14" i="12"/>
  <c r="AH14" i="12"/>
  <c r="AF14" i="12"/>
  <c r="AD14" i="12"/>
  <c r="AB14" i="12"/>
  <c r="U14" i="12"/>
  <c r="T14" i="12"/>
  <c r="S14" i="12"/>
  <c r="R14" i="12"/>
  <c r="AP13" i="12"/>
  <c r="AN13" i="12"/>
  <c r="AL13" i="12"/>
  <c r="AJ13" i="12"/>
  <c r="AH13" i="12"/>
  <c r="AF13" i="12"/>
  <c r="AD13" i="12"/>
  <c r="AB13" i="12"/>
  <c r="U13" i="12"/>
  <c r="T13" i="12"/>
  <c r="S13" i="12"/>
  <c r="R13" i="12"/>
  <c r="AP12" i="12"/>
  <c r="AN12" i="12"/>
  <c r="AL12" i="12"/>
  <c r="AJ12" i="12"/>
  <c r="AJ30" i="12" s="1"/>
  <c r="AH12" i="12"/>
  <c r="AF12" i="12"/>
  <c r="AD12" i="12"/>
  <c r="AB12" i="12"/>
  <c r="V12" i="12"/>
  <c r="U37" i="12" s="1"/>
  <c r="U12" i="12"/>
  <c r="T12" i="12"/>
  <c r="S12" i="12"/>
  <c r="R12" i="12"/>
  <c r="AP11" i="12"/>
  <c r="AN11" i="12"/>
  <c r="AL11" i="12"/>
  <c r="AJ11" i="12"/>
  <c r="AH11" i="12"/>
  <c r="AF11" i="12"/>
  <c r="AD11" i="12"/>
  <c r="AB11" i="12"/>
  <c r="U11" i="12"/>
  <c r="T11" i="12"/>
  <c r="S11" i="12"/>
  <c r="R11" i="12"/>
  <c r="AP10" i="12"/>
  <c r="AN10" i="12"/>
  <c r="AL10" i="12"/>
  <c r="AJ10" i="12"/>
  <c r="AH10" i="12"/>
  <c r="AF10" i="12"/>
  <c r="AD10" i="12"/>
  <c r="AB10" i="12"/>
  <c r="U10" i="12"/>
  <c r="T10" i="12"/>
  <c r="S10" i="12"/>
  <c r="R10" i="12"/>
  <c r="AP9" i="12"/>
  <c r="AN9" i="12"/>
  <c r="AL9" i="12"/>
  <c r="AJ9" i="12"/>
  <c r="AH9" i="12"/>
  <c r="AF9" i="12"/>
  <c r="AD9" i="12"/>
  <c r="AB9" i="12"/>
  <c r="U9" i="12"/>
  <c r="T9" i="12"/>
  <c r="S9" i="12"/>
  <c r="R9" i="12"/>
  <c r="AP8" i="12"/>
  <c r="AN8" i="12"/>
  <c r="AL8" i="12"/>
  <c r="AJ8" i="12"/>
  <c r="AH8" i="12"/>
  <c r="AF8" i="12"/>
  <c r="AD8" i="12"/>
  <c r="AB8" i="12"/>
  <c r="U8" i="12"/>
  <c r="T8" i="12"/>
  <c r="S8" i="12"/>
  <c r="R8" i="12"/>
  <c r="R21" i="12" s="1"/>
  <c r="AP7" i="12"/>
  <c r="AN7" i="12"/>
  <c r="AL7" i="12"/>
  <c r="AJ7" i="12"/>
  <c r="AH7" i="12"/>
  <c r="AF7" i="12"/>
  <c r="AD7" i="12"/>
  <c r="AB7" i="12"/>
  <c r="V7" i="12"/>
  <c r="U7" i="12"/>
  <c r="T7" i="12"/>
  <c r="R7" i="12"/>
  <c r="R19" i="12" s="1" a="1"/>
  <c r="R19" i="12" s="1"/>
  <c r="AP6" i="12"/>
  <c r="AN6" i="12"/>
  <c r="AN30" i="12" s="1"/>
  <c r="AL6" i="12"/>
  <c r="AJ6" i="12"/>
  <c r="AH6" i="12"/>
  <c r="AF6" i="12"/>
  <c r="AF30" i="12" s="1"/>
  <c r="AD6" i="12"/>
  <c r="AB6" i="12"/>
  <c r="R57" i="11"/>
  <c r="AF16" i="40" s="1"/>
  <c r="O57" i="11"/>
  <c r="AE16" i="40" s="1"/>
  <c r="AN54" i="11"/>
  <c r="AL54" i="11"/>
  <c r="AJ54" i="11"/>
  <c r="AE54" i="11"/>
  <c r="AE55" i="11" s="1"/>
  <c r="AC54" i="11"/>
  <c r="AC55" i="11" s="1"/>
  <c r="AA54" i="11"/>
  <c r="Y54" i="11"/>
  <c r="AJ55" i="11" s="1"/>
  <c r="AC53" i="11"/>
  <c r="AA53" i="11"/>
  <c r="AA55" i="11" s="1"/>
  <c r="Y53" i="11"/>
  <c r="Y55" i="11" s="1"/>
  <c r="R51" i="11"/>
  <c r="AD16" i="40" s="1"/>
  <c r="P51" i="11"/>
  <c r="O51" i="11"/>
  <c r="AC16" i="40" s="1"/>
  <c r="AN47" i="11"/>
  <c r="AL47" i="11"/>
  <c r="AJ47" i="11"/>
  <c r="AE46" i="11"/>
  <c r="AE47" i="11" s="1"/>
  <c r="AC46" i="11"/>
  <c r="Y46" i="11"/>
  <c r="AJ48" i="24" s="1"/>
  <c r="AN48" i="24" s="1"/>
  <c r="AC45" i="11"/>
  <c r="AC47" i="11" s="1"/>
  <c r="AA45" i="11"/>
  <c r="Y45" i="11"/>
  <c r="Y47" i="11" s="1"/>
  <c r="L45" i="11"/>
  <c r="AG16" i="40" s="1"/>
  <c r="H45" i="11"/>
  <c r="Y16" i="40" s="1"/>
  <c r="S41" i="11"/>
  <c r="Q45" i="11" s="1"/>
  <c r="AB16" i="40" s="1"/>
  <c r="O41" i="11"/>
  <c r="AA16" i="40" s="1"/>
  <c r="J41" i="11"/>
  <c r="W16" i="40" s="1"/>
  <c r="G41" i="11"/>
  <c r="E41" i="11"/>
  <c r="D41" i="11"/>
  <c r="C41" i="11"/>
  <c r="B41" i="11"/>
  <c r="X16" i="40" s="1"/>
  <c r="A41" i="11"/>
  <c r="V16" i="40" s="1"/>
  <c r="Z37" i="11"/>
  <c r="B18" i="43" s="1"/>
  <c r="AN34" i="11"/>
  <c r="AF34" i="11"/>
  <c r="AC34" i="11"/>
  <c r="Z34" i="11"/>
  <c r="Y34" i="11"/>
  <c r="P16" i="40" s="1"/>
  <c r="AC33" i="11"/>
  <c r="AB33" i="11"/>
  <c r="G18" i="43" s="1"/>
  <c r="Z33" i="11"/>
  <c r="AA33" i="11" s="1"/>
  <c r="AC32" i="11"/>
  <c r="Z32" i="11"/>
  <c r="AA32" i="11" s="1"/>
  <c r="Z30" i="11"/>
  <c r="Y30" i="11"/>
  <c r="C18" i="43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S18" i="11" s="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S17" i="11" s="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Q21" i="11"/>
  <c r="P21" i="11"/>
  <c r="O21" i="11"/>
  <c r="N16" i="40" s="1"/>
  <c r="N21" i="11"/>
  <c r="AD16" i="38" s="1"/>
  <c r="M21" i="11"/>
  <c r="R17" i="39" s="1"/>
  <c r="L21" i="11"/>
  <c r="K21" i="11"/>
  <c r="X16" i="38" s="1"/>
  <c r="J21" i="11"/>
  <c r="U16" i="38" s="1"/>
  <c r="I21" i="11"/>
  <c r="R16" i="38" s="1"/>
  <c r="H21" i="11"/>
  <c r="L17" i="39" s="1"/>
  <c r="G21" i="11"/>
  <c r="F21" i="11"/>
  <c r="L16" i="38" s="1"/>
  <c r="E21" i="11"/>
  <c r="I16" i="38" s="1"/>
  <c r="D21" i="11"/>
  <c r="F17" i="39" s="1"/>
  <c r="C21" i="11"/>
  <c r="B21" i="11"/>
  <c r="C16" i="38" s="1"/>
  <c r="C55" i="38" s="1"/>
  <c r="AP20" i="11"/>
  <c r="AN20" i="11"/>
  <c r="AL20" i="11"/>
  <c r="AJ20" i="11"/>
  <c r="AH20" i="11"/>
  <c r="AF20" i="11"/>
  <c r="AD20" i="11"/>
  <c r="AB20" i="11"/>
  <c r="Q20" i="11"/>
  <c r="P20" i="11"/>
  <c r="O20" i="11"/>
  <c r="M16" i="40" s="1"/>
  <c r="N20" i="11"/>
  <c r="AC16" i="38" s="1"/>
  <c r="M20" i="11"/>
  <c r="L20" i="11"/>
  <c r="K20" i="11"/>
  <c r="W16" i="38" s="1"/>
  <c r="J20" i="11"/>
  <c r="T16" i="38" s="1"/>
  <c r="I20" i="11"/>
  <c r="Q16" i="38" s="1"/>
  <c r="H20" i="11"/>
  <c r="K17" i="39" s="1"/>
  <c r="G20" i="11"/>
  <c r="F20" i="11"/>
  <c r="K16" i="38" s="1"/>
  <c r="E20" i="11"/>
  <c r="H16" i="38" s="1"/>
  <c r="D20" i="11"/>
  <c r="E17" i="39" s="1"/>
  <c r="C20" i="11"/>
  <c r="B20" i="11"/>
  <c r="B16" i="38" s="1"/>
  <c r="B55" i="38" s="1"/>
  <c r="AP19" i="11"/>
  <c r="AN19" i="11"/>
  <c r="AL19" i="11"/>
  <c r="AJ19" i="11"/>
  <c r="AH19" i="11"/>
  <c r="AF19" i="11"/>
  <c r="AD19" i="11"/>
  <c r="AB19" i="11"/>
  <c r="S19" i="11" a="1"/>
  <c r="S19" i="11" s="1"/>
  <c r="Q19" i="11" a="1"/>
  <c r="Q19" i="11" s="1"/>
  <c r="P19" i="11" a="1"/>
  <c r="P19" i="11"/>
  <c r="O19" i="11" a="1"/>
  <c r="O19" i="11" s="1"/>
  <c r="N19" i="11" a="1"/>
  <c r="N19" i="11"/>
  <c r="AE16" i="38" s="1"/>
  <c r="M19" i="11" a="1"/>
  <c r="M19" i="11" s="1"/>
  <c r="L19" i="11" a="1"/>
  <c r="L19" i="11"/>
  <c r="K19" i="11" a="1"/>
  <c r="K19" i="11" s="1"/>
  <c r="Y16" i="38" s="1"/>
  <c r="J19" i="11" a="1"/>
  <c r="J19" i="11"/>
  <c r="V16" i="38" s="1"/>
  <c r="I19" i="11" a="1"/>
  <c r="I19" i="11" s="1"/>
  <c r="S16" i="38" s="1"/>
  <c r="H19" i="11" a="1"/>
  <c r="H19" i="11"/>
  <c r="M17" i="39" s="1"/>
  <c r="G19" i="11" a="1"/>
  <c r="G19" i="11" s="1"/>
  <c r="F19" i="11" a="1"/>
  <c r="F19" i="11"/>
  <c r="M16" i="38" s="1"/>
  <c r="E19" i="11" a="1"/>
  <c r="E19" i="11" s="1"/>
  <c r="J16" i="38" s="1"/>
  <c r="D19" i="11" a="1"/>
  <c r="D19" i="11"/>
  <c r="G17" i="39" s="1"/>
  <c r="C19" i="11" a="1"/>
  <c r="C19" i="11" s="1"/>
  <c r="G16" i="38" s="1"/>
  <c r="B19" i="11" a="1"/>
  <c r="B19" i="11"/>
  <c r="D16" i="38" s="1"/>
  <c r="D55" i="38" s="1"/>
  <c r="AP18" i="11"/>
  <c r="AN18" i="11"/>
  <c r="AL18" i="11"/>
  <c r="AJ18" i="11"/>
  <c r="AH18" i="11"/>
  <c r="AF18" i="11"/>
  <c r="AD18" i="11"/>
  <c r="AB18" i="11"/>
  <c r="U18" i="11"/>
  <c r="T18" i="11"/>
  <c r="R18" i="11"/>
  <c r="AP17" i="11"/>
  <c r="AN17" i="11"/>
  <c r="AL17" i="11"/>
  <c r="AJ17" i="11"/>
  <c r="AH17" i="11"/>
  <c r="AF17" i="11"/>
  <c r="AD17" i="11"/>
  <c r="AB17" i="11"/>
  <c r="V17" i="11"/>
  <c r="U17" i="11"/>
  <c r="T17" i="11"/>
  <c r="R17" i="11"/>
  <c r="AP16" i="11"/>
  <c r="AN16" i="11"/>
  <c r="AL16" i="11"/>
  <c r="AJ16" i="11"/>
  <c r="AH16" i="11"/>
  <c r="AF16" i="11"/>
  <c r="AD16" i="11"/>
  <c r="AB16" i="11"/>
  <c r="U16" i="11"/>
  <c r="T16" i="11"/>
  <c r="S16" i="11"/>
  <c r="R16" i="11"/>
  <c r="AP15" i="11"/>
  <c r="AN15" i="11"/>
  <c r="AL15" i="11"/>
  <c r="AJ15" i="11"/>
  <c r="AH15" i="11"/>
  <c r="AF15" i="11"/>
  <c r="AD15" i="11"/>
  <c r="AB15" i="11"/>
  <c r="U15" i="11"/>
  <c r="T15" i="11"/>
  <c r="S15" i="11"/>
  <c r="R15" i="11"/>
  <c r="AP14" i="11"/>
  <c r="AN14" i="11"/>
  <c r="AL14" i="11"/>
  <c r="AJ14" i="11"/>
  <c r="AH14" i="11"/>
  <c r="AF14" i="11"/>
  <c r="AD14" i="11"/>
  <c r="AB14" i="11"/>
  <c r="U14" i="11"/>
  <c r="T14" i="11"/>
  <c r="S14" i="11"/>
  <c r="R14" i="11"/>
  <c r="AP13" i="11"/>
  <c r="AN13" i="11"/>
  <c r="AL13" i="11"/>
  <c r="AJ13" i="11"/>
  <c r="AH13" i="11"/>
  <c r="AF13" i="11"/>
  <c r="AD13" i="11"/>
  <c r="AB13" i="11"/>
  <c r="U13" i="11"/>
  <c r="T13" i="11"/>
  <c r="S13" i="11"/>
  <c r="R13" i="11"/>
  <c r="AP12" i="11"/>
  <c r="AP30" i="11" s="1"/>
  <c r="AR38" i="11" s="1"/>
  <c r="AR39" i="11" s="1"/>
  <c r="AN12" i="11"/>
  <c r="AL12" i="11"/>
  <c r="AJ12" i="11"/>
  <c r="AJ30" i="11" s="1"/>
  <c r="AH12" i="11"/>
  <c r="AH30" i="11" s="1"/>
  <c r="AF12" i="11"/>
  <c r="AD12" i="11"/>
  <c r="AB12" i="11"/>
  <c r="V12" i="11"/>
  <c r="U37" i="11" s="1"/>
  <c r="U12" i="11"/>
  <c r="T12" i="11"/>
  <c r="S12" i="11"/>
  <c r="R12" i="11"/>
  <c r="AP11" i="11"/>
  <c r="AN11" i="11"/>
  <c r="AL11" i="11"/>
  <c r="AJ11" i="11"/>
  <c r="AH11" i="11"/>
  <c r="AF11" i="11"/>
  <c r="AD11" i="11"/>
  <c r="AB11" i="11"/>
  <c r="U11" i="11"/>
  <c r="T11" i="11"/>
  <c r="S11" i="11"/>
  <c r="R11" i="11"/>
  <c r="AP10" i="11"/>
  <c r="AN10" i="11"/>
  <c r="AL10" i="11"/>
  <c r="AJ10" i="11"/>
  <c r="AH10" i="11"/>
  <c r="AF10" i="11"/>
  <c r="AD10" i="11"/>
  <c r="AB10" i="11"/>
  <c r="U10" i="11"/>
  <c r="T10" i="11"/>
  <c r="S10" i="11"/>
  <c r="R10" i="11"/>
  <c r="AP9" i="11"/>
  <c r="AN9" i="11"/>
  <c r="AL9" i="11"/>
  <c r="AJ9" i="11"/>
  <c r="AH9" i="11"/>
  <c r="AF9" i="11"/>
  <c r="AD9" i="11"/>
  <c r="AB9" i="11"/>
  <c r="U9" i="11"/>
  <c r="T9" i="11"/>
  <c r="S9" i="11"/>
  <c r="R9" i="11"/>
  <c r="AP8" i="11"/>
  <c r="AN8" i="11"/>
  <c r="AL8" i="11"/>
  <c r="AJ8" i="11"/>
  <c r="AH8" i="11"/>
  <c r="AF8" i="11"/>
  <c r="AD8" i="11"/>
  <c r="AB8" i="11"/>
  <c r="U8" i="11"/>
  <c r="T8" i="11"/>
  <c r="S8" i="11"/>
  <c r="R8" i="11"/>
  <c r="R21" i="11" s="1"/>
  <c r="AP7" i="11"/>
  <c r="AN7" i="11"/>
  <c r="AL7" i="11"/>
  <c r="AJ7" i="11"/>
  <c r="AH7" i="11"/>
  <c r="AF7" i="11"/>
  <c r="AD7" i="11"/>
  <c r="AB7" i="11"/>
  <c r="V7" i="11"/>
  <c r="U7" i="11"/>
  <c r="T7" i="11"/>
  <c r="R7" i="11"/>
  <c r="R19" i="11" s="1" a="1"/>
  <c r="R19" i="11" s="1"/>
  <c r="AP6" i="11"/>
  <c r="AN6" i="11"/>
  <c r="AN30" i="11" s="1"/>
  <c r="AL6" i="11"/>
  <c r="AJ6" i="11"/>
  <c r="AH6" i="11"/>
  <c r="AF6" i="11"/>
  <c r="AF30" i="11" s="1"/>
  <c r="AK38" i="11" s="1"/>
  <c r="AD6" i="11"/>
  <c r="AB6" i="11"/>
  <c r="R57" i="10"/>
  <c r="AF15" i="40" s="1"/>
  <c r="O57" i="10"/>
  <c r="AE15" i="40" s="1"/>
  <c r="AN54" i="10"/>
  <c r="AL54" i="10"/>
  <c r="AL56" i="10" s="1"/>
  <c r="AJ54" i="10"/>
  <c r="AE54" i="10"/>
  <c r="AE55" i="10" s="1"/>
  <c r="AC54" i="10"/>
  <c r="AC55" i="10" s="1"/>
  <c r="AA54" i="10"/>
  <c r="Y54" i="10"/>
  <c r="AJ55" i="10" s="1"/>
  <c r="AL55" i="10" s="1"/>
  <c r="AC53" i="10"/>
  <c r="AA53" i="10"/>
  <c r="AA55" i="10" s="1"/>
  <c r="Y53" i="10"/>
  <c r="Y55" i="10" s="1"/>
  <c r="R51" i="10"/>
  <c r="AD15" i="40" s="1"/>
  <c r="P51" i="10"/>
  <c r="O51" i="10"/>
  <c r="AC15" i="40" s="1"/>
  <c r="AL48" i="10"/>
  <c r="AN47" i="10"/>
  <c r="AL47" i="10"/>
  <c r="AL49" i="10" s="1"/>
  <c r="AJ47" i="10"/>
  <c r="AE46" i="10"/>
  <c r="AE47" i="10" s="1"/>
  <c r="AC46" i="10"/>
  <c r="Y46" i="10"/>
  <c r="AA46" i="10" s="1"/>
  <c r="AC45" i="10"/>
  <c r="AC47" i="10" s="1"/>
  <c r="AA45" i="10"/>
  <c r="Y45" i="10"/>
  <c r="Y47" i="10" s="1"/>
  <c r="L45" i="10"/>
  <c r="AG15" i="40" s="1"/>
  <c r="H45" i="10"/>
  <c r="Y15" i="40" s="1"/>
  <c r="S41" i="10"/>
  <c r="Q45" i="10" s="1"/>
  <c r="AB15" i="40" s="1"/>
  <c r="O41" i="10"/>
  <c r="AA15" i="40" s="1"/>
  <c r="J41" i="10"/>
  <c r="W15" i="40" s="1"/>
  <c r="G41" i="10"/>
  <c r="E41" i="10"/>
  <c r="D41" i="10"/>
  <c r="C41" i="10"/>
  <c r="B41" i="10"/>
  <c r="X15" i="40" s="1"/>
  <c r="A41" i="10"/>
  <c r="V15" i="40" s="1"/>
  <c r="Z37" i="10"/>
  <c r="B17" i="43" s="1"/>
  <c r="AN34" i="10"/>
  <c r="AC34" i="10"/>
  <c r="Z34" i="10"/>
  <c r="Y34" i="10"/>
  <c r="P15" i="40" s="1"/>
  <c r="AC33" i="10"/>
  <c r="AB33" i="10"/>
  <c r="G17" i="43" s="1"/>
  <c r="Z33" i="10"/>
  <c r="AA33" i="10" s="1"/>
  <c r="AC32" i="10"/>
  <c r="Z32" i="10"/>
  <c r="AA32" i="10" s="1"/>
  <c r="Z30" i="10"/>
  <c r="Y30" i="10"/>
  <c r="C17" i="43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S18" i="10" s="1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S17" i="10" s="1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Q21" i="10"/>
  <c r="P21" i="10"/>
  <c r="O21" i="10"/>
  <c r="N15" i="40" s="1"/>
  <c r="N21" i="10"/>
  <c r="AD15" i="38" s="1"/>
  <c r="M21" i="10"/>
  <c r="R16" i="39" s="1"/>
  <c r="L21" i="10"/>
  <c r="K21" i="10"/>
  <c r="X15" i="38" s="1"/>
  <c r="J21" i="10"/>
  <c r="U15" i="38" s="1"/>
  <c r="I21" i="10"/>
  <c r="R15" i="38" s="1"/>
  <c r="H21" i="10"/>
  <c r="L16" i="39" s="1"/>
  <c r="G21" i="10"/>
  <c r="F21" i="10"/>
  <c r="L15" i="38" s="1"/>
  <c r="E21" i="10"/>
  <c r="I15" i="38" s="1"/>
  <c r="D21" i="10"/>
  <c r="F16" i="39" s="1"/>
  <c r="C21" i="10"/>
  <c r="B21" i="10"/>
  <c r="C15" i="38" s="1"/>
  <c r="C54" i="38" s="1"/>
  <c r="AP20" i="10"/>
  <c r="AN20" i="10"/>
  <c r="AL20" i="10"/>
  <c r="AJ20" i="10"/>
  <c r="AH20" i="10"/>
  <c r="AF20" i="10"/>
  <c r="AD20" i="10"/>
  <c r="AB20" i="10"/>
  <c r="Q20" i="10"/>
  <c r="P20" i="10"/>
  <c r="O20" i="10"/>
  <c r="M15" i="40" s="1"/>
  <c r="N20" i="10"/>
  <c r="AC15" i="38" s="1"/>
  <c r="M20" i="10"/>
  <c r="Q16" i="39" s="1"/>
  <c r="L20" i="10"/>
  <c r="K20" i="10"/>
  <c r="W15" i="38" s="1"/>
  <c r="J20" i="10"/>
  <c r="T15" i="38" s="1"/>
  <c r="I20" i="10"/>
  <c r="Q15" i="38" s="1"/>
  <c r="H20" i="10"/>
  <c r="K16" i="39" s="1"/>
  <c r="G20" i="10"/>
  <c r="F20" i="10"/>
  <c r="K15" i="38" s="1"/>
  <c r="E20" i="10"/>
  <c r="H15" i="38" s="1"/>
  <c r="D20" i="10"/>
  <c r="E16" i="39" s="1"/>
  <c r="C20" i="10"/>
  <c r="B20" i="10"/>
  <c r="B15" i="38" s="1"/>
  <c r="B54" i="38" s="1"/>
  <c r="AP19" i="10"/>
  <c r="AN19" i="10"/>
  <c r="AL19" i="10"/>
  <c r="AJ19" i="10"/>
  <c r="AH19" i="10"/>
  <c r="AF19" i="10"/>
  <c r="AD19" i="10"/>
  <c r="AB19" i="10"/>
  <c r="Q19" i="10" a="1"/>
  <c r="Q19" i="10" s="1"/>
  <c r="P19" i="10" a="1"/>
  <c r="P19" i="10"/>
  <c r="O19" i="10" a="1"/>
  <c r="O19" i="10" s="1"/>
  <c r="N19" i="10" a="1"/>
  <c r="N19" i="10"/>
  <c r="AE15" i="38" s="1"/>
  <c r="M19" i="10" a="1"/>
  <c r="M19" i="10" s="1"/>
  <c r="S16" i="39" s="1"/>
  <c r="L19" i="10" a="1"/>
  <c r="L19" i="10"/>
  <c r="K19" i="10" a="1"/>
  <c r="K19" i="10" s="1"/>
  <c r="Y15" i="38" s="1"/>
  <c r="J19" i="10" a="1"/>
  <c r="J19" i="10"/>
  <c r="V15" i="38" s="1"/>
  <c r="I19" i="10" a="1"/>
  <c r="I19" i="10" s="1"/>
  <c r="S15" i="38" s="1"/>
  <c r="H19" i="10" a="1"/>
  <c r="H19" i="10"/>
  <c r="M16" i="39" s="1"/>
  <c r="G19" i="10" a="1"/>
  <c r="G19" i="10" s="1"/>
  <c r="F19" i="10" a="1"/>
  <c r="F19" i="10"/>
  <c r="M15" i="38" s="1"/>
  <c r="E19" i="10" a="1"/>
  <c r="E19" i="10" s="1"/>
  <c r="J15" i="38" s="1"/>
  <c r="D19" i="10" a="1"/>
  <c r="D19" i="10"/>
  <c r="G16" i="39" s="1"/>
  <c r="C19" i="10" a="1"/>
  <c r="C19" i="10" s="1"/>
  <c r="B19" i="10" a="1"/>
  <c r="B19" i="10"/>
  <c r="D15" i="38" s="1"/>
  <c r="D54" i="38" s="1"/>
  <c r="AP18" i="10"/>
  <c r="AN18" i="10"/>
  <c r="AL18" i="10"/>
  <c r="AJ18" i="10"/>
  <c r="AH18" i="10"/>
  <c r="AF18" i="10"/>
  <c r="AD18" i="10"/>
  <c r="AB18" i="10"/>
  <c r="U18" i="10"/>
  <c r="T18" i="10"/>
  <c r="R18" i="10"/>
  <c r="AP17" i="10"/>
  <c r="AN17" i="10"/>
  <c r="AL17" i="10"/>
  <c r="AJ17" i="10"/>
  <c r="AH17" i="10"/>
  <c r="AF17" i="10"/>
  <c r="AD17" i="10"/>
  <c r="AB17" i="10"/>
  <c r="V17" i="10"/>
  <c r="U17" i="10"/>
  <c r="T17" i="10"/>
  <c r="R17" i="10"/>
  <c r="AP16" i="10"/>
  <c r="AN16" i="10"/>
  <c r="AL16" i="10"/>
  <c r="AJ16" i="10"/>
  <c r="AH16" i="10"/>
  <c r="AF16" i="10"/>
  <c r="AD16" i="10"/>
  <c r="AB16" i="10"/>
  <c r="U16" i="10"/>
  <c r="T16" i="10"/>
  <c r="S16" i="10"/>
  <c r="R16" i="10"/>
  <c r="AP15" i="10"/>
  <c r="AN15" i="10"/>
  <c r="AL15" i="10"/>
  <c r="AJ15" i="10"/>
  <c r="AH15" i="10"/>
  <c r="AF15" i="10"/>
  <c r="AD15" i="10"/>
  <c r="AB15" i="10"/>
  <c r="U15" i="10"/>
  <c r="T15" i="10"/>
  <c r="S15" i="10"/>
  <c r="R15" i="10"/>
  <c r="AP14" i="10"/>
  <c r="AN14" i="10"/>
  <c r="AL14" i="10"/>
  <c r="AJ14" i="10"/>
  <c r="AH14" i="10"/>
  <c r="AF14" i="10"/>
  <c r="AD14" i="10"/>
  <c r="AB14" i="10"/>
  <c r="U14" i="10"/>
  <c r="T14" i="10"/>
  <c r="S14" i="10"/>
  <c r="R14" i="10"/>
  <c r="AP13" i="10"/>
  <c r="AN13" i="10"/>
  <c r="AL13" i="10"/>
  <c r="AJ13" i="10"/>
  <c r="AH13" i="10"/>
  <c r="AF13" i="10"/>
  <c r="AD13" i="10"/>
  <c r="AB13" i="10"/>
  <c r="U13" i="10"/>
  <c r="T13" i="10"/>
  <c r="S13" i="10"/>
  <c r="R13" i="10"/>
  <c r="AP12" i="10"/>
  <c r="AP30" i="10" s="1"/>
  <c r="AR38" i="10" s="1"/>
  <c r="AR39" i="10" s="1"/>
  <c r="AN12" i="10"/>
  <c r="AL12" i="10"/>
  <c r="AJ12" i="10"/>
  <c r="AJ30" i="10" s="1"/>
  <c r="AH12" i="10"/>
  <c r="AH30" i="10" s="1"/>
  <c r="AF12" i="10"/>
  <c r="AD12" i="10"/>
  <c r="AB12" i="10"/>
  <c r="V12" i="10"/>
  <c r="U37" i="10" s="1"/>
  <c r="U12" i="10"/>
  <c r="T12" i="10"/>
  <c r="S12" i="10"/>
  <c r="R12" i="10"/>
  <c r="AP11" i="10"/>
  <c r="AN11" i="10"/>
  <c r="AL11" i="10"/>
  <c r="AJ11" i="10"/>
  <c r="AH11" i="10"/>
  <c r="AF11" i="10"/>
  <c r="AD11" i="10"/>
  <c r="AB11" i="10"/>
  <c r="U11" i="10"/>
  <c r="T11" i="10"/>
  <c r="S11" i="10"/>
  <c r="R11" i="10"/>
  <c r="AP10" i="10"/>
  <c r="AN10" i="10"/>
  <c r="AL10" i="10"/>
  <c r="AJ10" i="10"/>
  <c r="AH10" i="10"/>
  <c r="AF10" i="10"/>
  <c r="AD10" i="10"/>
  <c r="AB10" i="10"/>
  <c r="U10" i="10"/>
  <c r="T10" i="10"/>
  <c r="S10" i="10"/>
  <c r="R10" i="10"/>
  <c r="AP9" i="10"/>
  <c r="AN9" i="10"/>
  <c r="AL9" i="10"/>
  <c r="AJ9" i="10"/>
  <c r="AH9" i="10"/>
  <c r="AF9" i="10"/>
  <c r="AD9" i="10"/>
  <c r="AB9" i="10"/>
  <c r="U9" i="10"/>
  <c r="T9" i="10"/>
  <c r="S9" i="10"/>
  <c r="R9" i="10"/>
  <c r="AP8" i="10"/>
  <c r="AN8" i="10"/>
  <c r="AL8" i="10"/>
  <c r="AJ8" i="10"/>
  <c r="AH8" i="10"/>
  <c r="AF8" i="10"/>
  <c r="AD8" i="10"/>
  <c r="AB8" i="10"/>
  <c r="U8" i="10"/>
  <c r="T8" i="10"/>
  <c r="S8" i="10"/>
  <c r="S19" i="10" s="1" a="1"/>
  <c r="S19" i="10" s="1"/>
  <c r="R8" i="10"/>
  <c r="AP7" i="10"/>
  <c r="AN7" i="10"/>
  <c r="AL7" i="10"/>
  <c r="AJ7" i="10"/>
  <c r="AH7" i="10"/>
  <c r="AF7" i="10"/>
  <c r="AD7" i="10"/>
  <c r="AB7" i="10"/>
  <c r="V7" i="10"/>
  <c r="U7" i="10"/>
  <c r="T7" i="10"/>
  <c r="R7" i="10"/>
  <c r="AP6" i="10"/>
  <c r="AN6" i="10"/>
  <c r="AN30" i="10" s="1"/>
  <c r="AL6" i="10"/>
  <c r="AJ6" i="10"/>
  <c r="AH6" i="10"/>
  <c r="AF6" i="10"/>
  <c r="AF30" i="10" s="1"/>
  <c r="AD6" i="10"/>
  <c r="AB6" i="10"/>
  <c r="AC65" i="9"/>
  <c r="Y65" i="9"/>
  <c r="AL62" i="9"/>
  <c r="R57" i="9"/>
  <c r="AF14" i="40" s="1"/>
  <c r="O57" i="9"/>
  <c r="AE14" i="40" s="1"/>
  <c r="AC55" i="9"/>
  <c r="AN54" i="9"/>
  <c r="AL54" i="9"/>
  <c r="AJ54" i="9"/>
  <c r="AE54" i="9"/>
  <c r="AE55" i="9" s="1"/>
  <c r="AC54" i="9"/>
  <c r="AA54" i="9"/>
  <c r="Y54" i="9"/>
  <c r="AJ55" i="9" s="1"/>
  <c r="AL55" i="9" s="1"/>
  <c r="AC53" i="9"/>
  <c r="AA53" i="9"/>
  <c r="AA55" i="9" s="1"/>
  <c r="Y53" i="9"/>
  <c r="Y55" i="9" s="1"/>
  <c r="R51" i="9"/>
  <c r="AD14" i="40" s="1"/>
  <c r="P51" i="9"/>
  <c r="O51" i="9"/>
  <c r="AC14" i="40" s="1"/>
  <c r="AN47" i="9"/>
  <c r="AL47" i="9"/>
  <c r="AJ47" i="9"/>
  <c r="AE46" i="9"/>
  <c r="AE47" i="9" s="1"/>
  <c r="AC46" i="9"/>
  <c r="Y46" i="9"/>
  <c r="AA46" i="9" s="1"/>
  <c r="AC45" i="9"/>
  <c r="AC47" i="9" s="1"/>
  <c r="AA45" i="9"/>
  <c r="AA47" i="9" s="1"/>
  <c r="Y45" i="9"/>
  <c r="Y47" i="9" s="1"/>
  <c r="L45" i="9"/>
  <c r="AG14" i="40" s="1"/>
  <c r="H45" i="9"/>
  <c r="Y14" i="40" s="1"/>
  <c r="S41" i="9"/>
  <c r="Q45" i="9" s="1"/>
  <c r="AB14" i="40" s="1"/>
  <c r="O41" i="9"/>
  <c r="AA14" i="40" s="1"/>
  <c r="J41" i="9"/>
  <c r="W14" i="40" s="1"/>
  <c r="G41" i="9"/>
  <c r="E41" i="9"/>
  <c r="D41" i="9"/>
  <c r="C41" i="9"/>
  <c r="B41" i="9"/>
  <c r="X14" i="40" s="1"/>
  <c r="A41" i="9"/>
  <c r="V14" i="40" s="1"/>
  <c r="Z37" i="9"/>
  <c r="B16" i="43" s="1"/>
  <c r="AC34" i="9"/>
  <c r="Z34" i="9"/>
  <c r="Y34" i="9"/>
  <c r="P14" i="40" s="1"/>
  <c r="AC33" i="9"/>
  <c r="AB33" i="9"/>
  <c r="G16" i="43" s="1"/>
  <c r="Z33" i="9"/>
  <c r="AA33" i="9" s="1"/>
  <c r="F16" i="43" s="1"/>
  <c r="AC32" i="9"/>
  <c r="Z32" i="9"/>
  <c r="AA32" i="9" s="1"/>
  <c r="Z30" i="9"/>
  <c r="Y30" i="9"/>
  <c r="C16" i="43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S17" i="9" s="1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S16" i="9" s="1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S15" i="9" s="1"/>
  <c r="Q21" i="9"/>
  <c r="P21" i="9"/>
  <c r="O21" i="9"/>
  <c r="N14" i="40" s="1"/>
  <c r="N21" i="9"/>
  <c r="AD14" i="38" s="1"/>
  <c r="M21" i="9"/>
  <c r="R15" i="39" s="1"/>
  <c r="L21" i="9"/>
  <c r="O15" i="39" s="1"/>
  <c r="K21" i="9"/>
  <c r="X14" i="38" s="1"/>
  <c r="J21" i="9"/>
  <c r="U14" i="38" s="1"/>
  <c r="I21" i="9"/>
  <c r="R14" i="38" s="1"/>
  <c r="H21" i="9"/>
  <c r="L15" i="39" s="1"/>
  <c r="G21" i="9"/>
  <c r="F21" i="9"/>
  <c r="L14" i="38" s="1"/>
  <c r="E21" i="9"/>
  <c r="I14" i="38" s="1"/>
  <c r="D21" i="9"/>
  <c r="F15" i="39" s="1"/>
  <c r="C21" i="9"/>
  <c r="B21" i="9"/>
  <c r="C14" i="38" s="1"/>
  <c r="C53" i="38" s="1"/>
  <c r="AP20" i="9"/>
  <c r="AN20" i="9"/>
  <c r="AL20" i="9"/>
  <c r="AJ20" i="9"/>
  <c r="AH20" i="9"/>
  <c r="AF20" i="9"/>
  <c r="AD20" i="9"/>
  <c r="AB20" i="9"/>
  <c r="Q20" i="9"/>
  <c r="P20" i="9"/>
  <c r="O20" i="9"/>
  <c r="M14" i="40" s="1"/>
  <c r="N20" i="9"/>
  <c r="AC14" i="38" s="1"/>
  <c r="M20" i="9"/>
  <c r="Q15" i="39" s="1"/>
  <c r="L20" i="9"/>
  <c r="K20" i="9"/>
  <c r="W14" i="38" s="1"/>
  <c r="J20" i="9"/>
  <c r="T14" i="38" s="1"/>
  <c r="I20" i="9"/>
  <c r="Q14" i="38" s="1"/>
  <c r="H20" i="9"/>
  <c r="K15" i="39" s="1"/>
  <c r="G20" i="9"/>
  <c r="F20" i="9"/>
  <c r="K14" i="38" s="1"/>
  <c r="E20" i="9"/>
  <c r="H14" i="38" s="1"/>
  <c r="D20" i="9"/>
  <c r="E15" i="39" s="1"/>
  <c r="C20" i="9"/>
  <c r="B20" i="9"/>
  <c r="B14" i="38" s="1"/>
  <c r="B53" i="38" s="1"/>
  <c r="AP19" i="9"/>
  <c r="AN19" i="9"/>
  <c r="AL19" i="9"/>
  <c r="AJ19" i="9"/>
  <c r="AH19" i="9"/>
  <c r="AF19" i="9"/>
  <c r="AD19" i="9"/>
  <c r="AB19" i="9"/>
  <c r="S14" i="9" s="1"/>
  <c r="Q19" i="9" a="1"/>
  <c r="Q19" i="9"/>
  <c r="P19" i="9" a="1"/>
  <c r="P19" i="9" s="1"/>
  <c r="O19" i="9" a="1"/>
  <c r="O19" i="9"/>
  <c r="N19" i="9" a="1"/>
  <c r="N19" i="9" s="1"/>
  <c r="AE14" i="38" s="1"/>
  <c r="M19" i="9" a="1"/>
  <c r="M19" i="9"/>
  <c r="S15" i="39" s="1"/>
  <c r="L19" i="9" a="1"/>
  <c r="L19" i="9" s="1"/>
  <c r="K19" i="9" a="1"/>
  <c r="K19" i="9"/>
  <c r="Y14" i="38" s="1"/>
  <c r="J19" i="9" a="1"/>
  <c r="J19" i="9" s="1"/>
  <c r="V14" i="38" s="1"/>
  <c r="I19" i="9" a="1"/>
  <c r="I19" i="9"/>
  <c r="S14" i="38" s="1"/>
  <c r="H19" i="9" a="1"/>
  <c r="H19" i="9" s="1"/>
  <c r="M15" i="39" s="1"/>
  <c r="G19" i="9" a="1"/>
  <c r="G19" i="9"/>
  <c r="F19" i="9" a="1"/>
  <c r="F19" i="9" s="1"/>
  <c r="M14" i="38" s="1"/>
  <c r="E19" i="9" a="1"/>
  <c r="E19" i="9"/>
  <c r="J14" i="38" s="1"/>
  <c r="D19" i="9" a="1"/>
  <c r="D19" i="9" s="1"/>
  <c r="G15" i="39" s="1"/>
  <c r="C19" i="9" a="1"/>
  <c r="C19" i="9"/>
  <c r="B19" i="9" a="1"/>
  <c r="B19" i="9" s="1"/>
  <c r="D14" i="38" s="1"/>
  <c r="D53" i="38" s="1"/>
  <c r="AP18" i="9"/>
  <c r="AN18" i="9"/>
  <c r="AN34" i="9" s="1"/>
  <c r="AL18" i="9"/>
  <c r="AJ18" i="9"/>
  <c r="AH18" i="9"/>
  <c r="AF18" i="9"/>
  <c r="AD18" i="9"/>
  <c r="AB18" i="9"/>
  <c r="U18" i="9"/>
  <c r="T18" i="9"/>
  <c r="R18" i="9"/>
  <c r="AP17" i="9"/>
  <c r="AN17" i="9"/>
  <c r="AL17" i="9"/>
  <c r="AJ17" i="9"/>
  <c r="AH17" i="9"/>
  <c r="AF17" i="9"/>
  <c r="AD17" i="9"/>
  <c r="AB17" i="9"/>
  <c r="V17" i="9"/>
  <c r="U17" i="9"/>
  <c r="T17" i="9"/>
  <c r="R17" i="9"/>
  <c r="AP16" i="9"/>
  <c r="AN16" i="9"/>
  <c r="AL16" i="9"/>
  <c r="AJ16" i="9"/>
  <c r="AH16" i="9"/>
  <c r="AF16" i="9"/>
  <c r="AD16" i="9"/>
  <c r="AB16" i="9"/>
  <c r="U16" i="9"/>
  <c r="T16" i="9"/>
  <c r="R16" i="9"/>
  <c r="AP15" i="9"/>
  <c r="AN15" i="9"/>
  <c r="AL15" i="9"/>
  <c r="AJ15" i="9"/>
  <c r="AH15" i="9"/>
  <c r="AF15" i="9"/>
  <c r="AD15" i="9"/>
  <c r="AB15" i="9"/>
  <c r="U15" i="9"/>
  <c r="T15" i="9"/>
  <c r="R15" i="9"/>
  <c r="AP14" i="9"/>
  <c r="AN14" i="9"/>
  <c r="AL14" i="9"/>
  <c r="AJ14" i="9"/>
  <c r="AH14" i="9"/>
  <c r="AF14" i="9"/>
  <c r="AD14" i="9"/>
  <c r="AB14" i="9"/>
  <c r="U14" i="9"/>
  <c r="T14" i="9"/>
  <c r="R14" i="9"/>
  <c r="AP13" i="9"/>
  <c r="AN13" i="9"/>
  <c r="AL13" i="9"/>
  <c r="AJ13" i="9"/>
  <c r="AH13" i="9"/>
  <c r="AF13" i="9"/>
  <c r="AD13" i="9"/>
  <c r="AB13" i="9"/>
  <c r="U13" i="9"/>
  <c r="T13" i="9"/>
  <c r="S13" i="9"/>
  <c r="R13" i="9"/>
  <c r="AP12" i="9"/>
  <c r="AN12" i="9"/>
  <c r="AL12" i="9"/>
  <c r="AJ12" i="9"/>
  <c r="AH12" i="9"/>
  <c r="AF12" i="9"/>
  <c r="AD12" i="9"/>
  <c r="AB12" i="9"/>
  <c r="V12" i="9"/>
  <c r="U37" i="9" s="1"/>
  <c r="U12" i="9"/>
  <c r="T12" i="9"/>
  <c r="S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S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L7" i="9"/>
  <c r="AJ7" i="9"/>
  <c r="AJ30" i="9" s="1"/>
  <c r="AH7" i="9"/>
  <c r="AF7" i="9"/>
  <c r="AD7" i="9"/>
  <c r="AB7" i="9"/>
  <c r="S8" i="9" s="1"/>
  <c r="V7" i="9"/>
  <c r="U7" i="9"/>
  <c r="T7" i="9"/>
  <c r="S7" i="9"/>
  <c r="S21" i="9" s="1"/>
  <c r="R7" i="9"/>
  <c r="AP6" i="9"/>
  <c r="AN6" i="9"/>
  <c r="AL6" i="9"/>
  <c r="AJ6" i="9"/>
  <c r="AH6" i="9"/>
  <c r="AF6" i="9"/>
  <c r="AD6" i="9"/>
  <c r="AD34" i="9" s="1"/>
  <c r="AB6" i="9"/>
  <c r="Y68" i="8"/>
  <c r="AL62" i="8"/>
  <c r="R57" i="8"/>
  <c r="AF13" i="40" s="1"/>
  <c r="O57" i="8"/>
  <c r="AE13" i="40" s="1"/>
  <c r="AC55" i="8"/>
  <c r="AN54" i="8"/>
  <c r="AL54" i="8"/>
  <c r="AL56" i="8" s="1"/>
  <c r="AJ54" i="8"/>
  <c r="AE54" i="8"/>
  <c r="AE55" i="8" s="1"/>
  <c r="AC54" i="8"/>
  <c r="AA54" i="8"/>
  <c r="Y54" i="8"/>
  <c r="AJ55" i="8" s="1"/>
  <c r="AL55" i="8" s="1"/>
  <c r="AC53" i="8"/>
  <c r="AA53" i="8"/>
  <c r="AA55" i="8" s="1"/>
  <c r="Y53" i="8"/>
  <c r="Y55" i="8" s="1"/>
  <c r="R51" i="8"/>
  <c r="AD13" i="40" s="1"/>
  <c r="P51" i="8"/>
  <c r="O51" i="8"/>
  <c r="AC13" i="40" s="1"/>
  <c r="AJ49" i="8"/>
  <c r="AN48" i="8"/>
  <c r="AJ48" i="8"/>
  <c r="AL48" i="8" s="1"/>
  <c r="AN47" i="8"/>
  <c r="AN49" i="8" s="1"/>
  <c r="AL47" i="8"/>
  <c r="AJ47" i="8"/>
  <c r="AC47" i="8"/>
  <c r="AE46" i="8"/>
  <c r="AE47" i="8" s="1"/>
  <c r="AC46" i="8"/>
  <c r="Y46" i="8"/>
  <c r="AC45" i="8"/>
  <c r="AA45" i="8"/>
  <c r="Y45" i="8"/>
  <c r="Y47" i="8" s="1"/>
  <c r="L45" i="8"/>
  <c r="AG13" i="40" s="1"/>
  <c r="H45" i="8"/>
  <c r="Y13" i="40" s="1"/>
  <c r="S41" i="8"/>
  <c r="Q45" i="8" s="1"/>
  <c r="AB13" i="40" s="1"/>
  <c r="O41" i="8"/>
  <c r="AA13" i="40" s="1"/>
  <c r="G41" i="8"/>
  <c r="E41" i="8"/>
  <c r="D41" i="8"/>
  <c r="C41" i="8"/>
  <c r="Z13" i="40" s="1"/>
  <c r="B41" i="8"/>
  <c r="X13" i="40" s="1"/>
  <c r="A41" i="8"/>
  <c r="V13" i="40" s="1"/>
  <c r="Z37" i="8"/>
  <c r="B15" i="43" s="1"/>
  <c r="AD34" i="8"/>
  <c r="AC34" i="8"/>
  <c r="Z34" i="8"/>
  <c r="Y34" i="8"/>
  <c r="P13" i="40" s="1"/>
  <c r="AC33" i="8"/>
  <c r="AB33" i="8"/>
  <c r="G15" i="43" s="1"/>
  <c r="Z33" i="8"/>
  <c r="AA33" i="8" s="1"/>
  <c r="F15" i="43" s="1"/>
  <c r="AC32" i="8"/>
  <c r="Z32" i="8"/>
  <c r="AA32" i="8" s="1"/>
  <c r="Z30" i="8"/>
  <c r="Y30" i="8"/>
  <c r="C15" i="43" s="1"/>
  <c r="AP29" i="8"/>
  <c r="AN29" i="8"/>
  <c r="AL29" i="8"/>
  <c r="AJ29" i="8"/>
  <c r="AH29" i="8"/>
  <c r="AF29" i="8"/>
  <c r="AB29" i="8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S18" i="8" s="1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S16" i="8" s="1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Q21" i="8"/>
  <c r="P21" i="8"/>
  <c r="O21" i="8"/>
  <c r="N13" i="40" s="1"/>
  <c r="N21" i="8"/>
  <c r="AD13" i="38" s="1"/>
  <c r="M21" i="8"/>
  <c r="R14" i="39" s="1"/>
  <c r="L21" i="8"/>
  <c r="K21" i="8"/>
  <c r="X13" i="38" s="1"/>
  <c r="J21" i="8"/>
  <c r="U13" i="38" s="1"/>
  <c r="I21" i="8"/>
  <c r="R13" i="38" s="1"/>
  <c r="H21" i="8"/>
  <c r="L14" i="39" s="1"/>
  <c r="G21" i="8"/>
  <c r="F21" i="8"/>
  <c r="E21" i="8"/>
  <c r="I13" i="38" s="1"/>
  <c r="D21" i="8"/>
  <c r="F14" i="39" s="1"/>
  <c r="C21" i="8"/>
  <c r="B21" i="8"/>
  <c r="C13" i="38" s="1"/>
  <c r="C52" i="38" s="1"/>
  <c r="AP20" i="8"/>
  <c r="AN20" i="8"/>
  <c r="AL20" i="8"/>
  <c r="AJ20" i="8"/>
  <c r="AH20" i="8"/>
  <c r="AF20" i="8"/>
  <c r="AB20" i="8"/>
  <c r="Q20" i="8"/>
  <c r="P20" i="8"/>
  <c r="O20" i="8"/>
  <c r="M13" i="40" s="1"/>
  <c r="N20" i="8"/>
  <c r="AC13" i="38" s="1"/>
  <c r="M20" i="8"/>
  <c r="Q14" i="39" s="1"/>
  <c r="L20" i="8"/>
  <c r="K20" i="8"/>
  <c r="W13" i="38" s="1"/>
  <c r="J20" i="8"/>
  <c r="T13" i="38" s="1"/>
  <c r="I20" i="8"/>
  <c r="Q13" i="38" s="1"/>
  <c r="H20" i="8"/>
  <c r="K14" i="39" s="1"/>
  <c r="G20" i="8"/>
  <c r="H14" i="39" s="1"/>
  <c r="F20" i="8"/>
  <c r="E20" i="8"/>
  <c r="H13" i="38" s="1"/>
  <c r="D20" i="8"/>
  <c r="E14" i="39" s="1"/>
  <c r="C20" i="8"/>
  <c r="B20" i="8"/>
  <c r="B13" i="38" s="1"/>
  <c r="B52" i="38" s="1"/>
  <c r="AP19" i="8"/>
  <c r="AN19" i="8"/>
  <c r="AL19" i="8"/>
  <c r="AJ19" i="8"/>
  <c r="AH19" i="8"/>
  <c r="AF19" i="8"/>
  <c r="AB19" i="8"/>
  <c r="Q19" i="8" a="1"/>
  <c r="Q19" i="8"/>
  <c r="P19" i="8" a="1"/>
  <c r="P19" i="8" s="1"/>
  <c r="O19" i="8" a="1"/>
  <c r="O19" i="8"/>
  <c r="N19" i="8" a="1"/>
  <c r="N19" i="8" s="1"/>
  <c r="AE13" i="38" s="1"/>
  <c r="M19" i="8" a="1"/>
  <c r="M19" i="8"/>
  <c r="S14" i="39" s="1"/>
  <c r="L19" i="8" a="1"/>
  <c r="L19" i="8" s="1"/>
  <c r="K19" i="8" a="1"/>
  <c r="K19" i="8"/>
  <c r="Y13" i="38" s="1"/>
  <c r="J19" i="8" a="1"/>
  <c r="J19" i="8" s="1"/>
  <c r="V13" i="38" s="1"/>
  <c r="I19" i="8" a="1"/>
  <c r="I19" i="8"/>
  <c r="S13" i="38" s="1"/>
  <c r="H19" i="8" a="1"/>
  <c r="H19" i="8" s="1"/>
  <c r="M14" i="39" s="1"/>
  <c r="G19" i="8" a="1"/>
  <c r="G19" i="8"/>
  <c r="F19" i="8" a="1"/>
  <c r="F19" i="8" s="1"/>
  <c r="M13" i="38" s="1"/>
  <c r="E19" i="8" a="1"/>
  <c r="E19" i="8"/>
  <c r="J13" i="38" s="1"/>
  <c r="D19" i="8" a="1"/>
  <c r="D19" i="8" s="1"/>
  <c r="G14" i="39" s="1"/>
  <c r="C19" i="8" a="1"/>
  <c r="C19" i="8"/>
  <c r="B19" i="8" a="1"/>
  <c r="B19" i="8" s="1"/>
  <c r="D13" i="38" s="1"/>
  <c r="D52" i="38" s="1"/>
  <c r="AP18" i="8"/>
  <c r="AN18" i="8"/>
  <c r="AL18" i="8"/>
  <c r="AJ18" i="8"/>
  <c r="AH18" i="8"/>
  <c r="AF18" i="8"/>
  <c r="AB18" i="8"/>
  <c r="U18" i="8"/>
  <c r="T18" i="8"/>
  <c r="R18" i="8"/>
  <c r="AP17" i="8"/>
  <c r="AN17" i="8"/>
  <c r="AL17" i="8"/>
  <c r="AJ17" i="8"/>
  <c r="AH17" i="8"/>
  <c r="AF17" i="8"/>
  <c r="AB17" i="8"/>
  <c r="V17" i="8"/>
  <c r="U17" i="8"/>
  <c r="T17" i="8"/>
  <c r="S17" i="8"/>
  <c r="R17" i="8"/>
  <c r="AP16" i="8"/>
  <c r="AN16" i="8"/>
  <c r="AL16" i="8"/>
  <c r="AJ16" i="8"/>
  <c r="AH16" i="8"/>
  <c r="AF16" i="8"/>
  <c r="AB16" i="8"/>
  <c r="U16" i="8"/>
  <c r="T16" i="8"/>
  <c r="R16" i="8"/>
  <c r="AP15" i="8"/>
  <c r="AN15" i="8"/>
  <c r="AL15" i="8"/>
  <c r="AJ15" i="8"/>
  <c r="AH15" i="8"/>
  <c r="AF15" i="8"/>
  <c r="AB15" i="8"/>
  <c r="U15" i="8"/>
  <c r="T15" i="8"/>
  <c r="S15" i="8"/>
  <c r="R15" i="8"/>
  <c r="AP14" i="8"/>
  <c r="AN14" i="8"/>
  <c r="AL14" i="8"/>
  <c r="AJ14" i="8"/>
  <c r="AH14" i="8"/>
  <c r="AF14" i="8"/>
  <c r="AB14" i="8"/>
  <c r="U14" i="8"/>
  <c r="T14" i="8"/>
  <c r="S14" i="8"/>
  <c r="R14" i="8"/>
  <c r="AP13" i="8"/>
  <c r="AN13" i="8"/>
  <c r="AL13" i="8"/>
  <c r="AL34" i="8" s="1"/>
  <c r="AJ13" i="8"/>
  <c r="AH13" i="8"/>
  <c r="AF13" i="8"/>
  <c r="AB13" i="8"/>
  <c r="S11" i="8" s="1"/>
  <c r="S21" i="8" s="1"/>
  <c r="U13" i="8"/>
  <c r="T13" i="8"/>
  <c r="S13" i="8"/>
  <c r="R13" i="8"/>
  <c r="AP12" i="8"/>
  <c r="AN12" i="8"/>
  <c r="AL12" i="8"/>
  <c r="AJ12" i="8"/>
  <c r="AH12" i="8"/>
  <c r="AF12" i="8"/>
  <c r="AB12" i="8"/>
  <c r="V12" i="8"/>
  <c r="U37" i="8" s="1"/>
  <c r="U12" i="8"/>
  <c r="T12" i="8"/>
  <c r="S12" i="8"/>
  <c r="R12" i="8"/>
  <c r="R19" i="8" s="1" a="1"/>
  <c r="R19" i="8" s="1"/>
  <c r="AP11" i="8"/>
  <c r="AN11" i="8"/>
  <c r="AL11" i="8"/>
  <c r="AJ11" i="8"/>
  <c r="AH11" i="8"/>
  <c r="AF11" i="8"/>
  <c r="AB11" i="8"/>
  <c r="U11" i="8"/>
  <c r="T11" i="8"/>
  <c r="R11" i="8"/>
  <c r="AP10" i="8"/>
  <c r="AN10" i="8"/>
  <c r="AL10" i="8"/>
  <c r="AJ10" i="8"/>
  <c r="AH10" i="8"/>
  <c r="AF10" i="8"/>
  <c r="AB10" i="8"/>
  <c r="U10" i="8"/>
  <c r="T10" i="8"/>
  <c r="S10" i="8"/>
  <c r="R10" i="8"/>
  <c r="AP9" i="8"/>
  <c r="AN9" i="8"/>
  <c r="AL9" i="8"/>
  <c r="AJ9" i="8"/>
  <c r="AH9" i="8"/>
  <c r="AF9" i="8"/>
  <c r="AB9" i="8"/>
  <c r="U9" i="8"/>
  <c r="T9" i="8"/>
  <c r="S9" i="8"/>
  <c r="R9" i="8"/>
  <c r="AP8" i="8"/>
  <c r="AN8" i="8"/>
  <c r="AL8" i="8"/>
  <c r="AJ8" i="8"/>
  <c r="AH8" i="8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N6" i="8"/>
  <c r="AL6" i="8"/>
  <c r="AL30" i="8" s="1"/>
  <c r="AJ6" i="8"/>
  <c r="AH6" i="8"/>
  <c r="AF6" i="8"/>
  <c r="AB6" i="8"/>
  <c r="R57" i="7"/>
  <c r="AF12" i="40" s="1"/>
  <c r="O57" i="7"/>
  <c r="AE12" i="40" s="1"/>
  <c r="AN54" i="7"/>
  <c r="AL54" i="7"/>
  <c r="AJ54" i="7"/>
  <c r="AE54" i="7"/>
  <c r="AE55" i="7" s="1"/>
  <c r="AC54" i="7"/>
  <c r="Y54" i="7"/>
  <c r="AA54" i="7" s="1"/>
  <c r="AC53" i="7"/>
  <c r="AC55" i="7" s="1"/>
  <c r="AA53" i="7"/>
  <c r="AA55" i="7" s="1"/>
  <c r="Y53" i="7"/>
  <c r="R51" i="7"/>
  <c r="AD12" i="40" s="1"/>
  <c r="P51" i="7"/>
  <c r="O51" i="7"/>
  <c r="AC12" i="40" s="1"/>
  <c r="AN47" i="7"/>
  <c r="AL47" i="7"/>
  <c r="AJ47" i="7"/>
  <c r="Y46" i="7"/>
  <c r="AC45" i="7"/>
  <c r="AA45" i="7"/>
  <c r="Y45" i="7"/>
  <c r="Q45" i="7"/>
  <c r="AB12" i="40" s="1"/>
  <c r="L45" i="7"/>
  <c r="AG12" i="40" s="1"/>
  <c r="H45" i="7"/>
  <c r="Y12" i="40" s="1"/>
  <c r="S41" i="7"/>
  <c r="O41" i="7"/>
  <c r="AA12" i="40" s="1"/>
  <c r="L41" i="7"/>
  <c r="J41" i="7"/>
  <c r="W12" i="40" s="1"/>
  <c r="G41" i="7"/>
  <c r="E41" i="7"/>
  <c r="D41" i="7"/>
  <c r="C41" i="7"/>
  <c r="Z12" i="40" s="1"/>
  <c r="B41" i="7"/>
  <c r="X12" i="40" s="1"/>
  <c r="A41" i="7"/>
  <c r="V12" i="40" s="1"/>
  <c r="Z37" i="7"/>
  <c r="B14" i="43" s="1"/>
  <c r="AC34" i="7"/>
  <c r="Z34" i="7"/>
  <c r="Y34" i="7"/>
  <c r="P12" i="40" s="1"/>
  <c r="AC33" i="7"/>
  <c r="AB33" i="7"/>
  <c r="G14" i="43" s="1"/>
  <c r="AA33" i="7"/>
  <c r="Z33" i="7"/>
  <c r="AC32" i="7"/>
  <c r="AA32" i="7"/>
  <c r="Z32" i="7"/>
  <c r="Z30" i="7"/>
  <c r="Y30" i="7"/>
  <c r="C14" i="43" s="1"/>
  <c r="AP29" i="7"/>
  <c r="AN29" i="7"/>
  <c r="AL29" i="7"/>
  <c r="AJ29" i="7"/>
  <c r="AH29" i="7"/>
  <c r="AF29" i="7"/>
  <c r="AD29" i="7"/>
  <c r="AB29" i="7"/>
  <c r="S7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S18" i="7" s="1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S17" i="7" s="1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Q21" i="7"/>
  <c r="P21" i="7"/>
  <c r="O21" i="7"/>
  <c r="N12" i="40" s="1"/>
  <c r="N21" i="7"/>
  <c r="AD12" i="38" s="1"/>
  <c r="M21" i="7"/>
  <c r="R13" i="39" s="1"/>
  <c r="L21" i="7"/>
  <c r="K21" i="7"/>
  <c r="X12" i="38" s="1"/>
  <c r="J21" i="7"/>
  <c r="U12" i="38" s="1"/>
  <c r="I21" i="7"/>
  <c r="R12" i="38" s="1"/>
  <c r="H21" i="7"/>
  <c r="L13" i="39" s="1"/>
  <c r="G21" i="7"/>
  <c r="F21" i="7"/>
  <c r="E21" i="7"/>
  <c r="I12" i="38" s="1"/>
  <c r="D21" i="7"/>
  <c r="F13" i="39" s="1"/>
  <c r="C21" i="7"/>
  <c r="B21" i="7"/>
  <c r="C12" i="38" s="1"/>
  <c r="C51" i="38" s="1"/>
  <c r="AP20" i="7"/>
  <c r="AN20" i="7"/>
  <c r="AL20" i="7"/>
  <c r="AJ20" i="7"/>
  <c r="AH20" i="7"/>
  <c r="AF20" i="7"/>
  <c r="AD20" i="7"/>
  <c r="AB20" i="7"/>
  <c r="Q20" i="7"/>
  <c r="P20" i="7"/>
  <c r="O20" i="7"/>
  <c r="M12" i="40" s="1"/>
  <c r="N20" i="7"/>
  <c r="AC12" i="38" s="1"/>
  <c r="M20" i="7"/>
  <c r="Q13" i="39" s="1"/>
  <c r="L20" i="7"/>
  <c r="K20" i="7"/>
  <c r="W12" i="38" s="1"/>
  <c r="J20" i="7"/>
  <c r="T12" i="38" s="1"/>
  <c r="I20" i="7"/>
  <c r="Q12" i="38" s="1"/>
  <c r="H20" i="7"/>
  <c r="K13" i="39" s="1"/>
  <c r="G20" i="7"/>
  <c r="F20" i="7"/>
  <c r="E20" i="7"/>
  <c r="H12" i="38" s="1"/>
  <c r="D20" i="7"/>
  <c r="E13" i="39" s="1"/>
  <c r="C20" i="7"/>
  <c r="B20" i="7"/>
  <c r="AP19" i="7"/>
  <c r="AN19" i="7"/>
  <c r="AL19" i="7"/>
  <c r="AJ19" i="7"/>
  <c r="AH19" i="7"/>
  <c r="AF19" i="7"/>
  <c r="AD19" i="7"/>
  <c r="AB19" i="7"/>
  <c r="Q19" i="7" a="1"/>
  <c r="Q19" i="7" s="1"/>
  <c r="P19" i="7" a="1"/>
  <c r="P19" i="7"/>
  <c r="O19" i="7" a="1"/>
  <c r="O19" i="7" s="1"/>
  <c r="N19" i="7" a="1"/>
  <c r="N19" i="7"/>
  <c r="AE12" i="38" s="1"/>
  <c r="M19" i="7" a="1"/>
  <c r="M19" i="7" s="1"/>
  <c r="S13" i="39" s="1"/>
  <c r="L19" i="7" a="1"/>
  <c r="L19" i="7"/>
  <c r="K19" i="7" a="1"/>
  <c r="K19" i="7" s="1"/>
  <c r="Y12" i="38" s="1"/>
  <c r="J19" i="7" a="1"/>
  <c r="J19" i="7"/>
  <c r="V12" i="38" s="1"/>
  <c r="I19" i="7" a="1"/>
  <c r="I19" i="7" s="1"/>
  <c r="S12" i="38" s="1"/>
  <c r="H19" i="7" a="1"/>
  <c r="H19" i="7"/>
  <c r="M13" i="39" s="1"/>
  <c r="G19" i="7" a="1"/>
  <c r="G19" i="7" s="1"/>
  <c r="F19" i="7" a="1"/>
  <c r="F19" i="7"/>
  <c r="M12" i="38" s="1"/>
  <c r="E19" i="7" a="1"/>
  <c r="E19" i="7" s="1"/>
  <c r="J12" i="38" s="1"/>
  <c r="D19" i="7" a="1"/>
  <c r="D19" i="7"/>
  <c r="G13" i="39" s="1"/>
  <c r="C19" i="7" a="1"/>
  <c r="C19" i="7" s="1"/>
  <c r="B19" i="7" a="1"/>
  <c r="B19" i="7"/>
  <c r="D12" i="38" s="1"/>
  <c r="D51" i="38" s="1"/>
  <c r="AP18" i="7"/>
  <c r="AP34" i="7" s="1"/>
  <c r="AN18" i="7"/>
  <c r="AL18" i="7"/>
  <c r="AJ18" i="7"/>
  <c r="AH18" i="7"/>
  <c r="AF18" i="7"/>
  <c r="AD18" i="7"/>
  <c r="AB18" i="7"/>
  <c r="U18" i="7"/>
  <c r="T18" i="7"/>
  <c r="R18" i="7"/>
  <c r="AP17" i="7"/>
  <c r="AN17" i="7"/>
  <c r="AL17" i="7"/>
  <c r="AJ17" i="7"/>
  <c r="AH17" i="7"/>
  <c r="AF17" i="7"/>
  <c r="AD17" i="7"/>
  <c r="AB17" i="7"/>
  <c r="V17" i="7"/>
  <c r="U17" i="7"/>
  <c r="T17" i="7"/>
  <c r="R17" i="7"/>
  <c r="AP16" i="7"/>
  <c r="AN16" i="7"/>
  <c r="AL16" i="7"/>
  <c r="AJ16" i="7"/>
  <c r="AH16" i="7"/>
  <c r="AF16" i="7"/>
  <c r="AD16" i="7"/>
  <c r="AB16" i="7"/>
  <c r="U16" i="7"/>
  <c r="T16" i="7"/>
  <c r="S16" i="7"/>
  <c r="R16" i="7"/>
  <c r="AP15" i="7"/>
  <c r="AN15" i="7"/>
  <c r="AL15" i="7"/>
  <c r="AJ15" i="7"/>
  <c r="AH15" i="7"/>
  <c r="AF15" i="7"/>
  <c r="AD15" i="7"/>
  <c r="AB15" i="7"/>
  <c r="U15" i="7"/>
  <c r="T15" i="7"/>
  <c r="S15" i="7"/>
  <c r="R15" i="7"/>
  <c r="AP14" i="7"/>
  <c r="AN14" i="7"/>
  <c r="AL14" i="7"/>
  <c r="AJ14" i="7"/>
  <c r="AH14" i="7"/>
  <c r="AF14" i="7"/>
  <c r="AD14" i="7"/>
  <c r="AB14" i="7"/>
  <c r="U14" i="7"/>
  <c r="T14" i="7"/>
  <c r="S14" i="7"/>
  <c r="R14" i="7"/>
  <c r="AP13" i="7"/>
  <c r="AN13" i="7"/>
  <c r="AL13" i="7"/>
  <c r="AJ13" i="7"/>
  <c r="AH13" i="7"/>
  <c r="AF13" i="7"/>
  <c r="AD13" i="7"/>
  <c r="AB13" i="7"/>
  <c r="U13" i="7"/>
  <c r="T13" i="7"/>
  <c r="S13" i="7"/>
  <c r="R13" i="7"/>
  <c r="AP12" i="7"/>
  <c r="AN12" i="7"/>
  <c r="AL12" i="7"/>
  <c r="AJ12" i="7"/>
  <c r="AH12" i="7"/>
  <c r="AF12" i="7"/>
  <c r="AD12" i="7"/>
  <c r="AB12" i="7"/>
  <c r="V12" i="7"/>
  <c r="U37" i="7" s="1"/>
  <c r="U12" i="7"/>
  <c r="T12" i="7"/>
  <c r="S12" i="7"/>
  <c r="R12" i="7"/>
  <c r="AP11" i="7"/>
  <c r="AN11" i="7"/>
  <c r="AL11" i="7"/>
  <c r="AJ11" i="7"/>
  <c r="AH11" i="7"/>
  <c r="AF11" i="7"/>
  <c r="AD11" i="7"/>
  <c r="AB11" i="7"/>
  <c r="U11" i="7"/>
  <c r="T11" i="7"/>
  <c r="S11" i="7"/>
  <c r="R11" i="7"/>
  <c r="AP10" i="7"/>
  <c r="AN10" i="7"/>
  <c r="AL10" i="7"/>
  <c r="AJ10" i="7"/>
  <c r="AH10" i="7"/>
  <c r="AF10" i="7"/>
  <c r="AD10" i="7"/>
  <c r="AB10" i="7"/>
  <c r="U10" i="7"/>
  <c r="T10" i="7"/>
  <c r="S10" i="7"/>
  <c r="R10" i="7"/>
  <c r="AP9" i="7"/>
  <c r="AN9" i="7"/>
  <c r="AL9" i="7"/>
  <c r="AJ9" i="7"/>
  <c r="AH9" i="7"/>
  <c r="AF9" i="7"/>
  <c r="AD9" i="7"/>
  <c r="AB9" i="7"/>
  <c r="U9" i="7"/>
  <c r="T9" i="7"/>
  <c r="S9" i="7"/>
  <c r="R9" i="7"/>
  <c r="AP8" i="7"/>
  <c r="AN8" i="7"/>
  <c r="AL8" i="7"/>
  <c r="AJ8" i="7"/>
  <c r="AH8" i="7"/>
  <c r="AF8" i="7"/>
  <c r="AD8" i="7"/>
  <c r="AB8" i="7"/>
  <c r="U8" i="7"/>
  <c r="T8" i="7"/>
  <c r="S8" i="7"/>
  <c r="S21" i="7" s="1"/>
  <c r="R8" i="7"/>
  <c r="AP7" i="7"/>
  <c r="AN7" i="7"/>
  <c r="AL7" i="7"/>
  <c r="AL30" i="7" s="1"/>
  <c r="AJ7" i="7"/>
  <c r="AH7" i="7"/>
  <c r="AF7" i="7"/>
  <c r="AD7" i="7"/>
  <c r="AB7" i="7"/>
  <c r="V7" i="7"/>
  <c r="U7" i="7"/>
  <c r="T7" i="7"/>
  <c r="R7" i="7"/>
  <c r="AP6" i="7"/>
  <c r="AP30" i="7" s="1"/>
  <c r="AR38" i="7" s="1"/>
  <c r="AR39" i="7" s="1"/>
  <c r="AN6" i="7"/>
  <c r="AL6" i="7"/>
  <c r="AL34" i="7" s="1"/>
  <c r="AJ6" i="7"/>
  <c r="AH6" i="7"/>
  <c r="AH30" i="7" s="1"/>
  <c r="AF6" i="7"/>
  <c r="AD6" i="7"/>
  <c r="AD34" i="7" s="1"/>
  <c r="AB6" i="7"/>
  <c r="R57" i="6"/>
  <c r="AF11" i="40" s="1"/>
  <c r="O57" i="6"/>
  <c r="AE11" i="40" s="1"/>
  <c r="AC55" i="6"/>
  <c r="AN54" i="6"/>
  <c r="AL54" i="6"/>
  <c r="AL56" i="6" s="1"/>
  <c r="AJ54" i="6"/>
  <c r="AE54" i="6"/>
  <c r="AE55" i="6" s="1"/>
  <c r="AC54" i="6"/>
  <c r="AA54" i="6"/>
  <c r="Y54" i="6"/>
  <c r="AJ55" i="6" s="1"/>
  <c r="AL55" i="6" s="1"/>
  <c r="AC53" i="6"/>
  <c r="AA53" i="6"/>
  <c r="AA55" i="6" s="1"/>
  <c r="Y53" i="6"/>
  <c r="Y55" i="6" s="1"/>
  <c r="AG54" i="6" s="1"/>
  <c r="R51" i="6"/>
  <c r="AD11" i="40" s="1"/>
  <c r="P51" i="6"/>
  <c r="O51" i="6"/>
  <c r="AC11" i="40" s="1"/>
  <c r="AN47" i="6"/>
  <c r="AL47" i="6"/>
  <c r="AJ47" i="6"/>
  <c r="AE46" i="6"/>
  <c r="AE47" i="6" s="1"/>
  <c r="AC46" i="6"/>
  <c r="Y46" i="6"/>
  <c r="AA46" i="6" s="1"/>
  <c r="AC45" i="6"/>
  <c r="AC47" i="6" s="1"/>
  <c r="AA45" i="6"/>
  <c r="AA47" i="6" s="1"/>
  <c r="Y45" i="6"/>
  <c r="Y47" i="6" s="1"/>
  <c r="L45" i="6"/>
  <c r="AG11" i="40" s="1"/>
  <c r="H45" i="6"/>
  <c r="Y11" i="40" s="1"/>
  <c r="S41" i="6"/>
  <c r="Q45" i="6" s="1"/>
  <c r="AB11" i="40" s="1"/>
  <c r="O41" i="6"/>
  <c r="AA11" i="40" s="1"/>
  <c r="J41" i="6"/>
  <c r="W11" i="40" s="1"/>
  <c r="G41" i="6"/>
  <c r="E41" i="6"/>
  <c r="D41" i="6"/>
  <c r="C41" i="6"/>
  <c r="B41" i="6"/>
  <c r="X11" i="40" s="1"/>
  <c r="A41" i="6"/>
  <c r="V11" i="40" s="1"/>
  <c r="Z37" i="6"/>
  <c r="B13" i="43" s="1"/>
  <c r="AC34" i="6"/>
  <c r="Z34" i="6"/>
  <c r="Y34" i="6"/>
  <c r="P11" i="40" s="1"/>
  <c r="AC33" i="6"/>
  <c r="AB33" i="6"/>
  <c r="G13" i="43" s="1"/>
  <c r="Z33" i="6"/>
  <c r="AA33" i="6" s="1"/>
  <c r="F13" i="43" s="1"/>
  <c r="AC32" i="6"/>
  <c r="Z32" i="6"/>
  <c r="AA32" i="6" s="1"/>
  <c r="Z30" i="6"/>
  <c r="Y30" i="6"/>
  <c r="C13" i="43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S17" i="6" s="1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Q21" i="6"/>
  <c r="P21" i="6"/>
  <c r="O21" i="6"/>
  <c r="N11" i="40" s="1"/>
  <c r="N21" i="6"/>
  <c r="AD11" i="38" s="1"/>
  <c r="M21" i="6"/>
  <c r="R12" i="39" s="1"/>
  <c r="L21" i="6"/>
  <c r="K21" i="6"/>
  <c r="X11" i="38" s="1"/>
  <c r="J21" i="6"/>
  <c r="U11" i="38" s="1"/>
  <c r="I21" i="6"/>
  <c r="R11" i="38" s="1"/>
  <c r="H21" i="6"/>
  <c r="L12" i="39" s="1"/>
  <c r="G21" i="6"/>
  <c r="F21" i="6"/>
  <c r="L11" i="38" s="1"/>
  <c r="E21" i="6"/>
  <c r="I11" i="38" s="1"/>
  <c r="D21" i="6"/>
  <c r="F12" i="39" s="1"/>
  <c r="C21" i="6"/>
  <c r="B21" i="6"/>
  <c r="C11" i="38" s="1"/>
  <c r="C50" i="38" s="1"/>
  <c r="AP20" i="6"/>
  <c r="AN20" i="6"/>
  <c r="AL20" i="6"/>
  <c r="AJ20" i="6"/>
  <c r="AH20" i="6"/>
  <c r="AF20" i="6"/>
  <c r="AD20" i="6"/>
  <c r="AB20" i="6"/>
  <c r="Q20" i="6"/>
  <c r="P20" i="6"/>
  <c r="O20" i="6"/>
  <c r="M11" i="40" s="1"/>
  <c r="N20" i="6"/>
  <c r="AC11" i="38" s="1"/>
  <c r="M20" i="6"/>
  <c r="Q12" i="39" s="1"/>
  <c r="L20" i="6"/>
  <c r="K20" i="6"/>
  <c r="W11" i="38" s="1"/>
  <c r="J20" i="6"/>
  <c r="T11" i="38" s="1"/>
  <c r="I20" i="6"/>
  <c r="Q11" i="38" s="1"/>
  <c r="H20" i="6"/>
  <c r="K12" i="39" s="1"/>
  <c r="G20" i="6"/>
  <c r="F20" i="6"/>
  <c r="K11" i="38" s="1"/>
  <c r="E20" i="6"/>
  <c r="H11" i="38" s="1"/>
  <c r="D20" i="6"/>
  <c r="E12" i="39" s="1"/>
  <c r="C20" i="6"/>
  <c r="B20" i="6"/>
  <c r="B11" i="38" s="1"/>
  <c r="B50" i="38" s="1"/>
  <c r="AP19" i="6"/>
  <c r="AN19" i="6"/>
  <c r="AL19" i="6"/>
  <c r="AJ19" i="6"/>
  <c r="AH19" i="6"/>
  <c r="AF19" i="6"/>
  <c r="AD19" i="6"/>
  <c r="AB19" i="6"/>
  <c r="Q19" i="6" a="1"/>
  <c r="Q19" i="6" s="1"/>
  <c r="P19" i="6" a="1"/>
  <c r="P19" i="6"/>
  <c r="O19" i="6" a="1"/>
  <c r="O19" i="6" s="1"/>
  <c r="N19" i="6" a="1"/>
  <c r="N19" i="6"/>
  <c r="AE11" i="38" s="1"/>
  <c r="M19" i="6" a="1"/>
  <c r="M19" i="6" s="1"/>
  <c r="S12" i="39" s="1"/>
  <c r="L19" i="6" a="1"/>
  <c r="L19" i="6"/>
  <c r="K19" i="6" a="1"/>
  <c r="K19" i="6" s="1"/>
  <c r="Y11" i="38" s="1"/>
  <c r="J19" i="6" a="1"/>
  <c r="J19" i="6"/>
  <c r="V11" i="38" s="1"/>
  <c r="I19" i="6" a="1"/>
  <c r="I19" i="6" s="1"/>
  <c r="S11" i="38" s="1"/>
  <c r="H19" i="6" a="1"/>
  <c r="H19" i="6"/>
  <c r="M12" i="39" s="1"/>
  <c r="G19" i="6" a="1"/>
  <c r="G19" i="6" s="1"/>
  <c r="F19" i="6" a="1"/>
  <c r="F19" i="6"/>
  <c r="M11" i="38" s="1"/>
  <c r="E19" i="6" a="1"/>
  <c r="E19" i="6" s="1"/>
  <c r="J11" i="38" s="1"/>
  <c r="D19" i="6" a="1"/>
  <c r="D19" i="6"/>
  <c r="G12" i="39" s="1"/>
  <c r="C19" i="6" a="1"/>
  <c r="C19" i="6" s="1"/>
  <c r="B19" i="6" a="1"/>
  <c r="B19" i="6"/>
  <c r="D11" i="38" s="1"/>
  <c r="D50" i="38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V17" i="6"/>
  <c r="U17" i="6"/>
  <c r="T17" i="6"/>
  <c r="R17" i="6"/>
  <c r="AP16" i="6"/>
  <c r="AN16" i="6"/>
  <c r="AL16" i="6"/>
  <c r="AJ16" i="6"/>
  <c r="AH16" i="6"/>
  <c r="AF16" i="6"/>
  <c r="AD16" i="6"/>
  <c r="AB16" i="6"/>
  <c r="U16" i="6"/>
  <c r="T16" i="6"/>
  <c r="S16" i="6"/>
  <c r="R16" i="6"/>
  <c r="AP15" i="6"/>
  <c r="AN15" i="6"/>
  <c r="AL15" i="6"/>
  <c r="AJ15" i="6"/>
  <c r="AH15" i="6"/>
  <c r="AF15" i="6"/>
  <c r="AD15" i="6"/>
  <c r="AB15" i="6"/>
  <c r="U15" i="6"/>
  <c r="T15" i="6"/>
  <c r="S15" i="6"/>
  <c r="R15" i="6"/>
  <c r="AP14" i="6"/>
  <c r="AN14" i="6"/>
  <c r="AL14" i="6"/>
  <c r="AJ14" i="6"/>
  <c r="AH14" i="6"/>
  <c r="AF14" i="6"/>
  <c r="AD14" i="6"/>
  <c r="AB14" i="6"/>
  <c r="U14" i="6"/>
  <c r="T14" i="6"/>
  <c r="S14" i="6"/>
  <c r="R14" i="6"/>
  <c r="AP13" i="6"/>
  <c r="AN13" i="6"/>
  <c r="AL13" i="6"/>
  <c r="AJ13" i="6"/>
  <c r="AH13" i="6"/>
  <c r="AF13" i="6"/>
  <c r="AD13" i="6"/>
  <c r="AB13" i="6"/>
  <c r="U13" i="6"/>
  <c r="T13" i="6"/>
  <c r="S13" i="6"/>
  <c r="R13" i="6"/>
  <c r="AP12" i="6"/>
  <c r="AN12" i="6"/>
  <c r="AL12" i="6"/>
  <c r="AJ12" i="6"/>
  <c r="AJ30" i="6" s="1"/>
  <c r="AH12" i="6"/>
  <c r="AF12" i="6"/>
  <c r="AD12" i="6"/>
  <c r="AB12" i="6"/>
  <c r="V12" i="6"/>
  <c r="U37" i="6" s="1"/>
  <c r="U12" i="6"/>
  <c r="T12" i="6"/>
  <c r="S12" i="6"/>
  <c r="R12" i="6"/>
  <c r="AP11" i="6"/>
  <c r="AN11" i="6"/>
  <c r="AL11" i="6"/>
  <c r="AJ11" i="6"/>
  <c r="AH11" i="6"/>
  <c r="AF11" i="6"/>
  <c r="AD11" i="6"/>
  <c r="AB11" i="6"/>
  <c r="U11" i="6"/>
  <c r="T11" i="6"/>
  <c r="S11" i="6"/>
  <c r="R11" i="6"/>
  <c r="AP10" i="6"/>
  <c r="AN10" i="6"/>
  <c r="AL10" i="6"/>
  <c r="AJ10" i="6"/>
  <c r="AH10" i="6"/>
  <c r="AF10" i="6"/>
  <c r="AD10" i="6"/>
  <c r="AB10" i="6"/>
  <c r="U10" i="6"/>
  <c r="T10" i="6"/>
  <c r="S10" i="6"/>
  <c r="R10" i="6"/>
  <c r="AP9" i="6"/>
  <c r="AN9" i="6"/>
  <c r="AL9" i="6"/>
  <c r="AJ9" i="6"/>
  <c r="AH9" i="6"/>
  <c r="AF9" i="6"/>
  <c r="AD9" i="6"/>
  <c r="AB9" i="6"/>
  <c r="U9" i="6"/>
  <c r="T9" i="6"/>
  <c r="S9" i="6"/>
  <c r="R9" i="6"/>
  <c r="AP8" i="6"/>
  <c r="AN8" i="6"/>
  <c r="AL8" i="6"/>
  <c r="AJ8" i="6"/>
  <c r="AH8" i="6"/>
  <c r="AF8" i="6"/>
  <c r="AD8" i="6"/>
  <c r="AB8" i="6"/>
  <c r="U8" i="6"/>
  <c r="T8" i="6"/>
  <c r="S8" i="6"/>
  <c r="S19" i="6" s="1" a="1"/>
  <c r="S19" i="6" s="1"/>
  <c r="R8" i="6"/>
  <c r="AP7" i="6"/>
  <c r="AN7" i="6"/>
  <c r="AL7" i="6"/>
  <c r="AJ7" i="6"/>
  <c r="AH7" i="6"/>
  <c r="AF7" i="6"/>
  <c r="AD7" i="6"/>
  <c r="AB7" i="6"/>
  <c r="V7" i="6"/>
  <c r="U7" i="6"/>
  <c r="T7" i="6"/>
  <c r="S7" i="6"/>
  <c r="R7" i="6"/>
  <c r="AP6" i="6"/>
  <c r="AN6" i="6"/>
  <c r="AL6" i="6"/>
  <c r="AJ6" i="6"/>
  <c r="AH6" i="6"/>
  <c r="AF6" i="6"/>
  <c r="AF30" i="6" s="1"/>
  <c r="AD6" i="6"/>
  <c r="AB6" i="6"/>
  <c r="R63" i="5"/>
  <c r="O63" i="5"/>
  <c r="R57" i="5"/>
  <c r="AF10" i="40" s="1"/>
  <c r="O57" i="5"/>
  <c r="AE10" i="40" s="1"/>
  <c r="Y55" i="5"/>
  <c r="AN54" i="5"/>
  <c r="AL54" i="5"/>
  <c r="AJ54" i="5"/>
  <c r="Y54" i="5"/>
  <c r="AC53" i="5"/>
  <c r="AA53" i="5"/>
  <c r="Y53" i="5"/>
  <c r="AG52" i="5"/>
  <c r="R51" i="5"/>
  <c r="AD10" i="40" s="1"/>
  <c r="P51" i="5"/>
  <c r="O51" i="5"/>
  <c r="AC10" i="40" s="1"/>
  <c r="AN47" i="5"/>
  <c r="AL47" i="5"/>
  <c r="AJ47" i="5"/>
  <c r="Y47" i="5"/>
  <c r="AA46" i="5"/>
  <c r="Y46" i="5"/>
  <c r="AJ48" i="5" s="1"/>
  <c r="AN48" i="5" s="1"/>
  <c r="AN49" i="5" s="1"/>
  <c r="AC45" i="5"/>
  <c r="AA45" i="5"/>
  <c r="AA47" i="5" s="1"/>
  <c r="Y45" i="5"/>
  <c r="L45" i="5"/>
  <c r="AG10" i="40" s="1"/>
  <c r="H45" i="5"/>
  <c r="Y10" i="40" s="1"/>
  <c r="AG44" i="5"/>
  <c r="S41" i="5"/>
  <c r="O41" i="5"/>
  <c r="L41" i="5"/>
  <c r="G41" i="5"/>
  <c r="E41" i="5"/>
  <c r="D41" i="5"/>
  <c r="C41" i="5"/>
  <c r="Z10" i="40" s="1"/>
  <c r="B41" i="5"/>
  <c r="X10" i="40" s="1"/>
  <c r="A41" i="5"/>
  <c r="Z37" i="5"/>
  <c r="B12" i="43" s="1"/>
  <c r="U37" i="5"/>
  <c r="AC34" i="5"/>
  <c r="Z34" i="5"/>
  <c r="Y34" i="5"/>
  <c r="P10" i="40" s="1"/>
  <c r="AC33" i="5"/>
  <c r="AB33" i="5"/>
  <c r="G12" i="43" s="1"/>
  <c r="AA33" i="5"/>
  <c r="F12" i="43" s="1"/>
  <c r="Z33" i="5"/>
  <c r="AC32" i="5"/>
  <c r="AA32" i="5"/>
  <c r="Z32" i="5"/>
  <c r="AN30" i="5"/>
  <c r="Z30" i="5"/>
  <c r="Y30" i="5"/>
  <c r="C12" i="43" s="1"/>
  <c r="AP29" i="5"/>
  <c r="AN29" i="5"/>
  <c r="AL29" i="5"/>
  <c r="AJ29" i="5"/>
  <c r="AH29" i="5"/>
  <c r="AF29" i="5"/>
  <c r="AD29" i="5"/>
  <c r="AB29" i="5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F30" i="5" s="1"/>
  <c r="AD26" i="5"/>
  <c r="AB26" i="5"/>
  <c r="R26" i="5"/>
  <c r="AP25" i="5"/>
  <c r="AN25" i="5"/>
  <c r="AL25" i="5"/>
  <c r="AJ25" i="5"/>
  <c r="AH25" i="5"/>
  <c r="AF25" i="5"/>
  <c r="AD25" i="5"/>
  <c r="AB25" i="5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Q21" i="5"/>
  <c r="P21" i="5"/>
  <c r="O21" i="5"/>
  <c r="N10" i="40" s="1"/>
  <c r="N21" i="5"/>
  <c r="AD10" i="38" s="1"/>
  <c r="M21" i="5"/>
  <c r="R11" i="39" s="1"/>
  <c r="L21" i="5"/>
  <c r="K21" i="5"/>
  <c r="X10" i="38" s="1"/>
  <c r="J21" i="5"/>
  <c r="U10" i="38" s="1"/>
  <c r="I21" i="5"/>
  <c r="R10" i="38" s="1"/>
  <c r="H21" i="5"/>
  <c r="L11" i="39" s="1"/>
  <c r="G21" i="5"/>
  <c r="F21" i="5"/>
  <c r="L10" i="38" s="1"/>
  <c r="E21" i="5"/>
  <c r="I10" i="38" s="1"/>
  <c r="D21" i="5"/>
  <c r="F11" i="39" s="1"/>
  <c r="C21" i="5"/>
  <c r="B21" i="5"/>
  <c r="C10" i="38" s="1"/>
  <c r="C49" i="38" s="1"/>
  <c r="AP20" i="5"/>
  <c r="AN20" i="5"/>
  <c r="AL20" i="5"/>
  <c r="AJ20" i="5"/>
  <c r="AF20" i="5"/>
  <c r="AD20" i="5"/>
  <c r="AB20" i="5"/>
  <c r="R20" i="5"/>
  <c r="Q20" i="5"/>
  <c r="P20" i="5"/>
  <c r="O20" i="5"/>
  <c r="M10" i="40" s="1"/>
  <c r="N20" i="5"/>
  <c r="AC10" i="38" s="1"/>
  <c r="M20" i="5"/>
  <c r="Q11" i="39" s="1"/>
  <c r="L20" i="5"/>
  <c r="K20" i="5"/>
  <c r="W10" i="38" s="1"/>
  <c r="J20" i="5"/>
  <c r="T10" i="38" s="1"/>
  <c r="I20" i="5"/>
  <c r="Q10" i="38" s="1"/>
  <c r="H20" i="5"/>
  <c r="K11" i="39" s="1"/>
  <c r="G20" i="5"/>
  <c r="F20" i="5"/>
  <c r="K10" i="38" s="1"/>
  <c r="E20" i="5"/>
  <c r="H10" i="38" s="1"/>
  <c r="D20" i="5"/>
  <c r="E11" i="39" s="1"/>
  <c r="C20" i="5"/>
  <c r="B20" i="5"/>
  <c r="B10" i="38" s="1"/>
  <c r="B49" i="38" s="1"/>
  <c r="AP19" i="5"/>
  <c r="AN19" i="5"/>
  <c r="AL19" i="5"/>
  <c r="AJ19" i="5"/>
  <c r="AH19" i="5"/>
  <c r="AF19" i="5"/>
  <c r="AD19" i="5"/>
  <c r="AB19" i="5"/>
  <c r="S14" i="5" s="1"/>
  <c r="Q19" i="5" a="1"/>
  <c r="Q19" i="5" s="1"/>
  <c r="P19" i="5" a="1"/>
  <c r="P19" i="5"/>
  <c r="O19" i="5" a="1"/>
  <c r="O19" i="5" s="1"/>
  <c r="N19" i="5" a="1"/>
  <c r="N19" i="5"/>
  <c r="AE10" i="38" s="1"/>
  <c r="M19" i="5" a="1"/>
  <c r="M19" i="5" s="1"/>
  <c r="S11" i="39" s="1"/>
  <c r="L19" i="5" a="1"/>
  <c r="L19" i="5"/>
  <c r="K19" i="5" a="1"/>
  <c r="K19" i="5" s="1"/>
  <c r="Y10" i="38" s="1"/>
  <c r="J19" i="5" a="1"/>
  <c r="J19" i="5"/>
  <c r="V10" i="38" s="1"/>
  <c r="I19" i="5" a="1"/>
  <c r="I19" i="5" s="1"/>
  <c r="S10" i="38" s="1"/>
  <c r="H19" i="5" a="1"/>
  <c r="H19" i="5"/>
  <c r="M11" i="39" s="1"/>
  <c r="G19" i="5" a="1"/>
  <c r="G19" i="5" s="1"/>
  <c r="F19" i="5" a="1"/>
  <c r="F19" i="5"/>
  <c r="M10" i="38" s="1"/>
  <c r="E19" i="5" a="1"/>
  <c r="E19" i="5" s="1"/>
  <c r="J10" i="38" s="1"/>
  <c r="D19" i="5" a="1"/>
  <c r="D19" i="5"/>
  <c r="G11" i="39" s="1"/>
  <c r="C19" i="5" a="1"/>
  <c r="C19" i="5" s="1"/>
  <c r="B19" i="5" a="1"/>
  <c r="B19" i="5"/>
  <c r="D10" i="38" s="1"/>
  <c r="D49" i="38" s="1"/>
  <c r="AP18" i="5"/>
  <c r="AN18" i="5"/>
  <c r="AL18" i="5"/>
  <c r="AJ18" i="5"/>
  <c r="AH18" i="5"/>
  <c r="AF18" i="5"/>
  <c r="AD18" i="5"/>
  <c r="AB18" i="5"/>
  <c r="U18" i="5"/>
  <c r="T18" i="5"/>
  <c r="S18" i="5"/>
  <c r="R18" i="5"/>
  <c r="AP17" i="5"/>
  <c r="AN17" i="5"/>
  <c r="AL17" i="5"/>
  <c r="AJ17" i="5"/>
  <c r="AH17" i="5"/>
  <c r="AF17" i="5"/>
  <c r="AD17" i="5"/>
  <c r="AB17" i="5"/>
  <c r="V17" i="5"/>
  <c r="U17" i="5"/>
  <c r="T17" i="5"/>
  <c r="S17" i="5"/>
  <c r="R17" i="5"/>
  <c r="AP16" i="5"/>
  <c r="AN16" i="5"/>
  <c r="AL16" i="5"/>
  <c r="AJ16" i="5"/>
  <c r="AH16" i="5"/>
  <c r="AF16" i="5"/>
  <c r="AD16" i="5"/>
  <c r="AB16" i="5"/>
  <c r="U16" i="5"/>
  <c r="T16" i="5"/>
  <c r="S16" i="5"/>
  <c r="R16" i="5"/>
  <c r="AP15" i="5"/>
  <c r="AN15" i="5"/>
  <c r="AL15" i="5"/>
  <c r="AJ15" i="5"/>
  <c r="AH15" i="5"/>
  <c r="AF15" i="5"/>
  <c r="AD15" i="5"/>
  <c r="AB15" i="5"/>
  <c r="U15" i="5"/>
  <c r="T15" i="5"/>
  <c r="S15" i="5"/>
  <c r="R15" i="5"/>
  <c r="AP14" i="5"/>
  <c r="AN14" i="5"/>
  <c r="AL14" i="5"/>
  <c r="AJ14" i="5"/>
  <c r="AH14" i="5"/>
  <c r="AF14" i="5"/>
  <c r="AD14" i="5"/>
  <c r="AB14" i="5"/>
  <c r="U14" i="5"/>
  <c r="T14" i="5"/>
  <c r="R14" i="5"/>
  <c r="AP13" i="5"/>
  <c r="AN13" i="5"/>
  <c r="AL13" i="5"/>
  <c r="AJ13" i="5"/>
  <c r="AH13" i="5"/>
  <c r="AF13" i="5"/>
  <c r="AD13" i="5"/>
  <c r="AB13" i="5"/>
  <c r="U13" i="5"/>
  <c r="T13" i="5"/>
  <c r="S13" i="5"/>
  <c r="R13" i="5"/>
  <c r="AP12" i="5"/>
  <c r="AN12" i="5"/>
  <c r="AL12" i="5"/>
  <c r="AJ12" i="5"/>
  <c r="AH12" i="5"/>
  <c r="AF12" i="5"/>
  <c r="AD12" i="5"/>
  <c r="AB12" i="5"/>
  <c r="V12" i="5"/>
  <c r="U12" i="5"/>
  <c r="T12" i="5"/>
  <c r="S12" i="5"/>
  <c r="R12" i="5"/>
  <c r="AP11" i="5"/>
  <c r="AN11" i="5"/>
  <c r="AL11" i="5"/>
  <c r="AJ11" i="5"/>
  <c r="AH11" i="5"/>
  <c r="AF11" i="5"/>
  <c r="AD11" i="5"/>
  <c r="AB11" i="5"/>
  <c r="U11" i="5"/>
  <c r="T11" i="5"/>
  <c r="S11" i="5"/>
  <c r="R11" i="5"/>
  <c r="AP10" i="5"/>
  <c r="AN10" i="5"/>
  <c r="AL10" i="5"/>
  <c r="AJ10" i="5"/>
  <c r="AH10" i="5"/>
  <c r="AF10" i="5"/>
  <c r="AD10" i="5"/>
  <c r="AB10" i="5"/>
  <c r="U10" i="5"/>
  <c r="T10" i="5"/>
  <c r="S10" i="5"/>
  <c r="R10" i="5"/>
  <c r="AP9" i="5"/>
  <c r="AN9" i="5"/>
  <c r="AL9" i="5"/>
  <c r="AJ9" i="5"/>
  <c r="AH9" i="5"/>
  <c r="AF9" i="5"/>
  <c r="AD9" i="5"/>
  <c r="AB9" i="5"/>
  <c r="U9" i="5"/>
  <c r="T9" i="5"/>
  <c r="S9" i="5"/>
  <c r="R9" i="5"/>
  <c r="AP8" i="5"/>
  <c r="AN8" i="5"/>
  <c r="AL8" i="5"/>
  <c r="AJ8" i="5"/>
  <c r="AH8" i="5"/>
  <c r="AF8" i="5"/>
  <c r="AD8" i="5"/>
  <c r="AB8" i="5"/>
  <c r="U8" i="5"/>
  <c r="T8" i="5"/>
  <c r="S8" i="5"/>
  <c r="R8" i="5"/>
  <c r="AP7" i="5"/>
  <c r="AN7" i="5"/>
  <c r="AL7" i="5"/>
  <c r="AL30" i="5" s="1"/>
  <c r="AM38" i="5" s="1"/>
  <c r="AJ7" i="5"/>
  <c r="AH7" i="5"/>
  <c r="AF7" i="5"/>
  <c r="AD7" i="5"/>
  <c r="AD34" i="5" s="1"/>
  <c r="AB7" i="5"/>
  <c r="V7" i="5"/>
  <c r="U7" i="5"/>
  <c r="T7" i="5"/>
  <c r="R7" i="5"/>
  <c r="R21" i="5" s="1"/>
  <c r="AP6" i="5"/>
  <c r="AN6" i="5"/>
  <c r="AL6" i="5"/>
  <c r="AJ6" i="5"/>
  <c r="AH6" i="5"/>
  <c r="AF6" i="5"/>
  <c r="AD6" i="5"/>
  <c r="AB6" i="5"/>
  <c r="AQ62" i="4"/>
  <c r="R57" i="4"/>
  <c r="AF9" i="40" s="1"/>
  <c r="O57" i="4"/>
  <c r="AE9" i="40" s="1"/>
  <c r="AN54" i="4"/>
  <c r="AL54" i="4"/>
  <c r="AJ54" i="4"/>
  <c r="AR53" i="15" s="1"/>
  <c r="AE54" i="4"/>
  <c r="AE55" i="4" s="1"/>
  <c r="AC54" i="4"/>
  <c r="AA54" i="4"/>
  <c r="Y54" i="4"/>
  <c r="AJ55" i="13" s="1"/>
  <c r="AJ56" i="13" s="1"/>
  <c r="AC53" i="4"/>
  <c r="AC55" i="4" s="1"/>
  <c r="AA53" i="4"/>
  <c r="AA55" i="4" s="1"/>
  <c r="Y53" i="4"/>
  <c r="Y55" i="4" s="1"/>
  <c r="R51" i="4"/>
  <c r="AD9" i="40" s="1"/>
  <c r="P51" i="4"/>
  <c r="O51" i="4"/>
  <c r="AC9" i="40" s="1"/>
  <c r="AJ48" i="4"/>
  <c r="AN47" i="4"/>
  <c r="AL47" i="4"/>
  <c r="AJ47" i="4"/>
  <c r="Y46" i="4"/>
  <c r="AC45" i="4"/>
  <c r="AA45" i="4"/>
  <c r="Y45" i="4"/>
  <c r="Q45" i="4"/>
  <c r="AB9" i="40" s="1"/>
  <c r="L45" i="4"/>
  <c r="AG9" i="40" s="1"/>
  <c r="H45" i="4"/>
  <c r="Y9" i="40" s="1"/>
  <c r="S41" i="4"/>
  <c r="O41" i="4"/>
  <c r="AA9" i="40" s="1"/>
  <c r="L41" i="4"/>
  <c r="J41" i="4"/>
  <c r="W9" i="40" s="1"/>
  <c r="G41" i="4"/>
  <c r="E41" i="4"/>
  <c r="D41" i="4"/>
  <c r="C41" i="4"/>
  <c r="Z9" i="40" s="1"/>
  <c r="B41" i="4"/>
  <c r="X9" i="40" s="1"/>
  <c r="A41" i="4"/>
  <c r="V9" i="40" s="1"/>
  <c r="Z37" i="4"/>
  <c r="B11" i="43" s="1"/>
  <c r="U37" i="4"/>
  <c r="AH34" i="4"/>
  <c r="AC34" i="4"/>
  <c r="Z34" i="4"/>
  <c r="Y34" i="4"/>
  <c r="P9" i="40" s="1"/>
  <c r="AC33" i="4"/>
  <c r="AB33" i="4"/>
  <c r="G11" i="43" s="1"/>
  <c r="AA33" i="4"/>
  <c r="Z33" i="4"/>
  <c r="AC32" i="4"/>
  <c r="AA32" i="4"/>
  <c r="Z32" i="4"/>
  <c r="Z30" i="4"/>
  <c r="Y30" i="4"/>
  <c r="C11" i="43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Q21" i="4"/>
  <c r="P21" i="4"/>
  <c r="O21" i="4"/>
  <c r="N9" i="40" s="1"/>
  <c r="N21" i="4"/>
  <c r="AD9" i="38" s="1"/>
  <c r="M21" i="4"/>
  <c r="R10" i="39" s="1"/>
  <c r="L21" i="4"/>
  <c r="K21" i="4"/>
  <c r="X9" i="38" s="1"/>
  <c r="J21" i="4"/>
  <c r="U9" i="38" s="1"/>
  <c r="I21" i="4"/>
  <c r="R9" i="38" s="1"/>
  <c r="H21" i="4"/>
  <c r="L10" i="39" s="1"/>
  <c r="G21" i="4"/>
  <c r="F21" i="4"/>
  <c r="L9" i="38" s="1"/>
  <c r="E21" i="4"/>
  <c r="I9" i="38" s="1"/>
  <c r="D21" i="4"/>
  <c r="C21" i="4"/>
  <c r="C10" i="39" s="1"/>
  <c r="B21" i="4"/>
  <c r="C9" i="38" s="1"/>
  <c r="C48" i="38" s="1"/>
  <c r="AP20" i="4"/>
  <c r="AN20" i="4"/>
  <c r="AL20" i="4"/>
  <c r="AJ20" i="4"/>
  <c r="AH20" i="4"/>
  <c r="AF20" i="4"/>
  <c r="AD20" i="4"/>
  <c r="AB20" i="4"/>
  <c r="Q20" i="4"/>
  <c r="P20" i="4"/>
  <c r="O20" i="4"/>
  <c r="M9" i="40" s="1"/>
  <c r="N20" i="4"/>
  <c r="AC9" i="38" s="1"/>
  <c r="M20" i="4"/>
  <c r="Q10" i="39" s="1"/>
  <c r="L20" i="4"/>
  <c r="N10" i="39" s="1"/>
  <c r="K20" i="4"/>
  <c r="W9" i="38" s="1"/>
  <c r="J20" i="4"/>
  <c r="T9" i="38" s="1"/>
  <c r="I20" i="4"/>
  <c r="Q9" i="38" s="1"/>
  <c r="H20" i="4"/>
  <c r="K10" i="39" s="1"/>
  <c r="G20" i="4"/>
  <c r="F20" i="4"/>
  <c r="K9" i="38" s="1"/>
  <c r="E20" i="4"/>
  <c r="H9" i="38" s="1"/>
  <c r="D20" i="4"/>
  <c r="E10" i="39" s="1"/>
  <c r="C20" i="4"/>
  <c r="B20" i="4"/>
  <c r="B9" i="38" s="1"/>
  <c r="B48" i="38" s="1"/>
  <c r="AP19" i="4"/>
  <c r="AN19" i="4"/>
  <c r="AL19" i="4"/>
  <c r="AJ19" i="4"/>
  <c r="AH19" i="4"/>
  <c r="AF19" i="4"/>
  <c r="AD19" i="4"/>
  <c r="AB19" i="4"/>
  <c r="Q19" i="4" a="1"/>
  <c r="Q19" i="4" s="1"/>
  <c r="P19" i="4" a="1"/>
  <c r="P19" i="4"/>
  <c r="O19" i="4" a="1"/>
  <c r="O19" i="4" s="1"/>
  <c r="N19" i="4" a="1"/>
  <c r="N19" i="4"/>
  <c r="AE9" i="38" s="1"/>
  <c r="M19" i="4" a="1"/>
  <c r="M19" i="4" s="1"/>
  <c r="S10" i="39" s="1"/>
  <c r="L19" i="4" a="1"/>
  <c r="L19" i="4"/>
  <c r="K19" i="4" a="1"/>
  <c r="K19" i="4" s="1"/>
  <c r="Y9" i="38" s="1"/>
  <c r="J19" i="4" a="1"/>
  <c r="J19" i="4"/>
  <c r="V9" i="38" s="1"/>
  <c r="I19" i="4" a="1"/>
  <c r="I19" i="4" s="1"/>
  <c r="S9" i="38" s="1"/>
  <c r="H19" i="4" a="1"/>
  <c r="H19" i="4"/>
  <c r="M10" i="39" s="1"/>
  <c r="G19" i="4" a="1"/>
  <c r="G19" i="4" s="1"/>
  <c r="F19" i="4" a="1"/>
  <c r="F19" i="4"/>
  <c r="M9" i="38" s="1"/>
  <c r="E19" i="4" a="1"/>
  <c r="E19" i="4" s="1"/>
  <c r="J9" i="38" s="1"/>
  <c r="D19" i="4" a="1"/>
  <c r="D19" i="4"/>
  <c r="G10" i="39" s="1"/>
  <c r="C19" i="4" a="1"/>
  <c r="C19" i="4" s="1"/>
  <c r="B19" i="4" a="1"/>
  <c r="B19" i="4"/>
  <c r="D9" i="38" s="1"/>
  <c r="D48" i="38" s="1"/>
  <c r="AP18" i="4"/>
  <c r="AN18" i="4"/>
  <c r="AL18" i="4"/>
  <c r="AJ18" i="4"/>
  <c r="AH18" i="4"/>
  <c r="AF18" i="4"/>
  <c r="AD18" i="4"/>
  <c r="AB18" i="4"/>
  <c r="U18" i="4"/>
  <c r="T18" i="4"/>
  <c r="R18" i="4"/>
  <c r="R20" i="4" s="1"/>
  <c r="AP17" i="4"/>
  <c r="AN17" i="4"/>
  <c r="AL17" i="4"/>
  <c r="AJ17" i="4"/>
  <c r="AH17" i="4"/>
  <c r="AF17" i="4"/>
  <c r="AD17" i="4"/>
  <c r="AB17" i="4"/>
  <c r="V17" i="4"/>
  <c r="U17" i="4"/>
  <c r="T17" i="4"/>
  <c r="S17" i="4"/>
  <c r="R17" i="4"/>
  <c r="AP16" i="4"/>
  <c r="AN16" i="4"/>
  <c r="AL16" i="4"/>
  <c r="AJ16" i="4"/>
  <c r="AH16" i="4"/>
  <c r="AF16" i="4"/>
  <c r="AD16" i="4"/>
  <c r="AB16" i="4"/>
  <c r="U16" i="4"/>
  <c r="T16" i="4"/>
  <c r="S16" i="4"/>
  <c r="R16" i="4"/>
  <c r="AP15" i="4"/>
  <c r="AN15" i="4"/>
  <c r="AL15" i="4"/>
  <c r="AJ15" i="4"/>
  <c r="AH15" i="4"/>
  <c r="AF15" i="4"/>
  <c r="AD15" i="4"/>
  <c r="AB15" i="4"/>
  <c r="U15" i="4"/>
  <c r="T15" i="4"/>
  <c r="S15" i="4"/>
  <c r="R15" i="4"/>
  <c r="AP14" i="4"/>
  <c r="AN14" i="4"/>
  <c r="AL14" i="4"/>
  <c r="AJ14" i="4"/>
  <c r="AH14" i="4"/>
  <c r="AF14" i="4"/>
  <c r="AD14" i="4"/>
  <c r="AB14" i="4"/>
  <c r="U14" i="4"/>
  <c r="T14" i="4"/>
  <c r="S14" i="4"/>
  <c r="R14" i="4"/>
  <c r="AP13" i="4"/>
  <c r="AN13" i="4"/>
  <c r="AL13" i="4"/>
  <c r="AJ13" i="4"/>
  <c r="AH13" i="4"/>
  <c r="AF13" i="4"/>
  <c r="AD13" i="4"/>
  <c r="AB13" i="4"/>
  <c r="U13" i="4"/>
  <c r="T13" i="4"/>
  <c r="S13" i="4"/>
  <c r="R13" i="4"/>
  <c r="AP12" i="4"/>
  <c r="AN12" i="4"/>
  <c r="AL12" i="4"/>
  <c r="AL30" i="4" s="1"/>
  <c r="AJ12" i="4"/>
  <c r="AH12" i="4"/>
  <c r="AF12" i="4"/>
  <c r="AD12" i="4"/>
  <c r="AB12" i="4"/>
  <c r="V12" i="4"/>
  <c r="U12" i="4"/>
  <c r="T12" i="4"/>
  <c r="S12" i="4"/>
  <c r="R12" i="4"/>
  <c r="AP11" i="4"/>
  <c r="AN11" i="4"/>
  <c r="AL11" i="4"/>
  <c r="AJ11" i="4"/>
  <c r="AH11" i="4"/>
  <c r="AF11" i="4"/>
  <c r="AD11" i="4"/>
  <c r="AB11" i="4"/>
  <c r="U11" i="4"/>
  <c r="T11" i="4"/>
  <c r="S11" i="4"/>
  <c r="R11" i="4"/>
  <c r="AP10" i="4"/>
  <c r="AN10" i="4"/>
  <c r="AL10" i="4"/>
  <c r="AJ10" i="4"/>
  <c r="AH10" i="4"/>
  <c r="AF10" i="4"/>
  <c r="AD10" i="4"/>
  <c r="AB10" i="4"/>
  <c r="U10" i="4"/>
  <c r="T10" i="4"/>
  <c r="S10" i="4"/>
  <c r="R10" i="4"/>
  <c r="AP9" i="4"/>
  <c r="AN9" i="4"/>
  <c r="AL9" i="4"/>
  <c r="AJ9" i="4"/>
  <c r="AH9" i="4"/>
  <c r="AF9" i="4"/>
  <c r="AD9" i="4"/>
  <c r="AB9" i="4"/>
  <c r="U9" i="4"/>
  <c r="T9" i="4"/>
  <c r="S9" i="4"/>
  <c r="R9" i="4"/>
  <c r="AP8" i="4"/>
  <c r="AN8" i="4"/>
  <c r="AL8" i="4"/>
  <c r="AJ8" i="4"/>
  <c r="AH8" i="4"/>
  <c r="AF8" i="4"/>
  <c r="AD8" i="4"/>
  <c r="AB8" i="4"/>
  <c r="U8" i="4"/>
  <c r="T8" i="4"/>
  <c r="S8" i="4"/>
  <c r="R8" i="4"/>
  <c r="AP7" i="4"/>
  <c r="AN7" i="4"/>
  <c r="AL7" i="4"/>
  <c r="AJ7" i="4"/>
  <c r="AH7" i="4"/>
  <c r="AF7" i="4"/>
  <c r="AD7" i="4"/>
  <c r="AB7" i="4"/>
  <c r="V7" i="4"/>
  <c r="U7" i="4"/>
  <c r="T7" i="4"/>
  <c r="R7" i="4"/>
  <c r="R21" i="4" s="1"/>
  <c r="AP6" i="4"/>
  <c r="AP30" i="4" s="1"/>
  <c r="AR38" i="4" s="1"/>
  <c r="AR39" i="4" s="1"/>
  <c r="AN6" i="4"/>
  <c r="AN34" i="4" s="1"/>
  <c r="AL6" i="4"/>
  <c r="AJ6" i="4"/>
  <c r="AH6" i="4"/>
  <c r="AH30" i="4" s="1"/>
  <c r="AF6" i="4"/>
  <c r="AF34" i="4" s="1"/>
  <c r="AD6" i="4"/>
  <c r="AB6" i="4"/>
  <c r="AB32" i="4" s="1"/>
  <c r="R57" i="3"/>
  <c r="AF8" i="40" s="1"/>
  <c r="O57" i="3"/>
  <c r="AE8" i="40" s="1"/>
  <c r="Y55" i="3"/>
  <c r="AN54" i="3"/>
  <c r="AL54" i="3"/>
  <c r="AJ54" i="3"/>
  <c r="Y54" i="3"/>
  <c r="AC53" i="3"/>
  <c r="AG52" i="3" s="1"/>
  <c r="AA53" i="3"/>
  <c r="Y53" i="3"/>
  <c r="R51" i="3"/>
  <c r="AD8" i="40" s="1"/>
  <c r="P51" i="3"/>
  <c r="O51" i="3"/>
  <c r="AC8" i="40" s="1"/>
  <c r="AJ48" i="3"/>
  <c r="AN48" i="3" s="1"/>
  <c r="AN49" i="3" s="1"/>
  <c r="AN47" i="3"/>
  <c r="AL47" i="3"/>
  <c r="AJ47" i="3"/>
  <c r="AC46" i="3"/>
  <c r="Y46" i="3"/>
  <c r="AA46" i="3" s="1"/>
  <c r="AC45" i="3"/>
  <c r="AC47" i="3" s="1"/>
  <c r="AA45" i="3"/>
  <c r="Y45" i="3"/>
  <c r="L45" i="3"/>
  <c r="AG8" i="40" s="1"/>
  <c r="H45" i="3"/>
  <c r="Y8" i="40" s="1"/>
  <c r="S41" i="3"/>
  <c r="Q45" i="3" s="1"/>
  <c r="AB8" i="40" s="1"/>
  <c r="O41" i="3"/>
  <c r="AA8" i="40" s="1"/>
  <c r="J41" i="3"/>
  <c r="W8" i="40" s="1"/>
  <c r="G41" i="3"/>
  <c r="E41" i="3"/>
  <c r="D41" i="3"/>
  <c r="C41" i="3"/>
  <c r="B41" i="3"/>
  <c r="X8" i="40" s="1"/>
  <c r="A41" i="3"/>
  <c r="V8" i="40" s="1"/>
  <c r="Z37" i="3"/>
  <c r="B10" i="43" s="1"/>
  <c r="AC34" i="3"/>
  <c r="Z34" i="3"/>
  <c r="Y34" i="3"/>
  <c r="P8" i="40" s="1"/>
  <c r="AC33" i="3"/>
  <c r="AB33" i="3"/>
  <c r="G10" i="43" s="1"/>
  <c r="Z33" i="3"/>
  <c r="AA33" i="3" s="1"/>
  <c r="AC32" i="3"/>
  <c r="Z32" i="3"/>
  <c r="AA32" i="3" s="1"/>
  <c r="Z30" i="3"/>
  <c r="Y30" i="3"/>
  <c r="C10" i="43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S18" i="3" s="1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S17" i="3" s="1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S21" i="3"/>
  <c r="Q21" i="3"/>
  <c r="P21" i="3"/>
  <c r="O21" i="3"/>
  <c r="N8" i="40" s="1"/>
  <c r="N21" i="3"/>
  <c r="AD8" i="38" s="1"/>
  <c r="M21" i="3"/>
  <c r="R9" i="39" s="1"/>
  <c r="L21" i="3"/>
  <c r="K21" i="3"/>
  <c r="X8" i="38" s="1"/>
  <c r="J21" i="3"/>
  <c r="U8" i="38" s="1"/>
  <c r="I21" i="3"/>
  <c r="R8" i="38" s="1"/>
  <c r="H21" i="3"/>
  <c r="L9" i="39" s="1"/>
  <c r="G21" i="3"/>
  <c r="F21" i="3"/>
  <c r="L8" i="38" s="1"/>
  <c r="E21" i="3"/>
  <c r="I8" i="38" s="1"/>
  <c r="D21" i="3"/>
  <c r="F9" i="39" s="1"/>
  <c r="C21" i="3"/>
  <c r="B21" i="3"/>
  <c r="C8" i="38" s="1"/>
  <c r="C47" i="38" s="1"/>
  <c r="AP20" i="3"/>
  <c r="AN20" i="3"/>
  <c r="AL20" i="3"/>
  <c r="AJ20" i="3"/>
  <c r="AH20" i="3"/>
  <c r="AF20" i="3"/>
  <c r="AD20" i="3"/>
  <c r="AD34" i="3" s="1"/>
  <c r="AB20" i="3"/>
  <c r="Q20" i="3"/>
  <c r="P20" i="3"/>
  <c r="O20" i="3"/>
  <c r="M8" i="40" s="1"/>
  <c r="N20" i="3"/>
  <c r="AC8" i="38" s="1"/>
  <c r="M20" i="3"/>
  <c r="Q9" i="39" s="1"/>
  <c r="L20" i="3"/>
  <c r="K20" i="3"/>
  <c r="W8" i="38" s="1"/>
  <c r="J20" i="3"/>
  <c r="T8" i="38" s="1"/>
  <c r="I20" i="3"/>
  <c r="Q8" i="38" s="1"/>
  <c r="H20" i="3"/>
  <c r="K9" i="39" s="1"/>
  <c r="G20" i="3"/>
  <c r="F20" i="3"/>
  <c r="K8" i="38" s="1"/>
  <c r="E20" i="3"/>
  <c r="H8" i="38" s="1"/>
  <c r="D20" i="3"/>
  <c r="E9" i="39" s="1"/>
  <c r="C20" i="3"/>
  <c r="B20" i="3"/>
  <c r="B8" i="38" s="1"/>
  <c r="B47" i="38" s="1"/>
  <c r="AP19" i="3"/>
  <c r="AN19" i="3"/>
  <c r="AL19" i="3"/>
  <c r="AJ19" i="3"/>
  <c r="AH19" i="3"/>
  <c r="AF19" i="3"/>
  <c r="AD19" i="3"/>
  <c r="AB19" i="3"/>
  <c r="Q19" i="3" a="1"/>
  <c r="Q19" i="3" s="1"/>
  <c r="P19" i="3" a="1"/>
  <c r="P19" i="3"/>
  <c r="O19" i="3" a="1"/>
  <c r="O19" i="3" s="1"/>
  <c r="N19" i="3" a="1"/>
  <c r="N19" i="3"/>
  <c r="AE8" i="38" s="1"/>
  <c r="M19" i="3" a="1"/>
  <c r="M19" i="3" s="1"/>
  <c r="S9" i="39" s="1"/>
  <c r="L19" i="3" a="1"/>
  <c r="L19" i="3"/>
  <c r="K19" i="3" a="1"/>
  <c r="K19" i="3" s="1"/>
  <c r="Y8" i="38" s="1"/>
  <c r="J19" i="3" a="1"/>
  <c r="J19" i="3"/>
  <c r="V8" i="38" s="1"/>
  <c r="I19" i="3" a="1"/>
  <c r="I19" i="3" s="1"/>
  <c r="S8" i="38" s="1"/>
  <c r="H19" i="3" a="1"/>
  <c r="H19" i="3"/>
  <c r="M9" i="39" s="1"/>
  <c r="G19" i="3" a="1"/>
  <c r="G19" i="3" s="1"/>
  <c r="F19" i="3" a="1"/>
  <c r="F19" i="3"/>
  <c r="M8" i="38" s="1"/>
  <c r="E19" i="3" a="1"/>
  <c r="E19" i="3" s="1"/>
  <c r="J8" i="38" s="1"/>
  <c r="D19" i="3" a="1"/>
  <c r="D19" i="3"/>
  <c r="G9" i="39" s="1"/>
  <c r="C19" i="3" a="1"/>
  <c r="C19" i="3" s="1"/>
  <c r="B19" i="3" a="1"/>
  <c r="B19" i="3"/>
  <c r="D8" i="38" s="1"/>
  <c r="D47" i="38" s="1"/>
  <c r="AP18" i="3"/>
  <c r="AP30" i="3" s="1"/>
  <c r="AR38" i="3" s="1"/>
  <c r="AR39" i="3" s="1"/>
  <c r="AN18" i="3"/>
  <c r="AL18" i="3"/>
  <c r="AJ18" i="3"/>
  <c r="AH18" i="3"/>
  <c r="AF18" i="3"/>
  <c r="AD18" i="3"/>
  <c r="AB18" i="3"/>
  <c r="U18" i="3"/>
  <c r="T18" i="3"/>
  <c r="R18" i="3"/>
  <c r="AP17" i="3"/>
  <c r="AN17" i="3"/>
  <c r="AL17" i="3"/>
  <c r="AJ17" i="3"/>
  <c r="AH17" i="3"/>
  <c r="AF17" i="3"/>
  <c r="AD17" i="3"/>
  <c r="AB17" i="3"/>
  <c r="V17" i="3"/>
  <c r="U17" i="3"/>
  <c r="T17" i="3"/>
  <c r="R17" i="3"/>
  <c r="AP16" i="3"/>
  <c r="AN16" i="3"/>
  <c r="AL16" i="3"/>
  <c r="AJ16" i="3"/>
  <c r="AH16" i="3"/>
  <c r="AF16" i="3"/>
  <c r="AD16" i="3"/>
  <c r="AB16" i="3"/>
  <c r="U16" i="3"/>
  <c r="T16" i="3"/>
  <c r="S16" i="3"/>
  <c r="R16" i="3"/>
  <c r="AP15" i="3"/>
  <c r="AN15" i="3"/>
  <c r="AL15" i="3"/>
  <c r="AJ15" i="3"/>
  <c r="AH15" i="3"/>
  <c r="AF15" i="3"/>
  <c r="AD15" i="3"/>
  <c r="AB15" i="3"/>
  <c r="U15" i="3"/>
  <c r="T15" i="3"/>
  <c r="S15" i="3"/>
  <c r="R15" i="3"/>
  <c r="AP14" i="3"/>
  <c r="AN14" i="3"/>
  <c r="AL14" i="3"/>
  <c r="AJ14" i="3"/>
  <c r="AH14" i="3"/>
  <c r="AF14" i="3"/>
  <c r="AD14" i="3"/>
  <c r="AB14" i="3"/>
  <c r="U14" i="3"/>
  <c r="T14" i="3"/>
  <c r="S14" i="3"/>
  <c r="R14" i="3"/>
  <c r="AP13" i="3"/>
  <c r="AN13" i="3"/>
  <c r="AL13" i="3"/>
  <c r="AJ13" i="3"/>
  <c r="AH13" i="3"/>
  <c r="AF13" i="3"/>
  <c r="AD13" i="3"/>
  <c r="AB13" i="3"/>
  <c r="U13" i="3"/>
  <c r="T13" i="3"/>
  <c r="S13" i="3"/>
  <c r="R13" i="3"/>
  <c r="R21" i="3" s="1"/>
  <c r="AP12" i="3"/>
  <c r="AN12" i="3"/>
  <c r="AL12" i="3"/>
  <c r="AJ12" i="3"/>
  <c r="AJ30" i="3" s="1"/>
  <c r="AH12" i="3"/>
  <c r="AH30" i="3" s="1"/>
  <c r="AF12" i="3"/>
  <c r="AD12" i="3"/>
  <c r="AB12" i="3"/>
  <c r="V12" i="3"/>
  <c r="U37" i="3" s="1"/>
  <c r="U12" i="3"/>
  <c r="T12" i="3"/>
  <c r="S12" i="3"/>
  <c r="R12" i="3"/>
  <c r="AP11" i="3"/>
  <c r="AN11" i="3"/>
  <c r="AL11" i="3"/>
  <c r="AJ11" i="3"/>
  <c r="AH11" i="3"/>
  <c r="AF11" i="3"/>
  <c r="AD11" i="3"/>
  <c r="AB11" i="3"/>
  <c r="U11" i="3"/>
  <c r="T11" i="3"/>
  <c r="S11" i="3"/>
  <c r="R11" i="3"/>
  <c r="AP10" i="3"/>
  <c r="AN10" i="3"/>
  <c r="AL10" i="3"/>
  <c r="AJ10" i="3"/>
  <c r="AH10" i="3"/>
  <c r="AF10" i="3"/>
  <c r="AD10" i="3"/>
  <c r="AB10" i="3"/>
  <c r="U10" i="3"/>
  <c r="T10" i="3"/>
  <c r="S10" i="3"/>
  <c r="R10" i="3"/>
  <c r="AP9" i="3"/>
  <c r="AN9" i="3"/>
  <c r="AL9" i="3"/>
  <c r="AJ9" i="3"/>
  <c r="AH9" i="3"/>
  <c r="AF9" i="3"/>
  <c r="AD9" i="3"/>
  <c r="AB9" i="3"/>
  <c r="U9" i="3"/>
  <c r="T9" i="3"/>
  <c r="S9" i="3"/>
  <c r="R9" i="3"/>
  <c r="AP8" i="3"/>
  <c r="AN8" i="3"/>
  <c r="AL8" i="3"/>
  <c r="AJ8" i="3"/>
  <c r="AH8" i="3"/>
  <c r="AF8" i="3"/>
  <c r="AD8" i="3"/>
  <c r="AB8" i="3"/>
  <c r="U8" i="3"/>
  <c r="T8" i="3"/>
  <c r="S8" i="3"/>
  <c r="S19" i="3" s="1" a="1"/>
  <c r="S19" i="3" s="1"/>
  <c r="R8" i="3"/>
  <c r="AP7" i="3"/>
  <c r="AN7" i="3"/>
  <c r="AL7" i="3"/>
  <c r="AL34" i="3" s="1"/>
  <c r="AJ7" i="3"/>
  <c r="AH7" i="3"/>
  <c r="AF7" i="3"/>
  <c r="AD7" i="3"/>
  <c r="AB7" i="3"/>
  <c r="V7" i="3"/>
  <c r="U7" i="3"/>
  <c r="T7" i="3"/>
  <c r="S7" i="3"/>
  <c r="R7" i="3"/>
  <c r="R19" i="3" s="1" a="1"/>
  <c r="R19" i="3" s="1"/>
  <c r="AP6" i="3"/>
  <c r="AN6" i="3"/>
  <c r="AL6" i="3"/>
  <c r="AJ6" i="3"/>
  <c r="AH6" i="3"/>
  <c r="AF6" i="3"/>
  <c r="AD6" i="3"/>
  <c r="AB6" i="3"/>
  <c r="AL61" i="2"/>
  <c r="R57" i="2"/>
  <c r="AF7" i="40" s="1"/>
  <c r="O57" i="2"/>
  <c r="AE7" i="40" s="1"/>
  <c r="AN54" i="2"/>
  <c r="AL54" i="2"/>
  <c r="AJ54" i="2"/>
  <c r="Y54" i="2"/>
  <c r="Y55" i="2" s="1"/>
  <c r="AC53" i="2"/>
  <c r="AA53" i="2"/>
  <c r="Y53" i="2"/>
  <c r="AG52" i="2"/>
  <c r="R51" i="2"/>
  <c r="AD7" i="40" s="1"/>
  <c r="P51" i="2"/>
  <c r="O51" i="2"/>
  <c r="AC7" i="40" s="1"/>
  <c r="AN49" i="2"/>
  <c r="AN48" i="2"/>
  <c r="AL48" i="2"/>
  <c r="AN47" i="2"/>
  <c r="AL47" i="2"/>
  <c r="AL49" i="2" s="1"/>
  <c r="AJ47" i="2"/>
  <c r="AJ49" i="2" s="1"/>
  <c r="AE46" i="2"/>
  <c r="AE47" i="2" s="1"/>
  <c r="AC46" i="2"/>
  <c r="AA46" i="2"/>
  <c r="AA47" i="2" s="1"/>
  <c r="Y46" i="2"/>
  <c r="AJ48" i="2" s="1"/>
  <c r="AC45" i="2"/>
  <c r="AC47" i="2" s="1"/>
  <c r="AA45" i="2"/>
  <c r="Y45" i="2"/>
  <c r="Y47" i="2" s="1"/>
  <c r="AG46" i="2" s="1"/>
  <c r="L45" i="2"/>
  <c r="AG7" i="40" s="1"/>
  <c r="H45" i="2"/>
  <c r="Y7" i="40" s="1"/>
  <c r="S41" i="2"/>
  <c r="Q45" i="2" s="1"/>
  <c r="AB7" i="40" s="1"/>
  <c r="O41" i="2"/>
  <c r="AA7" i="40" s="1"/>
  <c r="G41" i="2"/>
  <c r="E41" i="2"/>
  <c r="D41" i="2"/>
  <c r="C41" i="2"/>
  <c r="Z7" i="40" s="1"/>
  <c r="B41" i="2"/>
  <c r="X7" i="40" s="1"/>
  <c r="A41" i="2"/>
  <c r="Z37" i="2"/>
  <c r="B9" i="43" s="1"/>
  <c r="U37" i="2"/>
  <c r="AC34" i="2"/>
  <c r="Z34" i="2"/>
  <c r="Y34" i="2"/>
  <c r="P7" i="40" s="1"/>
  <c r="AC33" i="2"/>
  <c r="AB33" i="2"/>
  <c r="G9" i="43" s="1"/>
  <c r="Z33" i="2"/>
  <c r="AA33" i="2" s="1"/>
  <c r="F9" i="43" s="1"/>
  <c r="AC32" i="2"/>
  <c r="AB32" i="2"/>
  <c r="Z32" i="2"/>
  <c r="AA32" i="2" s="1"/>
  <c r="Z30" i="2"/>
  <c r="Y30" i="2"/>
  <c r="C9" i="43" s="1"/>
  <c r="AP29" i="2"/>
  <c r="AN29" i="2"/>
  <c r="AL29" i="2"/>
  <c r="AJ29" i="2"/>
  <c r="AH29" i="2"/>
  <c r="AF29" i="2"/>
  <c r="AD29" i="2"/>
  <c r="AB29" i="2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Q21" i="2"/>
  <c r="P21" i="2"/>
  <c r="O21" i="2"/>
  <c r="N7" i="40" s="1"/>
  <c r="N21" i="2"/>
  <c r="AD7" i="38" s="1"/>
  <c r="M21" i="2"/>
  <c r="R8" i="39" s="1"/>
  <c r="L21" i="2"/>
  <c r="K21" i="2"/>
  <c r="X7" i="38" s="1"/>
  <c r="J21" i="2"/>
  <c r="U7" i="38" s="1"/>
  <c r="I21" i="2"/>
  <c r="R7" i="38" s="1"/>
  <c r="H21" i="2"/>
  <c r="L8" i="39" s="1"/>
  <c r="G21" i="2"/>
  <c r="F21" i="2"/>
  <c r="L7" i="38" s="1"/>
  <c r="E21" i="2"/>
  <c r="I7" i="38" s="1"/>
  <c r="D21" i="2"/>
  <c r="F8" i="39" s="1"/>
  <c r="C21" i="2"/>
  <c r="B21" i="2"/>
  <c r="C7" i="38" s="1"/>
  <c r="AP20" i="2"/>
  <c r="AN20" i="2"/>
  <c r="AL20" i="2"/>
  <c r="AJ20" i="2"/>
  <c r="AH20" i="2"/>
  <c r="AF20" i="2"/>
  <c r="AD20" i="2"/>
  <c r="AB20" i="2"/>
  <c r="R20" i="2"/>
  <c r="Q20" i="2"/>
  <c r="P20" i="2"/>
  <c r="O20" i="2"/>
  <c r="M7" i="40" s="1"/>
  <c r="N20" i="2"/>
  <c r="AC7" i="38" s="1"/>
  <c r="M20" i="2"/>
  <c r="Q8" i="39" s="1"/>
  <c r="L20" i="2"/>
  <c r="K20" i="2"/>
  <c r="W7" i="38" s="1"/>
  <c r="J20" i="2"/>
  <c r="T7" i="38" s="1"/>
  <c r="I20" i="2"/>
  <c r="Q7" i="38" s="1"/>
  <c r="H20" i="2"/>
  <c r="K8" i="39" s="1"/>
  <c r="G20" i="2"/>
  <c r="F20" i="2"/>
  <c r="K7" i="38" s="1"/>
  <c r="E20" i="2"/>
  <c r="H7" i="38" s="1"/>
  <c r="D20" i="2"/>
  <c r="E8" i="39" s="1"/>
  <c r="C20" i="2"/>
  <c r="B20" i="2"/>
  <c r="AP19" i="2"/>
  <c r="AN19" i="2"/>
  <c r="AL19" i="2"/>
  <c r="AL34" i="2" s="1"/>
  <c r="AJ19" i="2"/>
  <c r="AH19" i="2"/>
  <c r="AF19" i="2"/>
  <c r="AD19" i="2"/>
  <c r="AB19" i="2"/>
  <c r="S14" i="2" s="1"/>
  <c r="R19" i="2" a="1"/>
  <c r="R19" i="2" s="1"/>
  <c r="Q19" i="2" a="1"/>
  <c r="Q19" i="2"/>
  <c r="P19" i="2" a="1"/>
  <c r="P19" i="2" s="1"/>
  <c r="O19" i="2" a="1"/>
  <c r="O19" i="2"/>
  <c r="N19" i="2" a="1"/>
  <c r="N19" i="2" s="1"/>
  <c r="AE7" i="38" s="1"/>
  <c r="M19" i="2" a="1"/>
  <c r="M19" i="2"/>
  <c r="S8" i="39" s="1"/>
  <c r="L19" i="2" a="1"/>
  <c r="L19" i="2" s="1"/>
  <c r="K19" i="2" a="1"/>
  <c r="K19" i="2"/>
  <c r="Y7" i="38" s="1"/>
  <c r="J19" i="2" a="1"/>
  <c r="J19" i="2" s="1"/>
  <c r="V7" i="38" s="1"/>
  <c r="I19" i="2" a="1"/>
  <c r="I19" i="2"/>
  <c r="S7" i="38" s="1"/>
  <c r="H19" i="2" a="1"/>
  <c r="H19" i="2" s="1"/>
  <c r="M8" i="39" s="1"/>
  <c r="G19" i="2" a="1"/>
  <c r="G19" i="2"/>
  <c r="F19" i="2" a="1"/>
  <c r="F19" i="2" s="1"/>
  <c r="M7" i="38" s="1"/>
  <c r="E19" i="2" a="1"/>
  <c r="E19" i="2"/>
  <c r="J7" i="38" s="1"/>
  <c r="D19" i="2" a="1"/>
  <c r="D19" i="2" s="1"/>
  <c r="G8" i="39" s="1"/>
  <c r="C19" i="2" a="1"/>
  <c r="C19" i="2"/>
  <c r="B19" i="2" a="1"/>
  <c r="B19" i="2" s="1"/>
  <c r="D7" i="38" s="1"/>
  <c r="AP18" i="2"/>
  <c r="AN18" i="2"/>
  <c r="AL18" i="2"/>
  <c r="AJ18" i="2"/>
  <c r="AH18" i="2"/>
  <c r="AF18" i="2"/>
  <c r="AD18" i="2"/>
  <c r="AB18" i="2"/>
  <c r="U18" i="2"/>
  <c r="T18" i="2"/>
  <c r="S18" i="2"/>
  <c r="R18" i="2"/>
  <c r="AP17" i="2"/>
  <c r="AN17" i="2"/>
  <c r="AL17" i="2"/>
  <c r="AJ17" i="2"/>
  <c r="AH17" i="2"/>
  <c r="AF17" i="2"/>
  <c r="AD17" i="2"/>
  <c r="AD34" i="2" s="1"/>
  <c r="AB17" i="2"/>
  <c r="V17" i="2"/>
  <c r="U17" i="2"/>
  <c r="T17" i="2"/>
  <c r="S17" i="2"/>
  <c r="R17" i="2"/>
  <c r="AP16" i="2"/>
  <c r="AN16" i="2"/>
  <c r="AL16" i="2"/>
  <c r="AJ16" i="2"/>
  <c r="AH16" i="2"/>
  <c r="AF16" i="2"/>
  <c r="AD16" i="2"/>
  <c r="AB16" i="2"/>
  <c r="U16" i="2"/>
  <c r="T16" i="2"/>
  <c r="S16" i="2"/>
  <c r="R16" i="2"/>
  <c r="AP15" i="2"/>
  <c r="AN15" i="2"/>
  <c r="AL15" i="2"/>
  <c r="AJ15" i="2"/>
  <c r="AH15" i="2"/>
  <c r="AF15" i="2"/>
  <c r="AD15" i="2"/>
  <c r="AB15" i="2"/>
  <c r="U15" i="2"/>
  <c r="T15" i="2"/>
  <c r="S15" i="2"/>
  <c r="R15" i="2"/>
  <c r="AP14" i="2"/>
  <c r="AN14" i="2"/>
  <c r="AL14" i="2"/>
  <c r="AJ14" i="2"/>
  <c r="AH14" i="2"/>
  <c r="AF14" i="2"/>
  <c r="AD14" i="2"/>
  <c r="AB14" i="2"/>
  <c r="U14" i="2"/>
  <c r="T14" i="2"/>
  <c r="R14" i="2"/>
  <c r="AP13" i="2"/>
  <c r="AN13" i="2"/>
  <c r="AL13" i="2"/>
  <c r="AJ13" i="2"/>
  <c r="AH13" i="2"/>
  <c r="AF13" i="2"/>
  <c r="AD13" i="2"/>
  <c r="AB13" i="2"/>
  <c r="U13" i="2"/>
  <c r="T13" i="2"/>
  <c r="S13" i="2"/>
  <c r="R13" i="2"/>
  <c r="AP12" i="2"/>
  <c r="AN12" i="2"/>
  <c r="AL12" i="2"/>
  <c r="AJ12" i="2"/>
  <c r="AH12" i="2"/>
  <c r="AF12" i="2"/>
  <c r="AD12" i="2"/>
  <c r="AB12" i="2"/>
  <c r="V12" i="2"/>
  <c r="U12" i="2"/>
  <c r="T12" i="2"/>
  <c r="S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S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S20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R21" i="2" s="1"/>
  <c r="AP7" i="2"/>
  <c r="AN7" i="2"/>
  <c r="AN34" i="2" s="1"/>
  <c r="AL7" i="2"/>
  <c r="AJ7" i="2"/>
  <c r="AH7" i="2"/>
  <c r="AF7" i="2"/>
  <c r="AF34" i="2" s="1"/>
  <c r="AD7" i="2"/>
  <c r="AB7" i="2"/>
  <c r="S8" i="2" s="1"/>
  <c r="U7" i="2"/>
  <c r="AP6" i="2"/>
  <c r="AP34" i="2" s="1"/>
  <c r="AN6" i="2"/>
  <c r="AL6" i="2"/>
  <c r="AJ6" i="2"/>
  <c r="AH6" i="2"/>
  <c r="AH34" i="2" s="1"/>
  <c r="AF6" i="2"/>
  <c r="AD6" i="2"/>
  <c r="AB6" i="2"/>
  <c r="A5" i="1"/>
  <c r="U25" i="4" s="1"/>
  <c r="A4" i="1"/>
  <c r="U25" i="3" s="1"/>
  <c r="AJ30" i="18" l="1"/>
  <c r="AJ34" i="18" s="1"/>
  <c r="AF30" i="32"/>
  <c r="G37" i="38"/>
  <c r="P37" i="38"/>
  <c r="E37" i="38"/>
  <c r="N37" i="38"/>
  <c r="AJ30" i="32"/>
  <c r="AJ34" i="32" s="1"/>
  <c r="L41" i="31"/>
  <c r="AP38" i="32"/>
  <c r="R20" i="32"/>
  <c r="S20" i="32"/>
  <c r="AB32" i="32"/>
  <c r="E39" i="43" s="1"/>
  <c r="Q45" i="31"/>
  <c r="AB36" i="40" s="1"/>
  <c r="AF30" i="31"/>
  <c r="AN49" i="30"/>
  <c r="AL63" i="31"/>
  <c r="AD34" i="31"/>
  <c r="AB32" i="31"/>
  <c r="E38" i="43" s="1"/>
  <c r="K38" i="39"/>
  <c r="K39" i="39" s="1"/>
  <c r="Y47" i="16"/>
  <c r="AL30" i="30"/>
  <c r="AL34" i="30"/>
  <c r="AB32" i="30"/>
  <c r="E37" i="43" s="1"/>
  <c r="AR39" i="30"/>
  <c r="AD34" i="30"/>
  <c r="Q45" i="30"/>
  <c r="AB35" i="40" s="1"/>
  <c r="P35" i="38"/>
  <c r="J41" i="30"/>
  <c r="W35" i="40" s="1"/>
  <c r="R21" i="29"/>
  <c r="L44" i="34"/>
  <c r="H46" i="43" s="1"/>
  <c r="Q45" i="29"/>
  <c r="AB34" i="40" s="1"/>
  <c r="AD34" i="29"/>
  <c r="J41" i="28"/>
  <c r="W33" i="40" s="1"/>
  <c r="AJ30" i="28"/>
  <c r="R21" i="28"/>
  <c r="R19" i="28"/>
  <c r="R19" i="29"/>
  <c r="Q45" i="28"/>
  <c r="AB33" i="40" s="1"/>
  <c r="S20" i="28"/>
  <c r="S19" i="28"/>
  <c r="S21" i="28"/>
  <c r="Q45" i="27"/>
  <c r="AB32" i="40" s="1"/>
  <c r="AN34" i="27"/>
  <c r="AL30" i="27"/>
  <c r="AJ30" i="27"/>
  <c r="AJ34" i="27" s="1"/>
  <c r="AH34" i="26"/>
  <c r="AH30" i="26"/>
  <c r="AF30" i="26"/>
  <c r="S21" i="27"/>
  <c r="S19" i="27"/>
  <c r="S20" i="26"/>
  <c r="AB32" i="26"/>
  <c r="H31" i="40" s="1"/>
  <c r="L41" i="26"/>
  <c r="F38" i="36"/>
  <c r="G37" i="36"/>
  <c r="G30" i="38"/>
  <c r="E30" i="38"/>
  <c r="AB32" i="25"/>
  <c r="E32" i="43" s="1"/>
  <c r="S12" i="25"/>
  <c r="Q45" i="25"/>
  <c r="AB30" i="40" s="1"/>
  <c r="L41" i="25"/>
  <c r="J41" i="25"/>
  <c r="W30" i="40" s="1"/>
  <c r="S20" i="25"/>
  <c r="J41" i="24"/>
  <c r="W29" i="40" s="1"/>
  <c r="AJ30" i="24"/>
  <c r="AF30" i="24"/>
  <c r="AF34" i="24"/>
  <c r="R19" i="24"/>
  <c r="AG52" i="23"/>
  <c r="AG44" i="23"/>
  <c r="Q45" i="24"/>
  <c r="AB29" i="40" s="1"/>
  <c r="D37" i="36"/>
  <c r="C37" i="36"/>
  <c r="C38" i="36"/>
  <c r="AJ30" i="23"/>
  <c r="AP38" i="23" s="1"/>
  <c r="Q45" i="23"/>
  <c r="AB28" i="40" s="1"/>
  <c r="L41" i="23"/>
  <c r="J41" i="23"/>
  <c r="W28" i="40" s="1"/>
  <c r="E28" i="38"/>
  <c r="B29" i="39"/>
  <c r="R21" i="23"/>
  <c r="AD34" i="23"/>
  <c r="AB32" i="23"/>
  <c r="H28" i="40" s="1"/>
  <c r="G36" i="36"/>
  <c r="C36" i="36"/>
  <c r="W39" i="38"/>
  <c r="AO5" i="44" s="1"/>
  <c r="Q45" i="22"/>
  <c r="AB27" i="40" s="1"/>
  <c r="R20" i="22"/>
  <c r="AR39" i="22"/>
  <c r="AD34" i="22"/>
  <c r="R21" i="22"/>
  <c r="B38" i="36"/>
  <c r="M38" i="40"/>
  <c r="AB32" i="21"/>
  <c r="H26" i="40" s="1"/>
  <c r="AD34" i="21"/>
  <c r="L41" i="21"/>
  <c r="Q45" i="21"/>
  <c r="AB26" i="40" s="1"/>
  <c r="N26" i="38"/>
  <c r="J41" i="21"/>
  <c r="W26" i="40" s="1"/>
  <c r="Q45" i="20"/>
  <c r="AB25" i="40" s="1"/>
  <c r="V39" i="38"/>
  <c r="AN5" i="44" s="1"/>
  <c r="R20" i="21"/>
  <c r="T39" i="38"/>
  <c r="AL5" i="44" s="1"/>
  <c r="AR39" i="20"/>
  <c r="B41" i="43"/>
  <c r="AB32" i="20"/>
  <c r="H25" i="40" s="1"/>
  <c r="AD34" i="20"/>
  <c r="AE39" i="38"/>
  <c r="AT5" i="44" s="1"/>
  <c r="Z25" i="38"/>
  <c r="N25" i="38"/>
  <c r="I39" i="38"/>
  <c r="AA5" i="44" s="1"/>
  <c r="E25" i="38"/>
  <c r="R39" i="38"/>
  <c r="AJ5" i="44" s="1"/>
  <c r="X40" i="40"/>
  <c r="E5" i="44" s="1"/>
  <c r="B6" i="45" s="1"/>
  <c r="B13" i="45" s="1"/>
  <c r="Y40" i="40"/>
  <c r="F5" i="44" s="1"/>
  <c r="F6" i="44" s="1"/>
  <c r="M39" i="38"/>
  <c r="AE5" i="44" s="1"/>
  <c r="D39" i="38"/>
  <c r="V5" i="44" s="1"/>
  <c r="D46" i="38"/>
  <c r="D78" i="38" s="1"/>
  <c r="AL40" i="11"/>
  <c r="I16" i="40" s="1"/>
  <c r="AP38" i="6"/>
  <c r="AJ34" i="6"/>
  <c r="AP38" i="9"/>
  <c r="AJ34" i="9"/>
  <c r="AP38" i="3"/>
  <c r="AJ34" i="3"/>
  <c r="P8" i="39"/>
  <c r="AB7" i="38"/>
  <c r="J9" i="39"/>
  <c r="P8" i="38"/>
  <c r="M10" i="43"/>
  <c r="O8" i="40"/>
  <c r="D9" i="39"/>
  <c r="G8" i="38"/>
  <c r="AP30" i="2"/>
  <c r="AR38" i="2" s="1"/>
  <c r="AR39" i="2" s="1"/>
  <c r="I9" i="39"/>
  <c r="O8" i="38"/>
  <c r="D10" i="43"/>
  <c r="E8" i="40"/>
  <c r="E11" i="43"/>
  <c r="H9" i="40"/>
  <c r="F11" i="43"/>
  <c r="AL62" i="4"/>
  <c r="AL48" i="19"/>
  <c r="AL48" i="18"/>
  <c r="AN48" i="12"/>
  <c r="AJ49" i="4"/>
  <c r="AL48" i="12"/>
  <c r="AN48" i="4"/>
  <c r="AL48" i="15"/>
  <c r="AL48" i="13"/>
  <c r="AL48" i="4"/>
  <c r="AL49" i="4" s="1"/>
  <c r="AM39" i="5"/>
  <c r="AN30" i="6"/>
  <c r="AN34" i="6"/>
  <c r="P14" i="39"/>
  <c r="AB13" i="38"/>
  <c r="AL34" i="9"/>
  <c r="AL30" i="9"/>
  <c r="AH30" i="2"/>
  <c r="B42" i="43"/>
  <c r="B43" i="43"/>
  <c r="B40" i="43"/>
  <c r="C6" i="46" s="1"/>
  <c r="AN30" i="3"/>
  <c r="F10" i="43"/>
  <c r="AL62" i="3"/>
  <c r="AE46" i="4"/>
  <c r="AE47" i="4" s="1"/>
  <c r="AC46" i="4"/>
  <c r="AJ48" i="12"/>
  <c r="AJ49" i="12" s="1"/>
  <c r="AA46" i="4"/>
  <c r="AH34" i="5"/>
  <c r="AH30" i="5"/>
  <c r="AK38" i="5" s="1"/>
  <c r="AP34" i="5"/>
  <c r="AP30" i="5"/>
  <c r="AR38" i="5" s="1"/>
  <c r="AR39" i="5" s="1"/>
  <c r="AL48" i="5"/>
  <c r="AL49" i="5" s="1"/>
  <c r="R19" i="6" a="1"/>
  <c r="R19" i="6" s="1"/>
  <c r="D13" i="43"/>
  <c r="AQ62" i="6"/>
  <c r="E11" i="40"/>
  <c r="AF34" i="6"/>
  <c r="AG46" i="6"/>
  <c r="AL62" i="6"/>
  <c r="C13" i="39"/>
  <c r="F12" i="38"/>
  <c r="I13" i="39"/>
  <c r="O12" i="38"/>
  <c r="F14" i="43"/>
  <c r="AL62" i="7"/>
  <c r="D15" i="43"/>
  <c r="E13" i="40"/>
  <c r="AQ62" i="8"/>
  <c r="AG46" i="9"/>
  <c r="F17" i="43"/>
  <c r="AL62" i="10"/>
  <c r="J17" i="39"/>
  <c r="J18" i="39"/>
  <c r="P16" i="38"/>
  <c r="M18" i="43"/>
  <c r="O16" i="40"/>
  <c r="S18" i="39"/>
  <c r="Q17" i="39"/>
  <c r="S17" i="39"/>
  <c r="M19" i="43"/>
  <c r="O17" i="40"/>
  <c r="AN31" i="14"/>
  <c r="Y47" i="15"/>
  <c r="AG44" i="15"/>
  <c r="E25" i="43"/>
  <c r="H23" i="40"/>
  <c r="AP38" i="18"/>
  <c r="AH34" i="19"/>
  <c r="AH30" i="19"/>
  <c r="AK38" i="19" s="1"/>
  <c r="AP34" i="19"/>
  <c r="AP30" i="19"/>
  <c r="AR38" i="19" s="1"/>
  <c r="AR39" i="19" s="1"/>
  <c r="N28" i="39"/>
  <c r="Z27" i="38"/>
  <c r="AE46" i="27"/>
  <c r="AE47" i="27" s="1"/>
  <c r="AC46" i="27"/>
  <c r="AC47" i="27" s="1"/>
  <c r="AJ48" i="27"/>
  <c r="AA46" i="27"/>
  <c r="AA47" i="27" s="1"/>
  <c r="E7" i="38"/>
  <c r="B8" i="39"/>
  <c r="H8" i="39"/>
  <c r="N7" i="38"/>
  <c r="P10" i="39"/>
  <c r="AB9" i="38"/>
  <c r="AA47" i="4"/>
  <c r="P11" i="39"/>
  <c r="AB10" i="38"/>
  <c r="S21" i="6"/>
  <c r="Z11" i="40"/>
  <c r="L41" i="6"/>
  <c r="AL30" i="2"/>
  <c r="AM38" i="2" s="1"/>
  <c r="S21" i="2"/>
  <c r="S19" i="2" a="1"/>
  <c r="S19" i="2" s="1"/>
  <c r="M3" i="43"/>
  <c r="BA1" i="44" s="1"/>
  <c r="X2" i="42"/>
  <c r="V2" i="42"/>
  <c r="V2" i="41"/>
  <c r="U2" i="40"/>
  <c r="X2" i="41"/>
  <c r="V2" i="39"/>
  <c r="W2" i="38"/>
  <c r="E9" i="43"/>
  <c r="H7" i="40"/>
  <c r="AF30" i="3"/>
  <c r="AK38" i="3" s="1"/>
  <c r="A6" i="1"/>
  <c r="V2" i="40"/>
  <c r="AE2" i="38"/>
  <c r="X2" i="38"/>
  <c r="AD2" i="38"/>
  <c r="W2" i="40"/>
  <c r="AC2" i="38"/>
  <c r="Y2" i="38"/>
  <c r="B7" i="38"/>
  <c r="K39" i="38"/>
  <c r="AC5" i="44" s="1"/>
  <c r="AC39" i="38"/>
  <c r="AR5" i="44" s="1"/>
  <c r="O8" i="39"/>
  <c r="AA7" i="38"/>
  <c r="AN30" i="2"/>
  <c r="V7" i="40"/>
  <c r="J41" i="2"/>
  <c r="W7" i="40" s="1"/>
  <c r="AG44" i="2"/>
  <c r="AL62" i="2"/>
  <c r="AL63" i="2" s="1"/>
  <c r="AQ61" i="2"/>
  <c r="AQ63" i="2" s="1"/>
  <c r="AH34" i="3"/>
  <c r="AP34" i="3"/>
  <c r="S21" i="4"/>
  <c r="S19" i="4" a="1"/>
  <c r="S19" i="4" s="1"/>
  <c r="S20" i="4"/>
  <c r="C40" i="43"/>
  <c r="B6" i="46" s="1"/>
  <c r="B13" i="46" s="1"/>
  <c r="C41" i="43"/>
  <c r="AN34" i="3"/>
  <c r="AA47" i="3"/>
  <c r="AG44" i="3"/>
  <c r="AC54" i="3"/>
  <c r="AJ55" i="3"/>
  <c r="AA54" i="3"/>
  <c r="AA55" i="3" s="1"/>
  <c r="AG54" i="3" s="1"/>
  <c r="D10" i="39"/>
  <c r="G9" i="38"/>
  <c r="AP34" i="4"/>
  <c r="Y47" i="4"/>
  <c r="AN49" i="4"/>
  <c r="AJ30" i="5"/>
  <c r="G10" i="38"/>
  <c r="D11" i="39"/>
  <c r="AB32" i="5"/>
  <c r="AJ49" i="5"/>
  <c r="AQ61" i="5" s="1"/>
  <c r="AE54" i="5"/>
  <c r="AE55" i="5" s="1"/>
  <c r="AC54" i="5"/>
  <c r="AC55" i="5" s="1"/>
  <c r="AA54" i="5"/>
  <c r="AA55" i="5" s="1"/>
  <c r="AD34" i="6"/>
  <c r="AL34" i="6"/>
  <c r="S20" i="6"/>
  <c r="R21" i="6"/>
  <c r="AH30" i="6"/>
  <c r="AK38" i="6" s="1"/>
  <c r="AP30" i="6"/>
  <c r="AR38" i="6" s="1"/>
  <c r="AR39" i="6" s="1"/>
  <c r="J12" i="39"/>
  <c r="P11" i="38"/>
  <c r="M13" i="43"/>
  <c r="O11" i="40"/>
  <c r="AJ56" i="6"/>
  <c r="AN55" i="6"/>
  <c r="AN56" i="6" s="1"/>
  <c r="AF34" i="7"/>
  <c r="AF30" i="7"/>
  <c r="AK38" i="7" s="1"/>
  <c r="AN34" i="7"/>
  <c r="AN30" i="7"/>
  <c r="AM38" i="7" s="1"/>
  <c r="D13" i="39"/>
  <c r="G12" i="38"/>
  <c r="S20" i="8"/>
  <c r="S19" i="8" a="1"/>
  <c r="S19" i="8" s="1"/>
  <c r="D14" i="43"/>
  <c r="E12" i="40"/>
  <c r="AE46" i="7"/>
  <c r="AE47" i="7" s="1"/>
  <c r="AC46" i="7"/>
  <c r="AC47" i="7" s="1"/>
  <c r="AA46" i="7"/>
  <c r="AJ48" i="7"/>
  <c r="AQ62" i="7"/>
  <c r="AB32" i="9"/>
  <c r="R21" i="9"/>
  <c r="AH30" i="9"/>
  <c r="AP30" i="9"/>
  <c r="AR38" i="9" s="1"/>
  <c r="AR39" i="9" s="1"/>
  <c r="D15" i="39"/>
  <c r="G14" i="38"/>
  <c r="C15" i="39"/>
  <c r="F14" i="38"/>
  <c r="I15" i="39"/>
  <c r="O14" i="38"/>
  <c r="R19" i="10" a="1"/>
  <c r="R19" i="10" s="1"/>
  <c r="R21" i="10"/>
  <c r="J16" i="39"/>
  <c r="P15" i="38"/>
  <c r="S21" i="10"/>
  <c r="AP38" i="11"/>
  <c r="AJ34" i="11"/>
  <c r="AP38" i="12"/>
  <c r="AJ34" i="12"/>
  <c r="AP38" i="13"/>
  <c r="AJ34" i="13"/>
  <c r="AF35" i="14"/>
  <c r="AF31" i="14"/>
  <c r="AB33" i="14"/>
  <c r="AM39" i="14"/>
  <c r="D20" i="39"/>
  <c r="G19" i="38"/>
  <c r="E23" i="43"/>
  <c r="H21" i="40"/>
  <c r="O29" i="39"/>
  <c r="AA28" i="38"/>
  <c r="S20" i="24"/>
  <c r="S19" i="24"/>
  <c r="S21" i="24"/>
  <c r="AE54" i="2"/>
  <c r="AE55" i="2" s="1"/>
  <c r="AG54" i="2" s="1"/>
  <c r="AC54" i="2"/>
  <c r="AC55" i="2" s="1"/>
  <c r="AJ55" i="2"/>
  <c r="AJ56" i="2" s="1"/>
  <c r="C9" i="39"/>
  <c r="F8" i="38"/>
  <c r="Z8" i="40"/>
  <c r="L41" i="3"/>
  <c r="AA10" i="40"/>
  <c r="Q45" i="5"/>
  <c r="AB10" i="40" s="1"/>
  <c r="S20" i="9"/>
  <c r="S19" i="9"/>
  <c r="AD34" i="10"/>
  <c r="AL34" i="10"/>
  <c r="AP38" i="10"/>
  <c r="AJ34" i="10"/>
  <c r="H18" i="43"/>
  <c r="Y67" i="11"/>
  <c r="AK39" i="11"/>
  <c r="I18" i="43" s="1"/>
  <c r="AJ49" i="24"/>
  <c r="AL34" i="21"/>
  <c r="AL30" i="21"/>
  <c r="S21" i="21"/>
  <c r="S19" i="21"/>
  <c r="S20" i="21"/>
  <c r="AG44" i="29"/>
  <c r="AA47" i="29"/>
  <c r="G7" i="40"/>
  <c r="F7" i="40"/>
  <c r="AJ30" i="2"/>
  <c r="AF30" i="2"/>
  <c r="AK38" i="2" s="1"/>
  <c r="D9" i="43"/>
  <c r="E7" i="40"/>
  <c r="AQ62" i="2"/>
  <c r="AA54" i="2"/>
  <c r="AA55" i="2" s="1"/>
  <c r="AL30" i="3"/>
  <c r="AM38" i="3" s="1"/>
  <c r="S20" i="3"/>
  <c r="R20" i="3"/>
  <c r="N9" i="39"/>
  <c r="Z8" i="38"/>
  <c r="AF34" i="3"/>
  <c r="AJ49" i="3"/>
  <c r="AQ61" i="3" s="1"/>
  <c r="AQ63" i="3" s="1"/>
  <c r="AL48" i="3"/>
  <c r="AL49" i="3" s="1"/>
  <c r="AQ62" i="3"/>
  <c r="AD34" i="4"/>
  <c r="AL34" i="4"/>
  <c r="AJ30" i="4"/>
  <c r="J10" i="39"/>
  <c r="P9" i="38"/>
  <c r="M11" i="43"/>
  <c r="O9" i="40"/>
  <c r="F10" i="39"/>
  <c r="F9" i="38"/>
  <c r="O10" i="39"/>
  <c r="AA9" i="38"/>
  <c r="S19" i="5" a="1"/>
  <c r="S19" i="5" s="1"/>
  <c r="S21" i="5"/>
  <c r="S20" i="5"/>
  <c r="D11" i="43"/>
  <c r="E9" i="40"/>
  <c r="AC47" i="4"/>
  <c r="AG54" i="4"/>
  <c r="AR53" i="13"/>
  <c r="AR53" i="16"/>
  <c r="AF34" i="5"/>
  <c r="AN34" i="5"/>
  <c r="J11" i="39"/>
  <c r="P10" i="38"/>
  <c r="M12" i="43"/>
  <c r="O10" i="40"/>
  <c r="V10" i="40"/>
  <c r="J41" i="5"/>
  <c r="W10" i="40" s="1"/>
  <c r="AJ55" i="5"/>
  <c r="AH34" i="6"/>
  <c r="AP34" i="6"/>
  <c r="D12" i="39"/>
  <c r="G11" i="38"/>
  <c r="C12" i="39"/>
  <c r="F11" i="38"/>
  <c r="I12" i="39"/>
  <c r="O11" i="38"/>
  <c r="AH34" i="7"/>
  <c r="AB32" i="8"/>
  <c r="AF30" i="8"/>
  <c r="AK38" i="8" s="1"/>
  <c r="AN30" i="8"/>
  <c r="AM38" i="8" s="1"/>
  <c r="AH30" i="8"/>
  <c r="AP30" i="8"/>
  <c r="AR38" i="8" s="1"/>
  <c r="AR39" i="8" s="1"/>
  <c r="C14" i="39"/>
  <c r="F13" i="38"/>
  <c r="O13" i="38"/>
  <c r="I14" i="39"/>
  <c r="AA47" i="8"/>
  <c r="AG46" i="8" s="1"/>
  <c r="AG44" i="8"/>
  <c r="AF34" i="9"/>
  <c r="AJ56" i="9"/>
  <c r="AL61" i="9" s="1"/>
  <c r="AL63" i="9" s="1"/>
  <c r="AN55" i="9"/>
  <c r="AN56" i="9" s="1"/>
  <c r="AK38" i="10"/>
  <c r="S20" i="12"/>
  <c r="S21" i="12"/>
  <c r="S20" i="13"/>
  <c r="S19" i="13" a="1"/>
  <c r="S19" i="13" s="1"/>
  <c r="AK38" i="16"/>
  <c r="AJ49" i="25"/>
  <c r="AN48" i="25"/>
  <c r="AA47" i="7"/>
  <c r="AJ30" i="8"/>
  <c r="R21" i="8"/>
  <c r="R20" i="8"/>
  <c r="N14" i="39"/>
  <c r="Z13" i="38"/>
  <c r="AL49" i="8"/>
  <c r="AQ61" i="8" s="1"/>
  <c r="AQ63" i="8" s="1"/>
  <c r="AG54" i="8"/>
  <c r="S20" i="10"/>
  <c r="AH34" i="10"/>
  <c r="AP34" i="10"/>
  <c r="D17" i="43"/>
  <c r="E15" i="40"/>
  <c r="AQ62" i="10"/>
  <c r="AF34" i="10"/>
  <c r="Z15" i="40"/>
  <c r="L41" i="10"/>
  <c r="AJ56" i="10"/>
  <c r="AL61" i="10" s="1"/>
  <c r="AL63" i="10" s="1"/>
  <c r="AN55" i="10"/>
  <c r="AN56" i="10" s="1"/>
  <c r="D17" i="39"/>
  <c r="C17" i="39"/>
  <c r="F16" i="38"/>
  <c r="I17" i="39"/>
  <c r="H17" i="39"/>
  <c r="O16" i="38"/>
  <c r="AL55" i="24"/>
  <c r="AL55" i="21"/>
  <c r="AL55" i="23"/>
  <c r="AL56" i="23" s="1"/>
  <c r="AL55" i="25"/>
  <c r="AL55" i="11"/>
  <c r="AR54" i="32" s="1"/>
  <c r="AL55" i="22"/>
  <c r="AJ56" i="11"/>
  <c r="AN55" i="11"/>
  <c r="AN56" i="11" s="1"/>
  <c r="D18" i="39"/>
  <c r="C18" i="39"/>
  <c r="F17" i="38"/>
  <c r="O17" i="38"/>
  <c r="I18" i="39"/>
  <c r="AA47" i="12"/>
  <c r="AN49" i="12"/>
  <c r="AH30" i="13"/>
  <c r="AP34" i="13"/>
  <c r="R21" i="14"/>
  <c r="J20" i="39"/>
  <c r="P19" i="38"/>
  <c r="P20" i="39"/>
  <c r="AB19" i="38"/>
  <c r="M21" i="43"/>
  <c r="O19" i="40"/>
  <c r="Z19" i="40"/>
  <c r="L41" i="14"/>
  <c r="AA48" i="14"/>
  <c r="AM39" i="17"/>
  <c r="AP34" i="18"/>
  <c r="D25" i="43"/>
  <c r="E23" i="40"/>
  <c r="AQ62" i="18"/>
  <c r="AC55" i="18"/>
  <c r="AJ30" i="20"/>
  <c r="R20" i="20"/>
  <c r="AL55" i="20"/>
  <c r="Y55" i="22"/>
  <c r="AG54" i="22" s="1"/>
  <c r="AG52" i="22"/>
  <c r="R20" i="23"/>
  <c r="AH34" i="23"/>
  <c r="AE46" i="23"/>
  <c r="AE47" i="23" s="1"/>
  <c r="AC46" i="23"/>
  <c r="AC47" i="23" s="1"/>
  <c r="AJ48" i="23"/>
  <c r="AA46" i="23"/>
  <c r="AA47" i="23" s="1"/>
  <c r="F29" i="38"/>
  <c r="C30" i="39"/>
  <c r="I30" i="39"/>
  <c r="O29" i="38"/>
  <c r="AP39" i="32"/>
  <c r="M17" i="43"/>
  <c r="O15" i="40"/>
  <c r="S20" i="11"/>
  <c r="AG54" i="10"/>
  <c r="AH34" i="11"/>
  <c r="AP34" i="11"/>
  <c r="D18" i="43"/>
  <c r="E16" i="40"/>
  <c r="AQ62" i="24"/>
  <c r="AQ62" i="11"/>
  <c r="Z16" i="40"/>
  <c r="L41" i="11"/>
  <c r="AG54" i="11"/>
  <c r="AL56" i="17"/>
  <c r="AH30" i="12"/>
  <c r="AK38" i="12" s="1"/>
  <c r="AP30" i="12"/>
  <c r="AR38" i="12" s="1"/>
  <c r="AR39" i="12" s="1"/>
  <c r="D19" i="43"/>
  <c r="E17" i="40"/>
  <c r="AQ62" i="12"/>
  <c r="Z17" i="40"/>
  <c r="L41" i="12"/>
  <c r="R19" i="13" a="1"/>
  <c r="R19" i="13" s="1"/>
  <c r="R21" i="13"/>
  <c r="J19" i="39"/>
  <c r="P18" i="38"/>
  <c r="M20" i="43"/>
  <c r="O18" i="40"/>
  <c r="S21" i="14"/>
  <c r="S19" i="14" a="1"/>
  <c r="S19" i="14" s="1"/>
  <c r="S20" i="14"/>
  <c r="B21" i="39"/>
  <c r="E20" i="38"/>
  <c r="N20" i="38"/>
  <c r="H21" i="39"/>
  <c r="P22" i="39"/>
  <c r="AB21" i="38"/>
  <c r="AP39" i="16"/>
  <c r="O24" i="39"/>
  <c r="AA23" i="38"/>
  <c r="S20" i="19"/>
  <c r="S21" i="19"/>
  <c r="S19" i="19"/>
  <c r="AA47" i="19"/>
  <c r="AG44" i="19"/>
  <c r="AJ56" i="20"/>
  <c r="AJ49" i="21"/>
  <c r="AN48" i="21"/>
  <c r="AN49" i="21"/>
  <c r="D30" i="43"/>
  <c r="E28" i="40"/>
  <c r="AQ62" i="23"/>
  <c r="AJ56" i="24"/>
  <c r="B32" i="39"/>
  <c r="E31" i="38"/>
  <c r="N31" i="38"/>
  <c r="H32" i="39"/>
  <c r="D34" i="43"/>
  <c r="E32" i="40"/>
  <c r="AQ62" i="27"/>
  <c r="AP38" i="28"/>
  <c r="AJ34" i="28"/>
  <c r="S20" i="7"/>
  <c r="R19" i="7" a="1"/>
  <c r="R19" i="7" s="1"/>
  <c r="AB32" i="7"/>
  <c r="AJ30" i="7"/>
  <c r="R21" i="7"/>
  <c r="J13" i="39"/>
  <c r="P12" i="38"/>
  <c r="M14" i="43"/>
  <c r="O12" i="40"/>
  <c r="S19" i="7" a="1"/>
  <c r="S19" i="7" s="1"/>
  <c r="Y47" i="7"/>
  <c r="AH34" i="8"/>
  <c r="AP34" i="8"/>
  <c r="AF34" i="8"/>
  <c r="AN34" i="8"/>
  <c r="AJ56" i="8"/>
  <c r="AN55" i="8"/>
  <c r="AN56" i="8" s="1"/>
  <c r="AF30" i="9"/>
  <c r="AK38" i="9" s="1"/>
  <c r="AN30" i="9"/>
  <c r="J15" i="39"/>
  <c r="P14" i="38"/>
  <c r="P15" i="39"/>
  <c r="AB14" i="38"/>
  <c r="M16" i="43"/>
  <c r="O14" i="40"/>
  <c r="D16" i="43"/>
  <c r="E14" i="40"/>
  <c r="AQ62" i="9"/>
  <c r="Z14" i="40"/>
  <c r="L41" i="9"/>
  <c r="AG54" i="9"/>
  <c r="AL56" i="9"/>
  <c r="D16" i="39"/>
  <c r="G15" i="38"/>
  <c r="C16" i="39"/>
  <c r="F15" i="38"/>
  <c r="I16" i="39"/>
  <c r="O15" i="38"/>
  <c r="AA47" i="10"/>
  <c r="AG46" i="10" s="1"/>
  <c r="AD34" i="11"/>
  <c r="AL34" i="11"/>
  <c r="S21" i="11"/>
  <c r="F18" i="43"/>
  <c r="AQ63" i="32"/>
  <c r="AL62" i="11"/>
  <c r="AD34" i="12"/>
  <c r="AL34" i="12"/>
  <c r="AG46" i="12"/>
  <c r="AF34" i="13"/>
  <c r="AF30" i="13"/>
  <c r="AN34" i="13"/>
  <c r="AN30" i="13"/>
  <c r="D19" i="39"/>
  <c r="G18" i="38"/>
  <c r="C19" i="39"/>
  <c r="F18" i="38"/>
  <c r="I19" i="39"/>
  <c r="O18" i="38"/>
  <c r="Q45" i="13"/>
  <c r="AB18" i="40" s="1"/>
  <c r="AA47" i="13"/>
  <c r="AG46" i="13" s="1"/>
  <c r="AG44" i="13"/>
  <c r="AH35" i="14"/>
  <c r="AP35" i="14"/>
  <c r="AG53" i="14"/>
  <c r="Y56" i="14"/>
  <c r="AG55" i="14" s="1"/>
  <c r="F20" i="40"/>
  <c r="G20" i="40"/>
  <c r="AB32" i="15"/>
  <c r="AJ30" i="15"/>
  <c r="R20" i="15"/>
  <c r="R21" i="15"/>
  <c r="R19" i="15" a="1"/>
  <c r="R19" i="15" s="1"/>
  <c r="AB20" i="38"/>
  <c r="P21" i="39"/>
  <c r="S20" i="16"/>
  <c r="E24" i="43"/>
  <c r="H22" i="40"/>
  <c r="Y55" i="17"/>
  <c r="AG52" i="17"/>
  <c r="R20" i="18"/>
  <c r="AH34" i="18"/>
  <c r="AE46" i="18"/>
  <c r="AE47" i="18" s="1"/>
  <c r="AC46" i="18"/>
  <c r="AA46" i="18"/>
  <c r="AJ48" i="18"/>
  <c r="AP34" i="21"/>
  <c r="AJ34" i="23"/>
  <c r="AP38" i="24"/>
  <c r="AJ34" i="24"/>
  <c r="AF34" i="25"/>
  <c r="AF30" i="25"/>
  <c r="AN34" i="25"/>
  <c r="AN30" i="25"/>
  <c r="H31" i="39"/>
  <c r="N30" i="38"/>
  <c r="AG46" i="26"/>
  <c r="D8" i="39"/>
  <c r="G7" i="38"/>
  <c r="Y39" i="38"/>
  <c r="AQ5" i="44" s="1"/>
  <c r="C39" i="38"/>
  <c r="U5" i="44" s="1"/>
  <c r="C46" i="38"/>
  <c r="AD39" i="38"/>
  <c r="AS5" i="44" s="1"/>
  <c r="R19" i="4" a="1"/>
  <c r="R19" i="4" s="1"/>
  <c r="B10" i="39"/>
  <c r="E9" i="38"/>
  <c r="AF30" i="4"/>
  <c r="AK38" i="4" s="1"/>
  <c r="AN30" i="4"/>
  <c r="AM38" i="4" s="1"/>
  <c r="AG44" i="4"/>
  <c r="AG52" i="4"/>
  <c r="AR53" i="4"/>
  <c r="G10" i="40"/>
  <c r="F10" i="40"/>
  <c r="R19" i="5" a="1"/>
  <c r="R19" i="5" s="1"/>
  <c r="B11" i="39"/>
  <c r="E10" i="38"/>
  <c r="H11" i="39"/>
  <c r="N10" i="38"/>
  <c r="AL34" i="5"/>
  <c r="AC46" i="5"/>
  <c r="AC47" i="5" s="1"/>
  <c r="AG46" i="5" s="1"/>
  <c r="P12" i="39"/>
  <c r="AB11" i="38"/>
  <c r="R20" i="6"/>
  <c r="O12" i="39"/>
  <c r="AA11" i="38"/>
  <c r="AL30" i="6"/>
  <c r="AJ48" i="6"/>
  <c r="P13" i="39"/>
  <c r="AB12" i="38"/>
  <c r="K13" i="38"/>
  <c r="K12" i="38"/>
  <c r="R20" i="7"/>
  <c r="O13" i="39"/>
  <c r="AA12" i="38"/>
  <c r="AG44" i="7"/>
  <c r="AG52" i="7"/>
  <c r="Y55" i="7"/>
  <c r="AG54" i="7" s="1"/>
  <c r="AJ55" i="7"/>
  <c r="G13" i="40"/>
  <c r="F13" i="40"/>
  <c r="D14" i="39"/>
  <c r="G13" i="38"/>
  <c r="J14" i="39"/>
  <c r="P13" i="38"/>
  <c r="O13" i="40"/>
  <c r="M15" i="43"/>
  <c r="O14" i="39"/>
  <c r="AA13" i="38"/>
  <c r="J41" i="8"/>
  <c r="W13" i="40" s="1"/>
  <c r="R20" i="9"/>
  <c r="AH34" i="9"/>
  <c r="AP34" i="9"/>
  <c r="AJ48" i="9"/>
  <c r="P16" i="39"/>
  <c r="AB15" i="38"/>
  <c r="R20" i="10"/>
  <c r="O16" i="39"/>
  <c r="AA15" i="38"/>
  <c r="AL30" i="10"/>
  <c r="AM38" i="10" s="1"/>
  <c r="AJ48" i="10"/>
  <c r="AB16" i="38"/>
  <c r="R20" i="11"/>
  <c r="P18" i="39"/>
  <c r="O17" i="39"/>
  <c r="AA16" i="38"/>
  <c r="AL30" i="11"/>
  <c r="AM38" i="11" s="1"/>
  <c r="AL41" i="11" s="1"/>
  <c r="J16" i="40" s="1"/>
  <c r="AJ48" i="11"/>
  <c r="AB17" i="38"/>
  <c r="R20" i="12"/>
  <c r="G18" i="39"/>
  <c r="F18" i="39"/>
  <c r="O18" i="39"/>
  <c r="AA17" i="38"/>
  <c r="AL30" i="12"/>
  <c r="AM38" i="12" s="1"/>
  <c r="AH34" i="12"/>
  <c r="AP34" i="12"/>
  <c r="AC54" i="12"/>
  <c r="AC55" i="12" s="1"/>
  <c r="AG54" i="12" s="1"/>
  <c r="P19" i="39"/>
  <c r="AB18" i="38"/>
  <c r="R20" i="13"/>
  <c r="O19" i="39"/>
  <c r="AA18" i="38"/>
  <c r="AL30" i="13"/>
  <c r="AM38" i="13" s="1"/>
  <c r="D20" i="43"/>
  <c r="E18" i="40"/>
  <c r="F20" i="43"/>
  <c r="AL62" i="13"/>
  <c r="V18" i="40"/>
  <c r="J41" i="13"/>
  <c r="W18" i="40" s="1"/>
  <c r="AC47" i="13"/>
  <c r="AJ49" i="13"/>
  <c r="R20" i="14"/>
  <c r="O20" i="39"/>
  <c r="AA19" i="38"/>
  <c r="AP31" i="14"/>
  <c r="AR39" i="14" s="1"/>
  <c r="AR40" i="14" s="1"/>
  <c r="Y48" i="14"/>
  <c r="AJ57" i="14"/>
  <c r="AD34" i="15"/>
  <c r="AL30" i="15"/>
  <c r="AM38" i="15" s="1"/>
  <c r="AL34" i="15"/>
  <c r="S21" i="15"/>
  <c r="S19" i="15" a="1"/>
  <c r="S19" i="15" s="1"/>
  <c r="N21" i="39"/>
  <c r="Z20" i="38"/>
  <c r="V20" i="40"/>
  <c r="J41" i="15"/>
  <c r="W20" i="40" s="1"/>
  <c r="AA47" i="15"/>
  <c r="G21" i="40"/>
  <c r="F21" i="40"/>
  <c r="R20" i="16"/>
  <c r="R21" i="16"/>
  <c r="R19" i="16" a="1"/>
  <c r="R19" i="16" s="1"/>
  <c r="AA21" i="40"/>
  <c r="Q45" i="16"/>
  <c r="AB21" i="40" s="1"/>
  <c r="AG54" i="16"/>
  <c r="B23" i="39"/>
  <c r="E22" i="38"/>
  <c r="H23" i="39"/>
  <c r="N22" i="38"/>
  <c r="AG46" i="17"/>
  <c r="AJ49" i="17"/>
  <c r="AJ56" i="17"/>
  <c r="AL55" i="17"/>
  <c r="S21" i="18"/>
  <c r="S19" i="18"/>
  <c r="S20" i="18"/>
  <c r="Y47" i="18"/>
  <c r="AG46" i="18" s="1"/>
  <c r="AJ30" i="19"/>
  <c r="R20" i="19"/>
  <c r="AL62" i="19"/>
  <c r="AL30" i="20"/>
  <c r="D27" i="43"/>
  <c r="E25" i="40"/>
  <c r="AQ62" i="20"/>
  <c r="AF34" i="21"/>
  <c r="AN34" i="21"/>
  <c r="AF30" i="22"/>
  <c r="AK38" i="22" s="1"/>
  <c r="AN30" i="22"/>
  <c r="AM38" i="22" s="1"/>
  <c r="R19" i="22"/>
  <c r="D29" i="43"/>
  <c r="E27" i="40"/>
  <c r="AQ62" i="22"/>
  <c r="AG46" i="22"/>
  <c r="AJ49" i="22"/>
  <c r="AJ56" i="22"/>
  <c r="S21" i="23"/>
  <c r="S19" i="23"/>
  <c r="S20" i="23"/>
  <c r="Y47" i="23"/>
  <c r="AE54" i="23"/>
  <c r="AE55" i="23" s="1"/>
  <c r="AC54" i="23"/>
  <c r="AC55" i="23" s="1"/>
  <c r="AA54" i="23"/>
  <c r="AN56" i="23"/>
  <c r="AL61" i="23" s="1"/>
  <c r="AH30" i="24"/>
  <c r="AK38" i="24" s="1"/>
  <c r="AH34" i="24"/>
  <c r="AP30" i="24"/>
  <c r="AR38" i="24" s="1"/>
  <c r="AR39" i="24" s="1"/>
  <c r="AP34" i="24"/>
  <c r="D31" i="43"/>
  <c r="E29" i="40"/>
  <c r="Z29" i="40"/>
  <c r="L41" i="24"/>
  <c r="AG54" i="24"/>
  <c r="AH34" i="25"/>
  <c r="AP34" i="25"/>
  <c r="AK38" i="26"/>
  <c r="P32" i="39"/>
  <c r="AB31" i="38"/>
  <c r="Q45" i="26"/>
  <c r="AB31" i="40" s="1"/>
  <c r="AA47" i="26"/>
  <c r="AG44" i="26"/>
  <c r="O33" i="39"/>
  <c r="AA32" i="38"/>
  <c r="AK38" i="28"/>
  <c r="D34" i="39"/>
  <c r="G33" i="38"/>
  <c r="J34" i="39"/>
  <c r="P33" i="38"/>
  <c r="M35" i="43"/>
  <c r="O33" i="40"/>
  <c r="AH34" i="29"/>
  <c r="AH30" i="29"/>
  <c r="AK38" i="29" s="1"/>
  <c r="AP34" i="29"/>
  <c r="AP30" i="29"/>
  <c r="AR38" i="29" s="1"/>
  <c r="AR39" i="29" s="1"/>
  <c r="AG44" i="30"/>
  <c r="AA47" i="30"/>
  <c r="AG46" i="30" s="1"/>
  <c r="Y47" i="31"/>
  <c r="AG44" i="31"/>
  <c r="J39" i="38"/>
  <c r="AB5" i="44" s="1"/>
  <c r="H6" i="45" s="1"/>
  <c r="J8" i="39"/>
  <c r="P7" i="38"/>
  <c r="S39" i="38"/>
  <c r="AK5" i="44" s="1"/>
  <c r="D6" i="45" s="1"/>
  <c r="M9" i="43"/>
  <c r="O7" i="40"/>
  <c r="N8" i="39"/>
  <c r="Z7" i="38"/>
  <c r="U39" i="38"/>
  <c r="AM5" i="44" s="1"/>
  <c r="C43" i="43"/>
  <c r="C42" i="43"/>
  <c r="P40" i="40"/>
  <c r="AG40" i="40"/>
  <c r="P5" i="44" s="1"/>
  <c r="P6" i="44" s="1"/>
  <c r="AE40" i="40"/>
  <c r="P9" i="39"/>
  <c r="AB8" i="38"/>
  <c r="O9" i="39"/>
  <c r="AA8" i="38"/>
  <c r="Y47" i="3"/>
  <c r="AG46" i="3" s="1"/>
  <c r="G9" i="40"/>
  <c r="F9" i="40"/>
  <c r="H10" i="39"/>
  <c r="N9" i="38"/>
  <c r="H39" i="38"/>
  <c r="Z5" i="44" s="1"/>
  <c r="I6" i="45" s="1"/>
  <c r="Q39" i="38"/>
  <c r="AI5" i="44" s="1"/>
  <c r="E6" i="45" s="1"/>
  <c r="C8" i="39"/>
  <c r="F7" i="38"/>
  <c r="I8" i="39"/>
  <c r="O7" i="38"/>
  <c r="X39" i="38"/>
  <c r="AP5" i="44" s="1"/>
  <c r="N39" i="40"/>
  <c r="L41" i="2"/>
  <c r="AF40" i="40"/>
  <c r="N5" i="44" s="1"/>
  <c r="N6" i="44" s="1"/>
  <c r="G8" i="40"/>
  <c r="F8" i="40"/>
  <c r="B9" i="39"/>
  <c r="E8" i="38"/>
  <c r="N8" i="38"/>
  <c r="H9" i="39"/>
  <c r="AB32" i="3"/>
  <c r="Z9" i="38"/>
  <c r="AL49" i="19"/>
  <c r="AQ61" i="19" s="1"/>
  <c r="AQ63" i="19" s="1"/>
  <c r="AJ55" i="4"/>
  <c r="N11" i="39"/>
  <c r="Z10" i="38"/>
  <c r="C11" i="39"/>
  <c r="F10" i="38"/>
  <c r="I11" i="39"/>
  <c r="O10" i="38"/>
  <c r="AE46" i="5"/>
  <c r="AE47" i="5" s="1"/>
  <c r="AL62" i="5"/>
  <c r="G11" i="40"/>
  <c r="F11" i="40"/>
  <c r="B12" i="39"/>
  <c r="E11" i="38"/>
  <c r="H12" i="39"/>
  <c r="N11" i="38"/>
  <c r="AB32" i="6"/>
  <c r="AG44" i="6"/>
  <c r="AG52" i="6"/>
  <c r="G12" i="40"/>
  <c r="F12" i="40"/>
  <c r="B13" i="39"/>
  <c r="E12" i="38"/>
  <c r="H13" i="39"/>
  <c r="N12" i="38"/>
  <c r="L41" i="8"/>
  <c r="AG52" i="8"/>
  <c r="B15" i="39"/>
  <c r="E14" i="38"/>
  <c r="H15" i="39"/>
  <c r="N14" i="38"/>
  <c r="G43" i="43"/>
  <c r="G41" i="43"/>
  <c r="G42" i="43"/>
  <c r="AG44" i="9"/>
  <c r="AG52" i="9"/>
  <c r="G15" i="40"/>
  <c r="F15" i="40"/>
  <c r="B16" i="39"/>
  <c r="E15" i="38"/>
  <c r="H16" i="39"/>
  <c r="N15" i="38"/>
  <c r="AB32" i="10"/>
  <c r="AG44" i="10"/>
  <c r="AG52" i="10"/>
  <c r="F16" i="40"/>
  <c r="G16" i="40"/>
  <c r="B17" i="39"/>
  <c r="E16" i="38"/>
  <c r="N16" i="38"/>
  <c r="AB32" i="11"/>
  <c r="AG44" i="11"/>
  <c r="AA46" i="11"/>
  <c r="AA47" i="11" s="1"/>
  <c r="AG46" i="11" s="1"/>
  <c r="AR46" i="30"/>
  <c r="AR46" i="29"/>
  <c r="AR46" i="28"/>
  <c r="AR46" i="27"/>
  <c r="AR46" i="26"/>
  <c r="AR46" i="23"/>
  <c r="AG52" i="11"/>
  <c r="G17" i="40"/>
  <c r="F17" i="40"/>
  <c r="B18" i="39"/>
  <c r="E17" i="38"/>
  <c r="H18" i="39"/>
  <c r="N17" i="38"/>
  <c r="AB32" i="12"/>
  <c r="AG44" i="12"/>
  <c r="AG52" i="12"/>
  <c r="AR53" i="12"/>
  <c r="F18" i="40"/>
  <c r="G18" i="40"/>
  <c r="B19" i="39"/>
  <c r="E18" i="38"/>
  <c r="H19" i="39"/>
  <c r="N18" i="38"/>
  <c r="AB32" i="13"/>
  <c r="AA55" i="13"/>
  <c r="AC54" i="13"/>
  <c r="AC55" i="13" s="1"/>
  <c r="AQ62" i="13"/>
  <c r="G19" i="40"/>
  <c r="F19" i="40"/>
  <c r="AJ31" i="14"/>
  <c r="H20" i="39"/>
  <c r="N19" i="38"/>
  <c r="AH31" i="14"/>
  <c r="AA47" i="14"/>
  <c r="AC56" i="14"/>
  <c r="AL56" i="14"/>
  <c r="AL57" i="14" s="1"/>
  <c r="AF34" i="15"/>
  <c r="AN34" i="15"/>
  <c r="D21" i="39"/>
  <c r="G20" i="38"/>
  <c r="J21" i="39"/>
  <c r="P20" i="38"/>
  <c r="M22" i="43"/>
  <c r="O20" i="40"/>
  <c r="AJ49" i="15"/>
  <c r="AD34" i="16"/>
  <c r="AL30" i="16"/>
  <c r="AM38" i="16" s="1"/>
  <c r="S21" i="16"/>
  <c r="V21" i="40"/>
  <c r="J41" i="16"/>
  <c r="W21" i="40" s="1"/>
  <c r="AA55" i="16"/>
  <c r="AH34" i="17"/>
  <c r="AP34" i="17"/>
  <c r="AF34" i="17"/>
  <c r="AN34" i="17"/>
  <c r="AF34" i="18"/>
  <c r="AN34" i="18"/>
  <c r="AL30" i="18"/>
  <c r="AM38" i="18" s="1"/>
  <c r="AA47" i="18"/>
  <c r="AJ56" i="18"/>
  <c r="AN55" i="18"/>
  <c r="AN56" i="18" s="1"/>
  <c r="AL30" i="19"/>
  <c r="AM38" i="19" s="1"/>
  <c r="N25" i="39"/>
  <c r="Z24" i="38"/>
  <c r="AF30" i="20"/>
  <c r="AK38" i="20" s="1"/>
  <c r="AF34" i="20"/>
  <c r="AN30" i="20"/>
  <c r="AN34" i="20"/>
  <c r="AC47" i="20"/>
  <c r="AG46" i="20" s="1"/>
  <c r="AH30" i="21"/>
  <c r="AP30" i="21"/>
  <c r="AR38" i="21" s="1"/>
  <c r="AR39" i="21" s="1"/>
  <c r="P27" i="39"/>
  <c r="AB26" i="38"/>
  <c r="F28" i="43"/>
  <c r="AL62" i="21"/>
  <c r="AH34" i="22"/>
  <c r="AP34" i="22"/>
  <c r="AF34" i="23"/>
  <c r="AN34" i="23"/>
  <c r="AL30" i="23"/>
  <c r="Y55" i="23"/>
  <c r="R21" i="24"/>
  <c r="S21" i="25"/>
  <c r="S19" i="25"/>
  <c r="AJ30" i="25"/>
  <c r="R20" i="25"/>
  <c r="AC55" i="25"/>
  <c r="AD34" i="26"/>
  <c r="AL34" i="26"/>
  <c r="AL30" i="26"/>
  <c r="S21" i="26"/>
  <c r="S19" i="26"/>
  <c r="R20" i="26"/>
  <c r="R19" i="26"/>
  <c r="R21" i="26"/>
  <c r="F32" i="40"/>
  <c r="AB32" i="27"/>
  <c r="AP38" i="27"/>
  <c r="R21" i="27"/>
  <c r="R19" i="27"/>
  <c r="D33" i="39"/>
  <c r="G32" i="38"/>
  <c r="P32" i="38"/>
  <c r="J33" i="39"/>
  <c r="M34" i="43"/>
  <c r="O32" i="40"/>
  <c r="R20" i="27"/>
  <c r="F34" i="43"/>
  <c r="AL62" i="27"/>
  <c r="Z32" i="40"/>
  <c r="L41" i="27"/>
  <c r="AN55" i="29"/>
  <c r="AN56" i="29" s="1"/>
  <c r="AN55" i="30"/>
  <c r="AN56" i="30" s="1"/>
  <c r="N13" i="38"/>
  <c r="P17" i="39"/>
  <c r="O9" i="38"/>
  <c r="I10" i="39"/>
  <c r="AR53" i="19"/>
  <c r="AR53" i="18"/>
  <c r="AJ56" i="4"/>
  <c r="O11" i="39"/>
  <c r="AA10" i="38"/>
  <c r="D12" i="43"/>
  <c r="E10" i="40"/>
  <c r="AQ62" i="5"/>
  <c r="N12" i="39"/>
  <c r="Z11" i="38"/>
  <c r="N13" i="39"/>
  <c r="Z12" i="38"/>
  <c r="L13" i="38"/>
  <c r="L12" i="38"/>
  <c r="L39" i="38" s="1"/>
  <c r="AD5" i="44" s="1"/>
  <c r="B14" i="39"/>
  <c r="E13" i="38"/>
  <c r="F14" i="40"/>
  <c r="G14" i="40"/>
  <c r="R19" i="9" a="1"/>
  <c r="R19" i="9" s="1"/>
  <c r="N15" i="39"/>
  <c r="Z14" i="38"/>
  <c r="N16" i="39"/>
  <c r="Z15" i="38"/>
  <c r="N17" i="39"/>
  <c r="Z16" i="38"/>
  <c r="AL48" i="32"/>
  <c r="AL48" i="31"/>
  <c r="AR53" i="27"/>
  <c r="AR53" i="26"/>
  <c r="AR53" i="30"/>
  <c r="AR53" i="29"/>
  <c r="AR53" i="23"/>
  <c r="AR53" i="28"/>
  <c r="Z17" i="38"/>
  <c r="N18" i="39"/>
  <c r="AJ55" i="12"/>
  <c r="AN55" i="12" s="1"/>
  <c r="AN56" i="12" s="1"/>
  <c r="N19" i="39"/>
  <c r="Z18" i="38"/>
  <c r="AP30" i="13"/>
  <c r="AR38" i="13" s="1"/>
  <c r="AR39" i="13" s="1"/>
  <c r="R19" i="14" a="1"/>
  <c r="R19" i="14" s="1"/>
  <c r="N20" i="39"/>
  <c r="Z19" i="38"/>
  <c r="D21" i="43"/>
  <c r="E19" i="40"/>
  <c r="F21" i="43"/>
  <c r="AL63" i="14"/>
  <c r="AC47" i="14"/>
  <c r="AC48" i="14" s="1"/>
  <c r="AJ49" i="14"/>
  <c r="AJ50" i="14" s="1"/>
  <c r="AH34" i="15"/>
  <c r="AH30" i="15"/>
  <c r="AK38" i="15" s="1"/>
  <c r="AP34" i="15"/>
  <c r="AP30" i="15"/>
  <c r="AR38" i="15" s="1"/>
  <c r="AR39" i="15" s="1"/>
  <c r="O21" i="39"/>
  <c r="AA20" i="38"/>
  <c r="AA20" i="40"/>
  <c r="AA40" i="40" s="1"/>
  <c r="K5" i="44" s="1"/>
  <c r="K6" i="44" s="1"/>
  <c r="Q45" i="15"/>
  <c r="AB20" i="40" s="1"/>
  <c r="AG54" i="15"/>
  <c r="AF34" i="16"/>
  <c r="AN34" i="16"/>
  <c r="B22" i="39"/>
  <c r="E21" i="38"/>
  <c r="H22" i="39"/>
  <c r="N21" i="38"/>
  <c r="AG46" i="16"/>
  <c r="F22" i="40"/>
  <c r="G22" i="40"/>
  <c r="AP38" i="17"/>
  <c r="AJ34" i="17"/>
  <c r="R20" i="17"/>
  <c r="R21" i="17"/>
  <c r="R19" i="17" a="1"/>
  <c r="R19" i="17" s="1"/>
  <c r="AH30" i="18"/>
  <c r="AP30" i="18"/>
  <c r="AR38" i="18" s="1"/>
  <c r="AR39" i="18" s="1"/>
  <c r="P24" i="39"/>
  <c r="AB23" i="38"/>
  <c r="F25" i="43"/>
  <c r="AL62" i="18"/>
  <c r="AC47" i="18"/>
  <c r="AG54" i="18"/>
  <c r="S21" i="20"/>
  <c r="S19" i="20"/>
  <c r="D26" i="43"/>
  <c r="E24" i="40"/>
  <c r="AQ62" i="19"/>
  <c r="AG46" i="19"/>
  <c r="AN56" i="19"/>
  <c r="AH34" i="20"/>
  <c r="AP34" i="20"/>
  <c r="S20" i="20"/>
  <c r="F27" i="43"/>
  <c r="AL62" i="20"/>
  <c r="Y55" i="20"/>
  <c r="AG52" i="20"/>
  <c r="AJ30" i="21"/>
  <c r="R21" i="21"/>
  <c r="O27" i="39"/>
  <c r="AA26" i="38"/>
  <c r="S20" i="22"/>
  <c r="S21" i="22"/>
  <c r="S19" i="22"/>
  <c r="D28" i="43"/>
  <c r="E26" i="40"/>
  <c r="AE46" i="21"/>
  <c r="AE47" i="21" s="1"/>
  <c r="AC46" i="21"/>
  <c r="AC47" i="21" s="1"/>
  <c r="AA46" i="21"/>
  <c r="AA47" i="21" s="1"/>
  <c r="AQ62" i="21"/>
  <c r="AJ30" i="22"/>
  <c r="F29" i="43"/>
  <c r="AL62" i="22"/>
  <c r="AH30" i="23"/>
  <c r="AP30" i="23"/>
  <c r="AR38" i="23" s="1"/>
  <c r="AR39" i="23" s="1"/>
  <c r="AB28" i="38"/>
  <c r="P29" i="39"/>
  <c r="F30" i="43"/>
  <c r="AL62" i="23"/>
  <c r="AA55" i="23"/>
  <c r="AD34" i="24"/>
  <c r="AL34" i="24"/>
  <c r="AG46" i="24"/>
  <c r="AL62" i="24"/>
  <c r="AD34" i="25"/>
  <c r="AL30" i="25"/>
  <c r="AM38" i="25" s="1"/>
  <c r="AG44" i="25"/>
  <c r="AA47" i="25"/>
  <c r="AG46" i="25" s="1"/>
  <c r="AP34" i="26"/>
  <c r="AP30" i="26"/>
  <c r="AR38" i="26" s="1"/>
  <c r="AR39" i="26" s="1"/>
  <c r="AL61" i="26"/>
  <c r="AJ56" i="29"/>
  <c r="R21" i="30"/>
  <c r="R19" i="30"/>
  <c r="AJ56" i="30"/>
  <c r="AL30" i="31"/>
  <c r="AM38" i="31" s="1"/>
  <c r="AL34" i="31"/>
  <c r="S21" i="31"/>
  <c r="S19" i="31"/>
  <c r="S20" i="31"/>
  <c r="S37" i="39"/>
  <c r="S38" i="39"/>
  <c r="U64" i="34"/>
  <c r="U69" i="34" s="1"/>
  <c r="U74" i="34" s="1"/>
  <c r="U79" i="34" s="1"/>
  <c r="U84" i="34" s="1"/>
  <c r="U89" i="34" s="1"/>
  <c r="U94" i="34" s="1"/>
  <c r="U99" i="34" s="1"/>
  <c r="U104" i="34" s="1"/>
  <c r="U109" i="34" s="1"/>
  <c r="U114" i="34" s="1"/>
  <c r="U119" i="34" s="1"/>
  <c r="U124" i="34" s="1"/>
  <c r="U129" i="34" s="1"/>
  <c r="U134" i="34" s="1"/>
  <c r="U139" i="34" s="1"/>
  <c r="U144" i="34" s="1"/>
  <c r="U149" i="34" s="1"/>
  <c r="U154" i="34" s="1"/>
  <c r="R6" i="46"/>
  <c r="AC46" i="15"/>
  <c r="AC47" i="15" s="1"/>
  <c r="AJ55" i="15"/>
  <c r="D22" i="39"/>
  <c r="G21" i="38"/>
  <c r="J22" i="39"/>
  <c r="P21" i="38"/>
  <c r="O21" i="40"/>
  <c r="M23" i="43"/>
  <c r="G22" i="39"/>
  <c r="E22" i="39"/>
  <c r="Z21" i="38"/>
  <c r="N22" i="39"/>
  <c r="AH30" i="16"/>
  <c r="AP30" i="16"/>
  <c r="AR38" i="16" s="1"/>
  <c r="AR39" i="16" s="1"/>
  <c r="AL34" i="16"/>
  <c r="AC46" i="16"/>
  <c r="AC47" i="16" s="1"/>
  <c r="AJ55" i="16"/>
  <c r="AJ56" i="16" s="1"/>
  <c r="G22" i="38"/>
  <c r="P22" i="38"/>
  <c r="M24" i="43"/>
  <c r="O22" i="40"/>
  <c r="N23" i="39"/>
  <c r="Z22" i="38"/>
  <c r="AH30" i="17"/>
  <c r="AK38" i="17" s="1"/>
  <c r="AP30" i="17"/>
  <c r="AR38" i="17" s="1"/>
  <c r="AR39" i="17" s="1"/>
  <c r="J41" i="17"/>
  <c r="W22" i="40" s="1"/>
  <c r="AC54" i="17"/>
  <c r="AC55" i="17" s="1"/>
  <c r="AL62" i="17"/>
  <c r="B24" i="39"/>
  <c r="E23" i="38"/>
  <c r="H24" i="39"/>
  <c r="N23" i="38"/>
  <c r="AF30" i="18"/>
  <c r="AN30" i="18"/>
  <c r="AG44" i="18"/>
  <c r="AG52" i="18"/>
  <c r="F24" i="40"/>
  <c r="G24" i="40"/>
  <c r="D25" i="39"/>
  <c r="G24" i="38"/>
  <c r="P24" i="38"/>
  <c r="J25" i="39"/>
  <c r="M26" i="43"/>
  <c r="O24" i="40"/>
  <c r="C25" i="39"/>
  <c r="F24" i="38"/>
  <c r="I25" i="39"/>
  <c r="O24" i="38"/>
  <c r="AF34" i="19"/>
  <c r="AN34" i="19"/>
  <c r="J41" i="19"/>
  <c r="W24" i="40" s="1"/>
  <c r="AC54" i="19"/>
  <c r="AC55" i="19" s="1"/>
  <c r="AG54" i="19" s="1"/>
  <c r="R19" i="20"/>
  <c r="R21" i="20"/>
  <c r="J41" i="20"/>
  <c r="W25" i="40" s="1"/>
  <c r="AC54" i="20"/>
  <c r="AC55" i="20" s="1"/>
  <c r="B27" i="39"/>
  <c r="E26" i="38"/>
  <c r="AF30" i="21"/>
  <c r="AK38" i="21" s="1"/>
  <c r="AN30" i="21"/>
  <c r="AG44" i="21"/>
  <c r="AG52" i="21"/>
  <c r="Y55" i="21"/>
  <c r="AG54" i="21" s="1"/>
  <c r="AJ55" i="21"/>
  <c r="G27" i="40"/>
  <c r="F27" i="40"/>
  <c r="D28" i="39"/>
  <c r="G27" i="38"/>
  <c r="J28" i="39"/>
  <c r="P27" i="38"/>
  <c r="M29" i="43"/>
  <c r="O27" i="40"/>
  <c r="C28" i="39"/>
  <c r="F27" i="38"/>
  <c r="I28" i="39"/>
  <c r="O27" i="38"/>
  <c r="AF34" i="22"/>
  <c r="AN34" i="22"/>
  <c r="J41" i="22"/>
  <c r="W27" i="40" s="1"/>
  <c r="AC54" i="22"/>
  <c r="AC55" i="22" s="1"/>
  <c r="H29" i="39"/>
  <c r="N28" i="38"/>
  <c r="AF30" i="23"/>
  <c r="AK38" i="23" s="1"/>
  <c r="AN30" i="23"/>
  <c r="G29" i="40"/>
  <c r="F29" i="40"/>
  <c r="D30" i="39"/>
  <c r="G29" i="38"/>
  <c r="J30" i="39"/>
  <c r="P29" i="38"/>
  <c r="M31" i="43"/>
  <c r="O29" i="40"/>
  <c r="R20" i="24"/>
  <c r="O30" i="39"/>
  <c r="AA29" i="38"/>
  <c r="AL30" i="24"/>
  <c r="AM38" i="24" s="1"/>
  <c r="R19" i="25"/>
  <c r="Z30" i="38"/>
  <c r="N31" i="39"/>
  <c r="R21" i="25"/>
  <c r="AH30" i="25"/>
  <c r="AP30" i="25"/>
  <c r="AR38" i="25" s="1"/>
  <c r="AR39" i="25" s="1"/>
  <c r="AF34" i="26"/>
  <c r="AN34" i="26"/>
  <c r="Z31" i="38"/>
  <c r="N32" i="39"/>
  <c r="D33" i="43"/>
  <c r="E31" i="40"/>
  <c r="F33" i="43"/>
  <c r="AL62" i="26"/>
  <c r="V31" i="40"/>
  <c r="J41" i="26"/>
  <c r="W31" i="40" s="1"/>
  <c r="AQ62" i="26"/>
  <c r="AD34" i="27"/>
  <c r="AL34" i="27"/>
  <c r="AB32" i="38"/>
  <c r="P33" i="39"/>
  <c r="B33" i="39"/>
  <c r="E32" i="38"/>
  <c r="H33" i="39"/>
  <c r="N32" i="38"/>
  <c r="S20" i="27"/>
  <c r="Y47" i="27"/>
  <c r="AG46" i="27" s="1"/>
  <c r="AE54" i="27"/>
  <c r="AE55" i="27" s="1"/>
  <c r="AC54" i="27"/>
  <c r="AC55" i="27" s="1"/>
  <c r="AA54" i="27"/>
  <c r="AA55" i="27" s="1"/>
  <c r="AH30" i="28"/>
  <c r="AH34" i="28"/>
  <c r="AP30" i="28"/>
  <c r="AR38" i="28" s="1"/>
  <c r="AR39" i="28" s="1"/>
  <c r="AP34" i="28"/>
  <c r="F33" i="38"/>
  <c r="C34" i="39"/>
  <c r="I34" i="39"/>
  <c r="O33" i="38"/>
  <c r="F35" i="43"/>
  <c r="AL62" i="28"/>
  <c r="AJ49" i="28"/>
  <c r="AJ30" i="29"/>
  <c r="R20" i="29"/>
  <c r="F36" i="43"/>
  <c r="AL62" i="29"/>
  <c r="AC47" i="29"/>
  <c r="AG46" i="29" s="1"/>
  <c r="AG54" i="29"/>
  <c r="AL56" i="29"/>
  <c r="AF30" i="30"/>
  <c r="AK38" i="30" s="1"/>
  <c r="AF34" i="30"/>
  <c r="AN30" i="30"/>
  <c r="AM38" i="30" s="1"/>
  <c r="AN34" i="30"/>
  <c r="N36" i="39"/>
  <c r="Z35" i="38"/>
  <c r="F37" i="43"/>
  <c r="AL62" i="30"/>
  <c r="AC47" i="30"/>
  <c r="AL56" i="30"/>
  <c r="AF34" i="31"/>
  <c r="AN34" i="31"/>
  <c r="R37" i="39"/>
  <c r="R38" i="39"/>
  <c r="V36" i="40"/>
  <c r="J41" i="31"/>
  <c r="W36" i="40" s="1"/>
  <c r="AA47" i="31"/>
  <c r="AD34" i="32"/>
  <c r="AL30" i="32"/>
  <c r="AM38" i="32" s="1"/>
  <c r="AL34" i="32"/>
  <c r="S21" i="32"/>
  <c r="S19" i="32"/>
  <c r="Q45" i="32"/>
  <c r="AB37" i="40" s="1"/>
  <c r="G38" i="36"/>
  <c r="E27" i="38"/>
  <c r="C20" i="39"/>
  <c r="F19" i="38"/>
  <c r="I20" i="39"/>
  <c r="O19" i="38"/>
  <c r="C21" i="39"/>
  <c r="F20" i="38"/>
  <c r="AE46" i="15"/>
  <c r="AE47" i="15" s="1"/>
  <c r="AL62" i="15"/>
  <c r="S19" i="16" a="1"/>
  <c r="S19" i="16" s="1"/>
  <c r="F21" i="38"/>
  <c r="C22" i="39"/>
  <c r="I22" i="39"/>
  <c r="O21" i="38"/>
  <c r="AE46" i="16"/>
  <c r="AE47" i="16" s="1"/>
  <c r="AL62" i="16"/>
  <c r="S19" i="17" a="1"/>
  <c r="S19" i="17" s="1"/>
  <c r="C23" i="39"/>
  <c r="F22" i="38"/>
  <c r="I23" i="39"/>
  <c r="O22" i="38"/>
  <c r="L41" i="17"/>
  <c r="AE54" i="17"/>
  <c r="AE55" i="17" s="1"/>
  <c r="R19" i="18"/>
  <c r="Z23" i="38"/>
  <c r="AB24" i="38"/>
  <c r="P25" i="39"/>
  <c r="O25" i="39"/>
  <c r="AA24" i="38"/>
  <c r="L41" i="19"/>
  <c r="AG52" i="19"/>
  <c r="AE54" i="19"/>
  <c r="AE55" i="19" s="1"/>
  <c r="G25" i="40"/>
  <c r="F25" i="40"/>
  <c r="G25" i="38"/>
  <c r="P25" i="38"/>
  <c r="M27" i="43"/>
  <c r="O25" i="40"/>
  <c r="F25" i="38"/>
  <c r="O25" i="38"/>
  <c r="L41" i="20"/>
  <c r="AE54" i="20"/>
  <c r="AE55" i="20" s="1"/>
  <c r="R19" i="21"/>
  <c r="N27" i="39"/>
  <c r="Z26" i="38"/>
  <c r="P28" i="39"/>
  <c r="AB27" i="38"/>
  <c r="L41" i="22"/>
  <c r="AE54" i="22"/>
  <c r="AE55" i="22" s="1"/>
  <c r="R19" i="23"/>
  <c r="N29" i="39"/>
  <c r="Z28" i="38"/>
  <c r="P30" i="39"/>
  <c r="AB29" i="38"/>
  <c r="AB32" i="24"/>
  <c r="AG44" i="24"/>
  <c r="AG52" i="24"/>
  <c r="F30" i="40"/>
  <c r="G30" i="40"/>
  <c r="P30" i="38"/>
  <c r="J31" i="39"/>
  <c r="M32" i="43"/>
  <c r="O30" i="40"/>
  <c r="C31" i="39"/>
  <c r="F30" i="38"/>
  <c r="O30" i="38"/>
  <c r="I31" i="39"/>
  <c r="AN30" i="26"/>
  <c r="AA54" i="26"/>
  <c r="AA55" i="26" s="1"/>
  <c r="AG54" i="26" s="1"/>
  <c r="Y55" i="27"/>
  <c r="AG44" i="28"/>
  <c r="AN55" i="28"/>
  <c r="AL55" i="28"/>
  <c r="AL56" i="28" s="1"/>
  <c r="AL30" i="29"/>
  <c r="AM38" i="29" s="1"/>
  <c r="N35" i="39"/>
  <c r="Z34" i="38"/>
  <c r="D37" i="43"/>
  <c r="E35" i="40"/>
  <c r="AQ62" i="30"/>
  <c r="AH34" i="31"/>
  <c r="AP34" i="31"/>
  <c r="B37" i="39"/>
  <c r="B38" i="39"/>
  <c r="E36" i="38"/>
  <c r="H38" i="39"/>
  <c r="H37" i="39"/>
  <c r="N36" i="38"/>
  <c r="AF34" i="32"/>
  <c r="AN34" i="32"/>
  <c r="V37" i="40"/>
  <c r="J41" i="32"/>
  <c r="W37" i="40" s="1"/>
  <c r="AN49" i="32"/>
  <c r="AL49" i="32"/>
  <c r="C160" i="34"/>
  <c r="H160" i="34"/>
  <c r="E38" i="36"/>
  <c r="E36" i="36"/>
  <c r="AA27" i="38"/>
  <c r="N34" i="38"/>
  <c r="D22" i="43"/>
  <c r="E20" i="40"/>
  <c r="AQ62" i="15"/>
  <c r="O22" i="39"/>
  <c r="AA21" i="38"/>
  <c r="D23" i="43"/>
  <c r="E21" i="40"/>
  <c r="AQ62" i="16"/>
  <c r="AQ63" i="16" s="1"/>
  <c r="O23" i="39"/>
  <c r="AA22" i="38"/>
  <c r="D24" i="43"/>
  <c r="E22" i="40"/>
  <c r="G23" i="40"/>
  <c r="F23" i="40"/>
  <c r="D24" i="39"/>
  <c r="G23" i="38"/>
  <c r="J24" i="39"/>
  <c r="P23" i="38"/>
  <c r="M25" i="43"/>
  <c r="O23" i="40"/>
  <c r="F23" i="38"/>
  <c r="C24" i="39"/>
  <c r="I24" i="39"/>
  <c r="O23" i="38"/>
  <c r="B25" i="39"/>
  <c r="E24" i="38"/>
  <c r="H25" i="39"/>
  <c r="N24" i="38"/>
  <c r="AB32" i="19"/>
  <c r="AB25" i="38"/>
  <c r="AA25" i="38"/>
  <c r="F26" i="40"/>
  <c r="G26" i="40"/>
  <c r="D27" i="39"/>
  <c r="G26" i="38"/>
  <c r="J27" i="39"/>
  <c r="P26" i="38"/>
  <c r="M28" i="43"/>
  <c r="O26" i="40"/>
  <c r="C27" i="39"/>
  <c r="F26" i="38"/>
  <c r="I27" i="39"/>
  <c r="O26" i="38"/>
  <c r="H28" i="39"/>
  <c r="N27" i="38"/>
  <c r="AB32" i="22"/>
  <c r="F28" i="40"/>
  <c r="G28" i="40"/>
  <c r="D29" i="39"/>
  <c r="G28" i="38"/>
  <c r="P28" i="38"/>
  <c r="J29" i="39"/>
  <c r="M30" i="43"/>
  <c r="O28" i="40"/>
  <c r="C29" i="39"/>
  <c r="F28" i="38"/>
  <c r="I29" i="39"/>
  <c r="O28" i="38"/>
  <c r="E29" i="38"/>
  <c r="B30" i="39"/>
  <c r="N29" i="38"/>
  <c r="H30" i="39"/>
  <c r="Z29" i="38"/>
  <c r="N30" i="39"/>
  <c r="AB30" i="38"/>
  <c r="P31" i="39"/>
  <c r="O31" i="39"/>
  <c r="AA30" i="38"/>
  <c r="D32" i="43"/>
  <c r="E30" i="40"/>
  <c r="AN49" i="25"/>
  <c r="Y55" i="25"/>
  <c r="AG54" i="25" s="1"/>
  <c r="AG52" i="25"/>
  <c r="AL62" i="25"/>
  <c r="AJ30" i="26"/>
  <c r="O32" i="39"/>
  <c r="AA31" i="38"/>
  <c r="AH30" i="27"/>
  <c r="AP30" i="27"/>
  <c r="AR38" i="27" s="1"/>
  <c r="AR39" i="27" s="1"/>
  <c r="AF30" i="27"/>
  <c r="AK38" i="27" s="1"/>
  <c r="AN30" i="27"/>
  <c r="AM38" i="27" s="1"/>
  <c r="G32" i="40"/>
  <c r="S9" i="27"/>
  <c r="C33" i="39"/>
  <c r="F32" i="38"/>
  <c r="I33" i="39"/>
  <c r="O32" i="38"/>
  <c r="AF34" i="27"/>
  <c r="AN55" i="27"/>
  <c r="AN56" i="27" s="1"/>
  <c r="AL55" i="27"/>
  <c r="AL56" i="27" s="1"/>
  <c r="AL61" i="27" s="1"/>
  <c r="AL63" i="27" s="1"/>
  <c r="AD34" i="28"/>
  <c r="AL34" i="28"/>
  <c r="S20" i="29"/>
  <c r="S21" i="29"/>
  <c r="S19" i="29"/>
  <c r="Z33" i="40"/>
  <c r="L41" i="28"/>
  <c r="AN56" i="28"/>
  <c r="AL61" i="28"/>
  <c r="AL63" i="28" s="1"/>
  <c r="S20" i="30"/>
  <c r="S21" i="30"/>
  <c r="S19" i="30"/>
  <c r="D36" i="43"/>
  <c r="E34" i="40"/>
  <c r="AQ62" i="29"/>
  <c r="R20" i="30"/>
  <c r="AJ30" i="30"/>
  <c r="AC55" i="30"/>
  <c r="AG54" i="30" s="1"/>
  <c r="AJ30" i="31"/>
  <c r="R20" i="31"/>
  <c r="AH30" i="31"/>
  <c r="AP30" i="31"/>
  <c r="AR38" i="31" s="1"/>
  <c r="AR39" i="31" s="1"/>
  <c r="AE54" i="31"/>
  <c r="AE55" i="31" s="1"/>
  <c r="AG54" i="31" s="1"/>
  <c r="AC54" i="31"/>
  <c r="AC55" i="31" s="1"/>
  <c r="AJ56" i="31"/>
  <c r="AA54" i="31"/>
  <c r="AA55" i="31" s="1"/>
  <c r="AH34" i="32"/>
  <c r="AP34" i="32"/>
  <c r="AC47" i="32"/>
  <c r="AG46" i="32" s="1"/>
  <c r="AG54" i="32"/>
  <c r="D160" i="34"/>
  <c r="U158" i="34" s="1"/>
  <c r="E55" i="43"/>
  <c r="R43" i="34"/>
  <c r="R44" i="34" s="1"/>
  <c r="R49" i="34" s="1"/>
  <c r="R54" i="34" s="1"/>
  <c r="R59" i="34" s="1"/>
  <c r="R64" i="34" s="1"/>
  <c r="R69" i="34" s="1"/>
  <c r="R74" i="34" s="1"/>
  <c r="R79" i="34" s="1"/>
  <c r="R84" i="34" s="1"/>
  <c r="R89" i="34" s="1"/>
  <c r="R94" i="34" s="1"/>
  <c r="R99" i="34" s="1"/>
  <c r="R104" i="34" s="1"/>
  <c r="R109" i="34" s="1"/>
  <c r="R114" i="34" s="1"/>
  <c r="R119" i="34" s="1"/>
  <c r="R124" i="34" s="1"/>
  <c r="R129" i="34" s="1"/>
  <c r="R134" i="34" s="1"/>
  <c r="R139" i="34" s="1"/>
  <c r="R144" i="34" s="1"/>
  <c r="R149" i="34" s="1"/>
  <c r="R154" i="34" s="1"/>
  <c r="N13" i="46"/>
  <c r="E37" i="36"/>
  <c r="O20" i="38"/>
  <c r="D23" i="39"/>
  <c r="G33" i="40"/>
  <c r="F33" i="40"/>
  <c r="R20" i="28"/>
  <c r="O34" i="39"/>
  <c r="AA33" i="38"/>
  <c r="AL30" i="28"/>
  <c r="AM38" i="28" s="1"/>
  <c r="D35" i="43"/>
  <c r="E33" i="40"/>
  <c r="F34" i="40"/>
  <c r="G34" i="40"/>
  <c r="D35" i="39"/>
  <c r="G34" i="38"/>
  <c r="J35" i="39"/>
  <c r="P34" i="38"/>
  <c r="M36" i="43"/>
  <c r="O34" i="40"/>
  <c r="O34" i="38"/>
  <c r="I35" i="39"/>
  <c r="AF34" i="29"/>
  <c r="AN34" i="29"/>
  <c r="J41" i="29"/>
  <c r="W34" i="40" s="1"/>
  <c r="AG52" i="29"/>
  <c r="D36" i="39"/>
  <c r="G35" i="38"/>
  <c r="M37" i="43"/>
  <c r="O35" i="40"/>
  <c r="C36" i="39"/>
  <c r="F35" i="38"/>
  <c r="I36" i="39"/>
  <c r="O35" i="38"/>
  <c r="R19" i="31"/>
  <c r="E38" i="39"/>
  <c r="E37" i="39"/>
  <c r="N37" i="39"/>
  <c r="N38" i="39"/>
  <c r="R21" i="31"/>
  <c r="AC46" i="31"/>
  <c r="AC47" i="31" s="1"/>
  <c r="AC36" i="40"/>
  <c r="AC37" i="40"/>
  <c r="R19" i="32"/>
  <c r="R21" i="32"/>
  <c r="AH30" i="32"/>
  <c r="AK38" i="32" s="1"/>
  <c r="AP30" i="32"/>
  <c r="AR38" i="32" s="1"/>
  <c r="AR39" i="32" s="1"/>
  <c r="AC46" i="32"/>
  <c r="G160" i="34"/>
  <c r="D36" i="36"/>
  <c r="B37" i="36"/>
  <c r="F37" i="36"/>
  <c r="D38" i="36"/>
  <c r="Z36" i="38"/>
  <c r="G31" i="40"/>
  <c r="F31" i="40"/>
  <c r="D32" i="39"/>
  <c r="G31" i="38"/>
  <c r="J32" i="39"/>
  <c r="P31" i="38"/>
  <c r="M33" i="43"/>
  <c r="O31" i="40"/>
  <c r="F31" i="38"/>
  <c r="C32" i="39"/>
  <c r="I32" i="39"/>
  <c r="O31" i="38"/>
  <c r="B34" i="39"/>
  <c r="E33" i="38"/>
  <c r="H34" i="39"/>
  <c r="N33" i="38"/>
  <c r="AB32" i="28"/>
  <c r="AA46" i="28"/>
  <c r="AA47" i="28" s="1"/>
  <c r="AG46" i="28" s="1"/>
  <c r="P35" i="39"/>
  <c r="AB34" i="38"/>
  <c r="O35" i="39"/>
  <c r="AA34" i="38"/>
  <c r="L41" i="29"/>
  <c r="G35" i="40"/>
  <c r="F35" i="40"/>
  <c r="P36" i="39"/>
  <c r="AB35" i="38"/>
  <c r="AA35" i="38"/>
  <c r="L41" i="30"/>
  <c r="D38" i="39"/>
  <c r="D37" i="39"/>
  <c r="G36" i="38"/>
  <c r="J37" i="39"/>
  <c r="J38" i="39"/>
  <c r="P36" i="38"/>
  <c r="M38" i="43"/>
  <c r="O36" i="40"/>
  <c r="Q38" i="39"/>
  <c r="Q37" i="39"/>
  <c r="C37" i="39"/>
  <c r="C38" i="39"/>
  <c r="F36" i="38"/>
  <c r="I38" i="39"/>
  <c r="I37" i="39"/>
  <c r="O36" i="38"/>
  <c r="O37" i="40"/>
  <c r="M39" i="43"/>
  <c r="F37" i="38"/>
  <c r="O37" i="38"/>
  <c r="Z32" i="38"/>
  <c r="AB33" i="38"/>
  <c r="S40" i="40"/>
  <c r="Z33" i="38"/>
  <c r="N34" i="39"/>
  <c r="B35" i="39"/>
  <c r="E34" i="38"/>
  <c r="AB32" i="29"/>
  <c r="B36" i="39"/>
  <c r="E35" i="38"/>
  <c r="H36" i="39"/>
  <c r="N35" i="38"/>
  <c r="F36" i="40"/>
  <c r="G36" i="40"/>
  <c r="G37" i="39"/>
  <c r="G38" i="39"/>
  <c r="M38" i="39"/>
  <c r="M37" i="39"/>
  <c r="P38" i="39"/>
  <c r="AB36" i="38"/>
  <c r="P37" i="39"/>
  <c r="F37" i="39"/>
  <c r="F38" i="39"/>
  <c r="L38" i="39"/>
  <c r="L37" i="39"/>
  <c r="O37" i="39"/>
  <c r="O38" i="39"/>
  <c r="AA36" i="38"/>
  <c r="D38" i="43"/>
  <c r="E36" i="40"/>
  <c r="AD37" i="40"/>
  <c r="AD36" i="40"/>
  <c r="G37" i="40"/>
  <c r="F37" i="40"/>
  <c r="AA37" i="38"/>
  <c r="D39" i="43"/>
  <c r="E37" i="40"/>
  <c r="B36" i="36"/>
  <c r="F36" i="36"/>
  <c r="F34" i="38"/>
  <c r="O36" i="39"/>
  <c r="C40" i="40"/>
  <c r="AZ5" i="44" s="1"/>
  <c r="C39" i="40"/>
  <c r="AY5" i="44" s="1"/>
  <c r="T39" i="39"/>
  <c r="V39" i="39"/>
  <c r="W39" i="39"/>
  <c r="Q40" i="40"/>
  <c r="AH49" i="40"/>
  <c r="D40" i="40"/>
  <c r="BC5" i="44" s="1"/>
  <c r="D38" i="40"/>
  <c r="BA5" i="44" s="1"/>
  <c r="D39" i="40"/>
  <c r="BB5" i="44" s="1"/>
  <c r="B40" i="40"/>
  <c r="AW5" i="44" s="1"/>
  <c r="B38" i="40"/>
  <c r="C38" i="40"/>
  <c r="AX5" i="44" s="1"/>
  <c r="BE5" i="44"/>
  <c r="BD5" i="44"/>
  <c r="BF5" i="44"/>
  <c r="AH48" i="40"/>
  <c r="B39" i="40"/>
  <c r="AV5" i="44" s="1"/>
  <c r="AH50" i="40"/>
  <c r="B5" i="44"/>
  <c r="B6" i="44" s="1"/>
  <c r="AC39" i="40"/>
  <c r="H37" i="40" l="1"/>
  <c r="R39" i="39"/>
  <c r="S39" i="39"/>
  <c r="Q39" i="39"/>
  <c r="M39" i="39"/>
  <c r="E39" i="39"/>
  <c r="G39" i="39"/>
  <c r="AK38" i="31"/>
  <c r="AK39" i="31" s="1"/>
  <c r="I38" i="43" s="1"/>
  <c r="H36" i="40"/>
  <c r="AC40" i="40"/>
  <c r="G5" i="44" s="1"/>
  <c r="G6" i="44" s="1"/>
  <c r="L39" i="39"/>
  <c r="AD40" i="40"/>
  <c r="H5" i="44" s="1"/>
  <c r="H6" i="44" s="1"/>
  <c r="F39" i="39"/>
  <c r="H35" i="40"/>
  <c r="E33" i="43"/>
  <c r="AL63" i="26"/>
  <c r="H30" i="40"/>
  <c r="Z40" i="40"/>
  <c r="J5" i="44" s="1"/>
  <c r="J6" i="44" s="1"/>
  <c r="AG46" i="23"/>
  <c r="E30" i="43"/>
  <c r="AL63" i="23"/>
  <c r="E28" i="43"/>
  <c r="AB40" i="40"/>
  <c r="L5" i="44" s="1"/>
  <c r="L6" i="44" s="1"/>
  <c r="E6" i="44"/>
  <c r="E27" i="43"/>
  <c r="F41" i="43"/>
  <c r="F43" i="43"/>
  <c r="C6" i="45"/>
  <c r="C13" i="45" s="1"/>
  <c r="H24" i="43"/>
  <c r="Y67" i="17"/>
  <c r="AL41" i="17"/>
  <c r="J22" i="40" s="1"/>
  <c r="AL40" i="17"/>
  <c r="I22" i="40" s="1"/>
  <c r="AK39" i="17"/>
  <c r="I24" i="43" s="1"/>
  <c r="H22" i="43"/>
  <c r="AL41" i="15"/>
  <c r="J20" i="40" s="1"/>
  <c r="AL40" i="15"/>
  <c r="I20" i="40" s="1"/>
  <c r="AK39" i="15"/>
  <c r="I22" i="43" s="1"/>
  <c r="AM39" i="30"/>
  <c r="AC67" i="30"/>
  <c r="AC67" i="27"/>
  <c r="AM39" i="27"/>
  <c r="AM39" i="8"/>
  <c r="AC67" i="8"/>
  <c r="AC68" i="8" s="1"/>
  <c r="H13" i="43"/>
  <c r="Y67" i="6"/>
  <c r="AK39" i="6"/>
  <c r="I13" i="43" s="1"/>
  <c r="AL41" i="6"/>
  <c r="J11" i="40" s="1"/>
  <c r="H26" i="43"/>
  <c r="AL41" i="19"/>
  <c r="J24" i="40" s="1"/>
  <c r="AL40" i="19"/>
  <c r="I24" i="40" s="1"/>
  <c r="AK39" i="19"/>
  <c r="I26" i="43" s="1"/>
  <c r="AM39" i="22"/>
  <c r="AC67" i="22"/>
  <c r="AL40" i="31"/>
  <c r="I36" i="40" s="1"/>
  <c r="AG46" i="21"/>
  <c r="AC67" i="4"/>
  <c r="AM39" i="4"/>
  <c r="H19" i="43"/>
  <c r="Y67" i="12"/>
  <c r="AK39" i="12"/>
  <c r="I19" i="43" s="1"/>
  <c r="AL41" i="12"/>
  <c r="J17" i="40" s="1"/>
  <c r="AL40" i="12"/>
  <c r="I17" i="40" s="1"/>
  <c r="AC67" i="7"/>
  <c r="AM39" i="7"/>
  <c r="H12" i="43"/>
  <c r="AL41" i="5"/>
  <c r="J10" i="40" s="1"/>
  <c r="AL40" i="5"/>
  <c r="I10" i="40" s="1"/>
  <c r="AK39" i="5"/>
  <c r="I12" i="43" s="1"/>
  <c r="H36" i="43"/>
  <c r="AL41" i="29"/>
  <c r="J34" i="40" s="1"/>
  <c r="AL40" i="29"/>
  <c r="I34" i="40" s="1"/>
  <c r="AK39" i="29"/>
  <c r="I36" i="43" s="1"/>
  <c r="H31" i="43"/>
  <c r="Y67" i="24"/>
  <c r="AL40" i="24"/>
  <c r="I29" i="40" s="1"/>
  <c r="AK39" i="24"/>
  <c r="I31" i="43" s="1"/>
  <c r="AL41" i="24"/>
  <c r="J29" i="40" s="1"/>
  <c r="C46" i="43"/>
  <c r="R158" i="34"/>
  <c r="R159" i="34" s="1"/>
  <c r="AC67" i="29"/>
  <c r="AC68" i="29" s="1"/>
  <c r="AC65" i="30" s="1"/>
  <c r="AM39" i="29"/>
  <c r="E34" i="43"/>
  <c r="H32" i="40"/>
  <c r="N39" i="39"/>
  <c r="H29" i="43"/>
  <c r="AL41" i="22"/>
  <c r="J27" i="40" s="1"/>
  <c r="AL40" i="22"/>
  <c r="I27" i="40" s="1"/>
  <c r="AK39" i="22"/>
  <c r="I29" i="43" s="1"/>
  <c r="AN48" i="10"/>
  <c r="AN49" i="10" s="1"/>
  <c r="AJ49" i="10"/>
  <c r="AQ61" i="10" s="1"/>
  <c r="AQ63" i="10" s="1"/>
  <c r="AP39" i="24"/>
  <c r="AQ41" i="24"/>
  <c r="AQ40" i="24"/>
  <c r="AJ49" i="18"/>
  <c r="AN48" i="18"/>
  <c r="AN49" i="18" s="1"/>
  <c r="AC67" i="28"/>
  <c r="AM39" i="28"/>
  <c r="AP38" i="31"/>
  <c r="AJ34" i="31"/>
  <c r="H34" i="43"/>
  <c r="Y67" i="27"/>
  <c r="AK39" i="27"/>
  <c r="I34" i="43" s="1"/>
  <c r="AL40" i="27"/>
  <c r="I32" i="40" s="1"/>
  <c r="AL41" i="27"/>
  <c r="J32" i="40" s="1"/>
  <c r="AP38" i="29"/>
  <c r="AJ34" i="29"/>
  <c r="AC67" i="24"/>
  <c r="AM39" i="24"/>
  <c r="AN55" i="21"/>
  <c r="AN56" i="21" s="1"/>
  <c r="AJ56" i="21"/>
  <c r="AP39" i="27"/>
  <c r="AQ41" i="27"/>
  <c r="AQ40" i="27"/>
  <c r="AM38" i="23"/>
  <c r="AL41" i="23" s="1"/>
  <c r="J28" i="40" s="1"/>
  <c r="AM39" i="16"/>
  <c r="AC67" i="16"/>
  <c r="AG54" i="13"/>
  <c r="AP55" i="19"/>
  <c r="AL55" i="13"/>
  <c r="AP55" i="18"/>
  <c r="AL55" i="4"/>
  <c r="AP55" i="15"/>
  <c r="AP55" i="12"/>
  <c r="AP55" i="13"/>
  <c r="AP55" i="4"/>
  <c r="AP55" i="16"/>
  <c r="AN55" i="13"/>
  <c r="AN56" i="13" s="1"/>
  <c r="AN55" i="4"/>
  <c r="AN56" i="4" s="1"/>
  <c r="AL55" i="12"/>
  <c r="E10" i="43"/>
  <c r="E41" i="43" s="1"/>
  <c r="H8" i="40"/>
  <c r="O39" i="38"/>
  <c r="Z39" i="38"/>
  <c r="BI5" i="44"/>
  <c r="N6" i="45" s="1"/>
  <c r="BH5" i="44"/>
  <c r="O6" i="45" s="1"/>
  <c r="M41" i="43"/>
  <c r="BG5" i="44"/>
  <c r="M42" i="43"/>
  <c r="M43" i="43"/>
  <c r="J39" i="39"/>
  <c r="AG46" i="31"/>
  <c r="AM38" i="20"/>
  <c r="AG47" i="14"/>
  <c r="AN48" i="9"/>
  <c r="AN49" i="9" s="1"/>
  <c r="AL48" i="9"/>
  <c r="AL49" i="9" s="1"/>
  <c r="AJ49" i="9"/>
  <c r="AQ61" i="9" s="1"/>
  <c r="AQ63" i="9" s="1"/>
  <c r="D39" i="39"/>
  <c r="AP39" i="23"/>
  <c r="AQ40" i="23"/>
  <c r="AQ41" i="23"/>
  <c r="AG54" i="17"/>
  <c r="AK38" i="13"/>
  <c r="H16" i="43"/>
  <c r="Y67" i="9"/>
  <c r="Y68" i="9" s="1"/>
  <c r="Y65" i="10" s="1"/>
  <c r="AK39" i="9"/>
  <c r="I16" i="43" s="1"/>
  <c r="AG46" i="7"/>
  <c r="E14" i="43"/>
  <c r="H12" i="40"/>
  <c r="AQ41" i="16"/>
  <c r="AL56" i="24"/>
  <c r="AL56" i="25"/>
  <c r="AL61" i="25" s="1"/>
  <c r="AL63" i="25" s="1"/>
  <c r="AQ41" i="32"/>
  <c r="AC67" i="17"/>
  <c r="AJ56" i="5"/>
  <c r="AN55" i="5"/>
  <c r="AN56" i="5" s="1"/>
  <c r="AL55" i="5"/>
  <c r="AL56" i="5" s="1"/>
  <c r="AP38" i="4"/>
  <c r="AJ34" i="4"/>
  <c r="E40" i="40"/>
  <c r="AM38" i="21"/>
  <c r="F42" i="43"/>
  <c r="AL61" i="6"/>
  <c r="AL63" i="6" s="1"/>
  <c r="AQ63" i="5"/>
  <c r="AA39" i="38"/>
  <c r="B39" i="39"/>
  <c r="AP39" i="18"/>
  <c r="AQ40" i="18"/>
  <c r="AQ41" i="18"/>
  <c r="AM38" i="9"/>
  <c r="AL41" i="9" s="1"/>
  <c r="J14" i="40" s="1"/>
  <c r="AP39" i="9"/>
  <c r="AQ41" i="9"/>
  <c r="AQ40" i="9"/>
  <c r="AP38" i="26"/>
  <c r="Y67" i="26" s="1"/>
  <c r="AJ34" i="26"/>
  <c r="H37" i="43"/>
  <c r="AL41" i="30"/>
  <c r="J35" i="40" s="1"/>
  <c r="AL40" i="30"/>
  <c r="I35" i="40" s="1"/>
  <c r="AK39" i="30"/>
  <c r="I37" i="43" s="1"/>
  <c r="H28" i="43"/>
  <c r="AL40" i="21"/>
  <c r="I26" i="40" s="1"/>
  <c r="AK39" i="21"/>
  <c r="I28" i="43" s="1"/>
  <c r="AM38" i="26"/>
  <c r="H27" i="43"/>
  <c r="AK39" i="20"/>
  <c r="I27" i="43" s="1"/>
  <c r="AC67" i="18"/>
  <c r="AM39" i="18"/>
  <c r="E20" i="43"/>
  <c r="H18" i="40"/>
  <c r="H35" i="43"/>
  <c r="Y67" i="28"/>
  <c r="AK39" i="28"/>
  <c r="I35" i="43" s="1"/>
  <c r="AL41" i="28"/>
  <c r="J33" i="40" s="1"/>
  <c r="AL40" i="28"/>
  <c r="I33" i="40" s="1"/>
  <c r="AM39" i="15"/>
  <c r="AC67" i="15"/>
  <c r="AP38" i="15"/>
  <c r="Y67" i="15" s="1"/>
  <c r="AJ34" i="15"/>
  <c r="AP39" i="28"/>
  <c r="AQ41" i="28"/>
  <c r="AQ40" i="28"/>
  <c r="H39" i="43"/>
  <c r="AL41" i="32"/>
  <c r="J37" i="40" s="1"/>
  <c r="AL40" i="32"/>
  <c r="I37" i="40" s="1"/>
  <c r="AK39" i="32"/>
  <c r="I39" i="43" s="1"/>
  <c r="Y67" i="32"/>
  <c r="AP38" i="20"/>
  <c r="Y67" i="20" s="1"/>
  <c r="AJ34" i="20"/>
  <c r="H23" i="43"/>
  <c r="AL41" i="16"/>
  <c r="J21" i="40" s="1"/>
  <c r="AL40" i="16"/>
  <c r="I21" i="40" s="1"/>
  <c r="AK39" i="16"/>
  <c r="I23" i="43" s="1"/>
  <c r="Y67" i="16"/>
  <c r="H15" i="43"/>
  <c r="AL41" i="8"/>
  <c r="J13" i="40" s="1"/>
  <c r="AL40" i="8"/>
  <c r="I13" i="40" s="1"/>
  <c r="AK39" i="8"/>
  <c r="I15" i="43" s="1"/>
  <c r="L6" i="45"/>
  <c r="L13" i="45" s="1"/>
  <c r="D40" i="43"/>
  <c r="D42" i="43"/>
  <c r="D43" i="43"/>
  <c r="AM40" i="14"/>
  <c r="AC68" i="14"/>
  <c r="AP39" i="12"/>
  <c r="AQ41" i="12"/>
  <c r="AQ40" i="12"/>
  <c r="AJ49" i="7"/>
  <c r="AN48" i="7"/>
  <c r="AN49" i="7" s="1"/>
  <c r="AL48" i="7"/>
  <c r="AL49" i="7" s="1"/>
  <c r="H14" i="43"/>
  <c r="AL41" i="7"/>
  <c r="J12" i="40" s="1"/>
  <c r="AL40" i="7"/>
  <c r="I12" i="40" s="1"/>
  <c r="AK39" i="7"/>
  <c r="I14" i="43" s="1"/>
  <c r="AG54" i="5"/>
  <c r="AP38" i="5"/>
  <c r="Y67" i="5" s="1"/>
  <c r="AJ34" i="5"/>
  <c r="AN55" i="3"/>
  <c r="AN56" i="3" s="1"/>
  <c r="AL55" i="3"/>
  <c r="AL56" i="3" s="1"/>
  <c r="AJ56" i="3"/>
  <c r="AL61" i="3" s="1"/>
  <c r="AL63" i="3" s="1"/>
  <c r="W40" i="40"/>
  <c r="D5" i="44" s="1"/>
  <c r="D6" i="44" s="1"/>
  <c r="O39" i="39"/>
  <c r="AC67" i="2"/>
  <c r="AC68" i="2" s="1"/>
  <c r="AC65" i="3" s="1"/>
  <c r="AM39" i="2"/>
  <c r="E39" i="38"/>
  <c r="AG46" i="15"/>
  <c r="AQ61" i="12"/>
  <c r="AQ63" i="12" s="1"/>
  <c r="AP38" i="30"/>
  <c r="AJ34" i="30"/>
  <c r="E29" i="43"/>
  <c r="H27" i="40"/>
  <c r="E31" i="43"/>
  <c r="H29" i="40"/>
  <c r="AM39" i="32"/>
  <c r="AC67" i="32"/>
  <c r="AN55" i="15"/>
  <c r="AN56" i="15" s="1"/>
  <c r="AL55" i="15"/>
  <c r="AL56" i="15" s="1"/>
  <c r="U159" i="34"/>
  <c r="AC67" i="31"/>
  <c r="AM39" i="31"/>
  <c r="AP38" i="22"/>
  <c r="Y67" i="22" s="1"/>
  <c r="AJ34" i="22"/>
  <c r="AL49" i="18"/>
  <c r="AP39" i="17"/>
  <c r="AQ41" i="17"/>
  <c r="AQ40" i="17"/>
  <c r="AN49" i="14"/>
  <c r="AN50" i="14" s="1"/>
  <c r="AL49" i="14"/>
  <c r="AL50" i="14" s="1"/>
  <c r="AQ62" i="14" s="1"/>
  <c r="AQ64" i="14" s="1"/>
  <c r="AJ56" i="15"/>
  <c r="AL61" i="15" s="1"/>
  <c r="AL63" i="15" s="1"/>
  <c r="AL49" i="15"/>
  <c r="F39" i="38"/>
  <c r="H33" i="43"/>
  <c r="AL41" i="26"/>
  <c r="J31" i="40" s="1"/>
  <c r="AL40" i="26"/>
  <c r="I31" i="40" s="1"/>
  <c r="AK39" i="26"/>
  <c r="I33" i="43" s="1"/>
  <c r="AL61" i="17"/>
  <c r="AL63" i="17" s="1"/>
  <c r="AC67" i="12"/>
  <c r="AM39" i="12"/>
  <c r="AL48" i="28"/>
  <c r="AL48" i="27"/>
  <c r="AL48" i="25"/>
  <c r="AL48" i="30"/>
  <c r="AL48" i="22"/>
  <c r="AL48" i="20"/>
  <c r="AL48" i="17"/>
  <c r="AR47" i="31"/>
  <c r="AL48" i="26"/>
  <c r="AL48" i="24"/>
  <c r="AL48" i="23"/>
  <c r="AL48" i="21"/>
  <c r="AN48" i="11"/>
  <c r="AJ50" i="32"/>
  <c r="AL48" i="11"/>
  <c r="AJ49" i="11"/>
  <c r="AL48" i="29"/>
  <c r="AC67" i="10"/>
  <c r="AM39" i="10"/>
  <c r="AN48" i="6"/>
  <c r="AN49" i="6" s="1"/>
  <c r="AL48" i="6"/>
  <c r="AL49" i="6" s="1"/>
  <c r="AJ49" i="6"/>
  <c r="AQ61" i="6" s="1"/>
  <c r="AQ63" i="6" s="1"/>
  <c r="H11" i="43"/>
  <c r="AL41" i="4"/>
  <c r="J9" i="40" s="1"/>
  <c r="AL40" i="4"/>
  <c r="I9" i="40" s="1"/>
  <c r="AK39" i="4"/>
  <c r="I11" i="43" s="1"/>
  <c r="Y67" i="4"/>
  <c r="AK38" i="25"/>
  <c r="E22" i="43"/>
  <c r="H20" i="40"/>
  <c r="AL61" i="8"/>
  <c r="AL63" i="8" s="1"/>
  <c r="AL56" i="11"/>
  <c r="AR55" i="26" s="1"/>
  <c r="AL56" i="20"/>
  <c r="AR54" i="31"/>
  <c r="E15" i="43"/>
  <c r="H13" i="40"/>
  <c r="H9" i="43"/>
  <c r="Y67" i="2"/>
  <c r="Y68" i="2" s="1"/>
  <c r="AL41" i="2"/>
  <c r="J7" i="40" s="1"/>
  <c r="AL40" i="2"/>
  <c r="I7" i="40" s="1"/>
  <c r="AK39" i="2"/>
  <c r="I9" i="43" s="1"/>
  <c r="F40" i="43"/>
  <c r="F47" i="43" s="1"/>
  <c r="E21" i="43"/>
  <c r="H19" i="40"/>
  <c r="AQ41" i="13"/>
  <c r="AP39" i="13"/>
  <c r="AQ40" i="13"/>
  <c r="E16" i="43"/>
  <c r="H14" i="40"/>
  <c r="E12" i="43"/>
  <c r="H10" i="40"/>
  <c r="V40" i="40"/>
  <c r="C5" i="44" s="1"/>
  <c r="B46" i="38"/>
  <c r="B39" i="38"/>
  <c r="T5" i="44" s="1"/>
  <c r="A7" i="1"/>
  <c r="U25" i="5"/>
  <c r="E42" i="43"/>
  <c r="N39" i="38"/>
  <c r="AQ61" i="4"/>
  <c r="AQ63" i="4" s="1"/>
  <c r="AB39" i="38"/>
  <c r="AP39" i="3"/>
  <c r="AQ41" i="3"/>
  <c r="AQ40" i="3"/>
  <c r="AP39" i="6"/>
  <c r="AQ41" i="6"/>
  <c r="AQ40" i="6"/>
  <c r="AG54" i="27"/>
  <c r="H30" i="43"/>
  <c r="AK39" i="23"/>
  <c r="I30" i="43" s="1"/>
  <c r="Y67" i="23"/>
  <c r="AC67" i="19"/>
  <c r="AM39" i="19"/>
  <c r="E13" i="43"/>
  <c r="H11" i="40"/>
  <c r="I39" i="39"/>
  <c r="AC67" i="13"/>
  <c r="AM39" i="13"/>
  <c r="AL61" i="24"/>
  <c r="AL63" i="24" s="1"/>
  <c r="AL61" i="20"/>
  <c r="AL63" i="20" s="1"/>
  <c r="E36" i="43"/>
  <c r="H34" i="40"/>
  <c r="E35" i="43"/>
  <c r="H33" i="40"/>
  <c r="AJ57" i="31"/>
  <c r="AN56" i="31"/>
  <c r="AN57" i="31" s="1"/>
  <c r="AL56" i="31"/>
  <c r="AL57" i="31" s="1"/>
  <c r="E26" i="43"/>
  <c r="H24" i="40"/>
  <c r="AK38" i="18"/>
  <c r="AN55" i="16"/>
  <c r="AN56" i="16" s="1"/>
  <c r="AL55" i="16"/>
  <c r="AL61" i="30"/>
  <c r="AL63" i="30" s="1"/>
  <c r="AL61" i="29"/>
  <c r="AL63" i="29" s="1"/>
  <c r="AM39" i="25"/>
  <c r="AC67" i="25"/>
  <c r="AP38" i="21"/>
  <c r="AJ34" i="21"/>
  <c r="AG54" i="20"/>
  <c r="AL49" i="13"/>
  <c r="AQ61" i="13" s="1"/>
  <c r="AQ63" i="13" s="1"/>
  <c r="AP38" i="25"/>
  <c r="AJ34" i="25"/>
  <c r="AG54" i="23"/>
  <c r="AQ61" i="15"/>
  <c r="AQ63" i="15" s="1"/>
  <c r="AJ35" i="14"/>
  <c r="AP39" i="14"/>
  <c r="E19" i="43"/>
  <c r="H17" i="40"/>
  <c r="E18" i="43"/>
  <c r="H16" i="40"/>
  <c r="E17" i="43"/>
  <c r="H15" i="40"/>
  <c r="C39" i="39"/>
  <c r="O40" i="40"/>
  <c r="P39" i="38"/>
  <c r="AP38" i="19"/>
  <c r="AJ34" i="19"/>
  <c r="AL62" i="14"/>
  <c r="AL64" i="14" s="1"/>
  <c r="AC67" i="11"/>
  <c r="AM39" i="11"/>
  <c r="AN55" i="7"/>
  <c r="AN56" i="7" s="1"/>
  <c r="AL55" i="7"/>
  <c r="AL56" i="7" s="1"/>
  <c r="AJ56" i="7"/>
  <c r="AM38" i="6"/>
  <c r="G39" i="38"/>
  <c r="AP38" i="7"/>
  <c r="AJ34" i="7"/>
  <c r="AQ40" i="16"/>
  <c r="AL56" i="21"/>
  <c r="AL56" i="22"/>
  <c r="AL61" i="22" s="1"/>
  <c r="AL63" i="22" s="1"/>
  <c r="AQ40" i="32"/>
  <c r="AN48" i="23"/>
  <c r="AN49" i="23" s="1"/>
  <c r="AJ49" i="23"/>
  <c r="AR55" i="28"/>
  <c r="AR55" i="27"/>
  <c r="AR55" i="30"/>
  <c r="AR55" i="29"/>
  <c r="AR55" i="23"/>
  <c r="AP38" i="8"/>
  <c r="AJ34" i="8"/>
  <c r="H17" i="43"/>
  <c r="Y67" i="10"/>
  <c r="Y68" i="10" s="1"/>
  <c r="Y65" i="11" s="1"/>
  <c r="Y68" i="11" s="1"/>
  <c r="Y65" i="12" s="1"/>
  <c r="AL41" i="10"/>
  <c r="J15" i="40" s="1"/>
  <c r="AL40" i="10"/>
  <c r="I15" i="40" s="1"/>
  <c r="AK39" i="10"/>
  <c r="I17" i="43" s="1"/>
  <c r="AC67" i="3"/>
  <c r="AC68" i="3" s="1"/>
  <c r="AC65" i="4" s="1"/>
  <c r="AM39" i="3"/>
  <c r="AP38" i="2"/>
  <c r="AJ34" i="2"/>
  <c r="AP39" i="10"/>
  <c r="AQ41" i="10"/>
  <c r="AQ40" i="10"/>
  <c r="AN55" i="2"/>
  <c r="AN56" i="2" s="1"/>
  <c r="AL55" i="2"/>
  <c r="AL56" i="2" s="1"/>
  <c r="AK39" i="14"/>
  <c r="AJ56" i="12"/>
  <c r="AP39" i="11"/>
  <c r="AQ41" i="11"/>
  <c r="AQ40" i="11"/>
  <c r="AG46" i="4"/>
  <c r="H10" i="43"/>
  <c r="Y67" i="3"/>
  <c r="AL40" i="3"/>
  <c r="I8" i="40" s="1"/>
  <c r="AL41" i="3"/>
  <c r="J8" i="40" s="1"/>
  <c r="AK39" i="3"/>
  <c r="I10" i="43" s="1"/>
  <c r="H39" i="39"/>
  <c r="AN48" i="27"/>
  <c r="AN49" i="27" s="1"/>
  <c r="AJ49" i="27"/>
  <c r="AL49" i="12"/>
  <c r="AC67" i="5"/>
  <c r="D41" i="43"/>
  <c r="P39" i="39"/>
  <c r="AL41" i="31" l="1"/>
  <c r="J36" i="40" s="1"/>
  <c r="H38" i="43"/>
  <c r="Y67" i="31"/>
  <c r="M6" i="45"/>
  <c r="M13" i="45" s="1"/>
  <c r="H40" i="40"/>
  <c r="Y68" i="3"/>
  <c r="Y65" i="4" s="1"/>
  <c r="Y68" i="4" s="1"/>
  <c r="Y65" i="5" s="1"/>
  <c r="Y68" i="5" s="1"/>
  <c r="Y65" i="6" s="1"/>
  <c r="Y68" i="6" s="1"/>
  <c r="Y65" i="7" s="1"/>
  <c r="AP39" i="8"/>
  <c r="AQ41" i="8"/>
  <c r="AQ40" i="8"/>
  <c r="J18" i="43"/>
  <c r="K16" i="40"/>
  <c r="H21" i="43"/>
  <c r="AL42" i="14"/>
  <c r="J19" i="40" s="1"/>
  <c r="AK40" i="14"/>
  <c r="I21" i="43" s="1"/>
  <c r="Y68" i="14"/>
  <c r="AL41" i="14"/>
  <c r="I19" i="40" s="1"/>
  <c r="K17" i="43"/>
  <c r="L15" i="40"/>
  <c r="AP39" i="7"/>
  <c r="AQ41" i="7"/>
  <c r="AQ40" i="7"/>
  <c r="K13" i="43"/>
  <c r="L11" i="40"/>
  <c r="E43" i="43"/>
  <c r="U25" i="6"/>
  <c r="A8" i="1"/>
  <c r="J20" i="43"/>
  <c r="K18" i="40"/>
  <c r="AL50" i="32"/>
  <c r="AL49" i="21"/>
  <c r="AQ61" i="21" s="1"/>
  <c r="AQ63" i="21" s="1"/>
  <c r="AL49" i="23"/>
  <c r="AL49" i="30"/>
  <c r="AQ61" i="30" s="1"/>
  <c r="AQ63" i="30" s="1"/>
  <c r="AL49" i="20"/>
  <c r="AQ61" i="20" s="1"/>
  <c r="AQ63" i="20" s="1"/>
  <c r="AL49" i="22"/>
  <c r="AQ61" i="22" s="1"/>
  <c r="AQ63" i="22" s="1"/>
  <c r="AL49" i="29"/>
  <c r="AQ61" i="29" s="1"/>
  <c r="AQ63" i="29" s="1"/>
  <c r="AL49" i="11"/>
  <c r="AL50" i="31" s="1"/>
  <c r="AQ62" i="31" s="1"/>
  <c r="AQ64" i="31" s="1"/>
  <c r="AL49" i="27"/>
  <c r="AQ61" i="27" s="1"/>
  <c r="AQ63" i="27" s="1"/>
  <c r="AL49" i="26"/>
  <c r="AQ61" i="26" s="1"/>
  <c r="AQ63" i="26" s="1"/>
  <c r="AL49" i="28"/>
  <c r="AQ61" i="28" s="1"/>
  <c r="AQ63" i="28" s="1"/>
  <c r="AL49" i="25"/>
  <c r="AQ61" i="25" s="1"/>
  <c r="AQ63" i="25" s="1"/>
  <c r="AL49" i="17"/>
  <c r="AQ61" i="17" s="1"/>
  <c r="AQ63" i="17" s="1"/>
  <c r="AL49" i="24"/>
  <c r="AQ61" i="24" s="1"/>
  <c r="AR47" i="32"/>
  <c r="AP39" i="30"/>
  <c r="AQ41" i="30"/>
  <c r="AQ40" i="30"/>
  <c r="K19" i="43"/>
  <c r="L17" i="40"/>
  <c r="K35" i="43"/>
  <c r="L33" i="40"/>
  <c r="Y67" i="30"/>
  <c r="J16" i="43"/>
  <c r="K14" i="40"/>
  <c r="K25" i="43"/>
  <c r="L23" i="40"/>
  <c r="AP39" i="4"/>
  <c r="AQ41" i="4"/>
  <c r="AQ40" i="4"/>
  <c r="K18" i="43"/>
  <c r="L16" i="40"/>
  <c r="AQ42" i="14"/>
  <c r="AQ41" i="14"/>
  <c r="AP40" i="14"/>
  <c r="Y65" i="3"/>
  <c r="AA70" i="2"/>
  <c r="AC68" i="10"/>
  <c r="AC65" i="11" s="1"/>
  <c r="AC68" i="12"/>
  <c r="AC65" i="13" s="1"/>
  <c r="AC68" i="13" s="1"/>
  <c r="AC66" i="14" s="1"/>
  <c r="AC69" i="14" s="1"/>
  <c r="AC65" i="15" s="1"/>
  <c r="AC68" i="15" s="1"/>
  <c r="AC65" i="16" s="1"/>
  <c r="AC68" i="16" s="1"/>
  <c r="AC65" i="17" s="1"/>
  <c r="AC68" i="17" s="1"/>
  <c r="AC65" i="18" s="1"/>
  <c r="AC68" i="18" s="1"/>
  <c r="AC65" i="19" s="1"/>
  <c r="AC68" i="19" s="1"/>
  <c r="AC65" i="20" s="1"/>
  <c r="AQ41" i="5"/>
  <c r="AQ40" i="5"/>
  <c r="AP39" i="5"/>
  <c r="AP39" i="20"/>
  <c r="AQ41" i="20"/>
  <c r="AQ40" i="20"/>
  <c r="K16" i="43"/>
  <c r="L14" i="40"/>
  <c r="J25" i="43"/>
  <c r="K23" i="40"/>
  <c r="AC67" i="21"/>
  <c r="AC68" i="21" s="1"/>
  <c r="AC65" i="22" s="1"/>
  <c r="AC68" i="22" s="1"/>
  <c r="AC65" i="23" s="1"/>
  <c r="AM39" i="21"/>
  <c r="K23" i="43"/>
  <c r="L21" i="40"/>
  <c r="K30" i="43"/>
  <c r="L28" i="40"/>
  <c r="AM39" i="20"/>
  <c r="AC67" i="20"/>
  <c r="AC67" i="23"/>
  <c r="AM39" i="23"/>
  <c r="AL61" i="21"/>
  <c r="AL63" i="21" s="1"/>
  <c r="AQ41" i="31"/>
  <c r="AQ40" i="31"/>
  <c r="AP39" i="31"/>
  <c r="AQ61" i="18"/>
  <c r="AQ63" i="18" s="1"/>
  <c r="AL61" i="11"/>
  <c r="AL63" i="11" s="1"/>
  <c r="J23" i="43"/>
  <c r="K21" i="40"/>
  <c r="AC67" i="6"/>
  <c r="AM39" i="6"/>
  <c r="H25" i="43"/>
  <c r="AL41" i="18"/>
  <c r="J23" i="40" s="1"/>
  <c r="AL40" i="18"/>
  <c r="I23" i="40" s="1"/>
  <c r="AK39" i="18"/>
  <c r="I25" i="43" s="1"/>
  <c r="Y67" i="18"/>
  <c r="J10" i="43"/>
  <c r="K8" i="40"/>
  <c r="C78" i="38"/>
  <c r="B78" i="38"/>
  <c r="K20" i="43"/>
  <c r="L18" i="40"/>
  <c r="AN49" i="11"/>
  <c r="AN50" i="32" s="1"/>
  <c r="J24" i="43"/>
  <c r="K22" i="40"/>
  <c r="AQ61" i="7"/>
  <c r="AQ63" i="7" s="1"/>
  <c r="AL40" i="20"/>
  <c r="I25" i="40" s="1"/>
  <c r="AC67" i="26"/>
  <c r="AM39" i="26"/>
  <c r="AL41" i="21"/>
  <c r="J26" i="40" s="1"/>
  <c r="J30" i="43"/>
  <c r="K28" i="40"/>
  <c r="AP56" i="19"/>
  <c r="AP56" i="18"/>
  <c r="AP56" i="16"/>
  <c r="AP56" i="15"/>
  <c r="AP56" i="12"/>
  <c r="AP56" i="4"/>
  <c r="AP56" i="13"/>
  <c r="AL56" i="19"/>
  <c r="AL61" i="19" s="1"/>
  <c r="AL63" i="19" s="1"/>
  <c r="AL56" i="18"/>
  <c r="AL61" i="18" s="1"/>
  <c r="AL63" i="18" s="1"/>
  <c r="AL56" i="13"/>
  <c r="AL61" i="13" s="1"/>
  <c r="AL63" i="13" s="1"/>
  <c r="AL56" i="4"/>
  <c r="AL56" i="16"/>
  <c r="AL61" i="16" s="1"/>
  <c r="AL63" i="16" s="1"/>
  <c r="AL56" i="12"/>
  <c r="AL61" i="12" s="1"/>
  <c r="AL63" i="12" s="1"/>
  <c r="J34" i="43"/>
  <c r="K32" i="40"/>
  <c r="AP39" i="29"/>
  <c r="AQ41" i="29"/>
  <c r="AQ40" i="29"/>
  <c r="J31" i="43"/>
  <c r="K29" i="40"/>
  <c r="F6" i="46"/>
  <c r="F13" i="46" s="1"/>
  <c r="AC68" i="4"/>
  <c r="AC65" i="5" s="1"/>
  <c r="AC68" i="5"/>
  <c r="AC65" i="6" s="1"/>
  <c r="AQ61" i="23"/>
  <c r="AQ63" i="23" s="1"/>
  <c r="O13" i="46"/>
  <c r="F48" i="43"/>
  <c r="P13" i="46" s="1"/>
  <c r="K39" i="43"/>
  <c r="L37" i="40"/>
  <c r="J17" i="43"/>
  <c r="K15" i="40"/>
  <c r="AQ41" i="2"/>
  <c r="AQ40" i="2"/>
  <c r="AP39" i="2"/>
  <c r="J39" i="43"/>
  <c r="K37" i="40"/>
  <c r="AL61" i="7"/>
  <c r="AL63" i="7" s="1"/>
  <c r="AC68" i="11"/>
  <c r="AC65" i="12" s="1"/>
  <c r="AP39" i="19"/>
  <c r="AQ41" i="19"/>
  <c r="AQ40" i="19"/>
  <c r="AP39" i="25"/>
  <c r="AQ41" i="25"/>
  <c r="AQ40" i="25"/>
  <c r="AP39" i="21"/>
  <c r="AQ40" i="21"/>
  <c r="AQ41" i="21"/>
  <c r="AL62" i="31"/>
  <c r="AL64" i="31" s="1"/>
  <c r="AL40" i="23"/>
  <c r="I28" i="40" s="1"/>
  <c r="J13" i="43"/>
  <c r="K11" i="40"/>
  <c r="K10" i="43"/>
  <c r="L8" i="40"/>
  <c r="F6" i="45"/>
  <c r="F13" i="45" s="1"/>
  <c r="C6" i="44"/>
  <c r="G6" i="45"/>
  <c r="G13" i="45" s="1"/>
  <c r="H32" i="43"/>
  <c r="H42" i="43" s="1"/>
  <c r="Y67" i="25"/>
  <c r="AK39" i="25"/>
  <c r="I32" i="43" s="1"/>
  <c r="AL41" i="25"/>
  <c r="J30" i="40" s="1"/>
  <c r="AL40" i="25"/>
  <c r="I30" i="40" s="1"/>
  <c r="AR48" i="30"/>
  <c r="AR48" i="27"/>
  <c r="AL49" i="31"/>
  <c r="K24" i="43"/>
  <c r="L22" i="40"/>
  <c r="AP39" i="22"/>
  <c r="AQ41" i="22"/>
  <c r="AQ40" i="22"/>
  <c r="Y67" i="7"/>
  <c r="J19" i="43"/>
  <c r="K17" i="40"/>
  <c r="C47" i="43"/>
  <c r="G6" i="46" s="1"/>
  <c r="G13" i="46" s="1"/>
  <c r="E56" i="43"/>
  <c r="E57" i="43" s="1"/>
  <c r="J35" i="43"/>
  <c r="K33" i="40"/>
  <c r="AQ41" i="15"/>
  <c r="AQ40" i="15"/>
  <c r="AP39" i="15"/>
  <c r="AL41" i="20"/>
  <c r="J25" i="40" s="1"/>
  <c r="Y67" i="21"/>
  <c r="Y68" i="21" s="1"/>
  <c r="Y65" i="22" s="1"/>
  <c r="Y68" i="22" s="1"/>
  <c r="Y65" i="23" s="1"/>
  <c r="Y68" i="23" s="1"/>
  <c r="Y65" i="24" s="1"/>
  <c r="Y68" i="24" s="1"/>
  <c r="Y65" i="25" s="1"/>
  <c r="AQ41" i="26"/>
  <c r="AP39" i="26"/>
  <c r="AQ40" i="26"/>
  <c r="AC67" i="9"/>
  <c r="AC68" i="9" s="1"/>
  <c r="AC65" i="10" s="1"/>
  <c r="AM39" i="9"/>
  <c r="AL61" i="5"/>
  <c r="AL63" i="5" s="1"/>
  <c r="AL40" i="9"/>
  <c r="I14" i="40" s="1"/>
  <c r="H20" i="43"/>
  <c r="H40" i="43" s="1"/>
  <c r="AL41" i="13"/>
  <c r="J18" i="40" s="1"/>
  <c r="AL40" i="13"/>
  <c r="I18" i="40" s="1"/>
  <c r="AK39" i="13"/>
  <c r="I20" i="43" s="1"/>
  <c r="Y67" i="13"/>
  <c r="K34" i="43"/>
  <c r="L32" i="40"/>
  <c r="K31" i="43"/>
  <c r="L29" i="40"/>
  <c r="Y67" i="29"/>
  <c r="Y68" i="29" s="1"/>
  <c r="Y68" i="12"/>
  <c r="Y65" i="13" s="1"/>
  <c r="Y67" i="19"/>
  <c r="AL40" i="6"/>
  <c r="I11" i="40" s="1"/>
  <c r="AC68" i="30"/>
  <c r="AC65" i="31" s="1"/>
  <c r="AC68" i="31" s="1"/>
  <c r="H41" i="43" l="1"/>
  <c r="K27" i="40"/>
  <c r="J29" i="43"/>
  <c r="Y68" i="25"/>
  <c r="Y65" i="26" s="1"/>
  <c r="Y68" i="26" s="1"/>
  <c r="Y65" i="27" s="1"/>
  <c r="Y68" i="27" s="1"/>
  <c r="Y65" i="28" s="1"/>
  <c r="Y68" i="28" s="1"/>
  <c r="K28" i="43"/>
  <c r="L26" i="40"/>
  <c r="Y68" i="18"/>
  <c r="Y65" i="19" s="1"/>
  <c r="Y68" i="19" s="1"/>
  <c r="Y65" i="20" s="1"/>
  <c r="Y68" i="20" s="1"/>
  <c r="J14" i="43"/>
  <c r="K12" i="40"/>
  <c r="K33" i="43"/>
  <c r="L31" i="40"/>
  <c r="AR48" i="23"/>
  <c r="AC68" i="20"/>
  <c r="AC65" i="32"/>
  <c r="AC68" i="32" s="1"/>
  <c r="Y68" i="13"/>
  <c r="Y66" i="14" s="1"/>
  <c r="J22" i="43"/>
  <c r="K20" i="40"/>
  <c r="AQ61" i="11"/>
  <c r="AR48" i="28"/>
  <c r="J26" i="43"/>
  <c r="K24" i="40"/>
  <c r="J9" i="43"/>
  <c r="K7" i="40"/>
  <c r="AR55" i="19"/>
  <c r="AR55" i="12"/>
  <c r="AR55" i="18"/>
  <c r="AR55" i="13"/>
  <c r="AR55" i="4"/>
  <c r="AR55" i="15"/>
  <c r="AL61" i="4"/>
  <c r="AL63" i="4" s="1"/>
  <c r="AR55" i="16"/>
  <c r="H43" i="43"/>
  <c r="AC68" i="6"/>
  <c r="AC65" i="7" s="1"/>
  <c r="AC68" i="7" s="1"/>
  <c r="J27" i="43"/>
  <c r="K25" i="40"/>
  <c r="J12" i="43"/>
  <c r="K10" i="40"/>
  <c r="K19" i="40"/>
  <c r="J21" i="43"/>
  <c r="K11" i="43"/>
  <c r="L9" i="40"/>
  <c r="J37" i="43"/>
  <c r="K35" i="40"/>
  <c r="Y69" i="14"/>
  <c r="Y65" i="15" s="1"/>
  <c r="Y68" i="15" s="1"/>
  <c r="Y65" i="16" s="1"/>
  <c r="Y68" i="16" s="1"/>
  <c r="Y65" i="17" s="1"/>
  <c r="Y68" i="17" s="1"/>
  <c r="Y65" i="18" s="1"/>
  <c r="K15" i="43"/>
  <c r="L13" i="40"/>
  <c r="K32" i="43"/>
  <c r="L30" i="40"/>
  <c r="AC68" i="23"/>
  <c r="AC65" i="24" s="1"/>
  <c r="AC68" i="24" s="1"/>
  <c r="AC65" i="25" s="1"/>
  <c r="AC68" i="25" s="1"/>
  <c r="AC65" i="26" s="1"/>
  <c r="AC68" i="26" s="1"/>
  <c r="AC65" i="27" s="1"/>
  <c r="AC68" i="27" s="1"/>
  <c r="AC65" i="28" s="1"/>
  <c r="AC68" i="28" s="1"/>
  <c r="AR48" i="26"/>
  <c r="Y65" i="30"/>
  <c r="Y68" i="30" s="1"/>
  <c r="Y65" i="31" s="1"/>
  <c r="Y68" i="31" s="1"/>
  <c r="Y65" i="32" s="1"/>
  <c r="Y68" i="32" s="1"/>
  <c r="AA70" i="29"/>
  <c r="J33" i="43"/>
  <c r="K31" i="40"/>
  <c r="K22" i="43"/>
  <c r="L20" i="40"/>
  <c r="Y68" i="7"/>
  <c r="AR48" i="29"/>
  <c r="J32" i="43"/>
  <c r="K30" i="40"/>
  <c r="K26" i="43"/>
  <c r="L24" i="40"/>
  <c r="K9" i="43"/>
  <c r="L7" i="40"/>
  <c r="C48" i="43"/>
  <c r="H6" i="46" s="1"/>
  <c r="J36" i="43"/>
  <c r="K34" i="40"/>
  <c r="K27" i="43"/>
  <c r="L25" i="40"/>
  <c r="K12" i="43"/>
  <c r="L10" i="40"/>
  <c r="K21" i="43"/>
  <c r="L19" i="40"/>
  <c r="K37" i="43"/>
  <c r="L35" i="40"/>
  <c r="K36" i="43"/>
  <c r="L34" i="40"/>
  <c r="J38" i="43"/>
  <c r="K36" i="40"/>
  <c r="K29" i="43"/>
  <c r="L27" i="40"/>
  <c r="J28" i="43"/>
  <c r="K26" i="40"/>
  <c r="K38" i="43"/>
  <c r="L36" i="40"/>
  <c r="J11" i="43"/>
  <c r="K9" i="40"/>
  <c r="U25" i="7"/>
  <c r="A9" i="1"/>
  <c r="A10" i="1" s="1"/>
  <c r="K14" i="43"/>
  <c r="L12" i="40"/>
  <c r="J15" i="43"/>
  <c r="K13" i="40"/>
  <c r="U25" i="9" l="1"/>
  <c r="A11" i="1"/>
  <c r="U25" i="8"/>
  <c r="K43" i="43"/>
  <c r="K41" i="43"/>
  <c r="K42" i="43"/>
  <c r="J42" i="43"/>
  <c r="J40" i="43"/>
  <c r="H47" i="43" s="1"/>
  <c r="J43" i="43"/>
  <c r="J41" i="43"/>
  <c r="AA70" i="31"/>
  <c r="AQ63" i="24"/>
  <c r="AQ63" i="11"/>
  <c r="AQ64" i="32" s="1"/>
  <c r="AA70" i="32"/>
  <c r="S6" i="46" l="1"/>
  <c r="H48" i="43"/>
  <c r="T6" i="46" s="1"/>
  <c r="U25" i="10"/>
  <c r="A12" i="1"/>
  <c r="U25" i="11" l="1"/>
  <c r="A13" i="1"/>
  <c r="U25" i="12" l="1"/>
  <c r="A14" i="1"/>
  <c r="U25" i="13" l="1"/>
  <c r="A15" i="1"/>
  <c r="A16" i="1" l="1"/>
  <c r="U25" i="14"/>
  <c r="U25" i="15" l="1"/>
  <c r="A17" i="1"/>
  <c r="U25" i="16" l="1"/>
  <c r="A18" i="1"/>
  <c r="U25" i="17" l="1"/>
  <c r="A19" i="1"/>
  <c r="U25" i="18" l="1"/>
  <c r="A20" i="1"/>
  <c r="U25" i="19" l="1"/>
  <c r="A21" i="1"/>
  <c r="U25" i="20" l="1"/>
  <c r="A22" i="1"/>
  <c r="U25" i="21" l="1"/>
  <c r="A23" i="1"/>
  <c r="U25" i="22" l="1"/>
  <c r="A24" i="1"/>
  <c r="U25" i="23" l="1"/>
  <c r="A25" i="1"/>
  <c r="U25" i="24" l="1"/>
  <c r="A26" i="1"/>
  <c r="U25" i="25" l="1"/>
  <c r="A27" i="1"/>
  <c r="U25" i="26" l="1"/>
  <c r="A28" i="1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<sst xmlns="http://schemas.openxmlformats.org/spreadsheetml/2006/main" count="8667" uniqueCount="448">
  <si>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</si>
  <si>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</si>
  <si>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</si>
  <si>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</si>
  <si>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</si>
  <si>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</si>
  <si>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</si>
  <si>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</si>
  <si>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</si>
  <si>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</si>
  <si>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</si>
  <si>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</si>
  <si>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</si>
  <si>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</si>
  <si>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</si>
  <si>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</si>
  <si>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</si>
  <si>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</si>
  <si>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</si>
  <si>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</si>
  <si>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</si>
  <si>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</si>
  <si>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</si>
  <si>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</si>
  <si>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</si>
  <si>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</si>
  <si>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</si>
  <si>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</si>
  <si>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</si>
  <si>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</si>
  <si>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</si>
  <si>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</si>
  <si>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</si>
  <si>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</si>
  <si>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</si>
  <si>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</si>
  <si>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</si>
  <si>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</si>
  <si>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</si>
  <si>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</si>
  <si>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</si>
  <si>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</si>
  <si>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</si>
  <si>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</si>
  <si>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</si>
  <si>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</si>
  <si>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</si>
  <si>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</si>
  <si>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</si>
  <si>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</si>
  <si>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</si>
  <si>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</si>
  <si>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</si>
  <si>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</si>
  <si>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</si>
  <si>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</si>
  <si>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</si>
  <si>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</si>
  <si>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</si>
  <si>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</si>
  <si>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</si>
  <si>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</si>
  <si>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</si>
  <si>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</si>
  <si>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</si>
  <si>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</si>
  <si>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</si>
  <si>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</si>
  <si>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</si>
  <si>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</si>
  <si>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</si>
  <si>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</si>
  <si>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</si>
  <si>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</si>
  <si>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</si>
  <si>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</si>
  <si>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</si>
  <si>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</si>
  <si>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</si>
  <si>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</si>
  <si>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</si>
  <si>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</si>
  <si>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</si>
  <si>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</si>
  <si>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</si>
  <si>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</si>
  <si>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</si>
  <si>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</si>
  <si>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</si>
  <si>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</si>
  <si>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</si>
  <si>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</si>
  <si>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</si>
  <si>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</si>
  <si>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</si>
  <si>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</si>
  <si>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</si>
  <si>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</si>
  <si>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</si>
  <si>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</si>
  <si>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</si>
  <si>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</si>
  <si>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</si>
  <si>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</si>
  <si>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</si>
  <si>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</si>
  <si>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</si>
  <si>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</si>
  <si>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</si>
  <si>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</si>
  <si>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</si>
  <si>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</si>
  <si>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</si>
  <si>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</si>
  <si>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</si>
  <si>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</si>
  <si>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</si>
  <si>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</si>
  <si>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</si>
  <si>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</si>
  <si>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</si>
  <si>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</si>
  <si>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</si>
  <si>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</si>
  <si>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</si>
  <si>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</si>
  <si>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</si>
  <si>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</si>
  <si>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</si>
  <si>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</si>
  <si>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</si>
  <si>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>*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</si>
  <si>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</si>
  <si>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</si>
  <si>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</si>
  <si>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</si>
  <si>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</si>
  <si>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</si>
  <si>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</si>
  <si>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</si>
  <si>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</si>
  <si>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</si>
  <si>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</si>
  <si>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</si>
  <si>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</si>
  <si>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 xml:space="preserve">  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</si>
  <si>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</si>
  <si>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</si>
  <si>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</si>
  <si>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</si>
  <si>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</si>
  <si>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</si>
  <si>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</si>
  <si>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</si>
  <si>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</si>
  <si>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</si>
  <si>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</si>
  <si>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</si>
  <si>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</si>
  <si>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</si>
  <si>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</si>
  <si>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</si>
  <si>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</si>
  <si>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</si>
  <si>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 xml:space="preserve">Tapacurá 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</si>
  <si>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</si>
  <si>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</si>
  <si>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</si>
  <si>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</si>
  <si>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</si>
  <si>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</si>
  <si>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</si>
  <si>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</si>
  <si>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</si>
  <si>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</si>
  <si>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</si>
  <si>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</si>
  <si>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</si>
  <si>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</si>
  <si>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>18256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</si>
  <si>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</si>
  <si>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</si>
  <si>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</si>
  <si>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</si>
  <si>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</si>
  <si>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</si>
  <si>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</si>
  <si>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</si>
  <si>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</si>
  <si>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</si>
  <si>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</si>
  <si>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</si>
  <si>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</si>
  <si>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</si>
  <si>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</si>
  <si>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</si>
  <si>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</si>
  <si>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</si>
  <si>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</si>
  <si>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</si>
  <si>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</si>
  <si>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TAPACURÁ</t>
  </si>
  <si>
    <t>Ferro
VMP Tratada = 0,3 mg/L</t>
  </si>
  <si>
    <t>Manganês
VMP Tratada = 0,1 mg/L</t>
  </si>
  <si>
    <t xml:space="preserve">Filtrada </t>
  </si>
  <si>
    <t>MÁXIMO</t>
  </si>
  <si>
    <t>MÍNIMO</t>
  </si>
  <si>
    <t>MÉDIA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</si>
  <si>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</si>
  <si>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</si>
  <si>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</si>
  <si>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</si>
  <si>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</si>
  <si>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</si>
  <si>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</si>
  <si>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</si>
  <si>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</si>
  <si>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TF2</t>
  </si>
  <si>
    <t>TF1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</si>
  <si>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</si>
  <si>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</si>
  <si>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</si>
  <si>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</si>
  <si>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</si>
  <si>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</si>
  <si>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</si>
  <si>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</si>
  <si>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</si>
  <si>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</si>
  <si>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</si>
  <si>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</si>
  <si>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</si>
  <si>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</si>
  <si>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</si>
  <si>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</si>
  <si>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</si>
  <si>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</si>
  <si>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</si>
  <si>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</si>
  <si>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</si>
  <si>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</si>
  <si>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</si>
  <si>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</si>
  <si>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</si>
  <si>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</si>
  <si>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</si>
  <si>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</si>
  <si>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</si>
  <si>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</si>
  <si>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</si>
  <si>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</si>
  <si>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</si>
  <si>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</si>
  <si>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</si>
  <si>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</si>
  <si>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</si>
  <si>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</si>
  <si>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</si>
  <si>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</si>
  <si>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</si>
  <si>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</si>
  <si>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</si>
  <si>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</si>
  <si>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</si>
  <si>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</si>
  <si>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</si>
  <si>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</si>
  <si>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</si>
  <si>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</si>
  <si>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</si>
  <si>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</si>
  <si>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</si>
  <si>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</si>
  <si>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</si>
  <si>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</si>
  <si>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</si>
  <si>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</si>
  <si>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</si>
  <si>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</si>
  <si>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</si>
  <si>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</si>
  <si>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</si>
  <si>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</si>
  <si>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</si>
  <si>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</si>
  <si>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</si>
  <si>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</si>
  <si>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</si>
  <si>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</si>
  <si>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</si>
  <si>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</si>
  <si>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</si>
  <si>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</si>
  <si>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</si>
  <si>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</si>
  <si>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</si>
  <si>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TOTAIS</t>
  </si>
  <si>
    <t xml:space="preserve"> Amostras Previstas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</si>
  <si>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</si>
  <si>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</si>
  <si>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</si>
  <si>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</si>
  <si>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</si>
  <si>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</si>
  <si>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</si>
  <si>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</si>
  <si>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</si>
  <si>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</si>
  <si>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</si>
  <si>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</si>
  <si>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</si>
  <si>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</si>
  <si>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</si>
  <si>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</si>
  <si>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</si>
  <si>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</si>
  <si>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</si>
  <si>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</si>
  <si>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</si>
  <si>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</si>
  <si>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</si>
  <si>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</si>
  <si>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</si>
  <si>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</si>
  <si>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</si>
  <si>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</si>
  <si>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</si>
  <si>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</si>
  <si>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</si>
  <si>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</si>
  <si>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</si>
  <si>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</si>
  <si>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</si>
  <si>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</si>
  <si>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</si>
  <si>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</si>
  <si>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</si>
  <si>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</si>
  <si>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</si>
  <si>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</si>
  <si>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</si>
  <si>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</si>
  <si>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</si>
  <si>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</si>
  <si>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</si>
  <si>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</si>
  <si>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</si>
  <si>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</si>
  <si>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</si>
  <si>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</si>
  <si>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</si>
  <si>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</si>
  <si>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</si>
  <si>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</si>
  <si>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</si>
  <si>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</si>
  <si>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</si>
  <si>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</si>
  <si>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</si>
  <si>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</si>
  <si>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</si>
  <si>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</si>
  <si>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</si>
  <si>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</si>
  <si>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</si>
  <si>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</si>
  <si>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</si>
  <si>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</si>
  <si>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</si>
  <si>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</si>
  <si>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</si>
  <si>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</si>
  <si>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</si>
  <si>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</si>
  <si>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</si>
  <si>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</si>
  <si>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</si>
  <si>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</si>
  <si>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</si>
  <si>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</si>
  <si>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</si>
  <si>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</si>
  <si>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</si>
  <si>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</si>
  <si>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</si>
  <si>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</si>
  <si>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</si>
  <si>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</si>
  <si>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</si>
  <si>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</si>
  <si>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</si>
  <si>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</si>
  <si>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</si>
  <si>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</si>
  <si>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</si>
  <si>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</si>
  <si>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</si>
  <si>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</si>
  <si>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</si>
  <si>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</si>
  <si>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</si>
  <si>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</si>
  <si>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</si>
  <si>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</si>
  <si>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</si>
  <si>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</si>
  <si>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</si>
  <si>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</si>
  <si>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</si>
  <si>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</si>
  <si>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</si>
  <si>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</si>
  <si>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</si>
  <si>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</si>
  <si>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</si>
  <si>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</si>
  <si>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</si>
  <si>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</si>
  <si>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</si>
  <si>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</si>
  <si>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</si>
  <si>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</si>
  <si>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</si>
  <si>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</si>
  <si>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</si>
  <si>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</si>
  <si>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</si>
  <si>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</si>
  <si>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</si>
  <si>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</si>
  <si>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</si>
  <si>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</si>
  <si>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</si>
  <si>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</si>
  <si>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</si>
  <si>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</si>
  <si>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</si>
  <si>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</si>
  <si>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</si>
  <si>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</si>
  <si>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</si>
  <si>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</si>
  <si>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</si>
  <si>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PERÓXIDO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</si>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</sst>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dd/mm/yy"/>
    <numFmt numFmtId="175" formatCode="#,##0.00\ ;\(#,##0.00\);\-#\ ;@\ 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0"/>
      <color rgb="FF0000FF"/>
      <name val="Calibri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79646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92D050"/>
        <bgColor rgb="FFC3D69B"/>
      </patternFill>
    </fill>
    <fill>
      <patternFill patternType="solid">
        <fgColor rgb="FFF79646"/>
        <bgColor rgb="FFFF6666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DDDDDD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75" fontId="34" fillId="0" borderId="0"/>
  </cellStyleXfs>
  <cellXfs count="132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165" fontId="0" fillId="6" borderId="16" xfId="0" applyNumberForma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0" borderId="16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168" fontId="0" fillId="0" borderId="63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0" fontId="0" fillId="0" borderId="16" xfId="0" applyBorder="1" applyAlignment="1" applyProtection="1">
      <alignment horizontal="center"/>
      <protection locked="0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168" fontId="6" fillId="0" borderId="16" xfId="0" applyNumberFormat="1" applyFont="1" applyBorder="1" applyAlignment="1" applyProtection="1">
      <alignment horizontal="center"/>
      <protection locked="0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3" fontId="23" fillId="21" borderId="18" xfId="0" applyNumberFormat="1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65" fillId="0" borderId="18" xfId="0" applyFont="1" applyBorder="1" applyAlignment="1" applyProtection="1">
      <alignment wrapText="1"/>
    </xf>
    <xf numFmtId="174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28" borderId="19" xfId="0" applyFont="1" applyFill="1" applyBorder="1" applyAlignment="1" applyProtection="1">
      <alignment horizontal="center" vertical="center"/>
    </xf>
    <xf numFmtId="0" fontId="6" fillId="29" borderId="0" xfId="0" applyFont="1" applyFill="1" applyAlignment="1" applyProtection="1">
      <alignment horizontal="center"/>
    </xf>
    <xf numFmtId="0" fontId="0" fillId="29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8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23" fillId="21" borderId="18" xfId="0" applyFont="1" applyFill="1" applyBorder="1" applyProtection="1">
      <protection locked="0"/>
    </xf>
    <xf numFmtId="0" fontId="0" fillId="21" borderId="18" xfId="0" applyFont="1" applyFill="1" applyBorder="1" applyProtection="1">
      <protection locked="0"/>
    </xf>
    <xf numFmtId="0" fontId="0" fillId="28" borderId="18" xfId="0" applyFont="1" applyFill="1" applyBorder="1" applyAlignment="1" applyProtection="1">
      <alignment horizontal="center" vertical="center"/>
    </xf>
    <xf numFmtId="0" fontId="0" fillId="0" borderId="2" xfId="0" applyFont="1" applyBorder="1"/>
    <xf numFmtId="0" fontId="0" fillId="0" borderId="0" xfId="0" applyFont="1" applyBorder="1"/>
    <xf numFmtId="0" fontId="0" fillId="28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8" borderId="2" xfId="0" applyFont="1" applyFill="1" applyBorder="1" applyAlignment="1">
      <alignment horizontal="center" vertical="center"/>
    </xf>
    <xf numFmtId="0" fontId="28" fillId="30" borderId="67" xfId="0" applyFont="1" applyFill="1" applyBorder="1" applyAlignment="1">
      <alignment horizontal="center" wrapText="1"/>
    </xf>
    <xf numFmtId="0" fontId="65" fillId="30" borderId="68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30" borderId="65" xfId="0" applyFont="1" applyFill="1" applyBorder="1" applyAlignment="1">
      <alignment horizontal="center" vertical="center"/>
    </xf>
    <xf numFmtId="168" fontId="0" fillId="0" borderId="65" xfId="0" applyNumberFormat="1" applyFont="1" applyBorder="1" applyAlignment="1">
      <alignment horizontal="center" vertical="center"/>
    </xf>
    <xf numFmtId="168" fontId="0" fillId="0" borderId="1" xfId="0" applyNumberFormat="1" applyFont="1" applyBorder="1" applyAlignment="1">
      <alignment horizontal="center" vertical="center"/>
    </xf>
    <xf numFmtId="168" fontId="15" fillId="30" borderId="1" xfId="0" applyNumberFormat="1" applyFont="1" applyFill="1" applyBorder="1" applyAlignment="1">
      <alignment horizontal="center" vertical="center"/>
    </xf>
    <xf numFmtId="168" fontId="15" fillId="30" borderId="65" xfId="0" applyNumberFormat="1" applyFont="1" applyFill="1" applyBorder="1" applyAlignment="1">
      <alignment horizontal="center" vertical="center"/>
    </xf>
    <xf numFmtId="0" fontId="0" fillId="30" borderId="68" xfId="0" applyFont="1" applyFill="1" applyBorder="1" applyAlignment="1">
      <alignment horizontal="center" vertical="center"/>
    </xf>
    <xf numFmtId="0" fontId="0" fillId="30" borderId="67" xfId="0" applyFont="1" applyFill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168" fontId="0" fillId="0" borderId="68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30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30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3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1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31" borderId="1" xfId="0" applyNumberFormat="1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9" fillId="9" borderId="43" xfId="0" applyFont="1" applyFill="1" applyBorder="1" applyAlignment="1">
      <alignment horizontal="center"/>
    </xf>
    <xf numFmtId="0" fontId="69" fillId="9" borderId="41" xfId="0" applyFont="1" applyFill="1" applyBorder="1" applyAlignment="1">
      <alignment horizontal="center"/>
    </xf>
    <xf numFmtId="0" fontId="69" fillId="9" borderId="42" xfId="0" applyFont="1" applyFill="1" applyBorder="1" applyAlignment="1">
      <alignment horizontal="center"/>
    </xf>
    <xf numFmtId="0" fontId="69" fillId="9" borderId="55" xfId="0" applyFont="1" applyFill="1" applyBorder="1" applyAlignment="1">
      <alignment horizontal="center"/>
    </xf>
    <xf numFmtId="0" fontId="69" fillId="9" borderId="56" xfId="0" applyFont="1" applyFill="1" applyBorder="1" applyAlignment="1">
      <alignment horizontal="center"/>
    </xf>
    <xf numFmtId="0" fontId="69" fillId="9" borderId="58" xfId="0" applyFont="1" applyFill="1" applyBorder="1" applyAlignment="1">
      <alignment horizontal="center"/>
    </xf>
    <xf numFmtId="0" fontId="69" fillId="9" borderId="0" xfId="0" applyFont="1" applyFill="1"/>
    <xf numFmtId="0" fontId="72" fillId="0" borderId="0" xfId="0" applyFont="1" applyAlignment="1">
      <alignment horizontal="center" vertical="center"/>
    </xf>
    <xf numFmtId="0" fontId="72" fillId="0" borderId="48" xfId="0" applyFont="1" applyBorder="1" applyAlignment="1">
      <alignment horizontal="center" vertical="center"/>
    </xf>
    <xf numFmtId="0" fontId="72" fillId="0" borderId="71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2" fillId="0" borderId="45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3" fillId="0" borderId="57" xfId="0" applyFont="1" applyBorder="1" applyAlignment="1">
      <alignment horizontal="center" vertical="center"/>
    </xf>
    <xf numFmtId="0" fontId="72" fillId="0" borderId="22" xfId="0" applyFont="1" applyBorder="1" applyAlignment="1">
      <alignment horizontal="center" vertical="center"/>
    </xf>
    <xf numFmtId="0" fontId="74" fillId="0" borderId="73" xfId="0" applyFont="1" applyBorder="1" applyAlignment="1">
      <alignment horizontal="center" vertical="center"/>
    </xf>
    <xf numFmtId="1" fontId="75" fillId="0" borderId="59" xfId="0" applyNumberFormat="1" applyFont="1" applyBorder="1" applyAlignment="1">
      <alignment horizontal="center" vertical="center"/>
    </xf>
    <xf numFmtId="1" fontId="75" fillId="0" borderId="10" xfId="0" applyNumberFormat="1" applyFont="1" applyBorder="1" applyAlignment="1">
      <alignment horizontal="center" vertical="center"/>
    </xf>
    <xf numFmtId="168" fontId="75" fillId="0" borderId="18" xfId="0" applyNumberFormat="1" applyFont="1" applyBorder="1" applyAlignment="1">
      <alignment horizontal="center" vertical="center"/>
    </xf>
    <xf numFmtId="168" fontId="75" fillId="0" borderId="10" xfId="0" applyNumberFormat="1" applyFont="1" applyBorder="1" applyAlignment="1">
      <alignment horizontal="center" vertical="center"/>
    </xf>
    <xf numFmtId="168" fontId="75" fillId="0" borderId="74" xfId="0" applyNumberFormat="1" applyFont="1" applyBorder="1" applyAlignment="1">
      <alignment horizontal="center" vertical="center"/>
    </xf>
    <xf numFmtId="168" fontId="75" fillId="0" borderId="59" xfId="0" applyNumberFormat="1" applyFont="1" applyBorder="1" applyAlignment="1">
      <alignment horizontal="center" vertical="center"/>
    </xf>
    <xf numFmtId="170" fontId="75" fillId="0" borderId="10" xfId="0" applyNumberFormat="1" applyFont="1" applyBorder="1" applyAlignment="1">
      <alignment horizontal="center" vertical="center"/>
    </xf>
    <xf numFmtId="170" fontId="75" fillId="0" borderId="75" xfId="0" applyNumberFormat="1" applyFont="1" applyBorder="1" applyAlignment="1">
      <alignment horizontal="center" vertical="center"/>
    </xf>
    <xf numFmtId="170" fontId="75" fillId="0" borderId="76" xfId="0" applyNumberFormat="1" applyFont="1" applyBorder="1" applyAlignment="1">
      <alignment horizontal="center" vertical="center"/>
    </xf>
    <xf numFmtId="0" fontId="74" fillId="0" borderId="77" xfId="0" applyFont="1" applyBorder="1" applyAlignment="1">
      <alignment horizontal="center" vertical="center"/>
    </xf>
    <xf numFmtId="1" fontId="75" fillId="0" borderId="48" xfId="0" applyNumberFormat="1" applyFont="1" applyBorder="1" applyAlignment="1">
      <alignment horizontal="center" vertical="center"/>
    </xf>
    <xf numFmtId="1" fontId="75" fillId="0" borderId="18" xfId="0" applyNumberFormat="1" applyFont="1" applyBorder="1" applyAlignment="1">
      <alignment horizontal="center" vertical="center"/>
    </xf>
    <xf numFmtId="168" fontId="75" fillId="0" borderId="20" xfId="0" applyNumberFormat="1" applyFont="1" applyBorder="1" applyAlignment="1">
      <alignment horizontal="center" vertical="center"/>
    </xf>
    <xf numFmtId="168" fontId="75" fillId="0" borderId="48" xfId="0" applyNumberFormat="1" applyFont="1" applyBorder="1" applyAlignment="1">
      <alignment horizontal="center" vertical="center"/>
    </xf>
    <xf numFmtId="170" fontId="75" fillId="0" borderId="18" xfId="0" applyNumberFormat="1" applyFont="1" applyBorder="1" applyAlignment="1">
      <alignment horizontal="center" vertical="center"/>
    </xf>
    <xf numFmtId="170" fontId="75" fillId="0" borderId="21" xfId="0" applyNumberFormat="1" applyFont="1" applyBorder="1" applyAlignment="1">
      <alignment horizontal="center" vertical="center"/>
    </xf>
    <xf numFmtId="170" fontId="75" fillId="0" borderId="19" xfId="0" applyNumberFormat="1" applyFont="1" applyBorder="1" applyAlignment="1">
      <alignment horizontal="center" vertical="center"/>
    </xf>
    <xf numFmtId="170" fontId="75" fillId="0" borderId="20" xfId="0" applyNumberFormat="1" applyFont="1" applyBorder="1" applyAlignment="1">
      <alignment horizontal="center" vertical="center"/>
    </xf>
    <xf numFmtId="170" fontId="75" fillId="0" borderId="48" xfId="0" applyNumberFormat="1" applyFont="1" applyBorder="1" applyAlignment="1">
      <alignment horizontal="center" vertical="center"/>
    </xf>
    <xf numFmtId="168" fontId="72" fillId="0" borderId="18" xfId="0" applyNumberFormat="1" applyFont="1" applyBorder="1" applyAlignment="1">
      <alignment horizontal="center" vertical="center"/>
    </xf>
    <xf numFmtId="0" fontId="74" fillId="0" borderId="52" xfId="0" applyFont="1" applyBorder="1" applyAlignment="1">
      <alignment horizontal="center" vertical="center"/>
    </xf>
    <xf numFmtId="1" fontId="75" fillId="0" borderId="14" xfId="0" applyNumberFormat="1" applyFont="1" applyBorder="1" applyAlignment="1">
      <alignment horizontal="center" vertical="center"/>
    </xf>
    <xf numFmtId="168" fontId="75" fillId="0" borderId="14" xfId="0" applyNumberFormat="1" applyFont="1" applyBorder="1" applyAlignment="1">
      <alignment horizontal="center" vertical="center"/>
    </xf>
    <xf numFmtId="168" fontId="75" fillId="0" borderId="15" xfId="0" applyNumberFormat="1" applyFont="1" applyBorder="1" applyAlignment="1">
      <alignment horizontal="center" vertical="center"/>
    </xf>
    <xf numFmtId="0" fontId="74" fillId="14" borderId="52" xfId="0" applyFont="1" applyFill="1" applyBorder="1" applyAlignment="1">
      <alignment horizontal="center" vertical="center"/>
    </xf>
    <xf numFmtId="1" fontId="76" fillId="0" borderId="78" xfId="0" applyNumberFormat="1" applyFont="1" applyBorder="1" applyAlignment="1">
      <alignment horizontal="center" vertical="center"/>
    </xf>
    <xf numFmtId="1" fontId="76" fillId="0" borderId="79" xfId="0" applyNumberFormat="1" applyFont="1" applyBorder="1" applyAlignment="1">
      <alignment horizontal="center" vertical="center"/>
    </xf>
    <xf numFmtId="1" fontId="76" fillId="0" borderId="80" xfId="0" applyNumberFormat="1" applyFont="1" applyBorder="1" applyAlignment="1">
      <alignment horizontal="center" vertical="center"/>
    </xf>
    <xf numFmtId="1" fontId="76" fillId="0" borderId="32" xfId="0" applyNumberFormat="1" applyFont="1" applyBorder="1" applyAlignment="1">
      <alignment horizontal="center" vertical="center"/>
    </xf>
    <xf numFmtId="1" fontId="76" fillId="0" borderId="33" xfId="0" applyNumberFormat="1" applyFont="1" applyBorder="1" applyAlignment="1">
      <alignment horizontal="center" vertical="center"/>
    </xf>
    <xf numFmtId="1" fontId="76" fillId="0" borderId="34" xfId="0" applyNumberFormat="1" applyFont="1" applyBorder="1" applyAlignment="1">
      <alignment horizontal="center" vertical="center"/>
    </xf>
    <xf numFmtId="0" fontId="76" fillId="0" borderId="32" xfId="0" applyFont="1" applyBorder="1" applyAlignment="1">
      <alignment horizontal="center" vertical="center"/>
    </xf>
    <xf numFmtId="177" fontId="76" fillId="0" borderId="81" xfId="0" applyNumberFormat="1" applyFont="1" applyBorder="1" applyAlignment="1">
      <alignment horizontal="center" vertical="center"/>
    </xf>
    <xf numFmtId="177" fontId="76" fillId="0" borderId="82" xfId="0" applyNumberFormat="1" applyFont="1" applyBorder="1" applyAlignment="1">
      <alignment horizontal="center" vertical="center"/>
    </xf>
    <xf numFmtId="177" fontId="76" fillId="0" borderId="78" xfId="0" applyNumberFormat="1" applyFont="1" applyBorder="1" applyAlignment="1">
      <alignment horizontal="center" vertical="center"/>
    </xf>
    <xf numFmtId="177" fontId="76" fillId="0" borderId="79" xfId="0" applyNumberFormat="1" applyFont="1" applyBorder="1" applyAlignment="1">
      <alignment horizontal="center" vertical="center"/>
    </xf>
    <xf numFmtId="0" fontId="72" fillId="9" borderId="43" xfId="0" applyFont="1" applyFill="1" applyBorder="1" applyAlignment="1">
      <alignment horizontal="left"/>
    </xf>
    <xf numFmtId="0" fontId="72" fillId="9" borderId="41" xfId="0" applyFont="1" applyFill="1" applyBorder="1" applyAlignment="1">
      <alignment horizontal="left"/>
    </xf>
    <xf numFmtId="0" fontId="72" fillId="9" borderId="0" xfId="0" applyFont="1" applyFill="1" applyBorder="1" applyAlignment="1">
      <alignment horizontal="left"/>
    </xf>
    <xf numFmtId="0" fontId="72" fillId="0" borderId="0" xfId="0" applyFont="1"/>
    <xf numFmtId="0" fontId="72" fillId="9" borderId="51" xfId="0" applyFont="1" applyFill="1" applyBorder="1" applyAlignment="1">
      <alignment horizontal="left"/>
    </xf>
    <xf numFmtId="0" fontId="72" fillId="9" borderId="86" xfId="0" applyFont="1" applyFill="1" applyBorder="1"/>
    <xf numFmtId="0" fontId="72" fillId="9" borderId="87" xfId="0" applyFont="1" applyFill="1" applyBorder="1"/>
    <xf numFmtId="0" fontId="72" fillId="9" borderId="52" xfId="0" applyFont="1" applyFill="1" applyBorder="1"/>
    <xf numFmtId="0" fontId="72" fillId="9" borderId="0" xfId="0" applyFont="1" applyFill="1" applyBorder="1"/>
    <xf numFmtId="0" fontId="72" fillId="9" borderId="0" xfId="0" applyFont="1" applyFill="1" applyBorder="1" applyAlignment="1"/>
    <xf numFmtId="0" fontId="69" fillId="9" borderId="0" xfId="0" applyFont="1" applyFill="1" applyBorder="1" applyAlignment="1"/>
    <xf numFmtId="0" fontId="72" fillId="9" borderId="0" xfId="0" applyFont="1" applyFill="1" applyBorder="1" applyAlignment="1">
      <alignment vertical="top"/>
    </xf>
    <xf numFmtId="0" fontId="69" fillId="9" borderId="0" xfId="0" applyFont="1" applyFill="1" applyBorder="1" applyAlignment="1">
      <alignment horizontal="center"/>
    </xf>
    <xf numFmtId="0" fontId="78" fillId="9" borderId="0" xfId="0" applyFont="1" applyFill="1" applyBorder="1" applyAlignment="1">
      <alignment horizontal="center"/>
    </xf>
    <xf numFmtId="0" fontId="69" fillId="9" borderId="51" xfId="0" applyFont="1" applyFill="1" applyBorder="1" applyAlignment="1">
      <alignment horizontal="center"/>
    </xf>
    <xf numFmtId="0" fontId="72" fillId="9" borderId="55" xfId="0" applyFont="1" applyFill="1" applyBorder="1"/>
    <xf numFmtId="0" fontId="72" fillId="9" borderId="56" xfId="0" applyFont="1" applyFill="1" applyBorder="1"/>
    <xf numFmtId="0" fontId="79" fillId="0" borderId="2" xfId="0" applyFont="1" applyBorder="1" applyAlignment="1">
      <alignment horizontal="center"/>
    </xf>
    <xf numFmtId="0" fontId="79" fillId="0" borderId="0" xfId="0" applyFont="1" applyBorder="1" applyAlignment="1"/>
    <xf numFmtId="0" fontId="79" fillId="0" borderId="52" xfId="0" applyFont="1" applyBorder="1" applyAlignment="1"/>
    <xf numFmtId="170" fontId="72" fillId="0" borderId="18" xfId="0" applyNumberFormat="1" applyFont="1" applyBorder="1"/>
    <xf numFmtId="170" fontId="72" fillId="0" borderId="13" xfId="0" applyNumberFormat="1" applyFont="1" applyBorder="1"/>
    <xf numFmtId="1" fontId="72" fillId="0" borderId="48" xfId="0" applyNumberFormat="1" applyFont="1" applyBorder="1" applyAlignment="1">
      <alignment horizontal="center" vertical="center"/>
    </xf>
    <xf numFmtId="1" fontId="72" fillId="0" borderId="18" xfId="0" applyNumberFormat="1" applyFont="1" applyBorder="1"/>
    <xf numFmtId="1" fontId="72" fillId="0" borderId="18" xfId="0" applyNumberFormat="1" applyFont="1" applyBorder="1" applyAlignment="1">
      <alignment horizontal="center"/>
    </xf>
    <xf numFmtId="168" fontId="72" fillId="0" borderId="18" xfId="0" applyNumberFormat="1" applyFont="1" applyBorder="1"/>
    <xf numFmtId="0" fontId="72" fillId="0" borderId="18" xfId="0" applyFont="1" applyBorder="1"/>
    <xf numFmtId="0" fontId="72" fillId="0" borderId="18" xfId="0" applyFont="1" applyBorder="1" applyAlignment="1">
      <alignment horizontal="center"/>
    </xf>
    <xf numFmtId="0" fontId="72" fillId="0" borderId="14" xfId="0" applyFont="1" applyBorder="1"/>
    <xf numFmtId="0" fontId="72" fillId="0" borderId="14" xfId="0" applyFont="1" applyBorder="1" applyAlignment="1">
      <alignment horizontal="center"/>
    </xf>
    <xf numFmtId="0" fontId="74" fillId="0" borderId="2" xfId="0" applyFont="1" applyBorder="1"/>
    <xf numFmtId="0" fontId="74" fillId="0" borderId="34" xfId="0" applyFont="1" applyBorder="1" applyAlignment="1">
      <alignment horizontal="center"/>
    </xf>
    <xf numFmtId="0" fontId="79" fillId="0" borderId="7" xfId="0" applyFont="1" applyBorder="1" applyAlignment="1">
      <alignment horizontal="left"/>
    </xf>
    <xf numFmtId="0" fontId="79" fillId="0" borderId="7" xfId="0" applyFont="1" applyBorder="1"/>
    <xf numFmtId="0" fontId="79" fillId="0" borderId="7" xfId="0" applyFont="1" applyBorder="1" applyAlignment="1">
      <alignment horizontal="center"/>
    </xf>
    <xf numFmtId="170" fontId="72" fillId="0" borderId="2" xfId="0" applyNumberFormat="1" applyFont="1" applyBorder="1" applyAlignment="1">
      <alignment horizontal="center"/>
    </xf>
    <xf numFmtId="1" fontId="72" fillId="0" borderId="2" xfId="0" applyNumberFormat="1" applyFont="1" applyBorder="1" applyAlignment="1">
      <alignment horizontal="center"/>
    </xf>
    <xf numFmtId="170" fontId="74" fillId="0" borderId="2" xfId="0" applyNumberFormat="1" applyFont="1" applyBorder="1" applyAlignment="1">
      <alignment horizontal="center"/>
    </xf>
    <xf numFmtId="168" fontId="72" fillId="0" borderId="2" xfId="0" applyNumberFormat="1" applyFont="1" applyBorder="1" applyAlignment="1">
      <alignment horizontal="center"/>
    </xf>
    <xf numFmtId="0" fontId="72" fillId="0" borderId="2" xfId="0" applyFont="1" applyBorder="1" applyAlignment="1">
      <alignment horizontal="center"/>
    </xf>
    <xf numFmtId="0" fontId="69" fillId="9" borderId="0" xfId="0" applyFont="1" applyFill="1" applyBorder="1"/>
    <xf numFmtId="0" fontId="69" fillId="9" borderId="51" xfId="0" applyFont="1" applyFill="1" applyBorder="1"/>
    <xf numFmtId="0" fontId="72" fillId="0" borderId="73" xfId="0" applyFont="1" applyBorder="1" applyAlignment="1">
      <alignment horizontal="center" vertical="center"/>
    </xf>
    <xf numFmtId="170" fontId="72" fillId="0" borderId="59" xfId="0" applyNumberFormat="1" applyFont="1" applyBorder="1" applyAlignment="1">
      <alignment horizontal="center" vertical="center"/>
    </xf>
    <xf numFmtId="170" fontId="72" fillId="0" borderId="10" xfId="0" applyNumberFormat="1" applyFont="1" applyBorder="1" applyAlignment="1">
      <alignment horizontal="center" vertical="center"/>
    </xf>
    <xf numFmtId="168" fontId="82" fillId="0" borderId="10" xfId="0" applyNumberFormat="1" applyFont="1" applyBorder="1" applyAlignment="1">
      <alignment horizontal="center" vertical="center"/>
    </xf>
    <xf numFmtId="2" fontId="75" fillId="0" borderId="10" xfId="0" applyNumberFormat="1" applyFont="1" applyBorder="1" applyAlignment="1">
      <alignment horizontal="center" vertical="center"/>
    </xf>
    <xf numFmtId="2" fontId="75" fillId="0" borderId="75" xfId="0" applyNumberFormat="1" applyFont="1" applyBorder="1" applyAlignment="1">
      <alignment horizontal="center" vertical="center"/>
    </xf>
    <xf numFmtId="0" fontId="72" fillId="0" borderId="77" xfId="0" applyFont="1" applyBorder="1" applyAlignment="1">
      <alignment horizontal="center" vertical="center"/>
    </xf>
    <xf numFmtId="170" fontId="72" fillId="0" borderId="48" xfId="0" applyNumberFormat="1" applyFont="1" applyBorder="1" applyAlignment="1">
      <alignment horizontal="center" vertical="center"/>
    </xf>
    <xf numFmtId="170" fontId="72" fillId="0" borderId="18" xfId="0" applyNumberFormat="1" applyFont="1" applyBorder="1" applyAlignment="1">
      <alignment horizontal="center" vertical="center"/>
    </xf>
    <xf numFmtId="168" fontId="82" fillId="0" borderId="18" xfId="0" applyNumberFormat="1" applyFont="1" applyBorder="1" applyAlignment="1">
      <alignment horizontal="center" vertical="center"/>
    </xf>
    <xf numFmtId="2" fontId="75" fillId="0" borderId="18" xfId="0" applyNumberFormat="1" applyFont="1" applyBorder="1" applyAlignment="1">
      <alignment horizontal="center" vertical="center"/>
    </xf>
    <xf numFmtId="2" fontId="75" fillId="0" borderId="21" xfId="0" applyNumberFormat="1" applyFont="1" applyBorder="1" applyAlignment="1">
      <alignment horizontal="center" vertical="center"/>
    </xf>
    <xf numFmtId="0" fontId="72" fillId="0" borderId="0" xfId="0" applyFont="1" applyBorder="1" applyAlignment="1">
      <alignment horizontal="center" vertical="center"/>
    </xf>
    <xf numFmtId="0" fontId="76" fillId="0" borderId="78" xfId="0" applyFont="1" applyBorder="1" applyAlignment="1">
      <alignment vertical="center"/>
    </xf>
    <xf numFmtId="178" fontId="76" fillId="0" borderId="79" xfId="0" applyNumberFormat="1" applyFont="1" applyBorder="1" applyAlignment="1">
      <alignment horizontal="center" vertical="center"/>
    </xf>
    <xf numFmtId="0" fontId="72" fillId="9" borderId="43" xfId="0" applyFont="1" applyFill="1" applyBorder="1"/>
    <xf numFmtId="0" fontId="72" fillId="9" borderId="41" xfId="0" applyFont="1" applyFill="1" applyBorder="1"/>
    <xf numFmtId="0" fontId="78" fillId="9" borderId="51" xfId="0" applyFont="1" applyFill="1" applyBorder="1" applyAlignment="1">
      <alignment horizontal="center"/>
    </xf>
    <xf numFmtId="0" fontId="69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9" fillId="9" borderId="1" xfId="0" applyFont="1" applyFill="1" applyBorder="1"/>
    <xf numFmtId="0" fontId="72" fillId="9" borderId="1" xfId="0" applyFont="1" applyFill="1" applyBorder="1"/>
    <xf numFmtId="0" fontId="73" fillId="32" borderId="1" xfId="0" applyFont="1" applyFill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/>
    </xf>
    <xf numFmtId="0" fontId="72" fillId="32" borderId="1" xfId="0" applyFont="1" applyFill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3" fillId="32" borderId="1" xfId="0" applyFont="1" applyFill="1" applyBorder="1" applyAlignment="1">
      <alignment horizontal="center" vertical="center"/>
    </xf>
    <xf numFmtId="0" fontId="73" fillId="8" borderId="1" xfId="0" applyFont="1" applyFill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170" fontId="75" fillId="32" borderId="1" xfId="0" applyNumberFormat="1" applyFont="1" applyFill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170" fontId="75" fillId="0" borderId="1" xfId="0" applyNumberFormat="1" applyFont="1" applyBorder="1" applyAlignment="1">
      <alignment horizontal="center" vertical="center"/>
    </xf>
    <xf numFmtId="1" fontId="75" fillId="0" borderId="1" xfId="0" applyNumberFormat="1" applyFont="1" applyBorder="1" applyAlignment="1">
      <alignment horizontal="center" vertical="center"/>
    </xf>
    <xf numFmtId="168" fontId="75" fillId="0" borderId="1" xfId="0" applyNumberFormat="1" applyFont="1" applyBorder="1" applyAlignment="1">
      <alignment horizontal="center" vertical="center"/>
    </xf>
    <xf numFmtId="170" fontId="75" fillId="8" borderId="1" xfId="0" applyNumberFormat="1" applyFont="1" applyFill="1" applyBorder="1" applyAlignment="1">
      <alignment horizontal="center" vertical="center"/>
    </xf>
    <xf numFmtId="165" fontId="83" fillId="0" borderId="1" xfId="0" applyNumberFormat="1" applyFont="1" applyBorder="1" applyAlignment="1">
      <alignment horizontal="center" vertical="center"/>
    </xf>
    <xf numFmtId="179" fontId="72" fillId="0" borderId="1" xfId="0" applyNumberFormat="1" applyFont="1" applyBorder="1" applyAlignment="1">
      <alignment horizontal="center" vertical="center"/>
    </xf>
    <xf numFmtId="3" fontId="72" fillId="0" borderId="1" xfId="0" applyNumberFormat="1" applyFont="1" applyBorder="1" applyAlignment="1">
      <alignment horizontal="center" vertical="center"/>
    </xf>
    <xf numFmtId="1" fontId="75" fillId="33" borderId="1" xfId="0" applyNumberFormat="1" applyFont="1" applyFill="1" applyBorder="1" applyAlignment="1">
      <alignment horizontal="center" vertical="center"/>
    </xf>
    <xf numFmtId="1" fontId="0" fillId="34" borderId="1" xfId="0" applyNumberFormat="1" applyFill="1" applyBorder="1" applyAlignment="1">
      <alignment horizontal="center"/>
    </xf>
    <xf numFmtId="1" fontId="75" fillId="35" borderId="1" xfId="0" applyNumberFormat="1" applyFont="1" applyFill="1" applyBorder="1" applyAlignment="1">
      <alignment horizontal="center"/>
    </xf>
    <xf numFmtId="1" fontId="75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6" borderId="1" xfId="0" applyNumberFormat="1" applyFill="1" applyBorder="1" applyAlignment="1">
      <alignment horizontal="center"/>
    </xf>
    <xf numFmtId="1" fontId="0" fillId="37" borderId="1" xfId="0" applyNumberFormat="1" applyFill="1" applyBorder="1" applyAlignment="1">
      <alignment horizontal="center"/>
    </xf>
    <xf numFmtId="2" fontId="0" fillId="37" borderId="1" xfId="0" applyNumberFormat="1" applyFill="1" applyBorder="1" applyAlignment="1">
      <alignment horizontal="center" vertical="center"/>
    </xf>
    <xf numFmtId="168" fontId="75" fillId="32" borderId="1" xfId="0" applyNumberFormat="1" applyFont="1" applyFill="1" applyBorder="1" applyAlignment="1">
      <alignment horizontal="center" vertical="center"/>
    </xf>
    <xf numFmtId="2" fontId="75" fillId="32" borderId="1" xfId="0" applyNumberFormat="1" applyFont="1" applyFill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0" fontId="76" fillId="0" borderId="1" xfId="0" applyFont="1" applyBorder="1" applyAlignment="1">
      <alignment horizontal="center" vertical="center"/>
    </xf>
    <xf numFmtId="0" fontId="76" fillId="0" borderId="1" xfId="0" applyFont="1" applyBorder="1" applyAlignment="1">
      <alignment vertical="center"/>
    </xf>
    <xf numFmtId="3" fontId="76" fillId="0" borderId="1" xfId="0" applyNumberFormat="1" applyFont="1" applyBorder="1" applyAlignment="1">
      <alignment horizontal="center" vertical="center"/>
    </xf>
    <xf numFmtId="3" fontId="76" fillId="0" borderId="1" xfId="0" applyNumberFormat="1" applyFont="1" applyBorder="1" applyAlignment="1">
      <alignment vertical="center"/>
    </xf>
    <xf numFmtId="3" fontId="76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6" fillId="0" borderId="1" xfId="0" applyNumberFormat="1" applyFont="1" applyBorder="1" applyAlignment="1">
      <alignment horizontal="center" vertical="center"/>
    </xf>
    <xf numFmtId="177" fontId="76" fillId="0" borderId="1" xfId="0" applyNumberFormat="1" applyFont="1" applyBorder="1" applyAlignment="1">
      <alignment horizontal="center" vertical="center"/>
    </xf>
    <xf numFmtId="3" fontId="75" fillId="33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7" xfId="0" applyFont="1" applyFill="1" applyBorder="1"/>
    <xf numFmtId="0" fontId="77" fillId="9" borderId="86" xfId="0" applyFont="1" applyFill="1" applyBorder="1"/>
    <xf numFmtId="1" fontId="48" fillId="9" borderId="87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6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6" fillId="0" borderId="0" xfId="0" applyFont="1" applyBorder="1" applyAlignment="1">
      <alignment horizontal="center" vertical="center"/>
    </xf>
    <xf numFmtId="177" fontId="76" fillId="0" borderId="0" xfId="0" applyNumberFormat="1" applyFont="1" applyBorder="1" applyAlignment="1">
      <alignment horizontal="center" vertical="center"/>
    </xf>
    <xf numFmtId="177" fontId="76" fillId="9" borderId="0" xfId="0" applyNumberFormat="1" applyFont="1" applyFill="1" applyBorder="1" applyAlignment="1">
      <alignment horizontal="center" vertical="center"/>
    </xf>
    <xf numFmtId="3" fontId="75" fillId="9" borderId="0" xfId="0" applyNumberFormat="1" applyFont="1" applyFill="1" applyBorder="1" applyAlignment="1">
      <alignment horizontal="center" vertical="center"/>
    </xf>
    <xf numFmtId="0" fontId="75" fillId="9" borderId="0" xfId="0" applyFont="1" applyFill="1" applyBorder="1" applyAlignment="1">
      <alignment horizontal="center"/>
    </xf>
    <xf numFmtId="0" fontId="72" fillId="37" borderId="18" xfId="0" applyFont="1" applyFill="1" applyBorder="1"/>
    <xf numFmtId="4" fontId="72" fillId="37" borderId="18" xfId="0" applyNumberFormat="1" applyFont="1" applyFill="1" applyBorder="1"/>
    <xf numFmtId="3" fontId="72" fillId="0" borderId="0" xfId="0" applyNumberFormat="1" applyFont="1" applyBorder="1"/>
    <xf numFmtId="0" fontId="72" fillId="0" borderId="0" xfId="0" applyFont="1" applyBorder="1"/>
    <xf numFmtId="0" fontId="72" fillId="0" borderId="13" xfId="0" applyFont="1" applyBorder="1"/>
    <xf numFmtId="0" fontId="72" fillId="0" borderId="87" xfId="0" applyFont="1" applyBorder="1" applyAlignment="1">
      <alignment horizontal="center"/>
    </xf>
    <xf numFmtId="0" fontId="72" fillId="0" borderId="88" xfId="0" applyFont="1" applyBorder="1" applyAlignment="1">
      <alignment horizontal="center"/>
    </xf>
    <xf numFmtId="0" fontId="72" fillId="0" borderId="89" xfId="0" applyFont="1" applyBorder="1" applyAlignment="1">
      <alignment horizontal="center" vertical="center"/>
    </xf>
    <xf numFmtId="170" fontId="72" fillId="0" borderId="18" xfId="0" applyNumberFormat="1" applyFont="1" applyBorder="1" applyAlignment="1">
      <alignment horizontal="center"/>
    </xf>
    <xf numFmtId="170" fontId="72" fillId="0" borderId="0" xfId="0" applyNumberFormat="1" applyFont="1"/>
    <xf numFmtId="170" fontId="80" fillId="0" borderId="18" xfId="0" applyNumberFormat="1" applyFont="1" applyBorder="1" applyAlignment="1"/>
    <xf numFmtId="0" fontId="79" fillId="0" borderId="18" xfId="0" applyFont="1" applyBorder="1" applyAlignment="1"/>
    <xf numFmtId="168" fontId="72" fillId="0" borderId="18" xfId="0" applyNumberFormat="1" applyFont="1" applyBorder="1" applyAlignment="1">
      <alignment horizontal="center"/>
    </xf>
    <xf numFmtId="168" fontId="72" fillId="0" borderId="14" xfId="0" applyNumberFormat="1" applyFont="1" applyBorder="1" applyAlignment="1">
      <alignment horizontal="center"/>
    </xf>
    <xf numFmtId="168" fontId="72" fillId="0" borderId="78" xfId="0" applyNumberFormat="1" applyFont="1" applyBorder="1" applyAlignment="1">
      <alignment horizontal="center"/>
    </xf>
    <xf numFmtId="168" fontId="72" fillId="0" borderId="79" xfId="0" applyNumberFormat="1" applyFont="1" applyBorder="1" applyAlignment="1">
      <alignment horizontal="center"/>
    </xf>
    <xf numFmtId="168" fontId="72" fillId="0" borderId="80" xfId="0" applyNumberFormat="1" applyFont="1" applyBorder="1" applyAlignment="1">
      <alignment horizontal="center"/>
    </xf>
    <xf numFmtId="2" fontId="75" fillId="0" borderId="0" xfId="0" applyNumberFormat="1" applyFont="1" applyBorder="1" applyAlignment="1">
      <alignment horizontal="center" vertical="center"/>
    </xf>
    <xf numFmtId="0" fontId="72" fillId="0" borderId="90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3" fillId="0" borderId="14" xfId="0" applyFont="1" applyBorder="1" applyAlignment="1">
      <alignment horizontal="center" vertical="center"/>
    </xf>
    <xf numFmtId="0" fontId="72" fillId="0" borderId="91" xfId="0" applyFont="1" applyBorder="1" applyAlignment="1">
      <alignment horizontal="center" vertical="center"/>
    </xf>
    <xf numFmtId="0" fontId="72" fillId="0" borderId="77" xfId="0" applyFont="1" applyBorder="1" applyAlignment="1">
      <alignment horizontal="center" vertical="center" textRotation="255"/>
    </xf>
    <xf numFmtId="168" fontId="72" fillId="0" borderId="59" xfId="0" applyNumberFormat="1" applyFont="1" applyBorder="1" applyAlignment="1">
      <alignment horizontal="center" vertical="center"/>
    </xf>
    <xf numFmtId="168" fontId="72" fillId="0" borderId="10" xfId="0" applyNumberFormat="1" applyFont="1" applyBorder="1" applyAlignment="1">
      <alignment horizontal="center" vertical="center"/>
    </xf>
    <xf numFmtId="168" fontId="72" fillId="0" borderId="75" xfId="0" applyNumberFormat="1" applyFont="1" applyBorder="1" applyAlignment="1">
      <alignment horizontal="center" vertical="center"/>
    </xf>
    <xf numFmtId="0" fontId="72" fillId="0" borderId="86" xfId="0" applyFont="1" applyBorder="1" applyAlignment="1">
      <alignment horizontal="center" vertical="center"/>
    </xf>
    <xf numFmtId="170" fontId="76" fillId="0" borderId="0" xfId="0" applyNumberFormat="1" applyFont="1" applyBorder="1" applyAlignment="1">
      <alignment horizontal="center" vertical="center"/>
    </xf>
    <xf numFmtId="170" fontId="76" fillId="0" borderId="2" xfId="0" applyNumberFormat="1" applyFont="1" applyBorder="1" applyAlignment="1">
      <alignment horizontal="center" vertical="center"/>
    </xf>
    <xf numFmtId="168" fontId="72" fillId="0" borderId="48" xfId="0" applyNumberFormat="1" applyFont="1" applyBorder="1" applyAlignment="1">
      <alignment horizontal="center" vertical="center"/>
    </xf>
    <xf numFmtId="0" fontId="72" fillId="0" borderId="49" xfId="0" applyFont="1" applyBorder="1" applyAlignment="1">
      <alignment horizontal="center" vertical="center"/>
    </xf>
    <xf numFmtId="176" fontId="92" fillId="9" borderId="1" xfId="0" applyNumberFormat="1" applyFont="1" applyFill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76" fillId="0" borderId="1" xfId="0" applyFont="1" applyBorder="1" applyAlignment="1">
      <alignment horizontal="center"/>
    </xf>
    <xf numFmtId="0" fontId="76" fillId="0" borderId="0" xfId="0" applyFont="1" applyAlignment="1">
      <alignment horizontal="left"/>
    </xf>
    <xf numFmtId="0" fontId="76" fillId="0" borderId="0" xfId="0" applyFont="1"/>
    <xf numFmtId="0" fontId="75" fillId="0" borderId="0" xfId="0" applyFont="1"/>
    <xf numFmtId="0" fontId="9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6" fillId="0" borderId="1" xfId="0" applyNumberFormat="1" applyFont="1" applyBorder="1" applyAlignment="1">
      <alignment horizontal="center"/>
    </xf>
    <xf numFmtId="0" fontId="77" fillId="0" borderId="0" xfId="0" applyFont="1" applyBorder="1"/>
    <xf numFmtId="0" fontId="88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4" fillId="9" borderId="1" xfId="0" applyFont="1" applyFill="1" applyBorder="1"/>
    <xf numFmtId="1" fontId="94" fillId="9" borderId="1" xfId="0" applyNumberFormat="1" applyFont="1" applyFill="1" applyBorder="1" applyAlignment="1">
      <alignment horizontal="center"/>
    </xf>
    <xf numFmtId="168" fontId="94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4" fillId="9" borderId="1" xfId="0" applyFont="1" applyFill="1" applyBorder="1" applyAlignment="1">
      <alignment horizontal="center"/>
    </xf>
    <xf numFmtId="0" fontId="94" fillId="4" borderId="1" xfId="0" applyFont="1" applyFill="1" applyBorder="1"/>
    <xf numFmtId="0" fontId="94" fillId="38" borderId="1" xfId="0" applyFont="1" applyFill="1" applyBorder="1" applyAlignment="1">
      <alignment horizontal="center"/>
    </xf>
    <xf numFmtId="0" fontId="94" fillId="0" borderId="18" xfId="0" applyFont="1" applyBorder="1" applyAlignment="1">
      <alignment horizontal="center" vertical="center"/>
    </xf>
    <xf numFmtId="0" fontId="94" fillId="9" borderId="32" xfId="0" applyFont="1" applyFill="1" applyBorder="1"/>
    <xf numFmtId="0" fontId="94" fillId="9" borderId="34" xfId="0" applyFont="1" applyFill="1" applyBorder="1"/>
    <xf numFmtId="0" fontId="77" fillId="0" borderId="83" xfId="0" applyFont="1" applyBorder="1" applyAlignment="1">
      <alignment horizontal="center"/>
    </xf>
    <xf numFmtId="168" fontId="77" fillId="0" borderId="83" xfId="0" applyNumberFormat="1" applyFont="1" applyBorder="1" applyAlignment="1">
      <alignment horizontal="center"/>
    </xf>
    <xf numFmtId="168" fontId="77" fillId="0" borderId="85" xfId="0" applyNumberFormat="1" applyFont="1" applyBorder="1" applyAlignment="1">
      <alignment horizontal="center"/>
    </xf>
    <xf numFmtId="0" fontId="77" fillId="0" borderId="18" xfId="0" applyFont="1" applyBorder="1"/>
    <xf numFmtId="0" fontId="98" fillId="0" borderId="33" xfId="0" applyFont="1" applyBorder="1" applyAlignment="1">
      <alignment vertical="center"/>
    </xf>
    <xf numFmtId="0" fontId="99" fillId="0" borderId="33" xfId="0" applyFont="1" applyBorder="1" applyAlignment="1">
      <alignment horizontal="center" vertical="center"/>
    </xf>
    <xf numFmtId="0" fontId="98" fillId="0" borderId="34" xfId="0" applyFont="1" applyBorder="1" applyAlignment="1">
      <alignment vertical="center"/>
    </xf>
    <xf numFmtId="0" fontId="100" fillId="4" borderId="73" xfId="0" applyFont="1" applyFill="1" applyBorder="1"/>
    <xf numFmtId="0" fontId="100" fillId="0" borderId="61" xfId="0" applyFont="1" applyBorder="1" applyAlignment="1">
      <alignment horizontal="center" vertical="center"/>
    </xf>
    <xf numFmtId="0" fontId="100" fillId="0" borderId="14" xfId="0" applyFont="1" applyBorder="1" applyAlignment="1">
      <alignment horizontal="center" vertical="center"/>
    </xf>
    <xf numFmtId="0" fontId="100" fillId="0" borderId="90" xfId="0" applyFont="1" applyBorder="1" applyAlignment="1">
      <alignment horizontal="center" vertical="center"/>
    </xf>
    <xf numFmtId="0" fontId="100" fillId="0" borderId="91" xfId="0" applyFont="1" applyBorder="1" applyAlignment="1">
      <alignment horizontal="center" vertical="center"/>
    </xf>
    <xf numFmtId="0" fontId="100" fillId="0" borderId="15" xfId="0" applyFont="1" applyBorder="1" applyAlignment="1">
      <alignment horizontal="center" vertical="center"/>
    </xf>
    <xf numFmtId="0" fontId="100" fillId="0" borderId="57" xfId="0" applyFont="1" applyBorder="1" applyAlignment="1">
      <alignment horizontal="center" vertical="center"/>
    </xf>
    <xf numFmtId="0" fontId="100" fillId="0" borderId="45" xfId="0" applyFont="1" applyBorder="1" applyAlignment="1">
      <alignment horizontal="center" vertical="center"/>
    </xf>
    <xf numFmtId="0" fontId="100" fillId="37" borderId="72" xfId="0" applyFont="1" applyFill="1" applyBorder="1" applyAlignment="1">
      <alignment horizontal="center" vertical="center" wrapText="1"/>
    </xf>
    <xf numFmtId="0" fontId="100" fillId="37" borderId="14" xfId="0" applyFont="1" applyFill="1" applyBorder="1" applyAlignment="1">
      <alignment horizontal="center" vertical="center" wrapText="1"/>
    </xf>
    <xf numFmtId="0" fontId="100" fillId="37" borderId="15" xfId="0" applyFont="1" applyFill="1" applyBorder="1" applyAlignment="1">
      <alignment horizontal="center" vertical="center" wrapText="1"/>
    </xf>
    <xf numFmtId="0" fontId="100" fillId="8" borderId="90" xfId="0" applyFont="1" applyFill="1" applyBorder="1" applyAlignment="1">
      <alignment horizontal="center" vertical="center" wrapText="1"/>
    </xf>
    <xf numFmtId="0" fontId="100" fillId="8" borderId="14" xfId="0" applyFont="1" applyFill="1" applyBorder="1" applyAlignment="1">
      <alignment horizontal="center" vertical="center" wrapText="1"/>
    </xf>
    <xf numFmtId="0" fontId="100" fillId="8" borderId="91" xfId="0" applyFont="1" applyFill="1" applyBorder="1" applyAlignment="1">
      <alignment horizontal="center" vertical="center" wrapText="1"/>
    </xf>
    <xf numFmtId="0" fontId="102" fillId="0" borderId="73" xfId="0" applyFont="1" applyBorder="1" applyAlignment="1">
      <alignment horizontal="left"/>
    </xf>
    <xf numFmtId="3" fontId="102" fillId="0" borderId="97" xfId="0" applyNumberFormat="1" applyFont="1" applyBorder="1" applyAlignment="1" applyProtection="1">
      <alignment horizontal="center"/>
      <protection locked="0"/>
    </xf>
    <xf numFmtId="3" fontId="102" fillId="33" borderId="53" xfId="0" applyNumberFormat="1" applyFont="1" applyFill="1" applyBorder="1" applyAlignment="1" applyProtection="1">
      <alignment horizontal="center"/>
      <protection locked="0"/>
    </xf>
    <xf numFmtId="3" fontId="102" fillId="34" borderId="53" xfId="0" applyNumberFormat="1" applyFont="1" applyFill="1" applyBorder="1" applyAlignment="1" applyProtection="1">
      <alignment horizontal="center"/>
      <protection locked="0"/>
    </xf>
    <xf numFmtId="1" fontId="102" fillId="34" borderId="53" xfId="0" applyNumberFormat="1" applyFont="1" applyFill="1" applyBorder="1" applyAlignment="1" applyProtection="1">
      <alignment horizontal="center"/>
      <protection locked="0"/>
    </xf>
    <xf numFmtId="1" fontId="102" fillId="8" borderId="53" xfId="0" applyNumberFormat="1" applyFont="1" applyFill="1" applyBorder="1" applyAlignment="1" applyProtection="1">
      <alignment horizontal="center" wrapText="1"/>
      <protection locked="0"/>
    </xf>
    <xf numFmtId="1" fontId="102" fillId="8" borderId="42" xfId="0" applyNumberFormat="1" applyFont="1" applyFill="1" applyBorder="1" applyAlignment="1" applyProtection="1">
      <alignment horizontal="center" wrapText="1"/>
      <protection locked="0"/>
    </xf>
    <xf numFmtId="3" fontId="102" fillId="35" borderId="97" xfId="0" applyNumberFormat="1" applyFont="1" applyFill="1" applyBorder="1" applyAlignment="1" applyProtection="1">
      <alignment horizontal="center"/>
      <protection locked="0"/>
    </xf>
    <xf numFmtId="1" fontId="102" fillId="35" borderId="53" xfId="0" applyNumberFormat="1" applyFont="1" applyFill="1" applyBorder="1" applyAlignment="1" applyProtection="1">
      <alignment horizontal="center"/>
      <protection locked="0"/>
    </xf>
    <xf numFmtId="1" fontId="102" fillId="35" borderId="53" xfId="0" applyNumberFormat="1" applyFont="1" applyFill="1" applyBorder="1" applyAlignment="1" applyProtection="1">
      <alignment horizontal="center" wrapText="1"/>
      <protection locked="0"/>
    </xf>
    <xf numFmtId="1" fontId="102" fillId="35" borderId="98" xfId="0" applyNumberFormat="1" applyFont="1" applyFill="1" applyBorder="1" applyAlignment="1" applyProtection="1">
      <alignment horizontal="center" wrapText="1"/>
      <protection locked="0"/>
    </xf>
    <xf numFmtId="1" fontId="102" fillId="39" borderId="98" xfId="0" applyNumberFormat="1" applyFont="1" applyFill="1" applyBorder="1" applyAlignment="1" applyProtection="1">
      <alignment horizontal="center" wrapText="1"/>
      <protection locked="0"/>
    </xf>
    <xf numFmtId="3" fontId="102" fillId="37" borderId="97" xfId="0" applyNumberFormat="1" applyFont="1" applyFill="1" applyBorder="1" applyAlignment="1" applyProtection="1">
      <alignment horizontal="center"/>
      <protection locked="0"/>
    </xf>
    <xf numFmtId="1" fontId="102" fillId="37" borderId="53" xfId="0" applyNumberFormat="1" applyFont="1" applyFill="1" applyBorder="1" applyAlignment="1" applyProtection="1">
      <alignment horizontal="center"/>
      <protection locked="0"/>
    </xf>
    <xf numFmtId="3" fontId="102" fillId="4" borderId="97" xfId="0" applyNumberFormat="1" applyFont="1" applyFill="1" applyBorder="1" applyAlignment="1" applyProtection="1">
      <alignment horizontal="center"/>
      <protection locked="0"/>
    </xf>
    <xf numFmtId="3" fontId="102" fillId="4" borderId="53" xfId="0" applyNumberFormat="1" applyFont="1" applyFill="1" applyBorder="1" applyAlignment="1" applyProtection="1">
      <alignment horizontal="center"/>
      <protection locked="0"/>
    </xf>
    <xf numFmtId="3" fontId="102" fillId="4" borderId="42" xfId="0" applyNumberFormat="1" applyFont="1" applyFill="1" applyBorder="1" applyAlignment="1" applyProtection="1">
      <alignment horizontal="center" wrapText="1"/>
      <protection locked="0"/>
    </xf>
    <xf numFmtId="170" fontId="102" fillId="0" borderId="53" xfId="0" applyNumberFormat="1" applyFont="1" applyBorder="1" applyAlignment="1" applyProtection="1">
      <alignment horizontal="center"/>
      <protection locked="0"/>
    </xf>
    <xf numFmtId="181" fontId="102" fillId="4" borderId="53" xfId="0" applyNumberFormat="1" applyFont="1" applyFill="1" applyBorder="1" applyAlignment="1" applyProtection="1">
      <alignment horizontal="center"/>
      <protection locked="0"/>
    </xf>
    <xf numFmtId="181" fontId="102" fillId="4" borderId="53" xfId="0" applyNumberFormat="1" applyFont="1" applyFill="1" applyBorder="1" applyAlignment="1" applyProtection="1">
      <alignment horizontal="center" wrapText="1"/>
      <protection locked="0"/>
    </xf>
    <xf numFmtId="170" fontId="102" fillId="0" borderId="99" xfId="0" applyNumberFormat="1" applyFont="1" applyBorder="1" applyAlignment="1" applyProtection="1">
      <alignment horizontal="center"/>
      <protection locked="0"/>
    </xf>
    <xf numFmtId="182" fontId="102" fillId="4" borderId="53" xfId="0" applyNumberFormat="1" applyFont="1" applyFill="1" applyBorder="1" applyAlignment="1" applyProtection="1">
      <alignment horizontal="center"/>
      <protection locked="0"/>
    </xf>
    <xf numFmtId="182" fontId="102" fillId="4" borderId="53" xfId="0" applyNumberFormat="1" applyFont="1" applyFill="1" applyBorder="1" applyAlignment="1" applyProtection="1">
      <alignment horizontal="center" wrapText="1"/>
      <protection locked="0"/>
    </xf>
    <xf numFmtId="168" fontId="102" fillId="0" borderId="53" xfId="0" applyNumberFormat="1" applyFont="1" applyBorder="1" applyAlignment="1" applyProtection="1">
      <alignment horizontal="center"/>
      <protection locked="0"/>
    </xf>
    <xf numFmtId="168" fontId="102" fillId="9" borderId="10" xfId="0" applyNumberFormat="1" applyFont="1" applyFill="1" applyBorder="1" applyAlignment="1" applyProtection="1">
      <alignment horizontal="center"/>
      <protection locked="0"/>
    </xf>
    <xf numFmtId="168" fontId="102" fillId="9" borderId="75" xfId="0" applyNumberFormat="1" applyFont="1" applyFill="1" applyBorder="1" applyAlignment="1" applyProtection="1">
      <alignment horizontal="center"/>
      <protection locked="0"/>
    </xf>
    <xf numFmtId="2" fontId="102" fillId="37" borderId="53" xfId="0" applyNumberFormat="1" applyFont="1" applyFill="1" applyBorder="1" applyAlignment="1" applyProtection="1">
      <alignment horizontal="center" wrapText="1"/>
      <protection locked="0"/>
    </xf>
    <xf numFmtId="2" fontId="102" fillId="37" borderId="54" xfId="0" applyNumberFormat="1" applyFont="1" applyFill="1" applyBorder="1" applyAlignment="1" applyProtection="1">
      <alignment horizontal="center" wrapText="1"/>
      <protection locked="0"/>
    </xf>
    <xf numFmtId="168" fontId="102" fillId="8" borderId="97" xfId="0" applyNumberFormat="1" applyFont="1" applyFill="1" applyBorder="1" applyAlignment="1" applyProtection="1">
      <alignment horizontal="center" wrapText="1"/>
      <protection locked="0"/>
    </xf>
    <xf numFmtId="168" fontId="102" fillId="8" borderId="54" xfId="0" applyNumberFormat="1" applyFont="1" applyFill="1" applyBorder="1" applyAlignment="1" applyProtection="1">
      <alignment horizontal="center" wrapText="1"/>
      <protection locked="0"/>
    </xf>
    <xf numFmtId="168" fontId="102" fillId="8" borderId="98" xfId="0" applyNumberFormat="1" applyFont="1" applyFill="1" applyBorder="1" applyAlignment="1" applyProtection="1">
      <alignment horizontal="center" wrapText="1"/>
      <protection locked="0"/>
    </xf>
    <xf numFmtId="0" fontId="102" fillId="0" borderId="81" xfId="0" applyFont="1" applyBorder="1" applyAlignment="1"/>
    <xf numFmtId="3" fontId="102" fillId="0" borderId="79" xfId="0" applyNumberFormat="1" applyFont="1" applyBorder="1" applyAlignment="1">
      <alignment horizontal="center" vertical="center"/>
    </xf>
    <xf numFmtId="3" fontId="102" fillId="33" borderId="79" xfId="0" applyNumberFormat="1" applyFont="1" applyFill="1" applyBorder="1" applyAlignment="1">
      <alignment horizontal="center" vertical="center"/>
    </xf>
    <xf numFmtId="3" fontId="102" fillId="34" borderId="79" xfId="0" applyNumberFormat="1" applyFont="1" applyFill="1" applyBorder="1" applyAlignment="1">
      <alignment horizontal="center" vertical="center"/>
    </xf>
    <xf numFmtId="3" fontId="102" fillId="8" borderId="79" xfId="0" applyNumberFormat="1" applyFont="1" applyFill="1" applyBorder="1" applyAlignment="1">
      <alignment horizontal="center" vertical="center"/>
    </xf>
    <xf numFmtId="3" fontId="102" fillId="35" borderId="79" xfId="0" applyNumberFormat="1" applyFont="1" applyFill="1" applyBorder="1" applyAlignment="1">
      <alignment horizontal="center" vertical="center"/>
    </xf>
    <xf numFmtId="3" fontId="102" fillId="35" borderId="100" xfId="0" applyNumberFormat="1" applyFont="1" applyFill="1" applyBorder="1" applyAlignment="1">
      <alignment horizontal="center" vertical="center"/>
    </xf>
    <xf numFmtId="3" fontId="102" fillId="39" borderId="100" xfId="0" applyNumberFormat="1" applyFont="1" applyFill="1" applyBorder="1" applyAlignment="1">
      <alignment horizontal="center" vertical="center"/>
    </xf>
    <xf numFmtId="3" fontId="102" fillId="37" borderId="79" xfId="0" applyNumberFormat="1" applyFont="1" applyFill="1" applyBorder="1" applyAlignment="1">
      <alignment horizontal="center" vertical="center"/>
    </xf>
    <xf numFmtId="3" fontId="102" fillId="4" borderId="81" xfId="0" applyNumberFormat="1" applyFont="1" applyFill="1" applyBorder="1" applyAlignment="1">
      <alignment horizontal="center" vertical="center"/>
    </xf>
    <xf numFmtId="3" fontId="102" fillId="4" borderId="82" xfId="0" applyNumberFormat="1" applyFont="1" applyFill="1" applyBorder="1" applyAlignment="1">
      <alignment horizontal="center" vertical="center"/>
    </xf>
    <xf numFmtId="3" fontId="102" fillId="4" borderId="101" xfId="0" applyNumberFormat="1" applyFont="1" applyFill="1" applyBorder="1" applyAlignment="1">
      <alignment horizontal="center" vertical="center"/>
    </xf>
    <xf numFmtId="0" fontId="102" fillId="9" borderId="78" xfId="0" applyFont="1" applyFill="1" applyBorder="1" applyAlignment="1">
      <alignment horizontal="center" vertical="center"/>
    </xf>
    <xf numFmtId="0" fontId="102" fillId="9" borderId="79" xfId="0" applyFont="1" applyFill="1" applyBorder="1" applyAlignment="1">
      <alignment horizontal="center" vertical="center"/>
    </xf>
    <xf numFmtId="0" fontId="102" fillId="4" borderId="79" xfId="0" applyFont="1" applyFill="1" applyBorder="1" applyAlignment="1">
      <alignment horizontal="center" vertical="center"/>
    </xf>
    <xf numFmtId="0" fontId="102" fillId="4" borderId="80" xfId="0" applyFont="1" applyFill="1" applyBorder="1" applyAlignment="1">
      <alignment horizontal="center" vertical="center"/>
    </xf>
    <xf numFmtId="0" fontId="102" fillId="4" borderId="78" xfId="0" applyFont="1" applyFill="1" applyBorder="1" applyAlignment="1">
      <alignment horizontal="center" vertical="center"/>
    </xf>
    <xf numFmtId="0" fontId="103" fillId="0" borderId="64" xfId="0" applyFont="1" applyBorder="1" applyAlignment="1">
      <alignment horizontal="left"/>
    </xf>
    <xf numFmtId="0" fontId="101" fillId="0" borderId="0" xfId="0" applyFont="1" applyBorder="1"/>
    <xf numFmtId="3" fontId="101" fillId="0" borderId="0" xfId="0" applyNumberFormat="1" applyFont="1" applyBorder="1"/>
    <xf numFmtId="0" fontId="101" fillId="0" borderId="9" xfId="0" applyFont="1" applyBorder="1"/>
    <xf numFmtId="0" fontId="103" fillId="0" borderId="64" xfId="0" applyFont="1" applyBorder="1"/>
    <xf numFmtId="0" fontId="101" fillId="0" borderId="0" xfId="0" applyFont="1" applyBorder="1" applyAlignment="1">
      <alignment horizontal="left"/>
    </xf>
    <xf numFmtId="49" fontId="101" fillId="0" borderId="0" xfId="0" applyNumberFormat="1" applyFont="1" applyBorder="1" applyAlignment="1"/>
    <xf numFmtId="0" fontId="101" fillId="0" borderId="64" xfId="0" applyFont="1" applyBorder="1" applyAlignment="1">
      <alignment horizontal="left"/>
    </xf>
    <xf numFmtId="0" fontId="103" fillId="0" borderId="0" xfId="0" applyFont="1" applyBorder="1"/>
    <xf numFmtId="0" fontId="104" fillId="0" borderId="0" xfId="0" applyFont="1" applyBorder="1"/>
    <xf numFmtId="0" fontId="99" fillId="0" borderId="0" xfId="0" applyFont="1" applyBorder="1"/>
    <xf numFmtId="0" fontId="103" fillId="0" borderId="12" xfId="0" applyFont="1" applyBorder="1" applyAlignment="1">
      <alignment horizontal="left" vertical="center" wrapText="1"/>
    </xf>
    <xf numFmtId="0" fontId="101" fillId="0" borderId="87" xfId="0" applyFont="1" applyBorder="1"/>
    <xf numFmtId="0" fontId="103" fillId="0" borderId="87" xfId="0" applyFont="1" applyBorder="1"/>
    <xf numFmtId="0" fontId="104" fillId="0" borderId="87" xfId="0" applyFont="1" applyBorder="1"/>
    <xf numFmtId="0" fontId="0" fillId="0" borderId="87" xfId="0" applyBorder="1"/>
    <xf numFmtId="0" fontId="101" fillId="0" borderId="62" xfId="0" applyFont="1" applyBorder="1"/>
    <xf numFmtId="0" fontId="98" fillId="0" borderId="0" xfId="0" applyFont="1" applyBorder="1" applyAlignment="1">
      <alignment horizontal="center" vertical="center" wrapText="1"/>
    </xf>
    <xf numFmtId="0" fontId="101" fillId="0" borderId="0" xfId="0" applyFont="1"/>
    <xf numFmtId="0" fontId="105" fillId="0" borderId="0" xfId="0" applyFont="1" applyBorder="1" applyAlignment="1">
      <alignment horizontal="left" vertical="center"/>
    </xf>
    <xf numFmtId="0" fontId="75" fillId="9" borderId="0" xfId="0" applyFont="1" applyFill="1" applyBorder="1"/>
    <xf numFmtId="0" fontId="83" fillId="0" borderId="0" xfId="0" applyFont="1" applyBorder="1"/>
    <xf numFmtId="0" fontId="97" fillId="9" borderId="0" xfId="0" applyFont="1" applyFill="1" applyBorder="1" applyAlignment="1" applyProtection="1">
      <alignment horizontal="left"/>
      <protection locked="0"/>
    </xf>
    <xf numFmtId="0" fontId="77" fillId="9" borderId="0" xfId="0" applyFont="1" applyFill="1" applyBorder="1"/>
    <xf numFmtId="0" fontId="99" fillId="0" borderId="73" xfId="0" applyFont="1" applyBorder="1" applyAlignment="1">
      <alignment horizontal="left" vertical="center"/>
    </xf>
    <xf numFmtId="0" fontId="99" fillId="0" borderId="52" xfId="0" applyFont="1" applyBorder="1" applyAlignment="1">
      <alignment horizontal="left" vertical="center"/>
    </xf>
    <xf numFmtId="0" fontId="101" fillId="0" borderId="0" xfId="0" applyFont="1" applyBorder="1" applyAlignment="1">
      <alignment horizontal="left" vertical="center"/>
    </xf>
    <xf numFmtId="0" fontId="101" fillId="0" borderId="0" xfId="0" applyFont="1" applyBorder="1" applyAlignment="1">
      <alignment vertical="center"/>
    </xf>
    <xf numFmtId="49" fontId="106" fillId="0" borderId="0" xfId="0" applyNumberFormat="1" applyFont="1" applyBorder="1" applyAlignment="1">
      <alignment vertical="center"/>
    </xf>
    <xf numFmtId="17" fontId="107" fillId="0" borderId="0" xfId="0" applyNumberFormat="1" applyFont="1" applyBorder="1" applyAlignment="1">
      <alignment vertical="center"/>
    </xf>
    <xf numFmtId="0" fontId="101" fillId="0" borderId="51" xfId="0" applyFont="1" applyBorder="1"/>
    <xf numFmtId="0" fontId="101" fillId="4" borderId="43" xfId="0" applyFont="1" applyFill="1" applyBorder="1"/>
    <xf numFmtId="0" fontId="103" fillId="4" borderId="52" xfId="0" applyFont="1" applyFill="1" applyBorder="1"/>
    <xf numFmtId="0" fontId="103" fillId="0" borderId="55" xfId="0" applyFont="1" applyBorder="1" applyAlignment="1">
      <alignment horizontal="center" vertical="center"/>
    </xf>
    <xf numFmtId="0" fontId="103" fillId="0" borderId="72" xfId="0" applyFont="1" applyBorder="1" applyAlignment="1">
      <alignment horizontal="center" vertical="center"/>
    </xf>
    <xf numFmtId="0" fontId="103" fillId="0" borderId="57" xfId="0" applyFont="1" applyBorder="1" applyAlignment="1">
      <alignment horizontal="center" vertical="center" wrapText="1"/>
    </xf>
    <xf numFmtId="0" fontId="103" fillId="0" borderId="22" xfId="0" applyFont="1" applyBorder="1" applyAlignment="1">
      <alignment horizontal="center" vertical="center"/>
    </xf>
    <xf numFmtId="0" fontId="103" fillId="0" borderId="71" xfId="0" applyFont="1" applyBorder="1" applyAlignment="1">
      <alignment horizontal="center" vertical="center"/>
    </xf>
    <xf numFmtId="0" fontId="103" fillId="0" borderId="45" xfId="0" applyFont="1" applyBorder="1" applyAlignment="1">
      <alignment horizontal="center" vertical="center"/>
    </xf>
    <xf numFmtId="0" fontId="103" fillId="0" borderId="72" xfId="0" applyFont="1" applyBorder="1" applyAlignment="1">
      <alignment horizontal="center" vertical="center" wrapText="1"/>
    </xf>
    <xf numFmtId="0" fontId="103" fillId="0" borderId="22" xfId="0" applyFont="1" applyBorder="1" applyAlignment="1">
      <alignment horizontal="center" vertical="center" wrapText="1"/>
    </xf>
    <xf numFmtId="0" fontId="99" fillId="9" borderId="84" xfId="0" applyFont="1" applyFill="1" applyBorder="1" applyAlignment="1">
      <alignment horizontal="left" vertical="center"/>
    </xf>
    <xf numFmtId="3" fontId="104" fillId="0" borderId="59" xfId="0" applyNumberFormat="1" applyFont="1" applyBorder="1" applyAlignment="1">
      <alignment horizontal="center" vertical="center"/>
    </xf>
    <xf numFmtId="3" fontId="104" fillId="0" borderId="10" xfId="0" applyNumberFormat="1" applyFont="1" applyBorder="1" applyAlignment="1">
      <alignment horizontal="center" vertical="center"/>
    </xf>
    <xf numFmtId="168" fontId="104" fillId="0" borderId="10" xfId="0" applyNumberFormat="1" applyFont="1" applyBorder="1" applyAlignment="1">
      <alignment horizontal="center" vertical="center"/>
    </xf>
    <xf numFmtId="168" fontId="104" fillId="0" borderId="75" xfId="0" applyNumberFormat="1" applyFont="1" applyBorder="1" applyAlignment="1">
      <alignment horizontal="center" vertical="center"/>
    </xf>
    <xf numFmtId="3" fontId="104" fillId="0" borderId="73" xfId="0" applyNumberFormat="1" applyFont="1" applyBorder="1" applyAlignment="1">
      <alignment horizontal="center" vertical="center"/>
    </xf>
    <xf numFmtId="1" fontId="104" fillId="0" borderId="10" xfId="0" applyNumberFormat="1" applyFont="1" applyBorder="1" applyAlignment="1">
      <alignment horizontal="center" vertical="center"/>
    </xf>
    <xf numFmtId="0" fontId="99" fillId="4" borderId="9" xfId="0" applyFont="1" applyFill="1" applyBorder="1" applyAlignment="1">
      <alignment horizontal="center" vertical="center"/>
    </xf>
    <xf numFmtId="49" fontId="99" fillId="4" borderId="64" xfId="0" applyNumberFormat="1" applyFont="1" applyFill="1" applyBorder="1" applyAlignment="1">
      <alignment horizontal="center" vertical="center"/>
    </xf>
    <xf numFmtId="168" fontId="108" fillId="0" borderId="10" xfId="0" applyNumberFormat="1" applyFont="1" applyBorder="1" applyAlignment="1">
      <alignment horizontal="center" vertical="center"/>
    </xf>
    <xf numFmtId="168" fontId="108" fillId="0" borderId="75" xfId="0" applyNumberFormat="1" applyFont="1" applyBorder="1" applyAlignment="1">
      <alignment horizontal="center" vertical="center"/>
    </xf>
    <xf numFmtId="0" fontId="99" fillId="0" borderId="94" xfId="0" applyFont="1" applyBorder="1" applyAlignment="1">
      <alignment vertical="center"/>
    </xf>
    <xf numFmtId="3" fontId="104" fillId="0" borderId="48" xfId="0" applyNumberFormat="1" applyFont="1" applyBorder="1" applyAlignment="1">
      <alignment horizontal="center" vertical="center"/>
    </xf>
    <xf numFmtId="3" fontId="104" fillId="0" borderId="18" xfId="0" applyNumberFormat="1" applyFont="1" applyBorder="1" applyAlignment="1">
      <alignment horizontal="center" vertical="center"/>
    </xf>
    <xf numFmtId="168" fontId="104" fillId="0" borderId="18" xfId="0" applyNumberFormat="1" applyFont="1" applyBorder="1" applyAlignment="1">
      <alignment horizontal="center" vertical="center"/>
    </xf>
    <xf numFmtId="168" fontId="104" fillId="0" borderId="21" xfId="0" applyNumberFormat="1" applyFont="1" applyBorder="1" applyAlignment="1">
      <alignment horizontal="center" vertical="center"/>
    </xf>
    <xf numFmtId="3" fontId="104" fillId="0" borderId="86" xfId="0" applyNumberFormat="1" applyFont="1" applyBorder="1" applyAlignment="1">
      <alignment horizontal="center" vertical="center"/>
    </xf>
    <xf numFmtId="1" fontId="104" fillId="0" borderId="18" xfId="0" applyNumberFormat="1" applyFont="1" applyBorder="1" applyAlignment="1">
      <alignment horizontal="center" vertical="center"/>
    </xf>
    <xf numFmtId="0" fontId="99" fillId="4" borderId="19" xfId="0" applyFont="1" applyFill="1" applyBorder="1" applyAlignment="1">
      <alignment horizontal="center" vertical="center"/>
    </xf>
    <xf numFmtId="49" fontId="99" fillId="4" borderId="20" xfId="0" applyNumberFormat="1" applyFont="1" applyFill="1" applyBorder="1" applyAlignment="1">
      <alignment horizontal="center" vertical="center"/>
    </xf>
    <xf numFmtId="168" fontId="108" fillId="0" borderId="18" xfId="0" applyNumberFormat="1" applyFont="1" applyBorder="1" applyAlignment="1">
      <alignment horizontal="center" vertical="center"/>
    </xf>
    <xf numFmtId="168" fontId="108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9" fillId="0" borderId="77" xfId="0" applyNumberFormat="1" applyFont="1" applyBorder="1" applyAlignment="1">
      <alignment horizontal="center" vertical="center"/>
    </xf>
    <xf numFmtId="1" fontId="99" fillId="0" borderId="18" xfId="0" applyNumberFormat="1" applyFont="1" applyBorder="1" applyAlignment="1">
      <alignment horizontal="center" vertical="center"/>
    </xf>
    <xf numFmtId="168" fontId="99" fillId="0" borderId="18" xfId="0" applyNumberFormat="1" applyFont="1" applyBorder="1" applyAlignment="1">
      <alignment horizontal="center" vertical="center"/>
    </xf>
    <xf numFmtId="168" fontId="99" fillId="0" borderId="21" xfId="0" applyNumberFormat="1" applyFont="1" applyBorder="1" applyAlignment="1">
      <alignment horizontal="center" vertical="center"/>
    </xf>
    <xf numFmtId="3" fontId="99" fillId="0" borderId="48" xfId="0" applyNumberFormat="1" applyFont="1" applyBorder="1" applyAlignment="1">
      <alignment horizontal="center" vertical="center"/>
    </xf>
    <xf numFmtId="168" fontId="99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9" fillId="0" borderId="91" xfId="0" applyNumberFormat="1" applyFont="1" applyBorder="1" applyAlignment="1">
      <alignment horizontal="center" vertical="center"/>
    </xf>
    <xf numFmtId="3" fontId="99" fillId="0" borderId="72" xfId="0" applyNumberFormat="1" applyFont="1" applyBorder="1" applyAlignment="1">
      <alignment horizontal="center" vertical="center"/>
    </xf>
    <xf numFmtId="1" fontId="99" fillId="0" borderId="57" xfId="0" applyNumberFormat="1" applyFont="1" applyBorder="1" applyAlignment="1">
      <alignment horizontal="center" vertical="center"/>
    </xf>
    <xf numFmtId="168" fontId="99" fillId="0" borderId="57" xfId="0" applyNumberFormat="1" applyFont="1" applyBorder="1" applyAlignment="1">
      <alignment horizontal="center" vertical="center"/>
    </xf>
    <xf numFmtId="168" fontId="99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9" fillId="0" borderId="102" xfId="0" applyFont="1" applyBorder="1" applyAlignment="1">
      <alignment vertical="center"/>
    </xf>
    <xf numFmtId="3" fontId="99" fillId="0" borderId="49" xfId="0" applyNumberFormat="1" applyFont="1" applyBorder="1" applyAlignment="1">
      <alignment horizontal="center" vertical="center"/>
    </xf>
    <xf numFmtId="1" fontId="99" fillId="0" borderId="14" xfId="0" applyNumberFormat="1" applyFont="1" applyBorder="1" applyAlignment="1">
      <alignment horizontal="center" vertical="center"/>
    </xf>
    <xf numFmtId="1" fontId="99" fillId="0" borderId="15" xfId="0" applyNumberFormat="1" applyFont="1" applyBorder="1" applyAlignment="1">
      <alignment horizontal="center" vertical="center"/>
    </xf>
    <xf numFmtId="1" fontId="99" fillId="0" borderId="22" xfId="0" applyNumberFormat="1" applyFont="1" applyBorder="1" applyAlignment="1">
      <alignment horizontal="center" vertical="center"/>
    </xf>
    <xf numFmtId="1" fontId="99" fillId="0" borderId="9" xfId="0" applyNumberFormat="1" applyFont="1" applyBorder="1" applyAlignment="1">
      <alignment horizontal="center" vertical="center"/>
    </xf>
    <xf numFmtId="1" fontId="99" fillId="0" borderId="8" xfId="0" applyNumberFormat="1" applyFont="1" applyBorder="1" applyAlignment="1">
      <alignment horizontal="center" vertical="center"/>
    </xf>
    <xf numFmtId="0" fontId="30" fillId="4" borderId="90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9" fillId="0" borderId="95" xfId="0" applyNumberFormat="1" applyFont="1" applyBorder="1" applyAlignment="1">
      <alignment horizontal="center" vertical="center"/>
    </xf>
    <xf numFmtId="1" fontId="99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6" xfId="0" applyNumberFormat="1" applyFont="1" applyBorder="1" applyAlignment="1">
      <alignment horizontal="center" vertical="center"/>
    </xf>
    <xf numFmtId="168" fontId="104" fillId="0" borderId="2" xfId="0" applyNumberFormat="1" applyFont="1" applyBorder="1" applyAlignment="1">
      <alignment vertical="center"/>
    </xf>
    <xf numFmtId="3" fontId="109" fillId="0" borderId="103" xfId="0" applyNumberFormat="1" applyFont="1" applyBorder="1" applyAlignment="1">
      <alignment horizontal="center" vertical="center"/>
    </xf>
    <xf numFmtId="3" fontId="109" fillId="4" borderId="79" xfId="0" applyNumberFormat="1" applyFont="1" applyFill="1" applyBorder="1" applyAlignment="1">
      <alignment horizontal="center" vertical="center"/>
    </xf>
    <xf numFmtId="3" fontId="109" fillId="4" borderId="80" xfId="0" applyNumberFormat="1" applyFont="1" applyFill="1" applyBorder="1" applyAlignment="1">
      <alignment horizontal="center" vertical="center"/>
    </xf>
    <xf numFmtId="3" fontId="109" fillId="4" borderId="100" xfId="0" applyNumberFormat="1" applyFont="1" applyFill="1" applyBorder="1" applyAlignment="1">
      <alignment horizontal="center" vertical="center"/>
    </xf>
    <xf numFmtId="3" fontId="109" fillId="14" borderId="78" xfId="0" applyNumberFormat="1" applyFont="1" applyFill="1" applyBorder="1" applyAlignment="1">
      <alignment horizontal="center" vertical="center"/>
    </xf>
    <xf numFmtId="3" fontId="109" fillId="14" borderId="80" xfId="0" applyNumberFormat="1" applyFont="1" applyFill="1" applyBorder="1" applyAlignment="1">
      <alignment horizontal="center" vertical="center"/>
    </xf>
    <xf numFmtId="3" fontId="109" fillId="0" borderId="79" xfId="0" applyNumberFormat="1" applyFont="1" applyBorder="1" applyAlignment="1">
      <alignment horizontal="center" vertical="center"/>
    </xf>
    <xf numFmtId="0" fontId="103" fillId="0" borderId="0" xfId="0" applyFont="1" applyBorder="1" applyAlignment="1">
      <alignment horizontal="center" vertical="center"/>
    </xf>
    <xf numFmtId="0" fontId="110" fillId="0" borderId="0" xfId="0" applyFont="1" applyBorder="1" applyAlignment="1">
      <alignment horizontal="center"/>
    </xf>
    <xf numFmtId="0" fontId="110" fillId="0" borderId="0" xfId="0" applyFont="1" applyBorder="1" applyAlignment="1">
      <alignment horizontal="center" vertical="center"/>
    </xf>
    <xf numFmtId="168" fontId="110" fillId="0" borderId="0" xfId="0" applyNumberFormat="1" applyFont="1" applyBorder="1" applyAlignment="1">
      <alignment horizontal="center" vertical="center"/>
    </xf>
    <xf numFmtId="168" fontId="110" fillId="0" borderId="0" xfId="0" applyNumberFormat="1" applyFont="1" applyBorder="1" applyAlignment="1">
      <alignment horizontal="center"/>
    </xf>
    <xf numFmtId="0" fontId="101" fillId="0" borderId="0" xfId="0" applyFont="1" applyAlignment="1">
      <alignment vertical="center"/>
    </xf>
    <xf numFmtId="0" fontId="101" fillId="0" borderId="32" xfId="0" applyFont="1" applyBorder="1" applyAlignment="1">
      <alignment horizontal="center"/>
    </xf>
    <xf numFmtId="0" fontId="99" fillId="0" borderId="41" xfId="0" applyFont="1" applyBorder="1" applyAlignment="1">
      <alignment horizontal="left" vertical="center"/>
    </xf>
    <xf numFmtId="0" fontId="99" fillId="0" borderId="41" xfId="0" applyFont="1" applyBorder="1" applyAlignment="1"/>
    <xf numFmtId="0" fontId="99" fillId="0" borderId="41" xfId="0" applyFont="1" applyBorder="1" applyAlignment="1">
      <alignment vertical="center"/>
    </xf>
    <xf numFmtId="0" fontId="101" fillId="0" borderId="42" xfId="0" applyFont="1" applyBorder="1" applyAlignment="1"/>
    <xf numFmtId="0" fontId="108" fillId="0" borderId="78" xfId="0" applyFont="1" applyBorder="1" applyAlignment="1">
      <alignment horizontal="center" vertical="center" wrapText="1"/>
    </xf>
    <xf numFmtId="0" fontId="108" fillId="0" borderId="79" xfId="0" applyFont="1" applyBorder="1" applyAlignment="1">
      <alignment horizontal="center" vertical="center" wrapText="1"/>
    </xf>
    <xf numFmtId="0" fontId="108" fillId="0" borderId="80" xfId="0" applyFont="1" applyBorder="1" applyAlignment="1">
      <alignment horizontal="center" vertical="center" wrapText="1"/>
    </xf>
    <xf numFmtId="0" fontId="77" fillId="0" borderId="0" xfId="0" applyFont="1"/>
    <xf numFmtId="0" fontId="108" fillId="0" borderId="81" xfId="0" applyFont="1" applyBorder="1" applyAlignment="1">
      <alignment horizontal="center" vertical="center" wrapText="1"/>
    </xf>
    <xf numFmtId="0" fontId="108" fillId="0" borderId="82" xfId="0" applyFont="1" applyBorder="1" applyAlignment="1">
      <alignment horizontal="center" vertical="center" wrapText="1"/>
    </xf>
    <xf numFmtId="0" fontId="108" fillId="0" borderId="104" xfId="0" applyFont="1" applyBorder="1" applyAlignment="1">
      <alignment horizontal="center" vertical="center" wrapText="1"/>
    </xf>
    <xf numFmtId="0" fontId="108" fillId="0" borderId="105" xfId="0" applyFont="1" applyBorder="1" applyAlignment="1">
      <alignment horizontal="center" vertical="center" wrapText="1"/>
    </xf>
    <xf numFmtId="0" fontId="108" fillId="0" borderId="101" xfId="0" applyFont="1" applyBorder="1" applyAlignment="1">
      <alignment horizontal="center" vertical="center" wrapText="1"/>
    </xf>
    <xf numFmtId="3" fontId="108" fillId="0" borderId="104" xfId="0" applyNumberFormat="1" applyFont="1" applyBorder="1" applyAlignment="1">
      <alignment horizontal="center" vertical="center"/>
    </xf>
    <xf numFmtId="0" fontId="112" fillId="0" borderId="86" xfId="0" applyFont="1" applyBorder="1" applyAlignment="1">
      <alignment horizontal="left" vertical="center"/>
    </xf>
    <xf numFmtId="3" fontId="30" fillId="0" borderId="70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99" fillId="14" borderId="76" xfId="0" applyNumberFormat="1" applyFont="1" applyFill="1" applyBorder="1" applyAlignment="1">
      <alignment horizontal="center" vertical="center"/>
    </xf>
    <xf numFmtId="3" fontId="99" fillId="14" borderId="10" xfId="0" applyNumberFormat="1" applyFont="1" applyFill="1" applyBorder="1" applyAlignment="1">
      <alignment horizontal="center" vertical="center"/>
    </xf>
    <xf numFmtId="3" fontId="99" fillId="14" borderId="74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9" fillId="0" borderId="10" xfId="0" applyNumberFormat="1" applyFont="1" applyBorder="1" applyAlignment="1">
      <alignment horizontal="center" vertical="center"/>
    </xf>
    <xf numFmtId="3" fontId="30" fillId="0" borderId="75" xfId="0" applyNumberFormat="1" applyFont="1" applyBorder="1" applyAlignment="1">
      <alignment horizontal="center" vertical="center"/>
    </xf>
    <xf numFmtId="3" fontId="99" fillId="4" borderId="59" xfId="0" applyNumberFormat="1" applyFont="1" applyFill="1" applyBorder="1" applyAlignment="1">
      <alignment horizontal="center" vertical="center"/>
    </xf>
    <xf numFmtId="3" fontId="99" fillId="4" borderId="10" xfId="0" applyNumberFormat="1" applyFont="1" applyFill="1" applyBorder="1" applyAlignment="1">
      <alignment horizontal="center" vertical="center"/>
    </xf>
    <xf numFmtId="3" fontId="99" fillId="4" borderId="76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0" fontId="112" fillId="0" borderId="77" xfId="0" applyFont="1" applyBorder="1" applyAlignment="1">
      <alignment horizontal="left" vertical="center"/>
    </xf>
    <xf numFmtId="3" fontId="30" fillId="0" borderId="84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4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9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9" fillId="4" borderId="48" xfId="0" applyNumberFormat="1" applyFont="1" applyFill="1" applyBorder="1" applyAlignment="1">
      <alignment horizontal="center" vertical="center"/>
    </xf>
    <xf numFmtId="3" fontId="99" fillId="4" borderId="18" xfId="0" applyNumberFormat="1" applyFont="1" applyFill="1" applyBorder="1" applyAlignment="1">
      <alignment horizontal="center" vertical="center"/>
    </xf>
    <xf numFmtId="3" fontId="99" fillId="4" borderId="19" xfId="0" applyNumberFormat="1" applyFont="1" applyFill="1" applyBorder="1" applyAlignment="1">
      <alignment horizontal="center" vertical="center"/>
    </xf>
    <xf numFmtId="3" fontId="99" fillId="9" borderId="48" xfId="0" applyNumberFormat="1" applyFont="1" applyFill="1" applyBorder="1" applyAlignment="1">
      <alignment horizontal="center" vertical="center"/>
    </xf>
    <xf numFmtId="3" fontId="99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7" xfId="0" applyNumberFormat="1" applyFont="1" applyFill="1" applyBorder="1" applyAlignment="1">
      <alignment horizontal="center" vertical="center"/>
    </xf>
    <xf numFmtId="3" fontId="30" fillId="0" borderId="94" xfId="0" applyNumberFormat="1" applyFont="1" applyBorder="1" applyAlignment="1">
      <alignment horizontal="center" vertical="center"/>
    </xf>
    <xf numFmtId="3" fontId="30" fillId="0" borderId="89" xfId="0" applyNumberFormat="1" applyFont="1" applyBorder="1" applyAlignment="1">
      <alignment horizontal="center" vertical="center"/>
    </xf>
    <xf numFmtId="3" fontId="30" fillId="0" borderId="106" xfId="0" applyNumberFormat="1" applyFont="1" applyBorder="1" applyAlignment="1">
      <alignment horizontal="center" vertical="center"/>
    </xf>
    <xf numFmtId="3" fontId="30" fillId="0" borderId="69" xfId="0" applyNumberFormat="1" applyFont="1" applyBorder="1" applyAlignment="1">
      <alignment horizontal="center" vertical="center"/>
    </xf>
    <xf numFmtId="0" fontId="112" fillId="0" borderId="107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9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2" xfId="0" applyNumberFormat="1" applyFont="1" applyBorder="1" applyAlignment="1">
      <alignment horizontal="center" vertical="center"/>
    </xf>
    <xf numFmtId="3" fontId="99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9" fillId="4" borderId="72" xfId="0" applyNumberFormat="1" applyFont="1" applyFill="1" applyBorder="1" applyAlignment="1">
      <alignment horizontal="center" vertical="center"/>
    </xf>
    <xf numFmtId="3" fontId="99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9" fillId="4" borderId="71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3" fontId="30" fillId="4" borderId="107" xfId="0" applyNumberFormat="1" applyFont="1" applyFill="1" applyBorder="1" applyAlignment="1">
      <alignment horizontal="center" vertical="center"/>
    </xf>
    <xf numFmtId="0" fontId="108" fillId="0" borderId="32" xfId="0" applyFont="1" applyBorder="1" applyAlignment="1">
      <alignment horizontal="left"/>
    </xf>
    <xf numFmtId="3" fontId="113" fillId="0" borderId="32" xfId="0" applyNumberFormat="1" applyFont="1" applyBorder="1" applyAlignment="1">
      <alignment horizontal="right"/>
    </xf>
    <xf numFmtId="3" fontId="113" fillId="4" borderId="2" xfId="0" applyNumberFormat="1" applyFont="1" applyFill="1" applyBorder="1" applyAlignment="1">
      <alignment horizontal="center"/>
    </xf>
    <xf numFmtId="4" fontId="113" fillId="0" borderId="103" xfId="0" applyNumberFormat="1" applyFont="1" applyBorder="1" applyAlignment="1">
      <alignment horizontal="center"/>
    </xf>
    <xf numFmtId="4" fontId="113" fillId="0" borderId="78" xfId="0" applyNumberFormat="1" applyFont="1" applyBorder="1" applyAlignment="1">
      <alignment horizontal="center"/>
    </xf>
    <xf numFmtId="3" fontId="113" fillId="0" borderId="78" xfId="0" applyNumberFormat="1" applyFont="1" applyBorder="1" applyAlignment="1">
      <alignment horizontal="center"/>
    </xf>
    <xf numFmtId="3" fontId="113" fillId="0" borderId="79" xfId="0" applyNumberFormat="1" applyFont="1" applyBorder="1" applyAlignment="1">
      <alignment horizontal="center"/>
    </xf>
    <xf numFmtId="3" fontId="113" fillId="0" borderId="80" xfId="0" applyNumberFormat="1" applyFont="1" applyBorder="1" applyAlignment="1">
      <alignment horizontal="center"/>
    </xf>
    <xf numFmtId="3" fontId="113" fillId="0" borderId="100" xfId="0" applyNumberFormat="1" applyFont="1" applyBorder="1" applyAlignment="1">
      <alignment horizontal="center"/>
    </xf>
    <xf numFmtId="4" fontId="113" fillId="0" borderId="32" xfId="0" applyNumberFormat="1" applyFont="1" applyBorder="1" applyAlignment="1">
      <alignment horizontal="center"/>
    </xf>
    <xf numFmtId="4" fontId="113" fillId="0" borderId="80" xfId="0" applyNumberFormat="1" applyFont="1" applyBorder="1" applyAlignment="1">
      <alignment horizontal="center"/>
    </xf>
    <xf numFmtId="0" fontId="104" fillId="0" borderId="0" xfId="0" applyFont="1"/>
    <xf numFmtId="0" fontId="101" fillId="0" borderId="0" xfId="0" applyFont="1" applyAlignment="1">
      <alignment horizontal="center"/>
    </xf>
    <xf numFmtId="0" fontId="110" fillId="0" borderId="0" xfId="0" applyFont="1"/>
    <xf numFmtId="3" fontId="0" fillId="0" borderId="0" xfId="0" applyNumberFormat="1" applyAlignment="1">
      <alignment horizontal="center"/>
    </xf>
    <xf numFmtId="0" fontId="99" fillId="9" borderId="0" xfId="0" applyFont="1" applyFill="1" applyAlignment="1">
      <alignment horizontal="left" wrapText="1"/>
    </xf>
    <xf numFmtId="0" fontId="99" fillId="9" borderId="0" xfId="0" applyFont="1" applyFill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5" borderId="1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3" fillId="0" borderId="7" xfId="0" applyFont="1" applyBorder="1" applyAlignment="1" applyProtection="1">
      <alignment horizontal="center"/>
    </xf>
    <xf numFmtId="0" fontId="0" fillId="14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0" borderId="2" xfId="0" applyFont="1" applyBorder="1" applyAlignment="1">
      <alignment horizontal="center"/>
    </xf>
    <xf numFmtId="0" fontId="10" fillId="9" borderId="57" xfId="0" applyFont="1" applyFill="1" applyBorder="1" applyAlignment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3" fillId="15" borderId="18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22" fillId="0" borderId="2" xfId="0" applyFont="1" applyBorder="1" applyAlignment="1" applyProtection="1">
      <alignment horizontal="center" vertical="top"/>
      <protection locked="0"/>
    </xf>
    <xf numFmtId="0" fontId="42" fillId="0" borderId="7" xfId="0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23" fillId="0" borderId="18" xfId="0" applyFont="1" applyBorder="1" applyAlignment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12" fillId="13" borderId="2" xfId="0" applyFont="1" applyFill="1" applyBorder="1" applyAlignment="1">
      <alignment horizont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>
      <alignment horizont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51" fillId="16" borderId="7" xfId="0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10" fillId="0" borderId="2" xfId="0" applyFont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wrapText="1"/>
    </xf>
    <xf numFmtId="0" fontId="18" fillId="7" borderId="2" xfId="0" applyFont="1" applyFill="1" applyBorder="1" applyAlignment="1" applyProtection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4" fillId="8" borderId="30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62" xfId="0" applyFont="1" applyFill="1" applyBorder="1" applyAlignment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3" fillId="24" borderId="7" xfId="0" applyFont="1" applyFill="1" applyBorder="1" applyAlignment="1" applyProtection="1">
      <alignment horizontal="center" vertical="center"/>
    </xf>
    <xf numFmtId="1" fontId="0" fillId="0" borderId="18" xfId="0" applyNumberFormat="1" applyBorder="1" applyAlignment="1">
      <alignment vertical="center"/>
    </xf>
    <xf numFmtId="0" fontId="44" fillId="8" borderId="31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58" fillId="8" borderId="3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1" fontId="0" fillId="0" borderId="2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25" fillId="0" borderId="5" xfId="0" applyFont="1" applyBorder="1" applyAlignment="1" applyProtection="1">
      <alignment horizontal="center" vertical="center" wrapText="1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0" fillId="14" borderId="10" xfId="0" applyFill="1" applyBorder="1" applyAlignment="1" applyProtection="1">
      <alignment horizont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4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27" borderId="7" xfId="0" applyFont="1" applyFill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42" fillId="29" borderId="2" xfId="0" applyFont="1" applyFill="1" applyBorder="1" applyAlignment="1">
      <alignment horizontal="center" vertical="center" wrapText="1"/>
    </xf>
    <xf numFmtId="0" fontId="66" fillId="28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76" fontId="68" fillId="0" borderId="0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30" borderId="65" xfId="0" applyFont="1" applyFill="1" applyBorder="1" applyAlignment="1">
      <alignment horizontal="center" vertical="center"/>
    </xf>
    <xf numFmtId="0" fontId="6" fillId="30" borderId="66" xfId="0" applyFont="1" applyFill="1" applyBorder="1" applyAlignment="1">
      <alignment horizontal="center" vertical="center"/>
    </xf>
    <xf numFmtId="174" fontId="0" fillId="30" borderId="65" xfId="0" applyNumberFormat="1" applyFont="1" applyFill="1" applyBorder="1" applyAlignment="1">
      <alignment horizontal="center" vertical="center"/>
    </xf>
    <xf numFmtId="17" fontId="67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30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  <xf numFmtId="0" fontId="70" fillId="0" borderId="2" xfId="0" applyFont="1" applyBorder="1" applyAlignment="1">
      <alignment horizontal="center" vertical="center"/>
    </xf>
    <xf numFmtId="176" fontId="71" fillId="0" borderId="69" xfId="0" applyNumberFormat="1" applyFont="1" applyBorder="1" applyAlignment="1">
      <alignment horizontal="center" vertical="top"/>
    </xf>
    <xf numFmtId="0" fontId="72" fillId="0" borderId="2" xfId="0" applyFont="1" applyBorder="1" applyAlignment="1">
      <alignment horizontal="center" vertical="center" textRotation="255"/>
    </xf>
    <xf numFmtId="0" fontId="72" fillId="9" borderId="6" xfId="0" applyFont="1" applyFill="1" applyBorder="1" applyAlignment="1">
      <alignment horizontal="center" vertical="center" wrapText="1"/>
    </xf>
    <xf numFmtId="0" fontId="72" fillId="9" borderId="70" xfId="0" applyFont="1" applyFill="1" applyBorder="1" applyAlignment="1">
      <alignment horizontal="center" vertical="center" wrapText="1"/>
    </xf>
    <xf numFmtId="0" fontId="72" fillId="0" borderId="44" xfId="0" applyFont="1" applyBorder="1" applyAlignment="1">
      <alignment horizontal="center" vertical="center"/>
    </xf>
    <xf numFmtId="0" fontId="72" fillId="0" borderId="19" xfId="0" applyFont="1" applyBorder="1" applyAlignment="1">
      <alignment horizontal="center" vertical="center"/>
    </xf>
    <xf numFmtId="0" fontId="72" fillId="0" borderId="18" xfId="0" applyFont="1" applyBorder="1" applyAlignment="1">
      <alignment horizontal="center" vertical="center"/>
    </xf>
    <xf numFmtId="0" fontId="72" fillId="0" borderId="20" xfId="0" applyFont="1" applyBorder="1" applyAlignment="1">
      <alignment horizontal="center" vertical="center"/>
    </xf>
    <xf numFmtId="0" fontId="72" fillId="0" borderId="48" xfId="0" applyFont="1" applyBorder="1" applyAlignment="1">
      <alignment horizontal="center" vertical="center"/>
    </xf>
    <xf numFmtId="0" fontId="72" fillId="0" borderId="21" xfId="0" applyFont="1" applyBorder="1" applyAlignment="1">
      <alignment horizontal="center" vertical="center"/>
    </xf>
    <xf numFmtId="0" fontId="74" fillId="9" borderId="42" xfId="0" applyFont="1" applyFill="1" applyBorder="1" applyAlignment="1">
      <alignment horizontal="left"/>
    </xf>
    <xf numFmtId="0" fontId="72" fillId="9" borderId="83" xfId="0" applyFont="1" applyFill="1" applyBorder="1" applyAlignment="1">
      <alignment horizontal="center"/>
    </xf>
    <xf numFmtId="0" fontId="77" fillId="9" borderId="18" xfId="0" applyFont="1" applyFill="1" applyBorder="1" applyAlignment="1">
      <alignment horizontal="left"/>
    </xf>
    <xf numFmtId="0" fontId="72" fillId="9" borderId="84" xfId="0" applyFont="1" applyFill="1" applyBorder="1" applyAlignment="1">
      <alignment horizontal="left"/>
    </xf>
    <xf numFmtId="0" fontId="72" fillId="9" borderId="85" xfId="0" applyFont="1" applyFill="1" applyBorder="1" applyAlignment="1">
      <alignment horizontal="center"/>
    </xf>
    <xf numFmtId="0" fontId="72" fillId="9" borderId="85" xfId="0" applyFont="1" applyFill="1" applyBorder="1" applyAlignment="1">
      <alignment horizontal="left" vertical="top"/>
    </xf>
    <xf numFmtId="0" fontId="74" fillId="0" borderId="2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80" fillId="0" borderId="2" xfId="0" applyFont="1" applyBorder="1" applyAlignment="1">
      <alignment horizontal="center"/>
    </xf>
    <xf numFmtId="0" fontId="70" fillId="0" borderId="32" xfId="0" applyFont="1" applyBorder="1" applyAlignment="1">
      <alignment horizontal="center" vertical="center"/>
    </xf>
    <xf numFmtId="0" fontId="81" fillId="0" borderId="83" xfId="0" applyFont="1" applyBorder="1" applyAlignment="1">
      <alignment horizontal="center" vertical="top" wrapText="1"/>
    </xf>
    <xf numFmtId="176" fontId="71" fillId="0" borderId="2" xfId="0" applyNumberFormat="1" applyFont="1" applyBorder="1" applyAlignment="1">
      <alignment horizontal="center" vertical="top"/>
    </xf>
    <xf numFmtId="0" fontId="72" fillId="0" borderId="76" xfId="0" applyFont="1" applyBorder="1" applyAlignment="1">
      <alignment horizontal="center" vertical="center"/>
    </xf>
    <xf numFmtId="0" fontId="72" fillId="0" borderId="10" xfId="0" applyFont="1" applyBorder="1" applyAlignment="1">
      <alignment horizontal="center" vertical="center"/>
    </xf>
    <xf numFmtId="0" fontId="72" fillId="0" borderId="75" xfId="0" applyFont="1" applyBorder="1" applyAlignment="1">
      <alignment horizontal="center" vertical="center"/>
    </xf>
    <xf numFmtId="0" fontId="72" fillId="0" borderId="40" xfId="0" applyFont="1" applyBorder="1" applyAlignment="1">
      <alignment horizontal="center" wrapText="1"/>
    </xf>
    <xf numFmtId="0" fontId="72" fillId="0" borderId="14" xfId="0" applyFont="1" applyBorder="1" applyAlignment="1">
      <alignment horizontal="center" wrapText="1"/>
    </xf>
    <xf numFmtId="0" fontId="72" fillId="0" borderId="57" xfId="0" applyFont="1" applyBorder="1" applyAlignment="1">
      <alignment horizontal="center" vertical="center"/>
    </xf>
    <xf numFmtId="0" fontId="72" fillId="9" borderId="7" xfId="0" applyFont="1" applyFill="1" applyBorder="1" applyAlignment="1">
      <alignment horizontal="left" vertical="top"/>
    </xf>
    <xf numFmtId="0" fontId="72" fillId="0" borderId="22" xfId="0" applyFont="1" applyBorder="1" applyAlignment="1">
      <alignment horizontal="center" vertical="center"/>
    </xf>
    <xf numFmtId="0" fontId="48" fillId="0" borderId="87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70" fillId="0" borderId="1" xfId="0" applyFont="1" applyBorder="1" applyAlignment="1">
      <alignment horizontal="center" vertical="center"/>
    </xf>
    <xf numFmtId="176" fontId="71" fillId="0" borderId="1" xfId="0" applyNumberFormat="1" applyFont="1" applyBorder="1" applyAlignment="1">
      <alignment horizontal="center" vertical="top"/>
    </xf>
    <xf numFmtId="0" fontId="72" fillId="0" borderId="1" xfId="0" applyFont="1" applyBorder="1" applyAlignment="1">
      <alignment horizontal="center" vertical="center" textRotation="255"/>
    </xf>
    <xf numFmtId="0" fontId="73" fillId="32" borderId="1" xfId="0" applyFont="1" applyFill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/>
    </xf>
    <xf numFmtId="0" fontId="73" fillId="9" borderId="1" xfId="0" applyFont="1" applyFill="1" applyBorder="1" applyAlignment="1">
      <alignment horizontal="center" vertical="center" wrapText="1"/>
    </xf>
    <xf numFmtId="0" fontId="73" fillId="8" borderId="1" xfId="0" applyFont="1" applyFill="1" applyBorder="1" applyAlignment="1">
      <alignment horizontal="center" vertical="center" wrapText="1"/>
    </xf>
    <xf numFmtId="0" fontId="78" fillId="0" borderId="1" xfId="0" applyFont="1" applyBorder="1" applyAlignment="1">
      <alignment horizontal="center" vertical="center" wrapText="1"/>
    </xf>
    <xf numFmtId="0" fontId="80" fillId="33" borderId="1" xfId="0" applyFont="1" applyFill="1" applyBorder="1" applyAlignment="1">
      <alignment vertical="center" wrapText="1"/>
    </xf>
    <xf numFmtId="0" fontId="73" fillId="0" borderId="1" xfId="0" applyFont="1" applyBorder="1" applyAlignment="1">
      <alignment horizontal="center" vertical="center" wrapText="1"/>
    </xf>
    <xf numFmtId="0" fontId="77" fillId="37" borderId="1" xfId="0" applyFont="1" applyFill="1" applyBorder="1" applyAlignment="1">
      <alignment horizontal="center" vertical="center" wrapText="1"/>
    </xf>
    <xf numFmtId="0" fontId="79" fillId="36" borderId="1" xfId="0" applyFont="1" applyFill="1" applyBorder="1" applyAlignment="1">
      <alignment horizontal="center" vertical="center" wrapText="1"/>
    </xf>
    <xf numFmtId="0" fontId="80" fillId="34" borderId="1" xfId="0" applyFont="1" applyFill="1" applyBorder="1" applyAlignment="1">
      <alignment vertical="center" wrapText="1"/>
    </xf>
    <xf numFmtId="0" fontId="80" fillId="35" borderId="1" xfId="0" applyFont="1" applyFill="1" applyBorder="1" applyAlignment="1">
      <alignment vertical="center" wrapText="1"/>
    </xf>
    <xf numFmtId="0" fontId="73" fillId="35" borderId="1" xfId="0" applyFont="1" applyFill="1" applyBorder="1" applyAlignment="1">
      <alignment vertical="center" wrapText="1"/>
    </xf>
    <xf numFmtId="165" fontId="83" fillId="0" borderId="0" xfId="0" applyNumberFormat="1" applyFont="1" applyBorder="1" applyAlignment="1">
      <alignment horizontal="center" vertical="center"/>
    </xf>
    <xf numFmtId="1" fontId="75" fillId="0" borderId="1" xfId="0" applyNumberFormat="1" applyFont="1" applyBorder="1" applyAlignment="1">
      <alignment horizontal="center" vertical="center"/>
    </xf>
    <xf numFmtId="3" fontId="76" fillId="0" borderId="1" xfId="0" applyNumberFormat="1" applyFont="1" applyBorder="1" applyAlignment="1">
      <alignment horizontal="center" vertical="center"/>
    </xf>
    <xf numFmtId="3" fontId="79" fillId="0" borderId="1" xfId="0" applyNumberFormat="1" applyFont="1" applyBorder="1" applyAlignment="1">
      <alignment horizontal="center" vertical="center" wrapText="1"/>
    </xf>
    <xf numFmtId="0" fontId="78" fillId="8" borderId="1" xfId="0" applyFont="1" applyFill="1" applyBorder="1" applyAlignment="1">
      <alignment vertical="center" wrapText="1"/>
    </xf>
    <xf numFmtId="0" fontId="80" fillId="8" borderId="1" xfId="0" applyFont="1" applyFill="1" applyBorder="1" applyAlignment="1">
      <alignment vertical="center" wrapText="1"/>
    </xf>
    <xf numFmtId="0" fontId="76" fillId="36" borderId="1" xfId="0" applyFont="1" applyFill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textRotation="90" wrapText="1"/>
    </xf>
    <xf numFmtId="0" fontId="78" fillId="0" borderId="1" xfId="0" applyFont="1" applyBorder="1" applyAlignment="1">
      <alignment horizontal="center" vertical="center" textRotation="90" wrapText="1"/>
    </xf>
    <xf numFmtId="177" fontId="76" fillId="0" borderId="1" xfId="0" applyNumberFormat="1" applyFont="1" applyBorder="1" applyAlignment="1">
      <alignment horizontal="center" vertical="center"/>
    </xf>
    <xf numFmtId="0" fontId="48" fillId="9" borderId="85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0" fontId="48" fillId="9" borderId="7" xfId="0" applyFont="1" applyFill="1" applyBorder="1" applyAlignment="1">
      <alignment horizontal="center"/>
    </xf>
    <xf numFmtId="0" fontId="74" fillId="0" borderId="19" xfId="0" applyFont="1" applyBorder="1" applyAlignment="1">
      <alignment horizontal="center"/>
    </xf>
    <xf numFmtId="0" fontId="74" fillId="0" borderId="83" xfId="0" applyFont="1" applyBorder="1" applyAlignment="1">
      <alignment horizontal="center"/>
    </xf>
    <xf numFmtId="0" fontId="86" fillId="0" borderId="83" xfId="0" applyFont="1" applyBorder="1" applyAlignment="1">
      <alignment horizontal="center" vertical="center" wrapText="1"/>
    </xf>
    <xf numFmtId="17" fontId="71" fillId="0" borderId="2" xfId="0" applyNumberFormat="1" applyFont="1" applyBorder="1" applyAlignment="1">
      <alignment horizontal="center" vertical="center"/>
    </xf>
    <xf numFmtId="0" fontId="72" fillId="0" borderId="83" xfId="0" applyFont="1" applyBorder="1" applyAlignment="1">
      <alignment horizontal="center" vertical="center" textRotation="255"/>
    </xf>
    <xf numFmtId="0" fontId="87" fillId="9" borderId="83" xfId="0" applyFont="1" applyFill="1" applyBorder="1" applyAlignment="1">
      <alignment horizontal="center" wrapText="1"/>
    </xf>
    <xf numFmtId="0" fontId="88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5" xfId="0" applyFont="1" applyBorder="1" applyAlignment="1">
      <alignment horizontal="center" vertical="center"/>
    </xf>
    <xf numFmtId="170" fontId="76" fillId="0" borderId="33" xfId="0" applyNumberFormat="1" applyFont="1" applyBorder="1" applyAlignment="1">
      <alignment horizontal="center" vertical="center"/>
    </xf>
    <xf numFmtId="0" fontId="84" fillId="9" borderId="2" xfId="0" applyFont="1" applyFill="1" applyBorder="1" applyAlignment="1">
      <alignment horizontal="center" vertical="center"/>
    </xf>
    <xf numFmtId="0" fontId="85" fillId="0" borderId="2" xfId="0" applyFont="1" applyBorder="1" applyAlignment="1">
      <alignment horizontal="center" vertical="center"/>
    </xf>
    <xf numFmtId="170" fontId="76" fillId="0" borderId="2" xfId="0" applyNumberFormat="1" applyFont="1" applyBorder="1" applyAlignment="1">
      <alignment horizontal="center" vertical="center"/>
    </xf>
    <xf numFmtId="0" fontId="72" fillId="0" borderId="2" xfId="0" applyFont="1" applyBorder="1" applyAlignment="1">
      <alignment horizontal="center"/>
    </xf>
    <xf numFmtId="0" fontId="72" fillId="0" borderId="92" xfId="0" applyFont="1" applyBorder="1" applyAlignment="1">
      <alignment horizontal="center"/>
    </xf>
    <xf numFmtId="0" fontId="72" fillId="0" borderId="83" xfId="0" applyFont="1" applyBorder="1" applyAlignment="1">
      <alignment horizontal="center"/>
    </xf>
    <xf numFmtId="0" fontId="72" fillId="0" borderId="93" xfId="0" applyFont="1" applyBorder="1" applyAlignment="1">
      <alignment horizontal="center"/>
    </xf>
    <xf numFmtId="0" fontId="72" fillId="0" borderId="78" xfId="0" applyFont="1" applyBorder="1" applyAlignment="1">
      <alignment horizontal="center"/>
    </xf>
    <xf numFmtId="0" fontId="72" fillId="0" borderId="80" xfId="0" applyFont="1" applyBorder="1" applyAlignment="1">
      <alignment horizontal="center"/>
    </xf>
    <xf numFmtId="0" fontId="76" fillId="0" borderId="2" xfId="0" applyFont="1" applyBorder="1" applyAlignment="1">
      <alignment horizontal="center" vertical="center"/>
    </xf>
    <xf numFmtId="2" fontId="72" fillId="0" borderId="80" xfId="0" applyNumberFormat="1" applyFont="1" applyBorder="1" applyAlignment="1">
      <alignment horizontal="center"/>
    </xf>
    <xf numFmtId="170" fontId="72" fillId="0" borderId="2" xfId="0" applyNumberFormat="1" applyFont="1" applyBorder="1" applyAlignment="1">
      <alignment horizontal="center"/>
    </xf>
    <xf numFmtId="0" fontId="89" fillId="0" borderId="83" xfId="0" applyFont="1" applyBorder="1" applyAlignment="1">
      <alignment horizontal="center" vertical="center" wrapText="1"/>
    </xf>
    <xf numFmtId="17" fontId="71" fillId="0" borderId="58" xfId="0" applyNumberFormat="1" applyFont="1" applyBorder="1" applyAlignment="1">
      <alignment horizontal="center" vertical="center"/>
    </xf>
    <xf numFmtId="0" fontId="72" fillId="0" borderId="2" xfId="0" applyFont="1" applyBorder="1" applyAlignment="1">
      <alignment horizontal="left"/>
    </xf>
    <xf numFmtId="0" fontId="90" fillId="9" borderId="1" xfId="0" applyFont="1" applyFill="1" applyBorder="1" applyAlignment="1">
      <alignment horizontal="right"/>
    </xf>
    <xf numFmtId="0" fontId="91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>
      <alignment horizontal="center" vertical="center"/>
    </xf>
    <xf numFmtId="0" fontId="95" fillId="9" borderId="1" xfId="0" applyFont="1" applyFill="1" applyBorder="1" applyAlignment="1" applyProtection="1">
      <alignment horizontal="center" vertical="center"/>
      <protection locked="0"/>
    </xf>
    <xf numFmtId="0" fontId="77" fillId="0" borderId="1" xfId="0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7" fillId="0" borderId="1" xfId="0" applyFont="1" applyBorder="1" applyAlignment="1">
      <alignment horizontal="center"/>
    </xf>
    <xf numFmtId="0" fontId="94" fillId="9" borderId="1" xfId="0" applyFont="1" applyFill="1" applyBorder="1" applyAlignment="1">
      <alignment horizontal="center"/>
    </xf>
    <xf numFmtId="0" fontId="94" fillId="9" borderId="1" xfId="0" applyFont="1" applyFill="1" applyBorder="1" applyAlignment="1">
      <alignment horizontal="left"/>
    </xf>
    <xf numFmtId="3" fontId="94" fillId="9" borderId="1" xfId="0" applyNumberFormat="1" applyFont="1" applyFill="1" applyBorder="1" applyAlignment="1" applyProtection="1">
      <alignment horizontal="center"/>
      <protection locked="0"/>
    </xf>
    <xf numFmtId="3" fontId="94" fillId="9" borderId="1" xfId="0" applyNumberFormat="1" applyFont="1" applyFill="1" applyBorder="1" applyAlignment="1">
      <alignment horizontal="center"/>
    </xf>
    <xf numFmtId="3" fontId="94" fillId="0" borderId="1" xfId="0" applyNumberFormat="1" applyFont="1" applyBorder="1" applyAlignment="1">
      <alignment horizontal="center" vertical="center"/>
    </xf>
    <xf numFmtId="0" fontId="77" fillId="9" borderId="1" xfId="0" applyFont="1" applyFill="1" applyBorder="1" applyAlignment="1">
      <alignment horizontal="center" vertical="center"/>
    </xf>
    <xf numFmtId="0" fontId="97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4" fillId="9" borderId="2" xfId="0" applyFont="1" applyFill="1" applyBorder="1" applyAlignment="1">
      <alignment horizontal="center"/>
    </xf>
    <xf numFmtId="0" fontId="94" fillId="9" borderId="2" xfId="0" applyFont="1" applyFill="1" applyBorder="1" applyAlignment="1">
      <alignment horizontal="left"/>
    </xf>
    <xf numFmtId="3" fontId="94" fillId="9" borderId="70" xfId="0" applyNumberFormat="1" applyFont="1" applyFill="1" applyBorder="1" applyAlignment="1">
      <alignment horizontal="center"/>
    </xf>
    <xf numFmtId="0" fontId="94" fillId="0" borderId="2" xfId="0" applyFont="1" applyBorder="1" applyAlignment="1">
      <alignment horizontal="left"/>
    </xf>
    <xf numFmtId="0" fontId="94" fillId="0" borderId="2" xfId="0" applyFont="1" applyBorder="1" applyAlignment="1">
      <alignment horizontal="center"/>
    </xf>
    <xf numFmtId="0" fontId="88" fillId="0" borderId="41" xfId="0" applyFont="1" applyBorder="1" applyAlignment="1">
      <alignment horizontal="center"/>
    </xf>
    <xf numFmtId="3" fontId="94" fillId="9" borderId="94" xfId="0" applyNumberFormat="1" applyFont="1" applyFill="1" applyBorder="1" applyAlignment="1">
      <alignment horizontal="center"/>
    </xf>
    <xf numFmtId="3" fontId="94" fillId="0" borderId="69" xfId="0" applyNumberFormat="1" applyFont="1" applyBorder="1" applyAlignment="1">
      <alignment horizontal="center" vertical="center"/>
    </xf>
    <xf numFmtId="0" fontId="98" fillId="0" borderId="32" xfId="0" applyFont="1" applyBorder="1" applyAlignment="1">
      <alignment horizontal="center" vertical="center"/>
    </xf>
    <xf numFmtId="0" fontId="98" fillId="0" borderId="2" xfId="0" applyFont="1" applyBorder="1" applyAlignment="1">
      <alignment horizontal="center" vertical="center"/>
    </xf>
    <xf numFmtId="17" fontId="99" fillId="0" borderId="18" xfId="0" applyNumberFormat="1" applyFont="1" applyBorder="1" applyAlignment="1">
      <alignment horizontal="center" vertical="center"/>
    </xf>
    <xf numFmtId="17" fontId="94" fillId="0" borderId="18" xfId="0" applyNumberFormat="1" applyFont="1" applyBorder="1" applyAlignment="1" applyProtection="1">
      <alignment horizontal="center" vertical="center"/>
      <protection locked="0"/>
    </xf>
    <xf numFmtId="0" fontId="100" fillId="0" borderId="2" xfId="0" applyFont="1" applyBorder="1" applyAlignment="1">
      <alignment horizontal="center" vertical="center" wrapText="1"/>
    </xf>
    <xf numFmtId="0" fontId="100" fillId="35" borderId="70" xfId="0" applyFont="1" applyFill="1" applyBorder="1" applyAlignment="1">
      <alignment horizontal="center" vertical="center" wrapText="1"/>
    </xf>
    <xf numFmtId="0" fontId="100" fillId="39" borderId="70" xfId="0" applyFont="1" applyFill="1" applyBorder="1" applyAlignment="1">
      <alignment horizontal="center" vertical="center" wrapText="1"/>
    </xf>
    <xf numFmtId="0" fontId="100" fillId="37" borderId="59" xfId="0" applyFont="1" applyFill="1" applyBorder="1" applyAlignment="1">
      <alignment horizontal="center" vertical="center" wrapText="1"/>
    </xf>
    <xf numFmtId="0" fontId="100" fillId="0" borderId="44" xfId="0" applyFont="1" applyBorder="1" applyAlignment="1">
      <alignment horizontal="center" vertical="center" wrapText="1"/>
    </xf>
    <xf numFmtId="0" fontId="100" fillId="0" borderId="70" xfId="0" applyFont="1" applyBorder="1" applyAlignment="1">
      <alignment horizontal="center" vertical="center"/>
    </xf>
    <xf numFmtId="0" fontId="100" fillId="0" borderId="6" xfId="0" applyFont="1" applyBorder="1" applyAlignment="1">
      <alignment horizontal="center" vertical="center"/>
    </xf>
    <xf numFmtId="0" fontId="100" fillId="37" borderId="70" xfId="0" applyFont="1" applyFill="1" applyBorder="1" applyAlignment="1">
      <alignment horizontal="center" vertical="center"/>
    </xf>
    <xf numFmtId="0" fontId="100" fillId="8" borderId="70" xfId="0" applyFont="1" applyFill="1" applyBorder="1" applyAlignment="1">
      <alignment horizontal="center" vertical="center" wrapText="1"/>
    </xf>
    <xf numFmtId="0" fontId="100" fillId="0" borderId="49" xfId="0" applyFont="1" applyBorder="1" applyAlignment="1">
      <alignment horizontal="center" vertical="center"/>
    </xf>
    <xf numFmtId="0" fontId="100" fillId="0" borderId="95" xfId="0" applyFont="1" applyBorder="1" applyAlignment="1">
      <alignment horizontal="center" vertical="center"/>
    </xf>
    <xf numFmtId="0" fontId="100" fillId="33" borderId="8" xfId="0" applyFont="1" applyFill="1" applyBorder="1" applyAlignment="1">
      <alignment horizontal="center" vertical="center" wrapText="1"/>
    </xf>
    <xf numFmtId="0" fontId="101" fillId="33" borderId="8" xfId="0" applyFont="1" applyFill="1" applyBorder="1" applyAlignment="1">
      <alignment horizontal="center" vertical="center" wrapText="1"/>
    </xf>
    <xf numFmtId="0" fontId="100" fillId="34" borderId="8" xfId="0" applyFont="1" applyFill="1" applyBorder="1" applyAlignment="1">
      <alignment horizontal="center" vertical="center" wrapText="1"/>
    </xf>
    <xf numFmtId="0" fontId="100" fillId="8" borderId="8" xfId="0" applyFont="1" applyFill="1" applyBorder="1" applyAlignment="1">
      <alignment horizontal="center" vertical="center" wrapText="1"/>
    </xf>
    <xf numFmtId="0" fontId="100" fillId="8" borderId="96" xfId="0" applyFont="1" applyFill="1" applyBorder="1" applyAlignment="1">
      <alignment horizontal="center" vertical="center" wrapText="1"/>
    </xf>
    <xf numFmtId="0" fontId="100" fillId="35" borderId="90" xfId="0" applyFont="1" applyFill="1" applyBorder="1" applyAlignment="1">
      <alignment horizontal="center" vertical="center"/>
    </xf>
    <xf numFmtId="0" fontId="100" fillId="35" borderId="14" xfId="0" applyFont="1" applyFill="1" applyBorder="1" applyAlignment="1">
      <alignment horizontal="center" vertical="center" wrapText="1"/>
    </xf>
    <xf numFmtId="0" fontId="100" fillId="35" borderId="91" xfId="0" applyFont="1" applyFill="1" applyBorder="1" applyAlignment="1">
      <alignment horizontal="center" vertical="center" wrapText="1"/>
    </xf>
    <xf numFmtId="0" fontId="100" fillId="39" borderId="91" xfId="0" applyFont="1" applyFill="1" applyBorder="1" applyAlignment="1">
      <alignment horizontal="center" vertical="center" wrapText="1"/>
    </xf>
    <xf numFmtId="0" fontId="83" fillId="39" borderId="91" xfId="0" applyFont="1" applyFill="1" applyBorder="1" applyAlignment="1">
      <alignment horizontal="center" vertical="center" wrapText="1"/>
    </xf>
    <xf numFmtId="0" fontId="100" fillId="0" borderId="18" xfId="0" applyFont="1" applyBorder="1" applyAlignment="1">
      <alignment horizontal="center" vertical="center"/>
    </xf>
    <xf numFmtId="0" fontId="100" fillId="37" borderId="61" xfId="0" applyFont="1" applyFill="1" applyBorder="1" applyAlignment="1">
      <alignment horizontal="center" vertical="center"/>
    </xf>
    <xf numFmtId="0" fontId="100" fillId="37" borderId="14" xfId="0" applyFont="1" applyFill="1" applyBorder="1" applyAlignment="1">
      <alignment horizontal="center" vertical="center"/>
    </xf>
    <xf numFmtId="0" fontId="100" fillId="0" borderId="61" xfId="0" applyFont="1" applyBorder="1" applyAlignment="1">
      <alignment horizontal="center" vertical="center"/>
    </xf>
    <xf numFmtId="0" fontId="100" fillId="0" borderId="14" xfId="0" applyFont="1" applyBorder="1" applyAlignment="1">
      <alignment horizontal="center" vertical="center"/>
    </xf>
    <xf numFmtId="0" fontId="100" fillId="0" borderId="91" xfId="0" applyFont="1" applyBorder="1" applyAlignment="1">
      <alignment horizontal="center" vertical="center" wrapText="1"/>
    </xf>
    <xf numFmtId="0" fontId="97" fillId="9" borderId="0" xfId="0" applyFont="1" applyFill="1" applyBorder="1" applyAlignment="1" applyProtection="1">
      <alignment horizontal="left"/>
      <protection locked="0"/>
    </xf>
    <xf numFmtId="0" fontId="100" fillId="0" borderId="21" xfId="0" applyFont="1" applyBorder="1" applyAlignment="1">
      <alignment horizontal="center" vertical="center"/>
    </xf>
    <xf numFmtId="0" fontId="100" fillId="37" borderId="12" xfId="0" applyFont="1" applyFill="1" applyBorder="1" applyAlignment="1">
      <alignment horizontal="center" vertical="center"/>
    </xf>
    <xf numFmtId="0" fontId="77" fillId="0" borderId="0" xfId="0" applyFont="1" applyBorder="1" applyAlignment="1">
      <alignment horizontal="left" vertical="center"/>
    </xf>
    <xf numFmtId="0" fontId="105" fillId="0" borderId="0" xfId="0" applyFont="1" applyBorder="1" applyAlignment="1">
      <alignment horizontal="left" vertical="center"/>
    </xf>
    <xf numFmtId="0" fontId="100" fillId="0" borderId="19" xfId="0" applyFont="1" applyBorder="1" applyAlignment="1">
      <alignment horizontal="center" vertical="center"/>
    </xf>
    <xf numFmtId="0" fontId="100" fillId="0" borderId="20" xfId="0" applyFont="1" applyBorder="1" applyAlignment="1">
      <alignment horizontal="center" vertical="center"/>
    </xf>
    <xf numFmtId="0" fontId="100" fillId="0" borderId="48" xfId="0" applyFont="1" applyBorder="1" applyAlignment="1">
      <alignment horizontal="center" vertical="center"/>
    </xf>
    <xf numFmtId="0" fontId="99" fillId="0" borderId="44" xfId="0" applyFont="1" applyBorder="1" applyAlignment="1">
      <alignment horizontal="center" vertical="center"/>
    </xf>
    <xf numFmtId="0" fontId="103" fillId="0" borderId="2" xfId="0" applyFont="1" applyBorder="1" applyAlignment="1">
      <alignment horizontal="center" vertical="center"/>
    </xf>
    <xf numFmtId="0" fontId="103" fillId="0" borderId="70" xfId="0" applyFont="1" applyBorder="1" applyAlignment="1">
      <alignment horizontal="center" vertical="center"/>
    </xf>
    <xf numFmtId="0" fontId="103" fillId="0" borderId="6" xfId="0" applyFont="1" applyBorder="1" applyAlignment="1">
      <alignment horizontal="center" vertical="center"/>
    </xf>
    <xf numFmtId="0" fontId="103" fillId="0" borderId="44" xfId="0" applyFont="1" applyBorder="1" applyAlignment="1">
      <alignment horizontal="center" vertical="center"/>
    </xf>
    <xf numFmtId="0" fontId="30" fillId="9" borderId="34" xfId="0" applyFont="1" applyFill="1" applyBorder="1" applyAlignment="1">
      <alignment horizontal="center" vertical="center"/>
    </xf>
    <xf numFmtId="0" fontId="99" fillId="0" borderId="43" xfId="0" applyFont="1" applyBorder="1" applyAlignment="1">
      <alignment horizontal="left" vertical="center"/>
    </xf>
    <xf numFmtId="49" fontId="111" fillId="0" borderId="33" xfId="0" applyNumberFormat="1" applyFont="1" applyBorder="1" applyAlignment="1">
      <alignment horizontal="center"/>
    </xf>
    <xf numFmtId="0" fontId="108" fillId="0" borderId="32" xfId="0" applyFont="1" applyBorder="1" applyAlignment="1">
      <alignment horizontal="center" vertical="center" wrapText="1"/>
    </xf>
    <xf numFmtId="0" fontId="108" fillId="0" borderId="78" xfId="0" applyFont="1" applyBorder="1" applyAlignment="1">
      <alignment horizontal="center" vertical="center" wrapText="1"/>
    </xf>
    <xf numFmtId="0" fontId="108" fillId="0" borderId="79" xfId="0" applyFont="1" applyBorder="1" applyAlignment="1">
      <alignment horizontal="center" vertical="center" wrapText="1"/>
    </xf>
    <xf numFmtId="0" fontId="108" fillId="0" borderId="80" xfId="0" applyFont="1" applyBorder="1" applyAlignment="1">
      <alignment horizontal="center" vertical="center" wrapText="1"/>
    </xf>
    <xf numFmtId="0" fontId="108" fillId="0" borderId="34" xfId="0" applyFont="1" applyBorder="1" applyAlignment="1">
      <alignment horizontal="center" vertical="center" wrapText="1"/>
    </xf>
    <xf numFmtId="0" fontId="108" fillId="0" borderId="2" xfId="0" applyFont="1" applyBorder="1" applyAlignment="1">
      <alignment horizontal="center" vertical="center"/>
    </xf>
    <xf numFmtId="0" fontId="104" fillId="0" borderId="41" xfId="0" applyFont="1" applyBorder="1" applyAlignment="1">
      <alignment horizontal="center" vertical="center"/>
    </xf>
    <xf numFmtId="0" fontId="108" fillId="0" borderId="2" xfId="0" applyFont="1" applyBorder="1" applyAlignment="1">
      <alignment horizontal="center" vertical="center" wrapText="1"/>
    </xf>
    <xf numFmtId="0" fontId="108" fillId="0" borderId="33" xfId="0" applyFont="1" applyBorder="1" applyAlignment="1">
      <alignment horizontal="center" vertical="center" wrapText="1"/>
    </xf>
    <xf numFmtId="0" fontId="108" fillId="0" borderId="34" xfId="0" applyFont="1" applyBorder="1" applyAlignment="1">
      <alignment horizontal="center" vertical="center"/>
    </xf>
    <xf numFmtId="0" fontId="108" fillId="0" borderId="32" xfId="0" applyFont="1" applyBorder="1" applyAlignment="1">
      <alignment horizontal="center" vertical="center"/>
    </xf>
    <xf numFmtId="0" fontId="88" fillId="0" borderId="0" xfId="0" applyFont="1" applyBorder="1" applyAlignment="1">
      <alignment horizontal="left"/>
    </xf>
    <xf numFmtId="0" fontId="108" fillId="0" borderId="33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FCD5B5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F2DCDB"/>
      <rgbColor rgb="FFC6D9F1"/>
      <rgbColor rgb="FF000080"/>
      <rgbColor rgb="FFFF00FF"/>
      <rgbColor rgb="FFFFF200"/>
      <rgbColor rgb="FFD9D9D9"/>
      <rgbColor rgb="FF800080"/>
      <rgbColor rgb="FF800000"/>
      <rgbColor rgb="FFFAC090"/>
      <rgbColor rgb="FF0000FF"/>
      <rgbColor rgb="FFC3D69B"/>
      <rgbColor rgb="FFDFDFE0"/>
      <rgbColor rgb="FFCCFFCC"/>
      <rgbColor rgb="FFFFFF99"/>
      <rgbColor rgb="FF99CCFF"/>
      <rgbColor rgb="FFFF99CC"/>
      <rgbColor rgb="FFB2B2B2"/>
      <rgbColor rgb="FFFFCC99"/>
      <rgbColor rgb="FFCCCCCC"/>
      <rgbColor rgb="FF8EB4E3"/>
      <rgbColor rgb="FF92D050"/>
      <rgbColor rgb="FFFFCC00"/>
      <rgbColor rgb="FFF79646"/>
      <rgbColor rgb="FFFFC000"/>
      <rgbColor rgb="FF558ED5"/>
      <rgbColor rgb="FF999999"/>
      <rgbColor rgb="FF003366"/>
      <rgbColor rgb="FFBFBFBF"/>
      <rgbColor rgb="FF003300"/>
      <rgbColor rgb="FF333300"/>
      <rgbColor rgb="FFE6B9B8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241200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08120" y="36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241200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08120" y="432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241200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08120" y="324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241200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08120" y="504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241200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08120" y="216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241200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08120" y="540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241200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08120" y="396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241200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08120" y="648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241200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08120" y="684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241200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08120" y="288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241200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08120" y="648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241200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08120" y="288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241200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08120" y="432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241200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08120" y="648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241200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08120" y="39960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241200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08120" y="48276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241200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08120" y="72360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241200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08120" y="77832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241200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08120" y="72360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241200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08120" y="77832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241200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08120" y="101484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241200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08120" y="125352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241200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08120" y="149220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241200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08120" y="172728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241200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08120" y="196992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241200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08120" y="220536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241200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08120" y="244728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241200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08120" y="267912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241200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08120" y="292392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241200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08120" y="315540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241200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08120" y="340344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241200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08120" y="363456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241200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08120" y="387432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241200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08120" y="411192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241200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08120" y="4380840"/>
          <a:ext cx="17100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69440" y="2520"/>
          <a:ext cx="0" cy="47160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69440" y="2520"/>
          <a:ext cx="0" cy="47160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69440" y="2520"/>
          <a:ext cx="0" cy="50220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69440" y="1800"/>
          <a:ext cx="0" cy="49032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79920" y="6393960"/>
          <a:ext cx="4086360" cy="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79920" y="6393960"/>
          <a:ext cx="4086360" cy="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8720" y="2160"/>
          <a:ext cx="0" cy="92448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8720" y="2160"/>
          <a:ext cx="0" cy="92448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8720" y="2880"/>
          <a:ext cx="0" cy="15228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8720" y="1440"/>
          <a:ext cx="0" cy="94320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7680" y="6596640"/>
          <a:ext cx="2404080" cy="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49560" y="6596640"/>
          <a:ext cx="479160" cy="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355320</xdr:colOff>
      <xdr:row>0</xdr:row>
      <xdr:rowOff>187920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120" y="5400"/>
          <a:ext cx="910800" cy="1825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9440" cy="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374040</xdr:colOff>
      <xdr:row>0</xdr:row>
      <xdr:rowOff>128880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9240" cy="12528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3240" y="5995080"/>
          <a:ext cx="2185920" cy="1980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9680" y="5996160"/>
          <a:ext cx="1454040" cy="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216000</xdr:colOff>
      <xdr:row>0</xdr:row>
      <xdr:rowOff>54720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7680" y="5400"/>
          <a:ext cx="2404080" cy="493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216000</xdr:colOff>
      <xdr:row>0</xdr:row>
      <xdr:rowOff>54720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7680" y="5400"/>
          <a:ext cx="2404080" cy="493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417600</xdr:colOff>
      <xdr:row>0</xdr:row>
      <xdr:rowOff>81360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2480" cy="777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46800</xdr:colOff>
      <xdr:row>0</xdr:row>
      <xdr:rowOff>54720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7680" y="5400"/>
          <a:ext cx="2839320" cy="493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46800</xdr:colOff>
      <xdr:row>0</xdr:row>
      <xdr:rowOff>54720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7680" y="5400"/>
          <a:ext cx="2839320" cy="493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240" y="6480"/>
          <a:ext cx="0" cy="68148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240" y="6480"/>
          <a:ext cx="0" cy="68148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240" y="4680"/>
          <a:ext cx="0" cy="50436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240" y="5760"/>
          <a:ext cx="0" cy="700560"/>
        </a:xfrm>
        <a:prstGeom prst="line">
          <a:avLst/>
        </a:prstGeom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408240</xdr:colOff>
      <xdr:row>0</xdr:row>
      <xdr:rowOff>221400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12120" y="1080"/>
          <a:ext cx="1539720" cy="22032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492840</xdr:colOff>
      <xdr:row>0</xdr:row>
      <xdr:rowOff>69480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0880" y="2160"/>
          <a:ext cx="190440" cy="6732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A4" sqref="A4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22" t="s">
        <v>0</v>
      </c>
      <c r="B1" s="1" t="s">
        <v>1</v>
      </c>
      <c r="C1" s="1" t="s">
        <v>1</v>
      </c>
    </row>
    <row r="2" spans="1:8" ht="15.75">
      <c r="A2" s="922"/>
      <c r="B2" s="2" t="s">
        <v>2</v>
      </c>
      <c r="C2" s="2" t="s">
        <v>3</v>
      </c>
    </row>
    <row r="3" spans="1:8" ht="18.75" customHeight="1">
      <c r="A3" s="3">
        <v>43891</v>
      </c>
      <c r="B3" s="4"/>
      <c r="C3" s="4"/>
      <c r="E3" s="5" t="s">
        <v>4</v>
      </c>
      <c r="F3" s="6"/>
      <c r="G3" s="6"/>
      <c r="H3" s="6"/>
    </row>
    <row r="4" spans="1:8" ht="18.75" customHeight="1">
      <c r="A4" s="7">
        <f>ESCALA!A3+1</f>
        <v>43892</v>
      </c>
      <c r="B4" s="4"/>
      <c r="C4" s="4"/>
    </row>
    <row r="5" spans="1:8" ht="18.75" customHeight="1">
      <c r="A5" s="7">
        <f>ESCALA!A4+1</f>
        <v>43893</v>
      </c>
      <c r="B5" s="4"/>
      <c r="C5" s="4"/>
    </row>
    <row r="6" spans="1:8" ht="18.75" customHeight="1">
      <c r="A6" s="7">
        <f>ESCALA!A5+1</f>
        <v>43894</v>
      </c>
      <c r="B6" s="4"/>
      <c r="C6" s="4"/>
    </row>
    <row r="7" spans="1:8" ht="18.75" customHeight="1">
      <c r="A7" s="7">
        <f>ESCALA!A6+1</f>
        <v>43895</v>
      </c>
      <c r="B7" s="4"/>
      <c r="C7" s="4"/>
    </row>
    <row r="8" spans="1:8" ht="18.75" customHeight="1">
      <c r="A8" s="7">
        <f>ESCALA!A7+1</f>
        <v>43896</v>
      </c>
      <c r="B8" s="4"/>
      <c r="C8" s="4"/>
    </row>
    <row r="9" spans="1:8" ht="18.75" customHeight="1">
      <c r="A9" s="7">
        <f>ESCALA!A8+1</f>
        <v>43897</v>
      </c>
      <c r="B9" s="4"/>
      <c r="C9" s="4"/>
    </row>
    <row r="10" spans="1:8" ht="18.75" customHeight="1">
      <c r="A10" s="7">
        <f>ESCALA!A9+1</f>
        <v>43898</v>
      </c>
      <c r="B10" s="4"/>
      <c r="C10" s="4"/>
    </row>
    <row r="11" spans="1:8" ht="18.75" customHeight="1">
      <c r="A11" s="7">
        <f>ESCALA!A10+1</f>
        <v>43899</v>
      </c>
      <c r="B11" s="4"/>
      <c r="C11" s="4"/>
    </row>
    <row r="12" spans="1:8" ht="18.75" customHeight="1">
      <c r="A12" s="7">
        <f>ESCALA!A11+1</f>
        <v>43900</v>
      </c>
      <c r="B12" s="4"/>
      <c r="C12" s="4"/>
    </row>
    <row r="13" spans="1:8" ht="18.75" customHeight="1">
      <c r="A13" s="7">
        <f>ESCALA!A12+1</f>
        <v>43901</v>
      </c>
      <c r="B13" s="4"/>
      <c r="C13" s="4"/>
    </row>
    <row r="14" spans="1:8" ht="18.75" customHeight="1">
      <c r="A14" s="7">
        <f>ESCALA!A13+1</f>
        <v>43902</v>
      </c>
      <c r="B14" s="4"/>
      <c r="C14" s="4"/>
    </row>
    <row r="15" spans="1:8" ht="18.75" customHeight="1">
      <c r="A15" s="7">
        <f>ESCALA!A14+1</f>
        <v>43903</v>
      </c>
      <c r="B15" s="4"/>
      <c r="C15" s="4"/>
    </row>
    <row r="16" spans="1:8" ht="18.75" customHeight="1">
      <c r="A16" s="7">
        <f>ESCALA!A15+1</f>
        <v>43904</v>
      </c>
      <c r="B16" s="4"/>
      <c r="C16" s="4"/>
    </row>
    <row r="17" spans="1:3" ht="18.75" customHeight="1">
      <c r="A17" s="7">
        <f>ESCALA!A16+1</f>
        <v>43905</v>
      </c>
      <c r="B17" s="4"/>
      <c r="C17" s="4"/>
    </row>
    <row r="18" spans="1:3" ht="18.75" customHeight="1">
      <c r="A18" s="7">
        <f>ESCALA!A17+1</f>
        <v>43906</v>
      </c>
      <c r="B18" s="4"/>
      <c r="C18" s="4"/>
    </row>
    <row r="19" spans="1:3" ht="18.75" customHeight="1">
      <c r="A19" s="7">
        <f>ESCALA!A18+1</f>
        <v>43907</v>
      </c>
      <c r="B19" s="4"/>
      <c r="C19" s="4"/>
    </row>
    <row r="20" spans="1:3" ht="18.75" customHeight="1">
      <c r="A20" s="7">
        <f>ESCALA!A19+1</f>
        <v>43908</v>
      </c>
      <c r="B20" s="4"/>
      <c r="C20" s="4"/>
    </row>
    <row r="21" spans="1:3" ht="18.75" customHeight="1">
      <c r="A21" s="7">
        <f>ESCALA!A20+1</f>
        <v>43909</v>
      </c>
      <c r="B21" s="4"/>
      <c r="C21" s="4"/>
    </row>
    <row r="22" spans="1:3" ht="18.75" customHeight="1">
      <c r="A22" s="7">
        <f>ESCALA!A21+1</f>
        <v>43910</v>
      </c>
      <c r="B22" s="4"/>
      <c r="C22" s="4"/>
    </row>
    <row r="23" spans="1:3" ht="18.75" customHeight="1">
      <c r="A23" s="7">
        <f>ESCALA!A22+1</f>
        <v>43911</v>
      </c>
      <c r="B23" s="4"/>
      <c r="C23" s="4"/>
    </row>
    <row r="24" spans="1:3" ht="18.75" customHeight="1">
      <c r="A24" s="7">
        <f>ESCALA!A23+1</f>
        <v>43912</v>
      </c>
      <c r="B24" s="4"/>
      <c r="C24" s="4"/>
    </row>
    <row r="25" spans="1:3" ht="18.75" customHeight="1">
      <c r="A25" s="7">
        <f>ESCALA!A24+1</f>
        <v>43913</v>
      </c>
      <c r="B25" s="4"/>
      <c r="C25" s="4"/>
    </row>
    <row r="26" spans="1:3" ht="18.75" customHeight="1">
      <c r="A26" s="7">
        <f>ESCALA!A25+1</f>
        <v>43914</v>
      </c>
      <c r="B26" s="4"/>
      <c r="C26" s="4"/>
    </row>
    <row r="27" spans="1:3" ht="18.75" customHeight="1">
      <c r="A27" s="7">
        <f>ESCALA!A26+1</f>
        <v>43915</v>
      </c>
      <c r="B27" s="4"/>
      <c r="C27" s="4"/>
    </row>
    <row r="28" spans="1:3" ht="18.75" customHeight="1">
      <c r="A28" s="7">
        <f>ESCALA!A27+1</f>
        <v>43916</v>
      </c>
      <c r="B28" s="4"/>
      <c r="C28" s="4"/>
    </row>
    <row r="29" spans="1:3" ht="18.75" customHeight="1">
      <c r="A29" s="7">
        <f>ESCALA!A28+1</f>
        <v>43917</v>
      </c>
      <c r="B29" s="4"/>
      <c r="C29" s="4"/>
    </row>
    <row r="30" spans="1:3" ht="18.75" customHeight="1">
      <c r="A30" s="7">
        <f>ESCALA!A29+1</f>
        <v>43918</v>
      </c>
      <c r="B30" s="4"/>
      <c r="C30" s="4"/>
    </row>
    <row r="31" spans="1:3" ht="18.75" customHeight="1">
      <c r="A31" s="7">
        <f>ESCALA!A30+1</f>
        <v>43919</v>
      </c>
      <c r="B31" s="4"/>
      <c r="C31" s="4"/>
    </row>
    <row r="32" spans="1:3" ht="18.75" customHeight="1">
      <c r="A32" s="7">
        <f>ESCALA!A31+1</f>
        <v>43920</v>
      </c>
      <c r="B32" s="4"/>
      <c r="C32" s="4"/>
    </row>
    <row r="33" spans="1:3" ht="19.5" customHeight="1">
      <c r="A33" s="7">
        <f>ESCALA!A32+1</f>
        <v>43921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W28" zoomScaleNormal="100" workbookViewId="0">
      <selection activeCell="AJ46" sqref="AJ46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924" t="s">
        <v>5</v>
      </c>
      <c r="E2" s="924"/>
      <c r="F2" s="924"/>
      <c r="G2" s="924"/>
      <c r="H2" s="924"/>
      <c r="I2" s="924"/>
      <c r="J2" s="924"/>
      <c r="K2" s="924"/>
      <c r="L2" s="924"/>
      <c r="M2" s="924"/>
      <c r="N2" s="924"/>
      <c r="O2" s="924"/>
      <c r="P2" s="924"/>
      <c r="Q2" s="924"/>
      <c r="R2" s="924"/>
      <c r="S2" s="924"/>
      <c r="T2" s="924"/>
      <c r="U2" s="924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924"/>
      <c r="E3" s="924"/>
      <c r="F3" s="924"/>
      <c r="G3" s="924"/>
      <c r="H3" s="924"/>
      <c r="I3" s="924"/>
      <c r="J3" s="924"/>
      <c r="K3" s="924"/>
      <c r="L3" s="924"/>
      <c r="M3" s="924"/>
      <c r="N3" s="924"/>
      <c r="O3" s="924"/>
      <c r="P3" s="924"/>
      <c r="Q3" s="924"/>
      <c r="R3" s="924"/>
      <c r="S3" s="924"/>
      <c r="T3" s="924"/>
      <c r="U3" s="924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930" t="s">
        <v>13</v>
      </c>
      <c r="U4" s="931" t="s">
        <v>14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930"/>
      <c r="U5" s="93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931"/>
      <c r="V6" s="932"/>
      <c r="W6" s="932"/>
      <c r="X6" s="13">
        <v>4.1666666666666699E-2</v>
      </c>
      <c r="Y6" s="14">
        <v>2806</v>
      </c>
      <c r="Z6" s="14">
        <v>987</v>
      </c>
      <c r="AA6" s="15">
        <v>1</v>
      </c>
      <c r="AB6" s="16">
        <f>IF('1'!AA6=1,(('1'!Z6*'1'!$AS$6*'1'!$AT$6)/('1'!Y6*0.0036)),IF('1'!AA6=2,(('1'!Z6*'1'!$AS$7*'1'!$AT$7)/('1'!Y6*0.0036))))</f>
        <v>64.975350439534338</v>
      </c>
      <c r="AC6" s="17"/>
      <c r="AD6" s="18">
        <f>(('1'!AC6*'1'!$Q$10*1000000))/('1'!Z10*3600)</f>
        <v>0</v>
      </c>
      <c r="AE6" s="19"/>
      <c r="AF6" s="20">
        <f>('1'!AE6/24)*0.454</f>
        <v>0</v>
      </c>
      <c r="AG6" s="19"/>
      <c r="AH6" s="20">
        <f>('1'!AG6/24)*0.454</f>
        <v>0</v>
      </c>
      <c r="AI6" s="19">
        <v>5200</v>
      </c>
      <c r="AJ6" s="20">
        <f>('1'!AI6/24)*0.454</f>
        <v>98.36666666666666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80</v>
      </c>
      <c r="C7" s="29">
        <v>12.5</v>
      </c>
      <c r="D7" s="29">
        <v>12.5</v>
      </c>
      <c r="E7" s="29">
        <v>2.5</v>
      </c>
      <c r="F7" s="29">
        <v>9.4</v>
      </c>
      <c r="G7" s="29">
        <v>1.4</v>
      </c>
      <c r="H7" s="29">
        <v>1.6</v>
      </c>
      <c r="I7" s="29">
        <v>0.4</v>
      </c>
      <c r="J7" s="29">
        <v>0.4</v>
      </c>
      <c r="K7" s="29">
        <v>7.3</v>
      </c>
      <c r="L7" s="29">
        <v>6.7</v>
      </c>
      <c r="M7" s="29">
        <v>6.7</v>
      </c>
      <c r="N7" s="29">
        <v>6.4</v>
      </c>
      <c r="O7" s="29">
        <v>3.2</v>
      </c>
      <c r="P7" s="29"/>
      <c r="Q7" s="29"/>
      <c r="R7" s="30">
        <v>987</v>
      </c>
      <c r="S7" s="31">
        <v>65.099999999999994</v>
      </c>
      <c r="T7" s="32">
        <v>2802</v>
      </c>
      <c r="U7" s="33" t="str">
        <f>IF('1'!AA6=1,'1'!AR6,'1'!AR7)</f>
        <v>S.A.L</v>
      </c>
      <c r="V7" s="940"/>
      <c r="W7" s="940"/>
      <c r="X7" s="13">
        <v>8.3333333333333301E-2</v>
      </c>
      <c r="Y7" s="14">
        <v>2800</v>
      </c>
      <c r="Z7" s="14">
        <v>987</v>
      </c>
      <c r="AA7" s="15">
        <v>1</v>
      </c>
      <c r="AB7" s="16">
        <f>IF('1'!AA7=1,(('1'!Z7*'1'!$AS$6*'1'!$AT$6)/('1'!Y7*0.0036)),IF('1'!AA7=2,(('1'!Z7*'1'!$AS$7*'1'!$AT$7)/('1'!Y7*0.0036))))</f>
        <v>65.114583333333329</v>
      </c>
      <c r="AC7" s="17"/>
      <c r="AD7" s="18">
        <f>(('1'!AC7*'1'!$Q$10*1000000))/('1'!Z11*3600)</f>
        <v>0</v>
      </c>
      <c r="AE7" s="19"/>
      <c r="AF7" s="20">
        <f>('1'!AE7/24)*0.454</f>
        <v>0</v>
      </c>
      <c r="AG7" s="19"/>
      <c r="AH7" s="20">
        <f>('1'!AG7/24)*0.454</f>
        <v>0</v>
      </c>
      <c r="AI7" s="19">
        <v>5200</v>
      </c>
      <c r="AJ7" s="20">
        <f>('1'!AI7/24)*0.454</f>
        <v>98.36666666666666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29">
        <v>80</v>
      </c>
      <c r="C8" s="29">
        <v>12.5</v>
      </c>
      <c r="D8" s="29">
        <v>12.5</v>
      </c>
      <c r="E8" s="29">
        <v>2.5</v>
      </c>
      <c r="F8" s="29">
        <v>9</v>
      </c>
      <c r="G8" s="29">
        <v>1.2</v>
      </c>
      <c r="H8" s="29">
        <v>1.5</v>
      </c>
      <c r="I8" s="29">
        <v>0.4</v>
      </c>
      <c r="J8" s="29">
        <v>0.4</v>
      </c>
      <c r="K8" s="29">
        <v>7.3</v>
      </c>
      <c r="L8" s="29">
        <v>6.7</v>
      </c>
      <c r="M8" s="29">
        <v>6.7</v>
      </c>
      <c r="N8" s="29">
        <v>6.4</v>
      </c>
      <c r="O8" s="29">
        <v>3.2</v>
      </c>
      <c r="P8" s="29"/>
      <c r="Q8" s="29"/>
      <c r="R8" s="35">
        <f>'1'!Z7</f>
        <v>987</v>
      </c>
      <c r="S8" s="36">
        <f>'1'!AB7</f>
        <v>65.114583333333329</v>
      </c>
      <c r="T8" s="37">
        <f>'1'!Y7</f>
        <v>2800</v>
      </c>
      <c r="U8" s="33" t="str">
        <f>IF('1'!AA7=1,'1'!AR6,'1'!AR7)</f>
        <v>S.A.L</v>
      </c>
      <c r="V8" s="940"/>
      <c r="W8" s="940"/>
      <c r="X8" s="13">
        <v>0.125</v>
      </c>
      <c r="Y8" s="14">
        <v>2792</v>
      </c>
      <c r="Z8" s="14">
        <v>987</v>
      </c>
      <c r="AA8" s="15">
        <v>1</v>
      </c>
      <c r="AB8" s="16">
        <f>IF('1'!AA8=1,(('1'!Z8*'1'!$AS$6*'1'!$AT$6)/('1'!Y8*0.0036)),IF('1'!AA8=2,(('1'!Z8*'1'!$AS$7*'1'!$AT$7)/('1'!Y8*0.0036))))</f>
        <v>65.301158070678127</v>
      </c>
      <c r="AC8" s="17"/>
      <c r="AD8" s="18">
        <f>(('1'!AC8*'1'!$Q$10*1000000))/('1'!Z12*3600)</f>
        <v>0</v>
      </c>
      <c r="AE8" s="19"/>
      <c r="AF8" s="20">
        <f>('1'!AE8/24)*0.454</f>
        <v>0</v>
      </c>
      <c r="AG8" s="19"/>
      <c r="AH8" s="20">
        <f>('1'!AG8/24)*0.454</f>
        <v>0</v>
      </c>
      <c r="AI8" s="19">
        <v>5200</v>
      </c>
      <c r="AJ8" s="20">
        <f>('1'!AI8/24)*0.454</f>
        <v>98.36666666666666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29">
        <v>70</v>
      </c>
      <c r="C9" s="29">
        <v>12.5</v>
      </c>
      <c r="D9" s="29">
        <v>12.5</v>
      </c>
      <c r="E9" s="29">
        <v>2.5</v>
      </c>
      <c r="F9" s="29">
        <v>8.9</v>
      </c>
      <c r="G9" s="29">
        <v>1.2</v>
      </c>
      <c r="H9" s="29">
        <v>1.5</v>
      </c>
      <c r="I9" s="29">
        <v>0.4</v>
      </c>
      <c r="J9" s="29">
        <v>0.4</v>
      </c>
      <c r="K9" s="29">
        <v>7.3</v>
      </c>
      <c r="L9" s="29">
        <v>6.7</v>
      </c>
      <c r="M9" s="29">
        <v>6.7</v>
      </c>
      <c r="N9" s="29">
        <v>6.4</v>
      </c>
      <c r="O9" s="29">
        <v>3.2</v>
      </c>
      <c r="P9" s="29"/>
      <c r="Q9" s="29"/>
      <c r="R9" s="37">
        <f>'1'!Z9</f>
        <v>987</v>
      </c>
      <c r="S9" s="36">
        <f>'1'!AB9</f>
        <v>64.790630182421225</v>
      </c>
      <c r="T9" s="37">
        <f>'1'!Y9</f>
        <v>2814</v>
      </c>
      <c r="U9" s="33" t="str">
        <f>IF('1'!AA9=1,'1'!AR6,'1'!AR7)</f>
        <v>S.A.L</v>
      </c>
      <c r="V9" s="940"/>
      <c r="W9" s="940"/>
      <c r="X9" s="13">
        <v>0.16666666666666699</v>
      </c>
      <c r="Y9" s="14">
        <v>2814</v>
      </c>
      <c r="Z9" s="14">
        <v>987</v>
      </c>
      <c r="AA9" s="15">
        <v>1</v>
      </c>
      <c r="AB9" s="16">
        <f>IF('1'!AA9=1,(('1'!Z9*'1'!$AS$6*'1'!$AT$6)/('1'!Y9*0.0036)),IF('1'!AA9=2,(('1'!Z9*'1'!$AS$7*'1'!$AT$7)/('1'!Y9*0.0036))))</f>
        <v>64.790630182421225</v>
      </c>
      <c r="AC9" s="17"/>
      <c r="AD9" s="18">
        <f>(('1'!AC9*'1'!$Q$10*1000000))/('1'!Z13*3600)</f>
        <v>0</v>
      </c>
      <c r="AE9" s="19"/>
      <c r="AF9" s="20">
        <f>('1'!AE9/24)*0.454</f>
        <v>0</v>
      </c>
      <c r="AG9" s="19"/>
      <c r="AH9" s="20">
        <f>('1'!AG9/24)*0.454</f>
        <v>0</v>
      </c>
      <c r="AI9" s="19">
        <v>5200</v>
      </c>
      <c r="AJ9" s="20">
        <f>('1'!AI9/24)*0.454</f>
        <v>98.36666666666666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29">
        <v>70</v>
      </c>
      <c r="C10" s="29">
        <v>12.5</v>
      </c>
      <c r="D10" s="29">
        <v>12.5</v>
      </c>
      <c r="E10" s="29">
        <v>2.5</v>
      </c>
      <c r="F10" s="29">
        <v>8.6999999999999993</v>
      </c>
      <c r="G10" s="29">
        <v>1.2</v>
      </c>
      <c r="H10" s="29">
        <v>1.5</v>
      </c>
      <c r="I10" s="29">
        <v>0.4</v>
      </c>
      <c r="J10" s="29">
        <v>0.4</v>
      </c>
      <c r="K10" s="29">
        <v>7.3</v>
      </c>
      <c r="L10" s="29">
        <v>6.7</v>
      </c>
      <c r="M10" s="29">
        <v>6.7</v>
      </c>
      <c r="N10" s="29">
        <v>6.4</v>
      </c>
      <c r="O10" s="29">
        <v>3.2</v>
      </c>
      <c r="P10" s="29"/>
      <c r="Q10" s="29"/>
      <c r="R10" s="37">
        <f>'1'!Z11</f>
        <v>987</v>
      </c>
      <c r="S10" s="36">
        <f>'1'!AB11</f>
        <v>66.370889455163223</v>
      </c>
      <c r="T10" s="37">
        <f>'1'!Y11</f>
        <v>2747</v>
      </c>
      <c r="U10" s="39" t="str">
        <f>IF('1'!AA11=1,'1'!AR6,'1'!AR7)</f>
        <v>S.A.L</v>
      </c>
      <c r="V10" s="940"/>
      <c r="W10" s="940"/>
      <c r="X10" s="13">
        <v>0.20833333333333301</v>
      </c>
      <c r="Y10" s="14">
        <v>2758</v>
      </c>
      <c r="Z10" s="40">
        <v>987</v>
      </c>
      <c r="AA10" s="15">
        <v>1</v>
      </c>
      <c r="AB10" s="16">
        <f>IF('1'!AA10=1,(('1'!Z10*'1'!$AS$6*'1'!$AT$6)/('1'!Y10*0.0036)),IF('1'!AA10=2,(('1'!Z10*'1'!$AS$7*'1'!$AT$7)/('1'!Y10*0.0036))))</f>
        <v>66.106175972927247</v>
      </c>
      <c r="AC10" s="17"/>
      <c r="AD10" s="18">
        <f>(('1'!AC10*'1'!$Q$10*1000000))/('1'!Z14*3600)</f>
        <v>0</v>
      </c>
      <c r="AE10" s="19"/>
      <c r="AF10" s="20">
        <f>('1'!AE10/24)*0.454</f>
        <v>0</v>
      </c>
      <c r="AG10" s="19"/>
      <c r="AH10" s="20">
        <f>('1'!AG10/24)*0.454</f>
        <v>0</v>
      </c>
      <c r="AI10" s="19">
        <v>5200</v>
      </c>
      <c r="AJ10" s="20">
        <f>('1'!AI10/24)*0.454</f>
        <v>98.36666666666666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29">
        <v>80</v>
      </c>
      <c r="C11" s="29">
        <v>12.5</v>
      </c>
      <c r="D11" s="29">
        <v>12.5</v>
      </c>
      <c r="E11" s="29">
        <v>2.5</v>
      </c>
      <c r="F11" s="29">
        <v>9.1999999999999993</v>
      </c>
      <c r="G11" s="29">
        <v>1.3</v>
      </c>
      <c r="H11" s="29">
        <v>1.4</v>
      </c>
      <c r="I11" s="29">
        <v>0.4</v>
      </c>
      <c r="J11" s="29">
        <v>0.4</v>
      </c>
      <c r="K11" s="29">
        <v>7.3</v>
      </c>
      <c r="L11" s="29">
        <v>6.7</v>
      </c>
      <c r="M11" s="29">
        <v>6.7</v>
      </c>
      <c r="N11" s="29">
        <v>6.4</v>
      </c>
      <c r="O11" s="29">
        <v>3.2</v>
      </c>
      <c r="P11" s="29"/>
      <c r="Q11" s="29"/>
      <c r="R11" s="37">
        <f>'1'!Z13</f>
        <v>987</v>
      </c>
      <c r="S11" s="36">
        <f>'1'!AB13</f>
        <v>65.371399545834834</v>
      </c>
      <c r="T11" s="37">
        <f>'1'!Y13</f>
        <v>2789</v>
      </c>
      <c r="U11" s="42" t="str">
        <f>IF('1'!AA13=1,'1'!AR6,'1'!AR7)</f>
        <v>S.A.L</v>
      </c>
      <c r="V11" s="940"/>
      <c r="W11" s="940"/>
      <c r="X11" s="13">
        <v>0.25</v>
      </c>
      <c r="Y11" s="14">
        <v>2747</v>
      </c>
      <c r="Z11" s="40">
        <v>987</v>
      </c>
      <c r="AA11" s="15">
        <v>1</v>
      </c>
      <c r="AB11" s="16">
        <f>IF('1'!AA11=1,(('1'!Z11*'1'!$AS$6*'1'!$AT$6)/('1'!Y11*0.0036)),IF('1'!AA11=2,(('1'!Z11*'1'!$AS$7*'1'!$AT$7)/('1'!Y11*0.0036))))</f>
        <v>66.370889455163223</v>
      </c>
      <c r="AC11" s="17"/>
      <c r="AD11" s="18">
        <f>(('1'!AC11*'1'!$Q$10*1000000))/('1'!Z15*3600)</f>
        <v>0</v>
      </c>
      <c r="AE11" s="19"/>
      <c r="AF11" s="20">
        <f>('1'!AE11/24)*0.454</f>
        <v>0</v>
      </c>
      <c r="AG11" s="19"/>
      <c r="AH11" s="20">
        <f>('1'!AG11/24)*0.454</f>
        <v>0</v>
      </c>
      <c r="AI11" s="19">
        <v>5200</v>
      </c>
      <c r="AJ11" s="20">
        <f>('1'!AI11/24)*0.454</f>
        <v>98.36666666666666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29">
        <v>80</v>
      </c>
      <c r="C12" s="29">
        <v>12.5</v>
      </c>
      <c r="D12" s="29">
        <v>12.5</v>
      </c>
      <c r="E12" s="29">
        <v>2.5</v>
      </c>
      <c r="F12" s="29">
        <v>9.4</v>
      </c>
      <c r="G12" s="29">
        <v>1.4</v>
      </c>
      <c r="H12" s="29">
        <v>1.4</v>
      </c>
      <c r="I12" s="29">
        <v>0.4</v>
      </c>
      <c r="J12" s="29">
        <v>0.4</v>
      </c>
      <c r="K12" s="29">
        <v>7.3</v>
      </c>
      <c r="L12" s="29">
        <v>6.7</v>
      </c>
      <c r="M12" s="29">
        <v>6.7</v>
      </c>
      <c r="N12" s="29">
        <v>6.4</v>
      </c>
      <c r="O12" s="29">
        <v>3.2</v>
      </c>
      <c r="P12" s="29"/>
      <c r="Q12" s="29"/>
      <c r="R12" s="37">
        <f>'1'!Z15</f>
        <v>987</v>
      </c>
      <c r="S12" s="36">
        <f>'1'!AB15</f>
        <v>65.20773724368145</v>
      </c>
      <c r="T12" s="37">
        <f>'1'!Y15</f>
        <v>2796</v>
      </c>
      <c r="U12" s="43" t="str">
        <f>IF('1'!AA15=1,'1'!AR6,'1'!AR7)</f>
        <v>S.A.L</v>
      </c>
      <c r="V12" s="944">
        <f>ESCALA!$B$3</f>
        <v>0</v>
      </c>
      <c r="W12" s="944"/>
      <c r="X12" s="13">
        <v>0.29166666666666702</v>
      </c>
      <c r="Y12" s="14">
        <v>2769</v>
      </c>
      <c r="Z12" s="40">
        <v>987</v>
      </c>
      <c r="AA12" s="15">
        <v>1</v>
      </c>
      <c r="AB12" s="16">
        <f>IF('1'!AA12=1,(('1'!Z12*'1'!$AS$6*'1'!$AT$6)/('1'!Y12*0.0036)),IF('1'!AA12=2,(('1'!Z12*'1'!$AS$7*'1'!$AT$7)/('1'!Y12*0.0036))))</f>
        <v>65.843565667509338</v>
      </c>
      <c r="AC12" s="17"/>
      <c r="AD12" s="18">
        <f>(('1'!AC12*'1'!$Q$10*1000000))/('1'!Z16*3600)</f>
        <v>0</v>
      </c>
      <c r="AE12" s="19"/>
      <c r="AF12" s="20">
        <f>('1'!AE12/24)*0.454</f>
        <v>0</v>
      </c>
      <c r="AG12" s="19"/>
      <c r="AH12" s="20">
        <f>('1'!AG12/24)*0.454</f>
        <v>0</v>
      </c>
      <c r="AI12" s="19">
        <v>5200</v>
      </c>
      <c r="AJ12" s="20">
        <f>('1'!AI12/24)*0.454</f>
        <v>98.36666666666666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29">
        <v>80</v>
      </c>
      <c r="C13" s="29">
        <v>12.5</v>
      </c>
      <c r="D13" s="29">
        <v>12.5</v>
      </c>
      <c r="E13" s="29">
        <v>2.5</v>
      </c>
      <c r="F13" s="29">
        <v>9.1999999999999993</v>
      </c>
      <c r="G13" s="29">
        <v>1.4</v>
      </c>
      <c r="H13" s="29">
        <v>1.4</v>
      </c>
      <c r="I13" s="29">
        <v>0.4</v>
      </c>
      <c r="J13" s="29">
        <v>0.4</v>
      </c>
      <c r="K13" s="29">
        <v>7.3</v>
      </c>
      <c r="L13" s="29">
        <v>6.7</v>
      </c>
      <c r="M13" s="29">
        <v>6.7</v>
      </c>
      <c r="N13" s="29">
        <v>6.4</v>
      </c>
      <c r="O13" s="29">
        <v>3.2</v>
      </c>
      <c r="P13" s="29"/>
      <c r="Q13" s="29"/>
      <c r="R13" s="37">
        <f>'1'!Z17</f>
        <v>987</v>
      </c>
      <c r="S13" s="36">
        <f>'1'!AB17</f>
        <v>63.972222222222229</v>
      </c>
      <c r="T13" s="37">
        <f>'1'!Y17</f>
        <v>2850</v>
      </c>
      <c r="U13" s="33" t="str">
        <f>IF('1'!AA17=1,'1'!AR6,'1'!AR7)</f>
        <v>S.A.L</v>
      </c>
      <c r="V13" s="944"/>
      <c r="W13" s="944"/>
      <c r="X13" s="13">
        <v>0.33333333333333298</v>
      </c>
      <c r="Y13" s="14">
        <v>2789</v>
      </c>
      <c r="Z13" s="40">
        <v>987</v>
      </c>
      <c r="AA13" s="15">
        <v>1</v>
      </c>
      <c r="AB13" s="16">
        <f>IF('1'!AA13=1,(('1'!Z13*'1'!$AS$6*'1'!$AT$6)/('1'!Y13*0.0036)),IF('1'!AA13=2,(('1'!Z13*'1'!$AS$7*'1'!$AT$7)/('1'!Y13*0.0036))))</f>
        <v>65.371399545834834</v>
      </c>
      <c r="AC13" s="17"/>
      <c r="AD13" s="18">
        <f>(('1'!AC13*'1'!$Q$10*1000000))/('1'!Z17*3600)</f>
        <v>0</v>
      </c>
      <c r="AE13" s="19"/>
      <c r="AF13" s="20">
        <f>('1'!AE13/24)*0.454</f>
        <v>0</v>
      </c>
      <c r="AG13" s="19"/>
      <c r="AH13" s="20">
        <f>('1'!AG13/24)*0.454</f>
        <v>0</v>
      </c>
      <c r="AI13" s="19">
        <v>5200</v>
      </c>
      <c r="AJ13" s="20">
        <f>('1'!AI13/24)*0.454</f>
        <v>98.36666666666666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29">
        <v>80</v>
      </c>
      <c r="C14" s="29">
        <v>12.5</v>
      </c>
      <c r="D14" s="29">
        <v>12.5</v>
      </c>
      <c r="E14" s="29">
        <v>2.5</v>
      </c>
      <c r="F14" s="29">
        <v>9.1</v>
      </c>
      <c r="G14" s="29">
        <v>1.4</v>
      </c>
      <c r="H14" s="29">
        <v>1.5</v>
      </c>
      <c r="I14" s="29">
        <v>0.4</v>
      </c>
      <c r="J14" s="29">
        <v>0.4</v>
      </c>
      <c r="K14" s="29">
        <v>7.3</v>
      </c>
      <c r="L14" s="29">
        <v>6.7</v>
      </c>
      <c r="M14" s="29">
        <v>6.7</v>
      </c>
      <c r="N14" s="29">
        <v>6.4</v>
      </c>
      <c r="O14" s="29">
        <v>3.2</v>
      </c>
      <c r="P14" s="29"/>
      <c r="Q14" s="29"/>
      <c r="R14" s="37">
        <f>'1'!Z19</f>
        <v>987</v>
      </c>
      <c r="S14" s="36">
        <f>'1'!AB19</f>
        <v>62.869252873563227</v>
      </c>
      <c r="T14" s="37">
        <f>'1'!Y19</f>
        <v>2900</v>
      </c>
      <c r="U14" s="33" t="str">
        <f>IF('1'!AA19=1,'1'!AR6,'1'!AR7)</f>
        <v>S.A.L</v>
      </c>
      <c r="V14" s="944"/>
      <c r="W14" s="944"/>
      <c r="X14" s="13">
        <v>0.375</v>
      </c>
      <c r="Y14" s="14">
        <v>2798</v>
      </c>
      <c r="Z14" s="40">
        <v>987</v>
      </c>
      <c r="AA14" s="15">
        <v>1</v>
      </c>
      <c r="AB14" s="16">
        <f>IF('1'!AA14=1,(('1'!Z14*'1'!$AS$6*'1'!$AT$6)/('1'!Y14*0.0036)),IF('1'!AA14=2,(('1'!Z14*'1'!$AS$7*'1'!$AT$7)/('1'!Y14*0.0036))))</f>
        <v>65.161126995472969</v>
      </c>
      <c r="AC14" s="17"/>
      <c r="AD14" s="18">
        <f>(('1'!AC14*'1'!$Q$10*1000000))/('1'!Z18*3600)</f>
        <v>0</v>
      </c>
      <c r="AE14" s="19"/>
      <c r="AF14" s="20">
        <f>('1'!AE14/24)*0.454</f>
        <v>0</v>
      </c>
      <c r="AG14" s="19"/>
      <c r="AH14" s="20">
        <f>('1'!AG14/24)*0.454</f>
        <v>0</v>
      </c>
      <c r="AI14" s="19">
        <v>5200</v>
      </c>
      <c r="AJ14" s="20">
        <f>('1'!AI14/24)*0.454</f>
        <v>98.36666666666666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29">
        <v>80</v>
      </c>
      <c r="C15" s="29">
        <v>12.5</v>
      </c>
      <c r="D15" s="29">
        <v>12.5</v>
      </c>
      <c r="E15" s="29">
        <v>2.5</v>
      </c>
      <c r="F15" s="29">
        <v>9</v>
      </c>
      <c r="G15" s="29">
        <v>1.4</v>
      </c>
      <c r="H15" s="29">
        <v>1.5</v>
      </c>
      <c r="I15" s="29">
        <v>0.4</v>
      </c>
      <c r="J15" s="29">
        <v>0.4</v>
      </c>
      <c r="K15" s="29">
        <v>7.3</v>
      </c>
      <c r="L15" s="29">
        <v>6.7</v>
      </c>
      <c r="M15" s="29">
        <v>6.7</v>
      </c>
      <c r="N15" s="29">
        <v>6.4</v>
      </c>
      <c r="O15" s="29">
        <v>3.2</v>
      </c>
      <c r="P15" s="29"/>
      <c r="Q15" s="29"/>
      <c r="R15" s="37">
        <f>'1'!Z21</f>
        <v>987</v>
      </c>
      <c r="S15" s="36">
        <f>'1'!AB21</f>
        <v>63.949783701625158</v>
      </c>
      <c r="T15" s="37">
        <f>'1'!Y21</f>
        <v>2851</v>
      </c>
      <c r="U15" s="33" t="str">
        <f>IF('1'!AA21=1,'1'!AR6,'1'!AR7)</f>
        <v>S.A.L</v>
      </c>
      <c r="V15" s="944"/>
      <c r="W15" s="944"/>
      <c r="X15" s="13">
        <v>0.41666666666666702</v>
      </c>
      <c r="Y15" s="14">
        <v>2796</v>
      </c>
      <c r="Z15" s="40">
        <v>987</v>
      </c>
      <c r="AA15" s="15">
        <v>1</v>
      </c>
      <c r="AB15" s="16">
        <f>IF('1'!AA15=1,(('1'!Z15*'1'!$AS$6*'1'!$AT$6)/('1'!Y15*0.0036)),IF('1'!AA15=2,(('1'!Z15*'1'!$AS$7*'1'!$AT$7)/('1'!Y15*0.0036))))</f>
        <v>65.20773724368145</v>
      </c>
      <c r="AC15" s="17"/>
      <c r="AD15" s="18">
        <f>(('1'!AC15*'1'!$Q$10*1000000))/('1'!Z19*3600)</f>
        <v>0</v>
      </c>
      <c r="AE15" s="19"/>
      <c r="AF15" s="20">
        <f>('1'!AE15/24)*0.454</f>
        <v>0</v>
      </c>
      <c r="AG15" s="19"/>
      <c r="AH15" s="20">
        <f>('1'!AG15/24)*0.454</f>
        <v>0</v>
      </c>
      <c r="AI15" s="19">
        <v>5200</v>
      </c>
      <c r="AJ15" s="20">
        <f>('1'!AI15/24)*0.454</f>
        <v>98.36666666666666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29">
        <v>80</v>
      </c>
      <c r="C16" s="29">
        <v>12.5</v>
      </c>
      <c r="D16" s="29">
        <v>12.5</v>
      </c>
      <c r="E16" s="29">
        <v>2.5</v>
      </c>
      <c r="F16" s="29">
        <v>9.1</v>
      </c>
      <c r="G16" s="29">
        <v>1.3</v>
      </c>
      <c r="H16" s="29">
        <v>1.5</v>
      </c>
      <c r="I16" s="29">
        <v>0.4</v>
      </c>
      <c r="J16" s="29">
        <v>0.4</v>
      </c>
      <c r="K16" s="29">
        <v>7.3</v>
      </c>
      <c r="L16" s="29">
        <v>6.7</v>
      </c>
      <c r="M16" s="29">
        <v>6.7</v>
      </c>
      <c r="N16" s="29">
        <v>6.4</v>
      </c>
      <c r="O16" s="29">
        <v>3.2</v>
      </c>
      <c r="P16" s="29"/>
      <c r="Q16" s="29"/>
      <c r="R16" s="37">
        <f>'1'!Z23</f>
        <v>987</v>
      </c>
      <c r="S16" s="36">
        <f>'1'!AB23</f>
        <v>64.107184716361928</v>
      </c>
      <c r="T16" s="37">
        <f>'1'!Y23</f>
        <v>2844</v>
      </c>
      <c r="U16" s="33" t="str">
        <f>IF('1'!AA23=1,'1'!AR6,'1'!AR7)</f>
        <v>S.A.L</v>
      </c>
      <c r="V16" s="944"/>
      <c r="W16" s="944"/>
      <c r="X16" s="13">
        <v>0.45833333333333298</v>
      </c>
      <c r="Y16" s="14">
        <v>2754</v>
      </c>
      <c r="Z16" s="40">
        <v>987</v>
      </c>
      <c r="AA16" s="15">
        <v>1</v>
      </c>
      <c r="AB16" s="16">
        <f>IF('1'!AA16=1,(('1'!Z16*'1'!$AS$6*'1'!$AT$6)/('1'!Y16*0.0036)),IF('1'!AA16=2,(('1'!Z16*'1'!$AS$7*'1'!$AT$7)/('1'!Y16*0.0036))))</f>
        <v>66.202190752844345</v>
      </c>
      <c r="AC16" s="17"/>
      <c r="AD16" s="18">
        <f>(('1'!AC16*'1'!$Q$10*1000000))/('1'!Z20*3600)</f>
        <v>0</v>
      </c>
      <c r="AE16" s="19"/>
      <c r="AF16" s="20">
        <f>('1'!AE16/24)*0.454</f>
        <v>0</v>
      </c>
      <c r="AG16" s="19"/>
      <c r="AH16" s="20">
        <f>('1'!AG16/24)*0.454</f>
        <v>0</v>
      </c>
      <c r="AI16" s="19">
        <v>5200</v>
      </c>
      <c r="AJ16" s="20">
        <f>('1'!AI16/24)*0.454</f>
        <v>98.36666666666666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29">
        <v>80</v>
      </c>
      <c r="C17" s="29">
        <v>12.5</v>
      </c>
      <c r="D17" s="29">
        <v>12.5</v>
      </c>
      <c r="E17" s="29">
        <v>2.5</v>
      </c>
      <c r="F17" s="29">
        <v>9.4</v>
      </c>
      <c r="G17" s="29">
        <v>1.3</v>
      </c>
      <c r="H17" s="29">
        <v>1.4</v>
      </c>
      <c r="I17" s="29">
        <v>0.4</v>
      </c>
      <c r="J17" s="29">
        <v>0.4</v>
      </c>
      <c r="K17" s="29">
        <v>7.3</v>
      </c>
      <c r="L17" s="29">
        <v>6.7</v>
      </c>
      <c r="M17" s="29">
        <v>6.7</v>
      </c>
      <c r="N17" s="29">
        <v>6.4</v>
      </c>
      <c r="O17" s="29">
        <v>3.2</v>
      </c>
      <c r="P17" s="29"/>
      <c r="Q17" s="29"/>
      <c r="R17" s="37">
        <f>'1'!Z25</f>
        <v>987</v>
      </c>
      <c r="S17" s="36">
        <f>'1'!AB25</f>
        <v>65.606633081444159</v>
      </c>
      <c r="T17" s="37">
        <f>'1'!Y25</f>
        <v>2779</v>
      </c>
      <c r="U17" s="33" t="str">
        <f>IF('1'!AA25=1,'1'!AR6,'1'!AR7)</f>
        <v>S.A.L</v>
      </c>
      <c r="V17" s="945">
        <f>ESCALA!$C$3</f>
        <v>0</v>
      </c>
      <c r="W17" s="945"/>
      <c r="X17" s="13">
        <v>0.5</v>
      </c>
      <c r="Y17" s="14">
        <v>2850</v>
      </c>
      <c r="Z17" s="40">
        <v>987</v>
      </c>
      <c r="AA17" s="15">
        <v>1</v>
      </c>
      <c r="AB17" s="16">
        <f>IF('1'!AA17=1,(('1'!Z17*'1'!$AS$6*'1'!$AT$6)/('1'!Y17*0.0036)),IF('1'!AA17=2,(('1'!Z17*'1'!$AS$7*'1'!$AT$7)/('1'!Y17*0.0036))))</f>
        <v>63.972222222222229</v>
      </c>
      <c r="AC17" s="17"/>
      <c r="AD17" s="18">
        <f>(('1'!AC17*'1'!$Q$10*1000000))/('1'!Z21*3600)</f>
        <v>0</v>
      </c>
      <c r="AE17" s="19"/>
      <c r="AF17" s="20">
        <f>('1'!AE17/24)*0.454</f>
        <v>0</v>
      </c>
      <c r="AG17" s="19"/>
      <c r="AH17" s="20">
        <f>('1'!AG17/24)*0.454</f>
        <v>0</v>
      </c>
      <c r="AI17" s="19">
        <v>5200</v>
      </c>
      <c r="AJ17" s="20">
        <f>('1'!AI17/24)*0.454</f>
        <v>98.36666666666666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29">
        <v>80</v>
      </c>
      <c r="C18" s="29">
        <v>12.5</v>
      </c>
      <c r="D18" s="29">
        <v>12.5</v>
      </c>
      <c r="E18" s="29">
        <v>2.5</v>
      </c>
      <c r="F18" s="29">
        <v>9.6</v>
      </c>
      <c r="G18" s="29">
        <v>1.2</v>
      </c>
      <c r="H18" s="29">
        <v>1.4</v>
      </c>
      <c r="I18" s="29">
        <v>0.4</v>
      </c>
      <c r="J18" s="29">
        <v>0.4</v>
      </c>
      <c r="K18" s="29">
        <v>7.3</v>
      </c>
      <c r="L18" s="29">
        <v>6.7</v>
      </c>
      <c r="M18" s="29">
        <v>6.7</v>
      </c>
      <c r="N18" s="29">
        <v>6.4</v>
      </c>
      <c r="O18" s="29">
        <v>3.2</v>
      </c>
      <c r="P18" s="29"/>
      <c r="Q18" s="29"/>
      <c r="R18" s="37">
        <f>'1'!Z27</f>
        <v>987</v>
      </c>
      <c r="S18" s="36">
        <f>'1'!AB27</f>
        <v>65.418311206793447</v>
      </c>
      <c r="T18" s="37">
        <f>'1'!Y27</f>
        <v>2787</v>
      </c>
      <c r="U18" s="33" t="str">
        <f>IF('1'!AA27=1,'1'!AR6,'1'!AR7)</f>
        <v>S.A.L</v>
      </c>
      <c r="V18" s="945"/>
      <c r="W18" s="945"/>
      <c r="X18" s="13">
        <v>0.54166666666666696</v>
      </c>
      <c r="Y18" s="14">
        <v>2852</v>
      </c>
      <c r="Z18" s="40">
        <v>987</v>
      </c>
      <c r="AA18" s="15">
        <v>1</v>
      </c>
      <c r="AB18" s="16">
        <f>IF('1'!AA18=1,(('1'!Z18*'1'!$AS$6*'1'!$AT$6)/('1'!Y18*0.0036)),IF('1'!AA18=2,(('1'!Z18*'1'!$AS$7*'1'!$AT$7)/('1'!Y18*0.0036))))</f>
        <v>63.92736091631604</v>
      </c>
      <c r="AC18" s="17"/>
      <c r="AD18" s="18">
        <f>(('1'!AC18*'1'!$Q$10*1000000))/('1'!Z22*3600)</f>
        <v>0</v>
      </c>
      <c r="AE18" s="19"/>
      <c r="AF18" s="20">
        <f>('1'!AE18/24)*0.454</f>
        <v>0</v>
      </c>
      <c r="AG18" s="19"/>
      <c r="AH18" s="20">
        <f>('1'!AG18/24)*0.454</f>
        <v>0</v>
      </c>
      <c r="AI18" s="19">
        <v>5200</v>
      </c>
      <c r="AJ18" s="20">
        <f>('1'!AI18/24)*0.454</f>
        <v>98.36666666666666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4">
        <f t="array" ref="B19">IF('1'!B7:B18&gt;0.01,AVERAGE('1'!B7:B18),"")</f>
        <v>78.333333333333329</v>
      </c>
      <c r="C19" s="45">
        <f t="array" ref="C19">IF('1'!C7:C18&gt;0.01,AVERAGE('1'!C7:C18),"")</f>
        <v>12.5</v>
      </c>
      <c r="D19" s="45">
        <f t="array" ref="D19">IF('1'!D7:D18&gt;0.01,AVERAGE('1'!D7:D18),"")</f>
        <v>12.5</v>
      </c>
      <c r="E19" s="45">
        <f t="array" ref="E19">IF('1'!E7:E18&gt;0.01,AVERAGE('1'!E7:E18),"")</f>
        <v>2.5</v>
      </c>
      <c r="F19" s="45">
        <f t="array" ref="F19">IF('1'!F7:F18&gt;0.01,AVERAGE('1'!F7:F18),"")</f>
        <v>9.1666666666666661</v>
      </c>
      <c r="G19" s="45">
        <f t="array" ref="G19">IF('1'!G7:G18&gt;0.01,AVERAGE('1'!G7:G18),"")</f>
        <v>1.3083333333333333</v>
      </c>
      <c r="H19" s="45">
        <f t="array" ref="H19">IF('1'!H7:H18&gt;0.01,AVERAGE('1'!H7:H18),"")</f>
        <v>1.4666666666666666</v>
      </c>
      <c r="I19" s="45">
        <f t="array" ref="I19">IF('1'!I7:I18&gt;0.01,AVERAGE('1'!I7:I18),"")</f>
        <v>0.39999999999999997</v>
      </c>
      <c r="J19" s="45">
        <f t="array" ref="J19">IF('1'!J7:J18&gt;0.01,AVERAGE('1'!J7:J18),"")</f>
        <v>0.39999999999999997</v>
      </c>
      <c r="K19" s="45">
        <f t="array" ref="K19">IF('1'!K7:K18&gt;0.01,AVERAGE('1'!K7:K18),"")</f>
        <v>7.299999999999998</v>
      </c>
      <c r="L19" s="45">
        <f t="array" ref="L19">IF('1'!L7:L18&gt;0.01,AVERAGE('1'!L7:L18),"")</f>
        <v>6.700000000000002</v>
      </c>
      <c r="M19" s="45">
        <f t="array" ref="M19">IF('1'!M7:M18&gt;0.01,AVERAGE('1'!M7:M18),"")</f>
        <v>6.700000000000002</v>
      </c>
      <c r="N19" s="45">
        <f t="array" ref="N19">IF('1'!N7:N18&gt;0.01,AVERAGE('1'!N7:N18),"")</f>
        <v>6.3999999999999995</v>
      </c>
      <c r="O19" s="45">
        <f t="array" ref="O19">IF('1'!O7:O18&gt;0.01,AVERAGE('1'!O7:O18),"")</f>
        <v>3.1999999999999997</v>
      </c>
      <c r="P19" s="46" t="str">
        <f t="array" ref="P19">IF('1'!P7:P18&gt;0.01,AVERAGE('1'!P7:P18),"")</f>
        <v/>
      </c>
      <c r="Q19" s="47" t="str">
        <f t="array" ref="Q19">IF('1'!Q7:Q18&gt;0.01,AVERAGE('1'!Q7:Q18),"")</f>
        <v/>
      </c>
      <c r="R19" s="47">
        <f t="array" ref="R19">IF('1'!R7:R18&gt;0.01,AVERAGE('1'!R7:R18),"")</f>
        <v>987</v>
      </c>
      <c r="S19" s="47">
        <f t="array" ref="S19">IF('1'!S7:S18&gt;0.01,AVERAGE('1'!S7:S18),"")</f>
        <v>64.823218963537016</v>
      </c>
      <c r="T19" s="946"/>
      <c r="U19" s="946"/>
      <c r="V19" s="49"/>
      <c r="W19" s="50"/>
      <c r="X19" s="13">
        <v>0.58333333333333304</v>
      </c>
      <c r="Y19" s="14">
        <v>2900</v>
      </c>
      <c r="Z19" s="40">
        <v>987</v>
      </c>
      <c r="AA19" s="15">
        <v>1</v>
      </c>
      <c r="AB19" s="16">
        <f>IF('1'!AA19=1,(('1'!Z19*'1'!$AS$6*'1'!$AT$6)/('1'!Y19*0.0036)),IF('1'!AA19=2,(('1'!Z19*'1'!$AS$7*'1'!$AT$7)/('1'!Y19*0.0036))))</f>
        <v>62.869252873563227</v>
      </c>
      <c r="AC19" s="17"/>
      <c r="AD19" s="18">
        <f>(('1'!AC19*'1'!$Q$10*1000000))/('1'!Z23*3600)</f>
        <v>0</v>
      </c>
      <c r="AE19" s="19"/>
      <c r="AF19" s="20">
        <f>('1'!AE19/24)*0.454</f>
        <v>0</v>
      </c>
      <c r="AG19" s="19"/>
      <c r="AH19" s="20">
        <f>('1'!AG19/24)*0.454</f>
        <v>0</v>
      </c>
      <c r="AI19" s="19">
        <v>5200</v>
      </c>
      <c r="AJ19" s="20">
        <f>('1'!AI19/24)*0.454</f>
        <v>98.36666666666666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4">
        <f>MAX('1'!B7:B18)</f>
        <v>80</v>
      </c>
      <c r="C20" s="45">
        <f>MAX('1'!C7:C18)</f>
        <v>12.5</v>
      </c>
      <c r="D20" s="45">
        <f>MAX('1'!D7:D18)</f>
        <v>12.5</v>
      </c>
      <c r="E20" s="45">
        <f>MAX('1'!E7:E18)</f>
        <v>2.5</v>
      </c>
      <c r="F20" s="45">
        <f>MAX('1'!F7:F18)</f>
        <v>9.6</v>
      </c>
      <c r="G20" s="45">
        <f>MAX('1'!G7:G18)</f>
        <v>1.4</v>
      </c>
      <c r="H20" s="45">
        <f>MAX('1'!H7:H18)</f>
        <v>1.6</v>
      </c>
      <c r="I20" s="45">
        <f>MAX('1'!I7:I18)</f>
        <v>0.4</v>
      </c>
      <c r="J20" s="45">
        <f>MAX('1'!J7:J18)</f>
        <v>0.4</v>
      </c>
      <c r="K20" s="45">
        <f>MAX('1'!K7:K18)</f>
        <v>7.3</v>
      </c>
      <c r="L20" s="45">
        <f>MAX('1'!L7:L18)</f>
        <v>6.7</v>
      </c>
      <c r="M20" s="45">
        <f>MAX('1'!M7:M18)</f>
        <v>6.7</v>
      </c>
      <c r="N20" s="45">
        <f>MAX('1'!N7:N18)</f>
        <v>6.4</v>
      </c>
      <c r="O20" s="51">
        <f>MAX('1'!O7:O18)</f>
        <v>3.2</v>
      </c>
      <c r="P20" s="51">
        <f>MAX('1'!P7:P18)</f>
        <v>0</v>
      </c>
      <c r="Q20" s="51">
        <f>MAX('1'!Q7:Q18)</f>
        <v>0</v>
      </c>
      <c r="R20" s="51">
        <f>MAX('1'!R7:R18)</f>
        <v>987</v>
      </c>
      <c r="S20" s="51">
        <f>MAX('1'!S7:S18)</f>
        <v>66.370889455163223</v>
      </c>
      <c r="T20" s="946"/>
      <c r="U20" s="946"/>
      <c r="X20" s="13">
        <v>0.625</v>
      </c>
      <c r="Y20" s="14">
        <v>2912</v>
      </c>
      <c r="Z20" s="40">
        <v>987</v>
      </c>
      <c r="AA20" s="15">
        <v>1</v>
      </c>
      <c r="AB20" s="16">
        <f>IF('1'!AA20=1,(('1'!Z20*'1'!$AS$6*'1'!$AT$6)/('1'!Y20*0.0036)),IF('1'!AA20=2,(('1'!Z20*'1'!$AS$7*'1'!$AT$7)/('1'!Y20*0.0036))))</f>
        <v>62.610176282051285</v>
      </c>
      <c r="AC20" s="17"/>
      <c r="AD20" s="18">
        <f>(('1'!AC20*'1'!$Q$10*1000000))/('1'!Z24*3600)</f>
        <v>0</v>
      </c>
      <c r="AE20" s="19"/>
      <c r="AF20" s="20">
        <f>('1'!AE20/24)*0.454</f>
        <v>0</v>
      </c>
      <c r="AG20" s="19"/>
      <c r="AH20" s="20">
        <f>('1'!AG20/24)*0.454</f>
        <v>0</v>
      </c>
      <c r="AI20" s="19">
        <v>5200</v>
      </c>
      <c r="AJ20" s="20">
        <f>('1'!AI20/24)*0.454</f>
        <v>98.36666666666666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4">
        <f>MIN('1'!B7:B18)</f>
        <v>70</v>
      </c>
      <c r="C21" s="45">
        <f>MIN('1'!C7:C18)</f>
        <v>12.5</v>
      </c>
      <c r="D21" s="45">
        <f>MIN('1'!D7:D18)</f>
        <v>12.5</v>
      </c>
      <c r="E21" s="45">
        <f>MIN('1'!E7:E18)</f>
        <v>2.5</v>
      </c>
      <c r="F21" s="45">
        <f>MIN('1'!F7:F18)</f>
        <v>8.6999999999999993</v>
      </c>
      <c r="G21" s="52">
        <f>MIN('1'!G7:G18)</f>
        <v>1.2</v>
      </c>
      <c r="H21" s="52">
        <f>MIN('1'!H7:H18)</f>
        <v>1.4</v>
      </c>
      <c r="I21" s="52">
        <f>MIN('1'!I7:I18)</f>
        <v>0.4</v>
      </c>
      <c r="J21" s="52">
        <f>MIN('1'!J7:J18)</f>
        <v>0.4</v>
      </c>
      <c r="K21" s="52">
        <f>MIN('1'!K7:K18)</f>
        <v>7.3</v>
      </c>
      <c r="L21" s="52">
        <f>MIN('1'!L7:L18)</f>
        <v>6.7</v>
      </c>
      <c r="M21" s="52">
        <f>MIN('1'!M7:M18)</f>
        <v>6.7</v>
      </c>
      <c r="N21" s="52">
        <f>MIN('1'!N7:N18)</f>
        <v>6.4</v>
      </c>
      <c r="O21" s="53">
        <f>MIN('1'!O7:O18)</f>
        <v>3.2</v>
      </c>
      <c r="P21" s="53">
        <f>MIN('1'!P7:P18)</f>
        <v>0</v>
      </c>
      <c r="Q21" s="53">
        <f>MIN('1'!Q7:Q18)</f>
        <v>0</v>
      </c>
      <c r="R21" s="53">
        <f>MIN('1'!R7:R18)</f>
        <v>987</v>
      </c>
      <c r="S21" s="53">
        <f>MIN('1'!S7:S18)</f>
        <v>62.869252873563227</v>
      </c>
      <c r="T21" s="946"/>
      <c r="U21" s="946"/>
      <c r="X21" s="13">
        <v>0.66666666666666696</v>
      </c>
      <c r="Y21" s="54">
        <v>2851</v>
      </c>
      <c r="Z21" s="54">
        <v>987</v>
      </c>
      <c r="AA21" s="15">
        <v>1</v>
      </c>
      <c r="AB21" s="16">
        <f>IF('1'!AA21=1,(('1'!Z21*'1'!$AS$6*'1'!$AT$6)/('1'!Y21*0.0036)),IF('1'!AA21=2,(('1'!Z21*'1'!$AS$7*'1'!$AT$7)/('1'!Y21*0.0036))))</f>
        <v>63.949783701625158</v>
      </c>
      <c r="AC21" s="17"/>
      <c r="AD21" s="18">
        <f>(('1'!AC21*'1'!$Q$10*1000000))/('1'!Y21*3600)</f>
        <v>0</v>
      </c>
      <c r="AE21" s="19"/>
      <c r="AF21" s="20">
        <f>('1'!AE21/24)*0.454</f>
        <v>0</v>
      </c>
      <c r="AG21" s="19"/>
      <c r="AH21" s="20">
        <f>('1'!AG21/24)*0.454</f>
        <v>0</v>
      </c>
      <c r="AI21" s="19">
        <v>5200</v>
      </c>
      <c r="AJ21" s="20">
        <f>('1'!AI21/24)*0.454</f>
        <v>98.36666666666666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54">
        <v>2823</v>
      </c>
      <c r="Z22" s="54">
        <v>987</v>
      </c>
      <c r="AA22" s="15">
        <v>1</v>
      </c>
      <c r="AB22" s="58">
        <f>IF('1'!AA22=1,(('1'!Z22*'1'!$AS$6*'1'!$AT$6)/('1'!Y22*0.0036)),IF('1'!AA22=2,(('1'!Z22*'1'!$AS$7*'1'!$AT$7)/('1'!Y22*0.0036))))</f>
        <v>64.584071318927869</v>
      </c>
      <c r="AC22" s="17"/>
      <c r="AD22" s="18">
        <f>(('1'!AC22*'1'!$Q$10*1000000))/('1'!Y22*3600)</f>
        <v>0</v>
      </c>
      <c r="AE22" s="19"/>
      <c r="AF22" s="20">
        <f>('1'!AE22/24)*0.454</f>
        <v>0</v>
      </c>
      <c r="AG22" s="19"/>
      <c r="AH22" s="20">
        <f>('1'!AG22/24)*0.454</f>
        <v>0</v>
      </c>
      <c r="AI22" s="19">
        <v>5200</v>
      </c>
      <c r="AJ22" s="20">
        <f>('1'!AI22/24)*0.454</f>
        <v>98.36666666666666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54">
        <v>2844</v>
      </c>
      <c r="Z23" s="54">
        <v>987</v>
      </c>
      <c r="AA23" s="15">
        <v>1</v>
      </c>
      <c r="AB23" s="58">
        <f>IF('1'!AA23=1,(('1'!Z23*'1'!$AS$6*'1'!$AT$6)/('1'!Y23*0.0036)),IF('1'!AA23=2,(('1'!Z23*'1'!$AS$7*'1'!$AT$7)/('1'!Y23*0.0036))))</f>
        <v>64.107184716361928</v>
      </c>
      <c r="AC23" s="17"/>
      <c r="AD23" s="18">
        <f>(('1'!AC23*'1'!$Q$10*1000000))/('1'!Y23*3600)</f>
        <v>0</v>
      </c>
      <c r="AE23" s="19"/>
      <c r="AF23" s="20">
        <f>('1'!AE23/24)*0.454</f>
        <v>0</v>
      </c>
      <c r="AG23" s="19"/>
      <c r="AH23" s="20">
        <f>('1'!AG23/24)*0.454</f>
        <v>0</v>
      </c>
      <c r="AI23" s="19">
        <v>5200</v>
      </c>
      <c r="AJ23" s="20">
        <f>('1'!AI23/24)*0.454</f>
        <v>98.36666666666666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54">
        <v>2812</v>
      </c>
      <c r="Z24" s="54">
        <v>987</v>
      </c>
      <c r="AA24" s="15">
        <v>1</v>
      </c>
      <c r="AB24" s="16">
        <f>IF('1'!AA24=1,(('1'!Z24*'1'!$AS$6*'1'!$AT$6)/('1'!Y24*0.0036)),IF('1'!AA24=2,(('1'!Z24*'1'!$AS$7*'1'!$AT$7)/('1'!Y24*0.0036))))</f>
        <v>64.836711711711715</v>
      </c>
      <c r="AC24" s="17"/>
      <c r="AD24" s="18">
        <f>(('1'!AC24*'1'!$Q$10*1000000))/('1'!Y24*3600)</f>
        <v>0</v>
      </c>
      <c r="AE24" s="19"/>
      <c r="AF24" s="20">
        <f>('1'!AE24/24)*0.454</f>
        <v>0</v>
      </c>
      <c r="AG24" s="19"/>
      <c r="AH24" s="20">
        <f>('1'!AG24/24)*0.454</f>
        <v>0</v>
      </c>
      <c r="AI24" s="19">
        <v>5200</v>
      </c>
      <c r="AJ24" s="20">
        <f>('1'!AI24/24)*0.454</f>
        <v>98.36666666666666</v>
      </c>
      <c r="AK24" s="21"/>
      <c r="AL24" s="63">
        <f>('1'!AK24/24)*0.454</f>
        <v>0</v>
      </c>
      <c r="AM24" s="21"/>
      <c r="AN24" s="63">
        <f>('1'!AM24/24)*0.454</f>
        <v>0</v>
      </c>
      <c r="AO24" s="23"/>
      <c r="AP24" s="63">
        <f>('1'!AO24/24)*0.454</f>
        <v>0</v>
      </c>
    </row>
    <row r="25" spans="1:42" ht="19.5" customHeight="1">
      <c r="A25" s="64">
        <v>0.41666666666666702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65" t="e">
        <f>#DIV/0!</f>
        <v>#DIV/0!</v>
      </c>
      <c r="S25" s="66"/>
      <c r="T25" s="950" t="s">
        <v>0</v>
      </c>
      <c r="U25" s="951">
        <f>ESCALA!$A$3</f>
        <v>43891</v>
      </c>
      <c r="X25" s="13">
        <v>0.83333333333333304</v>
      </c>
      <c r="Y25" s="54">
        <v>2779</v>
      </c>
      <c r="Z25" s="54">
        <v>987</v>
      </c>
      <c r="AA25" s="15">
        <v>1</v>
      </c>
      <c r="AB25" s="58">
        <f>IF('1'!AA25=1,(('1'!Z25*'1'!$AS$6*'1'!$AT$6)/('1'!Y25*0.0036)),IF('1'!AA25=2,(('1'!Z25*'1'!$AS$7*'1'!$AT$7)/('1'!Y25*0.0036))))</f>
        <v>65.606633081444159</v>
      </c>
      <c r="AC25" s="17"/>
      <c r="AD25" s="18">
        <f>(('1'!AC25*'1'!$Q$10*1000000))/('1'!Y25*3600)</f>
        <v>0</v>
      </c>
      <c r="AE25" s="19"/>
      <c r="AF25" s="20">
        <f>('1'!AE25/24)*0.454</f>
        <v>0</v>
      </c>
      <c r="AG25" s="19"/>
      <c r="AH25" s="20">
        <f>('1'!AG25/24)*0.454</f>
        <v>0</v>
      </c>
      <c r="AI25" s="19">
        <v>5200</v>
      </c>
      <c r="AJ25" s="20">
        <f>('1'!AI25/24)*0.454</f>
        <v>98.36666666666666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4">
        <v>0.66666666666666696</v>
      </c>
      <c r="B26" s="29"/>
      <c r="C26" s="29">
        <v>0.49</v>
      </c>
      <c r="D26" s="29">
        <v>0.55000000000000004</v>
      </c>
      <c r="E26" s="29">
        <v>0.56000000000000005</v>
      </c>
      <c r="F26" s="29">
        <v>0.46</v>
      </c>
      <c r="G26" s="29">
        <v>0.44</v>
      </c>
      <c r="H26" s="29">
        <v>0.55000000000000004</v>
      </c>
      <c r="I26" s="29">
        <v>0.51</v>
      </c>
      <c r="J26" s="29"/>
      <c r="K26" s="29">
        <v>0.44</v>
      </c>
      <c r="L26" s="29">
        <v>0.49</v>
      </c>
      <c r="M26" s="29">
        <v>0.46</v>
      </c>
      <c r="N26" s="29">
        <v>0.54</v>
      </c>
      <c r="O26" s="29">
        <v>0.43</v>
      </c>
      <c r="P26" s="29">
        <v>0.48</v>
      </c>
      <c r="Q26" s="29"/>
      <c r="R26" s="65"/>
      <c r="S26" s="67"/>
      <c r="T26" s="950"/>
      <c r="U26" s="951"/>
      <c r="X26" s="13">
        <v>0.875</v>
      </c>
      <c r="Y26" s="54">
        <v>2784</v>
      </c>
      <c r="Z26" s="54">
        <v>987</v>
      </c>
      <c r="AA26" s="15">
        <v>1</v>
      </c>
      <c r="AB26" s="58">
        <f>IF('1'!AA26=1,(('1'!Z26*'1'!$AS$6*'1'!$AT$6)/('1'!Y26*0.0036)),IF('1'!AA26=2,(('1'!Z26*'1'!$AS$7*'1'!$AT$7)/('1'!Y26*0.0036))))</f>
        <v>65.488805076628353</v>
      </c>
      <c r="AC26" s="17"/>
      <c r="AD26" s="18">
        <f>(('1'!AC26*'1'!$Q$10*1000000))/('1'!Y26*3600)</f>
        <v>0</v>
      </c>
      <c r="AE26" s="19"/>
      <c r="AF26" s="20">
        <f>('1'!AE26/24)*0.454</f>
        <v>0</v>
      </c>
      <c r="AG26" s="19"/>
      <c r="AH26" s="20">
        <f>('1'!AG26/24)*0.454</f>
        <v>0</v>
      </c>
      <c r="AI26" s="19">
        <v>5200</v>
      </c>
      <c r="AJ26" s="20">
        <f>('1'!AI26/24)*0.454</f>
        <v>98.36666666666666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71"/>
      <c r="S27" s="72"/>
      <c r="T27" s="73"/>
      <c r="U27" s="74"/>
      <c r="X27" s="13">
        <v>0.91666666666666696</v>
      </c>
      <c r="Y27" s="54">
        <v>2787</v>
      </c>
      <c r="Z27" s="54">
        <v>987</v>
      </c>
      <c r="AA27" s="15">
        <v>1</v>
      </c>
      <c r="AB27" s="58">
        <f>IF('1'!AA27=1,(('1'!Z27*'1'!$AS$6*'1'!$AT$6)/('1'!Y27*0.0036)),IF('1'!AA27=2,(('1'!Z27*'1'!$AS$7*'1'!$AT$7)/('1'!Y27*0.0036))))</f>
        <v>65.418311206793447</v>
      </c>
      <c r="AC27" s="17"/>
      <c r="AD27" s="18">
        <f>(('1'!AC27*'1'!$Q$10*1000000))/('1'!Y27*3600)</f>
        <v>0</v>
      </c>
      <c r="AE27" s="19"/>
      <c r="AF27" s="20">
        <f>('1'!AE27/24)*0.454</f>
        <v>0</v>
      </c>
      <c r="AG27" s="19"/>
      <c r="AH27" s="20">
        <f>('1'!AG27/24)*0.454</f>
        <v>0</v>
      </c>
      <c r="AI27" s="19">
        <v>5200</v>
      </c>
      <c r="AJ27" s="20">
        <f>('1'!AI27/24)*0.454</f>
        <v>98.36666666666666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4">
        <v>2795</v>
      </c>
      <c r="Z28" s="54">
        <v>987</v>
      </c>
      <c r="AA28" s="15">
        <v>1</v>
      </c>
      <c r="AB28" s="58">
        <f>IF('1'!AA28=1,(('1'!Z28*'1'!$AS$6*'1'!$AT$6)/('1'!Y28*0.0036)),IF('1'!AA28=2,(('1'!Z28*'1'!$AS$7*'1'!$AT$7)/('1'!Y28*0.0036))))</f>
        <v>65.231067382230179</v>
      </c>
      <c r="AC28" s="17"/>
      <c r="AD28" s="18">
        <f>(('1'!AC28*'1'!$Q$10*1000000))/('1'!Y28*3600)</f>
        <v>0</v>
      </c>
      <c r="AE28" s="19"/>
      <c r="AF28" s="20">
        <f>('1'!AE28/24)*0.454</f>
        <v>0</v>
      </c>
      <c r="AG28" s="19"/>
      <c r="AH28" s="20">
        <f>('1'!AG28/24)*0.454</f>
        <v>0</v>
      </c>
      <c r="AI28" s="19">
        <v>5200</v>
      </c>
      <c r="AJ28" s="20">
        <f>('1'!AI28/24)*0.454</f>
        <v>98.36666666666666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53"/>
      <c r="B29" s="953"/>
      <c r="C29" s="953"/>
      <c r="D29" s="953"/>
      <c r="E29" s="953"/>
      <c r="F29" s="953"/>
      <c r="G29" s="953"/>
      <c r="H29" s="953"/>
      <c r="I29" s="953"/>
      <c r="J29" s="953"/>
      <c r="K29" s="953"/>
      <c r="L29" s="953"/>
      <c r="M29" s="953"/>
      <c r="N29" s="953"/>
      <c r="O29" s="953"/>
      <c r="P29" s="953"/>
      <c r="Q29" s="953"/>
      <c r="R29" s="953"/>
      <c r="S29" s="953"/>
      <c r="T29" s="953"/>
      <c r="U29" s="953"/>
      <c r="X29" s="13">
        <v>1</v>
      </c>
      <c r="Y29" s="54">
        <v>2791</v>
      </c>
      <c r="Z29" s="54">
        <v>987</v>
      </c>
      <c r="AA29" s="15">
        <v>1</v>
      </c>
      <c r="AB29" s="58">
        <f>IF('1'!AA29=1,(('1'!Z29*'1'!$AS$6*'1'!$AT$6)/('1'!Y29*0.0036)),IF('1'!AA29=2,(('1'!Z29*'1'!$AS$7*'1'!$AT$7)/('1'!Y29*0.0036))))</f>
        <v>65.324555117640045</v>
      </c>
      <c r="AC29" s="17"/>
      <c r="AD29" s="18">
        <f>(('1'!AC29*'1'!$Q$10*1000000))/('1'!Y29*3600)</f>
        <v>0</v>
      </c>
      <c r="AE29" s="19"/>
      <c r="AF29" s="20">
        <f>('1'!AE29/24)*0.454</f>
        <v>0</v>
      </c>
      <c r="AG29" s="19"/>
      <c r="AH29" s="20">
        <f>('1'!AG29/24)*0.454</f>
        <v>0</v>
      </c>
      <c r="AI29" s="19">
        <v>5200</v>
      </c>
      <c r="AJ29" s="20">
        <f>('1'!AI29/24)*0.454</f>
        <v>98.36666666666666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53"/>
      <c r="B30" s="953"/>
      <c r="C30" s="953"/>
      <c r="D30" s="953"/>
      <c r="E30" s="953"/>
      <c r="F30" s="953"/>
      <c r="G30" s="953"/>
      <c r="H30" s="953"/>
      <c r="I30" s="953"/>
      <c r="J30" s="953"/>
      <c r="K30" s="953"/>
      <c r="L30" s="953"/>
      <c r="M30" s="953"/>
      <c r="N30" s="953"/>
      <c r="O30" s="953"/>
      <c r="P30" s="953"/>
      <c r="Q30" s="953"/>
      <c r="R30" s="953"/>
      <c r="S30" s="953"/>
      <c r="T30" s="953"/>
      <c r="U30" s="953"/>
      <c r="X30" s="75" t="s">
        <v>55</v>
      </c>
      <c r="Y30" s="76">
        <f>SUM('1'!Y6:Y29)*3.6</f>
        <v>242650.80000000002</v>
      </c>
      <c r="Z30" s="77">
        <f>SUM('1'!Z6:Z29)</f>
        <v>23688</v>
      </c>
      <c r="AA30" s="78"/>
      <c r="AB30" s="79"/>
      <c r="AC30" s="78"/>
      <c r="AD30" s="79"/>
      <c r="AE30" s="34"/>
      <c r="AF30" s="20">
        <f>SUM('1'!AF6:AF29)</f>
        <v>0</v>
      </c>
      <c r="AG30" s="34"/>
      <c r="AH30" s="20">
        <f>SUM('1'!AH6:AH29)</f>
        <v>0</v>
      </c>
      <c r="AI30" s="34"/>
      <c r="AJ30" s="20">
        <f>SUM('1'!AJ6:AJ29)</f>
        <v>2360.7999999999993</v>
      </c>
      <c r="AK30" s="80"/>
      <c r="AL30" s="22">
        <f>SUM('1'!AL6:AL29)</f>
        <v>0</v>
      </c>
      <c r="AM30" s="80"/>
      <c r="AN30" s="22">
        <f>SUM('1'!AN6:AN29)</f>
        <v>0</v>
      </c>
      <c r="AO30" s="80"/>
      <c r="AP30" s="22">
        <f>SUM('1'!AP6:AP29)</f>
        <v>0</v>
      </c>
    </row>
    <row r="31" spans="1:42" ht="15" customHeight="1">
      <c r="A31" s="953"/>
      <c r="B31" s="953"/>
      <c r="C31" s="953"/>
      <c r="D31" s="953"/>
      <c r="E31" s="953"/>
      <c r="F31" s="953"/>
      <c r="G31" s="953"/>
      <c r="H31" s="953"/>
      <c r="I31" s="953"/>
      <c r="J31" s="953"/>
      <c r="K31" s="953"/>
      <c r="L31" s="953"/>
      <c r="M31" s="953"/>
      <c r="N31" s="953"/>
      <c r="O31" s="953"/>
      <c r="P31" s="953"/>
      <c r="Q31" s="953"/>
      <c r="R31" s="953"/>
      <c r="S31" s="953"/>
      <c r="T31" s="953"/>
      <c r="U31" s="953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953"/>
      <c r="B32" s="953"/>
      <c r="C32" s="953"/>
      <c r="D32" s="953"/>
      <c r="E32" s="953"/>
      <c r="F32" s="953"/>
      <c r="G32" s="953"/>
      <c r="H32" s="953"/>
      <c r="I32" s="953"/>
      <c r="J32" s="953"/>
      <c r="K32" s="953"/>
      <c r="L32" s="953"/>
      <c r="M32" s="953"/>
      <c r="N32" s="953"/>
      <c r="O32" s="953"/>
      <c r="P32" s="953"/>
      <c r="Q32" s="953"/>
      <c r="R32" s="953"/>
      <c r="S32" s="953"/>
      <c r="T32" s="953"/>
      <c r="U32" s="953"/>
      <c r="X32" s="955" t="s">
        <v>60</v>
      </c>
      <c r="Y32" s="955"/>
      <c r="Z32" s="82">
        <f>SUMIF('1'!AA6:AA29,"=1",'1'!Z6:Z29)</f>
        <v>23688</v>
      </c>
      <c r="AA32" s="82">
        <f>'1'!Z32*'1'!AS6</f>
        <v>31505.040000000001</v>
      </c>
      <c r="AB32" s="83">
        <f>SUMIF('1'!$AA$6:$AA$29,"=1",'1'!$AB$6:$AB$29)/COUNTIF('1'!$AA$6:$AA$29,"=1")</f>
        <v>64.932122636121505</v>
      </c>
      <c r="AC32" s="84">
        <f>SUMIF('1'!AA6:AA29,"=1",'1'!AC6:AC29)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953"/>
      <c r="B33" s="953"/>
      <c r="C33" s="953"/>
      <c r="D33" s="953"/>
      <c r="E33" s="953"/>
      <c r="F33" s="953"/>
      <c r="G33" s="953"/>
      <c r="H33" s="953"/>
      <c r="I33" s="953"/>
      <c r="J33" s="953"/>
      <c r="K33" s="953"/>
      <c r="L33" s="953"/>
      <c r="M33" s="953"/>
      <c r="N33" s="953"/>
      <c r="O33" s="953"/>
      <c r="P33" s="953"/>
      <c r="Q33" s="953"/>
      <c r="R33" s="953"/>
      <c r="S33" s="953"/>
      <c r="T33" s="953"/>
      <c r="U33" s="953"/>
      <c r="X33" s="955" t="s">
        <v>61</v>
      </c>
      <c r="Y33" s="955"/>
      <c r="Z33" s="82">
        <f>SUMIF('1'!AA6:AA29,"=2",'1'!Z6:Z29)</f>
        <v>0</v>
      </c>
      <c r="AA33" s="82">
        <f>'1'!Z33*'1'!AS7</f>
        <v>0</v>
      </c>
      <c r="AB33" s="83" t="e">
        <f>SUMIF('1'!$AA$6:$AA$29,"=2",'1'!$AB$6:$AB$29)/COUNTIF('1'!$AA$6:$AA$29,"=2")</f>
        <v>#DIV/0!</v>
      </c>
      <c r="AC33" s="89">
        <f>SUMIF('1'!AA6:AA29,"=2",'1'!AC6:AC29)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953"/>
      <c r="B34" s="953"/>
      <c r="C34" s="953"/>
      <c r="D34" s="953"/>
      <c r="E34" s="953"/>
      <c r="F34" s="953"/>
      <c r="G34" s="953"/>
      <c r="H34" s="953"/>
      <c r="I34" s="953"/>
      <c r="J34" s="953"/>
      <c r="K34" s="953"/>
      <c r="L34" s="953"/>
      <c r="M34" s="953"/>
      <c r="N34" s="953"/>
      <c r="O34" s="953"/>
      <c r="P34" s="953"/>
      <c r="Q34" s="953"/>
      <c r="R34" s="953"/>
      <c r="S34" s="953"/>
      <c r="T34" s="953"/>
      <c r="U34" s="953"/>
      <c r="X34" s="94" t="s">
        <v>52</v>
      </c>
      <c r="Y34" s="95">
        <f>AVERAGE('1'!Y6:Y29)</f>
        <v>2808.4583333333335</v>
      </c>
      <c r="Z34" s="96">
        <f>AVERAGE('1'!Z6:Z29)</f>
        <v>987</v>
      </c>
      <c r="AA34" s="97"/>
      <c r="AB34" s="97"/>
      <c r="AC34" s="98">
        <f>SUM('1'!AC6:AC29)/COUNTIF('1'!AC6:AC29,"&lt;&gt;0")</f>
        <v>0</v>
      </c>
      <c r="AD34" s="99" t="e">
        <f>SUM('1'!AD6:AD29)/COUNTIF('1'!AD6:AD29,"&lt;&gt;0")</f>
        <v>#DIV/0!</v>
      </c>
      <c r="AE34" s="78"/>
      <c r="AF34" s="98">
        <f>AVERAGE('1'!AF6:AF29)</f>
        <v>0</v>
      </c>
      <c r="AG34" s="98"/>
      <c r="AH34" s="98">
        <f>AVERAGE('1'!AH6:AH29)</f>
        <v>0</v>
      </c>
      <c r="AI34" s="98"/>
      <c r="AJ34" s="100">
        <f>'1'!AJ30/24</f>
        <v>98.366666666666632</v>
      </c>
      <c r="AK34" s="100"/>
      <c r="AL34" s="100">
        <f>AVERAGE('1'!AL6:AL29)</f>
        <v>0</v>
      </c>
      <c r="AM34" s="100"/>
      <c r="AN34" s="98">
        <f>AVERAGE('1'!AN6:AN29)</f>
        <v>0</v>
      </c>
      <c r="AO34" s="100"/>
      <c r="AP34" s="100">
        <f>AVERAGE('1'!AP6:AP29)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957" t="s">
        <v>15</v>
      </c>
      <c r="X35" s="958" t="s">
        <v>66</v>
      </c>
      <c r="Y35" s="958"/>
      <c r="Z35" s="103"/>
      <c r="AA35" s="958" t="s">
        <v>67</v>
      </c>
      <c r="AB35" s="958"/>
      <c r="AJ35" s="959" t="s">
        <v>68</v>
      </c>
      <c r="AK35" s="959"/>
      <c r="AL35" s="959"/>
      <c r="AM35" s="959"/>
      <c r="AO35" s="959" t="s">
        <v>69</v>
      </c>
      <c r="AP35" s="959"/>
      <c r="AQ35" s="959"/>
      <c r="AR35" s="959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957"/>
      <c r="X36" s="105" t="s">
        <v>73</v>
      </c>
      <c r="Y36" s="106"/>
      <c r="Z36" s="107"/>
      <c r="AA36" s="108" t="s">
        <v>74</v>
      </c>
      <c r="AB36" s="106"/>
      <c r="AJ36" s="959"/>
      <c r="AK36" s="959"/>
      <c r="AL36" s="959"/>
      <c r="AM36" s="959"/>
      <c r="AO36" s="959"/>
      <c r="AP36" s="959"/>
      <c r="AQ36" s="959"/>
      <c r="AR36" s="959"/>
    </row>
    <row r="37" spans="1:44" ht="18" customHeight="1">
      <c r="A37" s="101"/>
      <c r="B37" s="28">
        <v>0.33333333333333298</v>
      </c>
      <c r="C37" s="29">
        <v>81.599999999999994</v>
      </c>
      <c r="D37" s="29">
        <v>53.4</v>
      </c>
      <c r="E37" s="29">
        <v>48.4</v>
      </c>
      <c r="F37" s="29">
        <v>0.8</v>
      </c>
      <c r="G37" s="29">
        <v>0.1</v>
      </c>
      <c r="H37" s="29">
        <v>0.1</v>
      </c>
      <c r="I37" s="29">
        <v>0.06</v>
      </c>
      <c r="J37" s="29">
        <v>0.06</v>
      </c>
      <c r="K37" s="29">
        <v>0.03</v>
      </c>
      <c r="L37" s="961">
        <v>0.05</v>
      </c>
      <c r="M37" s="961"/>
      <c r="N37" s="961"/>
      <c r="O37" s="10"/>
      <c r="P37" s="10"/>
      <c r="Q37" s="10"/>
      <c r="R37" s="10"/>
      <c r="S37" s="10"/>
      <c r="T37" s="10"/>
      <c r="U37" s="109">
        <f>'1'!V12</f>
        <v>0</v>
      </c>
      <c r="X37" s="962" t="s">
        <v>75</v>
      </c>
      <c r="Y37" s="962"/>
      <c r="Z37" s="110">
        <f>COUNTA('1'!Z6:Z29)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114" t="s">
        <v>78</v>
      </c>
      <c r="AK38" s="115">
        <f>SUM('1'!AF30+'1'!AH30)</f>
        <v>0</v>
      </c>
      <c r="AL38" s="116" t="s">
        <v>78</v>
      </c>
      <c r="AM38" s="117">
        <f>SUM('1'!AL30+'1'!AN30)</f>
        <v>0</v>
      </c>
      <c r="AN38" s="118"/>
      <c r="AO38" s="119" t="s">
        <v>78</v>
      </c>
      <c r="AP38" s="120">
        <f>'1'!AJ30</f>
        <v>2360.7999999999993</v>
      </c>
      <c r="AQ38" s="116" t="s">
        <v>78</v>
      </c>
      <c r="AR38" s="117">
        <f>'1'!AP30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C39" s="111"/>
      <c r="AD39" s="111"/>
      <c r="AE39" s="111"/>
      <c r="AF39" s="123"/>
      <c r="AG39" s="123"/>
      <c r="AH39" s="124"/>
      <c r="AJ39" s="125" t="s">
        <v>86</v>
      </c>
      <c r="AK39" s="126">
        <f>('1'!AK38/'1'!Y30)*1000</f>
        <v>0</v>
      </c>
      <c r="AL39" s="127" t="s">
        <v>86</v>
      </c>
      <c r="AM39" s="128">
        <f>('1'!AM38/'1'!Y30)*1000</f>
        <v>0</v>
      </c>
      <c r="AN39" s="118"/>
      <c r="AO39" s="119" t="s">
        <v>86</v>
      </c>
      <c r="AP39" s="129">
        <f>('1'!AP38/'1'!Y30)*1000</f>
        <v>9.7292075690663253</v>
      </c>
      <c r="AQ39" s="127" t="s">
        <v>86</v>
      </c>
      <c r="AR39" s="128">
        <f>('1'!AR38/'1'!Y30)*1000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4" t="s">
        <v>90</v>
      </c>
      <c r="AK40" s="974"/>
      <c r="AL40" s="975">
        <f>SUM('1'!AK38,'1'!AM38)</f>
        <v>0</v>
      </c>
      <c r="AM40" s="975"/>
      <c r="AO40" s="976" t="s">
        <v>90</v>
      </c>
      <c r="AP40" s="976"/>
      <c r="AQ40" s="977">
        <f>SUM('1'!AP38,'1'!AR38)</f>
        <v>2360.7999999999993</v>
      </c>
      <c r="AR40" s="977"/>
    </row>
    <row r="41" spans="1:44" ht="16.5" customHeight="1">
      <c r="A41" s="133">
        <f>COUNTA('1'!E7:E18)</f>
        <v>12</v>
      </c>
      <c r="B41" s="134">
        <f>COUNTA('1'!I7:I18)</f>
        <v>12</v>
      </c>
      <c r="C41" s="978">
        <f>COUNTA('1'!J7:J18)</f>
        <v>12</v>
      </c>
      <c r="D41" s="978">
        <f>COUNTA('1'!K7:K18)</f>
        <v>12</v>
      </c>
      <c r="E41" s="978">
        <f>COUNTIF('1'!E7:E18,"&gt;15")</f>
        <v>0</v>
      </c>
      <c r="F41" s="978"/>
      <c r="G41" s="978">
        <f>COUNTIF('1'!J7:J18,"&gt;1")</f>
        <v>0</v>
      </c>
      <c r="H41" s="978"/>
      <c r="I41" s="135"/>
      <c r="J41" s="978">
        <f>'1'!A41-'1'!E41</f>
        <v>12</v>
      </c>
      <c r="K41" s="978"/>
      <c r="L41" s="978">
        <f>'1'!C41-'1'!G41</f>
        <v>12</v>
      </c>
      <c r="M41" s="978"/>
      <c r="N41" s="135"/>
      <c r="O41" s="979">
        <f>COUNTIF('1'!J7:J18,"&lt;=0,5")</f>
        <v>12</v>
      </c>
      <c r="P41" s="979"/>
      <c r="Q41" s="979"/>
      <c r="R41" s="969"/>
      <c r="S41" s="980">
        <f>COUNTIF('1'!J7:J18,"&lt;=1,0")</f>
        <v>12</v>
      </c>
      <c r="T41" s="980"/>
      <c r="U41" s="136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4" t="s">
        <v>91</v>
      </c>
      <c r="AK41" s="974"/>
      <c r="AL41" s="981">
        <f>SUM(('1'!AK38+'1'!AM38)/'1'!Y30)*1000</f>
        <v>0</v>
      </c>
      <c r="AM41" s="981"/>
      <c r="AO41" s="976" t="s">
        <v>91</v>
      </c>
      <c r="AP41" s="976"/>
      <c r="AQ41" s="981">
        <f>SUM(('1'!AP38+'1'!AR38)/'1'!Y30)*1000</f>
        <v>9.7292075690663253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>
        <v>82</v>
      </c>
      <c r="Z44" s="144" t="s">
        <v>101</v>
      </c>
      <c r="AA44" s="145">
        <v>0</v>
      </c>
      <c r="AB44" s="144" t="s">
        <v>101</v>
      </c>
      <c r="AC44" s="145">
        <v>140</v>
      </c>
      <c r="AD44" s="988"/>
      <c r="AE44" s="988"/>
      <c r="AF44" s="989" t="s">
        <v>102</v>
      </c>
      <c r="AG44" s="990">
        <f>SUM('1'!Y45,'1'!AA45,'1'!AC45,'1'!AE45)</f>
        <v>158952.6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COUNTIF('1'!I7:I18,"&lt;=5,0")</f>
        <v>12</v>
      </c>
      <c r="I45" s="992"/>
      <c r="J45" s="992"/>
      <c r="K45" s="135"/>
      <c r="L45" s="974">
        <f>COUNTA('1'!L37)</f>
        <v>1</v>
      </c>
      <c r="M45" s="974"/>
      <c r="O45" s="146"/>
      <c r="P45" s="147"/>
      <c r="Q45" s="993">
        <f>'1'!S41-'1'!O41</f>
        <v>0</v>
      </c>
      <c r="R45" s="993"/>
      <c r="S45" s="993"/>
      <c r="T45" s="148"/>
      <c r="X45" s="149" t="s">
        <v>104</v>
      </c>
      <c r="Y45" s="150">
        <f>'1'!Y44*275.3</f>
        <v>22574.600000000002</v>
      </c>
      <c r="Z45" s="149" t="s">
        <v>104</v>
      </c>
      <c r="AA45" s="150">
        <f>262.4*'1'!AA44</f>
        <v>0</v>
      </c>
      <c r="AB45" s="149" t="s">
        <v>104</v>
      </c>
      <c r="AC45" s="150">
        <f>'1'!AC44*277.7</f>
        <v>38878</v>
      </c>
      <c r="AD45" s="149" t="s">
        <v>104</v>
      </c>
      <c r="AE45" s="151">
        <v>97500</v>
      </c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" customHeight="1">
      <c r="F46" s="152"/>
      <c r="X46" s="153" t="s">
        <v>105</v>
      </c>
      <c r="Y46" s="154">
        <f>'1'!AS6</f>
        <v>1.33</v>
      </c>
      <c r="Z46" s="153" t="s">
        <v>105</v>
      </c>
      <c r="AA46" s="155">
        <f>'1'!Y46</f>
        <v>1.33</v>
      </c>
      <c r="AB46" s="153" t="s">
        <v>105</v>
      </c>
      <c r="AC46" s="155">
        <f>'1'!Y46</f>
        <v>1.33</v>
      </c>
      <c r="AD46" s="153" t="s">
        <v>105</v>
      </c>
      <c r="AE46" s="156">
        <f>'1'!Y46</f>
        <v>1.33</v>
      </c>
      <c r="AF46" s="995" t="s">
        <v>106</v>
      </c>
      <c r="AG46" s="996">
        <f>SUM('1'!Y47,'1'!AA47,'1'!AC47,'1'!AE47)</f>
        <v>211406.95800000001</v>
      </c>
      <c r="AI46" s="144" t="s">
        <v>101</v>
      </c>
      <c r="AJ46" s="145"/>
      <c r="AK46" s="144" t="s">
        <v>101</v>
      </c>
      <c r="AL46" s="145"/>
      <c r="AM46" s="144" t="s">
        <v>101</v>
      </c>
      <c r="AN46" s="145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'1'!Y45*'1'!Y46</f>
        <v>30024.218000000004</v>
      </c>
      <c r="Z47" s="149" t="s">
        <v>108</v>
      </c>
      <c r="AA47" s="150">
        <f>'1'!AA45*'1'!AA46</f>
        <v>0</v>
      </c>
      <c r="AB47" s="149" t="s">
        <v>108</v>
      </c>
      <c r="AC47" s="150">
        <f>'1'!AC45*'1'!AC46</f>
        <v>51707.740000000005</v>
      </c>
      <c r="AD47" s="149" t="s">
        <v>108</v>
      </c>
      <c r="AE47" s="150">
        <f>'1'!AE45*'1'!AE46</f>
        <v>129675</v>
      </c>
      <c r="AF47" s="995"/>
      <c r="AG47" s="996"/>
      <c r="AI47" s="149" t="s">
        <v>104</v>
      </c>
      <c r="AJ47" s="150">
        <f>'1'!AJ46*275.3</f>
        <v>0</v>
      </c>
      <c r="AK47" s="149" t="s">
        <v>104</v>
      </c>
      <c r="AL47" s="150">
        <f>262.4*'1'!AL46</f>
        <v>0</v>
      </c>
      <c r="AM47" s="149" t="s">
        <v>104</v>
      </c>
      <c r="AN47" s="150">
        <f>'1'!AN46*277.7</f>
        <v>0</v>
      </c>
      <c r="AO47" s="994"/>
      <c r="AP47" s="994"/>
      <c r="AQ47" s="994"/>
      <c r="AR47" s="994"/>
    </row>
    <row r="48" spans="1:44" ht="1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'1'!Y46</f>
        <v>1.33</v>
      </c>
      <c r="AK48" s="160" t="s">
        <v>105</v>
      </c>
      <c r="AL48" s="154">
        <f>'1'!AJ48</f>
        <v>1.33</v>
      </c>
      <c r="AM48" s="160" t="s">
        <v>105</v>
      </c>
      <c r="AN48" s="154">
        <f>'1'!AJ48</f>
        <v>1.33</v>
      </c>
      <c r="AO48" s="994"/>
      <c r="AP48" s="994"/>
      <c r="AQ48" s="994"/>
      <c r="AR48" s="994"/>
    </row>
    <row r="49" spans="1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'1'!AJ47*'1'!AJ48</f>
        <v>0</v>
      </c>
      <c r="AK49" s="149" t="s">
        <v>108</v>
      </c>
      <c r="AL49" s="150">
        <f>'1'!AL47*'1'!AL48</f>
        <v>0</v>
      </c>
      <c r="AM49" s="149" t="s">
        <v>108</v>
      </c>
      <c r="AN49" s="150">
        <f>'1'!AN47*'1'!AN48</f>
        <v>0</v>
      </c>
      <c r="AO49" s="994"/>
      <c r="AP49" s="994"/>
      <c r="AQ49" s="994"/>
      <c r="AR49" s="994"/>
    </row>
    <row r="50" spans="1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:44" ht="16.5" customHeight="1">
      <c r="O51" s="974">
        <f>COUNTA('1'!O7:O18)</f>
        <v>12</v>
      </c>
      <c r="P51" s="974">
        <f>COUNTA('1'!W17:W28)</f>
        <v>0</v>
      </c>
      <c r="R51" s="992">
        <f>COUNTIF('1'!O7:O18,"&gt;=0,5")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:44" ht="15" customHeight="1">
      <c r="A52" s="137"/>
      <c r="B52" s="137"/>
      <c r="C52" s="137"/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SUM('1'!Y53,'1'!AA53,'1'!AC53,'1'!AE53)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:44" ht="15" customHeight="1">
      <c r="A53" s="137"/>
      <c r="B53" s="137"/>
      <c r="C53" s="137"/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'1'!Y52*275.3</f>
        <v>0</v>
      </c>
      <c r="Z53" s="149" t="s">
        <v>104</v>
      </c>
      <c r="AA53" s="150">
        <f>262.4*'1'!AA52</f>
        <v>0</v>
      </c>
      <c r="AB53" s="149" t="s">
        <v>104</v>
      </c>
      <c r="AC53" s="150">
        <f>'1'!AC52*277.7</f>
        <v>0</v>
      </c>
      <c r="AD53" s="149" t="s">
        <v>104</v>
      </c>
      <c r="AE53" s="165"/>
      <c r="AF53" s="989"/>
      <c r="AG53" s="1002"/>
      <c r="AI53" s="144" t="s">
        <v>101</v>
      </c>
      <c r="AJ53" s="166"/>
      <c r="AK53" s="144" t="s">
        <v>101</v>
      </c>
      <c r="AL53" s="164"/>
      <c r="AM53" s="144" t="s">
        <v>101</v>
      </c>
      <c r="AN53" s="164"/>
      <c r="AO53" s="994"/>
      <c r="AP53" s="994"/>
      <c r="AQ53" s="994"/>
      <c r="AR53" s="994"/>
    </row>
    <row r="54" spans="1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'1'!AS7</f>
        <v>1.377</v>
      </c>
      <c r="Z54" s="153" t="s">
        <v>105</v>
      </c>
      <c r="AA54" s="155">
        <f>'1'!Y54</f>
        <v>1.377</v>
      </c>
      <c r="AB54" s="153" t="s">
        <v>105</v>
      </c>
      <c r="AC54" s="155">
        <f>'1'!Y54</f>
        <v>1.377</v>
      </c>
      <c r="AD54" s="153" t="s">
        <v>105</v>
      </c>
      <c r="AE54" s="156">
        <f>'1'!Y54</f>
        <v>1.377</v>
      </c>
      <c r="AF54" s="995" t="s">
        <v>106</v>
      </c>
      <c r="AG54" s="996">
        <f>SUM('1'!Y55,'1'!AA55,'1'!AC55,'1'!AE55)</f>
        <v>0</v>
      </c>
      <c r="AI54" s="149" t="s">
        <v>104</v>
      </c>
      <c r="AJ54" s="150">
        <f>'1'!AJ53*275.3</f>
        <v>0</v>
      </c>
      <c r="AK54" s="149" t="s">
        <v>104</v>
      </c>
      <c r="AL54" s="150">
        <f>262.4*'1'!AL53</f>
        <v>0</v>
      </c>
      <c r="AM54" s="149" t="s">
        <v>104</v>
      </c>
      <c r="AN54" s="167">
        <f>'1'!AN53*277.7</f>
        <v>0</v>
      </c>
      <c r="AO54" s="994"/>
      <c r="AP54" s="994"/>
      <c r="AQ54" s="994"/>
      <c r="AR54" s="994"/>
    </row>
    <row r="55" spans="1:44" ht="17.850000000000001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'1'!Y53*'1'!Y54</f>
        <v>0</v>
      </c>
      <c r="Z55" s="149" t="s">
        <v>108</v>
      </c>
      <c r="AA55" s="150">
        <f>'1'!AA53*'1'!AA54</f>
        <v>0</v>
      </c>
      <c r="AB55" s="149" t="s">
        <v>108</v>
      </c>
      <c r="AC55" s="150">
        <f>'1'!AC53*'1'!AC54</f>
        <v>0</v>
      </c>
      <c r="AD55" s="149" t="s">
        <v>108</v>
      </c>
      <c r="AE55" s="150">
        <f>'1'!AE53*'1'!AE54</f>
        <v>0</v>
      </c>
      <c r="AF55" s="995"/>
      <c r="AG55" s="996"/>
      <c r="AI55" s="153" t="s">
        <v>105</v>
      </c>
      <c r="AJ55" s="154">
        <f>'1'!Y54</f>
        <v>1.377</v>
      </c>
      <c r="AK55" s="153" t="s">
        <v>105</v>
      </c>
      <c r="AL55" s="154">
        <f>'1'!AJ55</f>
        <v>1.377</v>
      </c>
      <c r="AM55" s="153" t="s">
        <v>105</v>
      </c>
      <c r="AN55" s="154">
        <f>'1'!AJ55</f>
        <v>1.377</v>
      </c>
      <c r="AO55" s="994"/>
      <c r="AP55" s="994"/>
      <c r="AQ55" s="994"/>
      <c r="AR55" s="994"/>
    </row>
    <row r="56" spans="1:44" ht="17.850000000000001" customHeight="1">
      <c r="O56" s="998"/>
      <c r="P56" s="998"/>
      <c r="R56" s="999"/>
      <c r="S56" s="999"/>
      <c r="T56" s="999"/>
      <c r="AI56" s="149" t="s">
        <v>108</v>
      </c>
      <c r="AJ56" s="150">
        <f>'1'!AJ54*'1'!AJ55</f>
        <v>0</v>
      </c>
      <c r="AK56" s="149" t="s">
        <v>108</v>
      </c>
      <c r="AL56" s="150">
        <f>'1'!AL54*'1'!AL55</f>
        <v>0</v>
      </c>
      <c r="AM56" s="149" t="s">
        <v>108</v>
      </c>
      <c r="AN56" s="150">
        <f>'1'!AN54*'1'!AN55</f>
        <v>0</v>
      </c>
      <c r="AO56" s="994"/>
      <c r="AP56" s="994"/>
      <c r="AQ56" s="994"/>
      <c r="AR56" s="994"/>
    </row>
    <row r="57" spans="1:44" ht="15.75" customHeight="1">
      <c r="A57" s="137"/>
      <c r="B57" s="137"/>
      <c r="C57" s="137"/>
      <c r="O57" s="1003">
        <f>COUNTA('1'!N7:N18)</f>
        <v>12</v>
      </c>
      <c r="P57" s="1003"/>
      <c r="R57" s="1004">
        <f>COUNTIF('1'!N7:N18,"&gt;=6")</f>
        <v>12</v>
      </c>
      <c r="S57" s="1004"/>
      <c r="T57" s="1004"/>
      <c r="AE57" s="49"/>
    </row>
    <row r="58" spans="1:44" ht="15.75" customHeight="1">
      <c r="A58" s="137"/>
      <c r="B58" s="137"/>
      <c r="C58" s="137"/>
      <c r="X58" s="1005" t="s">
        <v>116</v>
      </c>
      <c r="Y58" s="1005"/>
      <c r="Z58" s="1005"/>
      <c r="AA58" s="1005"/>
      <c r="AB58" s="1005"/>
      <c r="AC58" s="1005"/>
    </row>
    <row r="59" spans="1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:44" ht="15.75" customHeight="1">
      <c r="A60" s="137"/>
      <c r="B60" s="137"/>
      <c r="C60" s="137"/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:44" ht="15.75" customHeight="1">
      <c r="A61" s="137"/>
      <c r="B61" s="137"/>
      <c r="C61" s="137"/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AA32</f>
        <v>31505.040000000001</v>
      </c>
      <c r="AM61" s="1011"/>
      <c r="AN61" s="1010" t="s">
        <v>121</v>
      </c>
      <c r="AO61" s="1010"/>
      <c r="AP61" s="1010"/>
      <c r="AQ61" s="1011">
        <f>'1'!AJ49+'1'!AL49+'1'!AN49</f>
        <v>0</v>
      </c>
      <c r="AR61" s="1011"/>
    </row>
    <row r="62" spans="1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AJ49+AN49</f>
        <v>0</v>
      </c>
      <c r="AM62" s="1015"/>
      <c r="AN62" s="1010" t="s">
        <v>123</v>
      </c>
      <c r="AO62" s="1010"/>
      <c r="AP62" s="1010"/>
      <c r="AQ62" s="1016">
        <f>'1'!AA32</f>
        <v>31505.040000000001</v>
      </c>
      <c r="AR62" s="1016"/>
    </row>
    <row r="63" spans="1:44" ht="15" customHeight="1">
      <c r="X63" s="170" t="s">
        <v>124</v>
      </c>
      <c r="Y63" s="171">
        <v>0</v>
      </c>
      <c r="Z63" s="1013"/>
      <c r="AA63" s="1013"/>
      <c r="AB63" s="172" t="s">
        <v>124</v>
      </c>
      <c r="AC63" s="173">
        <v>0</v>
      </c>
      <c r="AE63" s="49"/>
      <c r="AI63" s="1010" t="s">
        <v>125</v>
      </c>
      <c r="AJ63" s="1010"/>
      <c r="AK63" s="1010"/>
      <c r="AL63" s="1015">
        <f>'1'!AL61-'1'!AL62</f>
        <v>31505.040000000001</v>
      </c>
      <c r="AM63" s="1015"/>
      <c r="AN63" s="1010" t="s">
        <v>125</v>
      </c>
      <c r="AO63" s="1010"/>
      <c r="AP63" s="1010"/>
      <c r="AQ63" s="1011">
        <f>'1'!AQ61-'1'!AQ62</f>
        <v>-31505.040000000001</v>
      </c>
      <c r="AR63" s="1011"/>
    </row>
    <row r="64" spans="1:44" ht="15" customHeight="1">
      <c r="X64" s="170"/>
      <c r="Y64" s="171"/>
      <c r="Z64" s="1013"/>
      <c r="AA64" s="1013"/>
      <c r="AB64" s="172"/>
      <c r="AC64" s="173"/>
    </row>
    <row r="65" spans="1:29" ht="39" customHeight="1">
      <c r="A65" s="137"/>
      <c r="B65" s="137"/>
      <c r="C65" s="137"/>
      <c r="X65" s="174" t="s">
        <v>126</v>
      </c>
      <c r="Y65" s="175"/>
      <c r="Z65" s="1013"/>
      <c r="AA65" s="1013"/>
      <c r="AB65" s="176" t="s">
        <v>126</v>
      </c>
      <c r="AC65" s="177">
        <v>0</v>
      </c>
    </row>
    <row r="66" spans="1:29" ht="15" customHeight="1">
      <c r="A66" s="137"/>
      <c r="B66" s="137"/>
      <c r="C66" s="137"/>
      <c r="X66" s="1017" t="s">
        <v>127</v>
      </c>
      <c r="Y66" s="1017"/>
      <c r="Z66" s="1013"/>
      <c r="AA66" s="1013"/>
      <c r="AB66" s="1018" t="s">
        <v>127</v>
      </c>
      <c r="AC66" s="1018"/>
    </row>
    <row r="67" spans="1:29" ht="15" customHeight="1">
      <c r="X67" s="170" t="s">
        <v>124</v>
      </c>
      <c r="Y67" s="178">
        <f>SUM('1'!AK38,'1'!AP38)</f>
        <v>2360.7999999999993</v>
      </c>
      <c r="Z67" s="1013"/>
      <c r="AA67" s="1013"/>
      <c r="AB67" s="172" t="s">
        <v>124</v>
      </c>
      <c r="AC67" s="169">
        <f>SUM('1'!AM38,'1'!AR38)</f>
        <v>0</v>
      </c>
    </row>
    <row r="68" spans="1:29" ht="15.75" customHeight="1">
      <c r="X68" s="170" t="s">
        <v>128</v>
      </c>
      <c r="Y68" s="179">
        <f>SUM('1'!Y63,'1'!Y65)-'1'!Y67</f>
        <v>-2360.7999999999993</v>
      </c>
      <c r="Z68" s="1013"/>
      <c r="AA68" s="1013"/>
      <c r="AB68" s="172" t="s">
        <v>128</v>
      </c>
      <c r="AC68" s="180">
        <f>SUM('1'!AC63,'1'!AC65)-'1'!AC67</f>
        <v>0</v>
      </c>
    </row>
    <row r="70" spans="1:29">
      <c r="Z70" t="s">
        <v>129</v>
      </c>
      <c r="AA70" s="181">
        <f>'1'!Y68+'1'!AC68</f>
        <v>-2360.7999999999993</v>
      </c>
    </row>
  </sheetData>
  <sheetProtection password="E1DF" sheet="1" objects="1" scenarios="1" selectLockedCells="1"/>
  <mergeCells count="170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conditionalFormatting sqref="O19">
    <cfRule type="cellIs" priority="4" operator="lessThan">
      <formula>2.5</formula>
    </cfRule>
    <cfRule type="cellIs" priority="5" operator="greaterThan">
      <formula>3</formula>
    </cfRule>
    <cfRule type="cellIs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W13" zoomScaleNormal="100" workbookViewId="0">
      <selection activeCell="AO13" sqref="AO13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19" t="s">
        <v>5</v>
      </c>
      <c r="E2" s="1019"/>
      <c r="F2" s="1019"/>
      <c r="G2" s="1019"/>
      <c r="H2" s="1019"/>
      <c r="I2" s="1019"/>
      <c r="J2" s="1019"/>
      <c r="K2" s="1019"/>
      <c r="L2" s="1019"/>
      <c r="M2" s="1019"/>
      <c r="N2" s="1019"/>
      <c r="O2" s="1019"/>
      <c r="P2" s="1019"/>
      <c r="Q2" s="1019"/>
      <c r="R2" s="1019"/>
      <c r="S2" s="1019"/>
      <c r="T2" s="1019"/>
      <c r="U2" s="1019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4">
        <v>2784</v>
      </c>
      <c r="Z6" s="182">
        <v>987</v>
      </c>
      <c r="AA6" s="15">
        <v>1</v>
      </c>
      <c r="AB6" s="58">
        <f>IF('2'!AA6=1,(('2'!Z6*'2'!$AS$6*'2'!$AT$6)/('2'!Y6*0.0036)),IF('2'!AA6=2,(('2'!Z6*'2'!$AS$7*'2'!$AT$7)/('2'!Y6*0.0036))))</f>
        <v>65.488805076628353</v>
      </c>
      <c r="AC6" s="58"/>
      <c r="AD6" s="18">
        <f>(('2'!AC6*'2'!$Q$10*1000000))/('2'!Y6*3600)</f>
        <v>0</v>
      </c>
      <c r="AE6" s="183"/>
      <c r="AF6" s="184">
        <f>('2'!AE6/24)*0.454</f>
        <v>0</v>
      </c>
      <c r="AG6" s="19"/>
      <c r="AH6" s="184">
        <f>('2'!AG6/24)*0.454</f>
        <v>0</v>
      </c>
      <c r="AI6" s="183">
        <v>5200</v>
      </c>
      <c r="AJ6" s="184">
        <f>('2'!AI6/24)*0.454</f>
        <v>98.36666666666666</v>
      </c>
      <c r="AK6" s="21"/>
      <c r="AL6" s="185">
        <f>('2'!AK6/24)*0.454</f>
        <v>0</v>
      </c>
      <c r="AM6" s="21"/>
      <c r="AN6" s="185">
        <f>('2'!AM6/24)*0.454</f>
        <v>0</v>
      </c>
      <c r="AO6" s="21"/>
      <c r="AP6" s="185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6">
        <v>80</v>
      </c>
      <c r="C7" s="186">
        <v>12.5</v>
      </c>
      <c r="D7" s="186">
        <v>12.5</v>
      </c>
      <c r="E7" s="186">
        <v>2.5</v>
      </c>
      <c r="F7" s="186">
        <v>9.1999999999999993</v>
      </c>
      <c r="G7" s="186">
        <v>1.2</v>
      </c>
      <c r="H7" s="186">
        <v>1.4</v>
      </c>
      <c r="I7" s="186">
        <v>0.4</v>
      </c>
      <c r="J7" s="186">
        <v>0.3</v>
      </c>
      <c r="K7" s="186">
        <v>7.3</v>
      </c>
      <c r="L7" s="186">
        <v>6.7</v>
      </c>
      <c r="M7" s="186">
        <v>6.7</v>
      </c>
      <c r="N7" s="186">
        <v>6.4</v>
      </c>
      <c r="O7" s="186">
        <v>3.2</v>
      </c>
      <c r="P7" s="186"/>
      <c r="Q7" s="186"/>
      <c r="R7" s="37">
        <f>'1'!$Z$29</f>
        <v>987</v>
      </c>
      <c r="S7" s="187">
        <f>'1'!$AB$29</f>
        <v>65.324555117640045</v>
      </c>
      <c r="T7" s="37">
        <f>'1'!$Y$29</f>
        <v>2791</v>
      </c>
      <c r="U7" s="33" t="str">
        <f>IF('2'!AA6=1,'2'!AR6,'2'!AR7)</f>
        <v>S.A.L</v>
      </c>
      <c r="V7" s="1022">
        <f>ESCALA!$B$3</f>
        <v>0</v>
      </c>
      <c r="W7" s="1022"/>
      <c r="X7" s="13">
        <v>2653.0833333333298</v>
      </c>
      <c r="Y7" s="54">
        <v>2784</v>
      </c>
      <c r="Z7" s="182">
        <v>987</v>
      </c>
      <c r="AA7" s="15">
        <v>1</v>
      </c>
      <c r="AB7" s="58">
        <f>IF('2'!AA7=1,(('2'!Z7*'2'!$AS$6*'2'!$AT$6)/('2'!Y7*0.0036)),IF('2'!AA7=2,(('2'!Z7*'2'!$AS$7*'2'!$AT$7)/('2'!Y7*0.0036))))</f>
        <v>65.488805076628353</v>
      </c>
      <c r="AC7" s="58"/>
      <c r="AD7" s="18">
        <f>(('2'!AC7*'2'!$Q$10*1000000))/('2'!Y7*3600)</f>
        <v>0</v>
      </c>
      <c r="AE7" s="183"/>
      <c r="AF7" s="184">
        <f>('2'!AE7/24)*0.454</f>
        <v>0</v>
      </c>
      <c r="AG7" s="19"/>
      <c r="AH7" s="184">
        <f>('2'!AG7/24)*0.454</f>
        <v>0</v>
      </c>
      <c r="AI7" s="183">
        <v>5200</v>
      </c>
      <c r="AJ7" s="184">
        <f>('2'!AI7/24)*0.454</f>
        <v>98.36666666666666</v>
      </c>
      <c r="AK7" s="21"/>
      <c r="AL7" s="185">
        <f>('2'!AK7/24)*0.454</f>
        <v>0</v>
      </c>
      <c r="AM7" s="21"/>
      <c r="AN7" s="185">
        <f>('2'!AM7/24)*0.454</f>
        <v>0</v>
      </c>
      <c r="AO7" s="21"/>
      <c r="AP7" s="185">
        <f>('2'!AO7/24)*0.454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6">
        <v>80</v>
      </c>
      <c r="C8" s="186">
        <v>12.5</v>
      </c>
      <c r="D8" s="186">
        <v>12.5</v>
      </c>
      <c r="E8" s="186">
        <v>2.5</v>
      </c>
      <c r="F8" s="186">
        <v>9.1999999999999993</v>
      </c>
      <c r="G8" s="186">
        <v>1.2</v>
      </c>
      <c r="H8" s="186">
        <v>1.4</v>
      </c>
      <c r="I8" s="186">
        <v>0.4</v>
      </c>
      <c r="J8" s="186">
        <v>0.3</v>
      </c>
      <c r="K8" s="186">
        <v>7.3</v>
      </c>
      <c r="L8" s="186">
        <v>6.7</v>
      </c>
      <c r="M8" s="186">
        <v>6.7</v>
      </c>
      <c r="N8" s="186">
        <v>6.4</v>
      </c>
      <c r="O8" s="186">
        <v>3.3</v>
      </c>
      <c r="P8" s="186"/>
      <c r="Q8" s="186"/>
      <c r="R8" s="35">
        <f>'2'!Z7</f>
        <v>987</v>
      </c>
      <c r="S8" s="36">
        <f>'2'!AB7</f>
        <v>65.488805076628353</v>
      </c>
      <c r="T8" s="37">
        <f>'2'!Y7</f>
        <v>2784</v>
      </c>
      <c r="U8" s="33" t="str">
        <f>IF('2'!AA7=1,'2'!AR6,'2'!AR7)</f>
        <v>S.A.L</v>
      </c>
      <c r="V8" s="1022"/>
      <c r="W8" s="1022"/>
      <c r="X8" s="13">
        <v>2645.125</v>
      </c>
      <c r="Y8" s="54">
        <v>2754</v>
      </c>
      <c r="Z8" s="182">
        <v>987</v>
      </c>
      <c r="AA8" s="15">
        <v>1</v>
      </c>
      <c r="AB8" s="58">
        <f>IF('2'!AA8=1,(('2'!Z8*'2'!$AS$6*'2'!$AT$6)/('2'!Y8*0.0036)),IF('2'!AA8=2,(('2'!Z8*'2'!$AS$7*'2'!$AT$7)/('2'!Y8*0.0036))))</f>
        <v>66.202190752844345</v>
      </c>
      <c r="AC8" s="58"/>
      <c r="AD8" s="18">
        <f>(('2'!AC8*'2'!$Q$10*1000000))/('2'!Y8*3600)</f>
        <v>0</v>
      </c>
      <c r="AE8" s="183"/>
      <c r="AF8" s="184">
        <f>('2'!AE8/24)*0.454</f>
        <v>0</v>
      </c>
      <c r="AG8" s="19"/>
      <c r="AH8" s="184">
        <f>('2'!AG8/24)*0.454</f>
        <v>0</v>
      </c>
      <c r="AI8" s="183">
        <v>5200</v>
      </c>
      <c r="AJ8" s="184">
        <f>('2'!AI8/24)*0.454</f>
        <v>98.36666666666666</v>
      </c>
      <c r="AK8" s="21"/>
      <c r="AL8" s="185">
        <f>('2'!AK8/24)*0.454</f>
        <v>0</v>
      </c>
      <c r="AM8" s="21"/>
      <c r="AN8" s="185">
        <f>('2'!AM8/24)*0.454</f>
        <v>0</v>
      </c>
      <c r="AO8" s="21"/>
      <c r="AP8" s="185">
        <f>('2'!AO8/24)*0.454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80</v>
      </c>
      <c r="C9" s="186">
        <v>12.5</v>
      </c>
      <c r="D9" s="186">
        <v>12.5</v>
      </c>
      <c r="E9" s="186">
        <v>2.5</v>
      </c>
      <c r="F9" s="186">
        <v>9.1999999999999993</v>
      </c>
      <c r="G9" s="186">
        <v>1.2</v>
      </c>
      <c r="H9" s="186">
        <v>1.4</v>
      </c>
      <c r="I9" s="186">
        <v>0.3</v>
      </c>
      <c r="J9" s="186">
        <v>0.3</v>
      </c>
      <c r="K9" s="186">
        <v>7.3</v>
      </c>
      <c r="L9" s="186">
        <v>6.7</v>
      </c>
      <c r="M9" s="186">
        <v>6.7</v>
      </c>
      <c r="N9" s="186">
        <v>6.4</v>
      </c>
      <c r="O9" s="186">
        <v>3.5</v>
      </c>
      <c r="P9" s="186"/>
      <c r="Q9" s="186"/>
      <c r="R9" s="37">
        <f>'2'!Z9</f>
        <v>987</v>
      </c>
      <c r="S9" s="36">
        <f>'2'!AB9</f>
        <v>62.934357381198943</v>
      </c>
      <c r="T9" s="37">
        <f>'2'!Y9</f>
        <v>2897</v>
      </c>
      <c r="U9" s="33" t="str">
        <f>IF('2'!AA9=1,'2'!AR6,'2'!AR7)</f>
        <v>S.A.L</v>
      </c>
      <c r="V9" s="1022"/>
      <c r="W9" s="1022"/>
      <c r="X9" s="13">
        <v>0.16666666666666699</v>
      </c>
      <c r="Y9" s="54">
        <v>2897</v>
      </c>
      <c r="Z9" s="182">
        <v>987</v>
      </c>
      <c r="AA9" s="15">
        <v>1</v>
      </c>
      <c r="AB9" s="58">
        <f>IF('2'!AA9=1,(('2'!Z9*'2'!$AS$6*'2'!$AT$6)/('2'!Y9*0.0036)),IF('2'!AA9=2,(('2'!Z9*'2'!$AS$7*'2'!$AT$7)/('2'!Y9*0.0036))))</f>
        <v>62.934357381198943</v>
      </c>
      <c r="AC9" s="58"/>
      <c r="AD9" s="18">
        <f>(('2'!AC9*'2'!$Q$10*1000000))/('2'!Y9*3600)</f>
        <v>0</v>
      </c>
      <c r="AE9" s="183"/>
      <c r="AF9" s="184">
        <f>('2'!AE9/24)*0.454</f>
        <v>0</v>
      </c>
      <c r="AG9" s="19"/>
      <c r="AH9" s="184">
        <f>('2'!AG9/24)*0.454</f>
        <v>0</v>
      </c>
      <c r="AI9" s="183">
        <v>5200</v>
      </c>
      <c r="AJ9" s="184">
        <f>('2'!AI9/24)*0.454</f>
        <v>98.36666666666666</v>
      </c>
      <c r="AK9" s="21"/>
      <c r="AL9" s="185">
        <f>('2'!AK9/24)*0.454</f>
        <v>0</v>
      </c>
      <c r="AM9" s="21"/>
      <c r="AN9" s="185">
        <f>('2'!AM9/24)*0.454</f>
        <v>0</v>
      </c>
      <c r="AO9" s="21"/>
      <c r="AP9" s="185">
        <f>('2'!AO9/24)*0.454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80</v>
      </c>
      <c r="C10" s="186">
        <v>12.5</v>
      </c>
      <c r="D10" s="186">
        <v>12.5</v>
      </c>
      <c r="E10" s="186">
        <v>2.5</v>
      </c>
      <c r="F10" s="186">
        <v>9.1999999999999993</v>
      </c>
      <c r="G10" s="186">
        <v>1.2</v>
      </c>
      <c r="H10" s="186">
        <v>1.4</v>
      </c>
      <c r="I10" s="186">
        <v>0.3</v>
      </c>
      <c r="J10" s="186">
        <v>0.3</v>
      </c>
      <c r="K10" s="186">
        <v>7.3</v>
      </c>
      <c r="L10" s="186">
        <v>6.7</v>
      </c>
      <c r="M10" s="186">
        <v>6.7</v>
      </c>
      <c r="N10" s="186">
        <v>6.4</v>
      </c>
      <c r="O10" s="186">
        <v>3.5</v>
      </c>
      <c r="P10" s="186"/>
      <c r="Q10" s="186"/>
      <c r="R10" s="37">
        <f>'2'!Z11</f>
        <v>987</v>
      </c>
      <c r="S10" s="36">
        <f>'2'!AB11</f>
        <v>65.724885844748869</v>
      </c>
      <c r="T10" s="37">
        <f>'2'!Y11</f>
        <v>2774</v>
      </c>
      <c r="U10" s="39" t="str">
        <f>IF('2'!AA11=1,'2'!AR6,'2'!AR7)</f>
        <v>S.A.L</v>
      </c>
      <c r="V10" s="1022"/>
      <c r="W10" s="1022"/>
      <c r="X10" s="13">
        <v>0.20833333333333301</v>
      </c>
      <c r="Y10" s="54">
        <v>2790</v>
      </c>
      <c r="Z10" s="182">
        <v>987</v>
      </c>
      <c r="AA10" s="15">
        <v>1</v>
      </c>
      <c r="AB10" s="58">
        <f>IF('2'!AA10=1,(('2'!Z10*'2'!$AS$6*'2'!$AT$6)/('2'!Y10*0.0036)),IF('2'!AA10=2,(('2'!Z10*'2'!$AS$7*'2'!$AT$7)/('2'!Y10*0.0036))))</f>
        <v>65.347968936678612</v>
      </c>
      <c r="AC10" s="58"/>
      <c r="AD10" s="18">
        <f>(('2'!AC10*'2'!$Q$10*1000000))/('2'!Y10*3600)</f>
        <v>0</v>
      </c>
      <c r="AE10" s="183"/>
      <c r="AF10" s="184">
        <f>('2'!AE10/24)*0.454</f>
        <v>0</v>
      </c>
      <c r="AG10" s="19"/>
      <c r="AH10" s="184">
        <f>('2'!AG10/24)*0.454</f>
        <v>0</v>
      </c>
      <c r="AI10" s="183">
        <v>5200</v>
      </c>
      <c r="AJ10" s="184">
        <f>('2'!AI10/24)*0.454</f>
        <v>98.36666666666666</v>
      </c>
      <c r="AK10" s="21"/>
      <c r="AL10" s="185">
        <f>('2'!AK10/24)*0.454</f>
        <v>0</v>
      </c>
      <c r="AM10" s="21"/>
      <c r="AN10" s="185">
        <f>('2'!AM10/24)*0.454</f>
        <v>0</v>
      </c>
      <c r="AO10" s="21"/>
      <c r="AP10" s="185">
        <f>('2'!AO10/24)*0.454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6">
        <v>50</v>
      </c>
      <c r="C11" s="186">
        <v>7.5</v>
      </c>
      <c r="D11" s="186">
        <v>7.5</v>
      </c>
      <c r="E11" s="186">
        <v>2.5</v>
      </c>
      <c r="F11" s="186">
        <v>7.9</v>
      </c>
      <c r="G11" s="186">
        <v>1.2</v>
      </c>
      <c r="H11" s="186">
        <v>1.2</v>
      </c>
      <c r="I11" s="186">
        <v>0.3</v>
      </c>
      <c r="J11" s="186">
        <v>0.3</v>
      </c>
      <c r="K11" s="186">
        <v>7.3</v>
      </c>
      <c r="L11" s="186">
        <v>6.6</v>
      </c>
      <c r="M11" s="186">
        <v>6.6</v>
      </c>
      <c r="N11" s="186">
        <v>6.4</v>
      </c>
      <c r="O11" s="186">
        <v>3.5</v>
      </c>
      <c r="P11" s="186"/>
      <c r="Q11" s="186"/>
      <c r="R11" s="37">
        <f>'2'!Z13</f>
        <v>987</v>
      </c>
      <c r="S11" s="36">
        <f>'2'!AB13</f>
        <v>65.986548437688512</v>
      </c>
      <c r="T11" s="37">
        <f>'2'!Y13</f>
        <v>2763</v>
      </c>
      <c r="U11" s="42" t="str">
        <f>IF('2'!AA13=1,'2'!AR6,'2'!AR7)</f>
        <v>S.A.L</v>
      </c>
      <c r="V11" s="1022"/>
      <c r="W11" s="1022"/>
      <c r="X11" s="13">
        <v>0.25</v>
      </c>
      <c r="Y11" s="54">
        <v>2774</v>
      </c>
      <c r="Z11" s="182">
        <v>987</v>
      </c>
      <c r="AA11" s="15">
        <v>1</v>
      </c>
      <c r="AB11" s="58">
        <f>IF('2'!AA11=1,(('2'!Z11*'2'!$AS$6*'2'!$AT$6)/('2'!Y11*0.0036)),IF('2'!AA11=2,(('2'!Z11*'2'!$AS$7*'2'!$AT$7)/('2'!Y11*0.0036))))</f>
        <v>65.724885844748869</v>
      </c>
      <c r="AC11" s="58"/>
      <c r="AD11" s="18">
        <f>(('2'!AC11*'2'!$Q$10*1000000))/('2'!Y11*3600)</f>
        <v>0</v>
      </c>
      <c r="AE11" s="183"/>
      <c r="AF11" s="184">
        <f>('2'!AE11/24)*0.454</f>
        <v>0</v>
      </c>
      <c r="AG11" s="19"/>
      <c r="AH11" s="184">
        <f>('2'!AG11/24)*0.454</f>
        <v>0</v>
      </c>
      <c r="AI11" s="183">
        <v>5000</v>
      </c>
      <c r="AJ11" s="184">
        <f>('2'!AI11/24)*0.454</f>
        <v>94.583333333333343</v>
      </c>
      <c r="AK11" s="21"/>
      <c r="AL11" s="185">
        <f>('2'!AK11/24)*0.454</f>
        <v>0</v>
      </c>
      <c r="AM11" s="21"/>
      <c r="AN11" s="185">
        <f>('2'!AM11/24)*0.454</f>
        <v>0</v>
      </c>
      <c r="AO11" s="21"/>
      <c r="AP11" s="185">
        <f>('2'!AO11/24)*0.454</f>
        <v>0</v>
      </c>
    </row>
    <row r="12" spans="1:47" ht="18.75" customHeight="1">
      <c r="A12" s="28">
        <v>0.41666666666666702</v>
      </c>
      <c r="B12" s="186">
        <v>50</v>
      </c>
      <c r="C12" s="186">
        <v>7.5</v>
      </c>
      <c r="D12" s="186">
        <v>7.5</v>
      </c>
      <c r="E12" s="186">
        <v>2.5</v>
      </c>
      <c r="F12" s="186">
        <v>7.8</v>
      </c>
      <c r="G12" s="186">
        <v>1.2</v>
      </c>
      <c r="H12" s="186">
        <v>1.2</v>
      </c>
      <c r="I12" s="186">
        <v>0.3</v>
      </c>
      <c r="J12" s="186">
        <v>0.3</v>
      </c>
      <c r="K12" s="186">
        <v>7.3</v>
      </c>
      <c r="L12" s="186">
        <v>6.6</v>
      </c>
      <c r="M12" s="186">
        <v>6.6</v>
      </c>
      <c r="N12" s="186">
        <v>6.4</v>
      </c>
      <c r="O12" s="186">
        <v>3.3</v>
      </c>
      <c r="P12" s="186"/>
      <c r="Q12" s="186"/>
      <c r="R12" s="37">
        <f>'2'!Z15</f>
        <v>940</v>
      </c>
      <c r="S12" s="36">
        <f>'2'!AB15</f>
        <v>62.102606898744241</v>
      </c>
      <c r="T12" s="37">
        <f>'2'!Y15</f>
        <v>2796</v>
      </c>
      <c r="U12" s="43" t="str">
        <f>IF('2'!AA15=1,'2'!AR6,'2'!AR7)</f>
        <v>S.A.L</v>
      </c>
      <c r="V12" s="944">
        <f>ESCALA!$B$4</f>
        <v>0</v>
      </c>
      <c r="W12" s="944"/>
      <c r="X12" s="13">
        <v>0.29166666666666702</v>
      </c>
      <c r="Y12" s="54">
        <v>2768</v>
      </c>
      <c r="Z12" s="182">
        <v>987</v>
      </c>
      <c r="AA12" s="15">
        <v>1</v>
      </c>
      <c r="AB12" s="58">
        <f>IF('2'!AA12=1,(('2'!Z12*'2'!$AS$6*'2'!$AT$6)/('2'!Y12*0.0036)),IF('2'!AA12=2,(('2'!Z12*'2'!$AS$7*'2'!$AT$7)/('2'!Y12*0.0036))))</f>
        <v>65.867353082851636</v>
      </c>
      <c r="AC12" s="58"/>
      <c r="AD12" s="18">
        <f>(('2'!AC12*'2'!$Q$10*1000000))/('2'!Y12*3600)</f>
        <v>0</v>
      </c>
      <c r="AE12" s="183"/>
      <c r="AF12" s="184">
        <f>('2'!AE12/24)*0.454</f>
        <v>0</v>
      </c>
      <c r="AG12" s="19"/>
      <c r="AH12" s="184">
        <f>('2'!AG12/24)*0.454</f>
        <v>0</v>
      </c>
      <c r="AI12" s="183">
        <v>5000</v>
      </c>
      <c r="AJ12" s="184">
        <f>('2'!AI12/24)*0.454</f>
        <v>94.583333333333343</v>
      </c>
      <c r="AK12" s="21"/>
      <c r="AL12" s="185">
        <f>('2'!AK12/24)*0.454</f>
        <v>0</v>
      </c>
      <c r="AM12" s="21"/>
      <c r="AN12" s="185">
        <f>('2'!AM12/24)*0.454</f>
        <v>0</v>
      </c>
      <c r="AO12" s="21"/>
      <c r="AP12" s="185">
        <f>('2'!AO12/24)*0.454</f>
        <v>0</v>
      </c>
    </row>
    <row r="13" spans="1:47" ht="18.75" customHeight="1">
      <c r="A13" s="28">
        <v>0.5</v>
      </c>
      <c r="B13" s="186">
        <v>50</v>
      </c>
      <c r="C13" s="186">
        <v>10</v>
      </c>
      <c r="D13" s="186">
        <v>10</v>
      </c>
      <c r="E13" s="186">
        <v>2.5</v>
      </c>
      <c r="F13" s="186">
        <v>8.5</v>
      </c>
      <c r="G13" s="186">
        <v>1.5</v>
      </c>
      <c r="H13" s="186">
        <v>1.6</v>
      </c>
      <c r="I13" s="186">
        <v>0.3</v>
      </c>
      <c r="J13" s="186">
        <v>0.3</v>
      </c>
      <c r="K13" s="186">
        <v>7.3</v>
      </c>
      <c r="L13" s="186">
        <v>6.6</v>
      </c>
      <c r="M13" s="186">
        <v>6.6</v>
      </c>
      <c r="N13" s="186">
        <v>6.4</v>
      </c>
      <c r="O13" s="186">
        <v>3</v>
      </c>
      <c r="P13" s="186"/>
      <c r="Q13" s="186"/>
      <c r="R13" s="37">
        <f>'2'!Z17</f>
        <v>940</v>
      </c>
      <c r="S13" s="36">
        <f>'2'!AB17</f>
        <v>61.727297863095949</v>
      </c>
      <c r="T13" s="37">
        <f>'2'!Y17</f>
        <v>2813</v>
      </c>
      <c r="U13" s="33" t="str">
        <f>IF('2'!AA17=1,'2'!AR6,'2'!AR7)</f>
        <v>S.A.L</v>
      </c>
      <c r="V13" s="944"/>
      <c r="W13" s="944"/>
      <c r="X13" s="13">
        <v>0.33333333333333298</v>
      </c>
      <c r="Y13" s="54">
        <v>2763</v>
      </c>
      <c r="Z13" s="182">
        <v>987</v>
      </c>
      <c r="AA13" s="15">
        <v>1</v>
      </c>
      <c r="AB13" s="58">
        <f>IF('2'!AA13=1,(('2'!Z13*'2'!$AS$6*'2'!$AT$6)/('2'!Y13*0.0036)),IF('2'!AA13=2,(('2'!Z13*'2'!$AS$7*'2'!$AT$7)/('2'!Y13*0.0036))))</f>
        <v>65.986548437688512</v>
      </c>
      <c r="AC13" s="58"/>
      <c r="AD13" s="18">
        <f>(('2'!AC13*'2'!$Q$10*1000000))/('2'!Y13*3600)</f>
        <v>0</v>
      </c>
      <c r="AE13" s="183"/>
      <c r="AF13" s="184">
        <f>('2'!AE13/24)*0.454</f>
        <v>0</v>
      </c>
      <c r="AG13" s="19"/>
      <c r="AH13" s="184">
        <f>('2'!AG13/24)*0.454</f>
        <v>0</v>
      </c>
      <c r="AI13" s="183">
        <v>2000</v>
      </c>
      <c r="AJ13" s="184">
        <f>('2'!AI13/24)*0.454</f>
        <v>37.833333333333336</v>
      </c>
      <c r="AK13" s="21">
        <v>1500</v>
      </c>
      <c r="AL13" s="185">
        <f>('2'!AK13/24)*0.454</f>
        <v>28.375</v>
      </c>
      <c r="AM13" s="21">
        <v>1500</v>
      </c>
      <c r="AN13" s="185">
        <f>('2'!AM13/24)*0.454</f>
        <v>28.375</v>
      </c>
      <c r="AO13" s="21"/>
      <c r="AP13" s="185">
        <f>('2'!AO13/24)*0.454</f>
        <v>0</v>
      </c>
    </row>
    <row r="14" spans="1:47" ht="18.75" customHeight="1">
      <c r="A14" s="28">
        <v>0.58333333333333304</v>
      </c>
      <c r="B14" s="186">
        <v>50</v>
      </c>
      <c r="C14" s="186">
        <v>10</v>
      </c>
      <c r="D14" s="186">
        <v>10</v>
      </c>
      <c r="E14" s="186">
        <v>2.5</v>
      </c>
      <c r="F14" s="186">
        <v>8.1</v>
      </c>
      <c r="G14" s="186">
        <v>1.3</v>
      </c>
      <c r="H14" s="186">
        <v>1.5</v>
      </c>
      <c r="I14" s="186">
        <v>0.3</v>
      </c>
      <c r="J14" s="186">
        <v>0.3</v>
      </c>
      <c r="K14" s="186">
        <v>7.3</v>
      </c>
      <c r="L14" s="186">
        <v>6.6</v>
      </c>
      <c r="M14" s="186">
        <v>6.6</v>
      </c>
      <c r="N14" s="186">
        <v>6.4</v>
      </c>
      <c r="O14" s="186">
        <v>3.8</v>
      </c>
      <c r="P14" s="186"/>
      <c r="Q14" s="186"/>
      <c r="R14" s="37">
        <f>'2'!Z19</f>
        <v>940</v>
      </c>
      <c r="S14" s="36">
        <f>'2'!AB19</f>
        <v>61.991748978539412</v>
      </c>
      <c r="T14" s="37">
        <f>'2'!Y19</f>
        <v>2801</v>
      </c>
      <c r="U14" s="33" t="str">
        <f>IF('2'!AA19=1,'2'!AR6,'2'!AR7)</f>
        <v>S.A.L</v>
      </c>
      <c r="V14" s="944"/>
      <c r="W14" s="944"/>
      <c r="X14" s="13">
        <v>0.375</v>
      </c>
      <c r="Y14" s="54">
        <v>2819</v>
      </c>
      <c r="Z14" s="182">
        <v>940</v>
      </c>
      <c r="AA14" s="15">
        <v>1</v>
      </c>
      <c r="AB14" s="58">
        <f>IF('2'!AA14=1,(('2'!Z14*'2'!$AS$6*'2'!$AT$6)/('2'!Y14*0.0036)),IF('2'!AA14=2,(('2'!Z14*'2'!$AS$7*'2'!$AT$7)/('2'!Y14*0.0036))))</f>
        <v>61.595916597690277</v>
      </c>
      <c r="AC14" s="58"/>
      <c r="AD14" s="18">
        <f>(('2'!AC14*'2'!$Q$10*1000000))/('2'!Y14*3600)</f>
        <v>0</v>
      </c>
      <c r="AE14" s="183"/>
      <c r="AF14" s="184">
        <f>('2'!AE14/24)*0.454</f>
        <v>0</v>
      </c>
      <c r="AG14" s="19"/>
      <c r="AH14" s="184">
        <f>('2'!AG14/24)*0.454</f>
        <v>0</v>
      </c>
      <c r="AI14" s="183">
        <v>2000</v>
      </c>
      <c r="AJ14" s="184">
        <f>('2'!AI14/24)*0.454</f>
        <v>37.833333333333336</v>
      </c>
      <c r="AK14" s="21">
        <v>1500</v>
      </c>
      <c r="AL14" s="185">
        <f>('2'!AK14/24)*0.454</f>
        <v>28.375</v>
      </c>
      <c r="AM14" s="21">
        <v>1500</v>
      </c>
      <c r="AN14" s="185">
        <f>('2'!AM14/24)*0.454</f>
        <v>28.375</v>
      </c>
      <c r="AO14" s="21"/>
      <c r="AP14" s="185">
        <f>('2'!AO14/24)*0.454</f>
        <v>0</v>
      </c>
    </row>
    <row r="15" spans="1:47" ht="18.75" customHeight="1">
      <c r="A15" s="28">
        <v>0.66666666666666696</v>
      </c>
      <c r="B15" s="186">
        <v>50</v>
      </c>
      <c r="C15" s="186">
        <v>10</v>
      </c>
      <c r="D15" s="186">
        <v>10</v>
      </c>
      <c r="E15" s="186">
        <v>2.5</v>
      </c>
      <c r="F15" s="186">
        <v>8</v>
      </c>
      <c r="G15" s="186">
        <v>1.3</v>
      </c>
      <c r="H15" s="186">
        <v>1.7</v>
      </c>
      <c r="I15" s="186">
        <v>0.3</v>
      </c>
      <c r="J15" s="186">
        <v>0.3</v>
      </c>
      <c r="K15" s="186">
        <v>7.3</v>
      </c>
      <c r="L15" s="186">
        <v>6.6</v>
      </c>
      <c r="M15" s="186">
        <v>6.6</v>
      </c>
      <c r="N15" s="186">
        <v>6.4</v>
      </c>
      <c r="O15" s="186">
        <v>2.5</v>
      </c>
      <c r="P15" s="186"/>
      <c r="Q15" s="186"/>
      <c r="R15" s="37">
        <f>'2'!Z21</f>
        <v>940</v>
      </c>
      <c r="S15" s="36">
        <f>'2'!AB21</f>
        <v>58.68161165558935</v>
      </c>
      <c r="T15" s="37">
        <f>'2'!Y21</f>
        <v>2959</v>
      </c>
      <c r="U15" s="33" t="str">
        <f>IF('2'!AA21=1,'2'!AR6,'2'!AR7)</f>
        <v>S.A.L</v>
      </c>
      <c r="V15" s="944"/>
      <c r="W15" s="944"/>
      <c r="X15" s="13">
        <v>0.41666666666666702</v>
      </c>
      <c r="Y15" s="54">
        <v>2796</v>
      </c>
      <c r="Z15" s="182">
        <v>940</v>
      </c>
      <c r="AA15" s="15">
        <v>1</v>
      </c>
      <c r="AB15" s="58">
        <f>IF('2'!AA15=1,(('2'!Z15*'2'!$AS$6*'2'!$AT$6)/('2'!Y15*0.0036)),IF('2'!AA15=2,(('2'!Z15*'2'!$AS$7*'2'!$AT$7)/('2'!Y15*0.0036))))</f>
        <v>62.102606898744241</v>
      </c>
      <c r="AC15" s="58"/>
      <c r="AD15" s="18">
        <f>(('2'!AC15*'2'!$Q$10*1000000))/('2'!Y15*3600)</f>
        <v>0</v>
      </c>
      <c r="AE15" s="183"/>
      <c r="AF15" s="184">
        <f>('2'!AE15/24)*0.454</f>
        <v>0</v>
      </c>
      <c r="AG15" s="19"/>
      <c r="AH15" s="184">
        <f>('2'!AG15/24)*0.454</f>
        <v>0</v>
      </c>
      <c r="AI15" s="183">
        <v>2000</v>
      </c>
      <c r="AJ15" s="184">
        <f>('2'!AI15/24)*0.454</f>
        <v>37.833333333333336</v>
      </c>
      <c r="AK15" s="21">
        <v>1500</v>
      </c>
      <c r="AL15" s="185">
        <f>('2'!AK15/24)*0.454</f>
        <v>28.375</v>
      </c>
      <c r="AM15" s="21">
        <v>1500</v>
      </c>
      <c r="AN15" s="185">
        <f>('2'!AM15/24)*0.454</f>
        <v>28.375</v>
      </c>
      <c r="AO15" s="21"/>
      <c r="AP15" s="185">
        <f>('2'!AO15/24)*0.454</f>
        <v>0</v>
      </c>
    </row>
    <row r="16" spans="1:47" ht="18.75" customHeight="1">
      <c r="A16" s="28">
        <v>0.75</v>
      </c>
      <c r="B16" s="186">
        <v>50</v>
      </c>
      <c r="C16" s="186">
        <v>10</v>
      </c>
      <c r="D16" s="186">
        <v>10</v>
      </c>
      <c r="E16" s="186">
        <v>2.5</v>
      </c>
      <c r="F16" s="186">
        <v>8.1</v>
      </c>
      <c r="G16" s="186">
        <v>1.4</v>
      </c>
      <c r="H16" s="186">
        <v>1.7</v>
      </c>
      <c r="I16" s="186">
        <v>0.3</v>
      </c>
      <c r="J16" s="186">
        <v>0.4</v>
      </c>
      <c r="K16" s="186">
        <v>7.3</v>
      </c>
      <c r="L16" s="186">
        <v>6.6</v>
      </c>
      <c r="M16" s="186">
        <v>6.6</v>
      </c>
      <c r="N16" s="186">
        <v>6.4</v>
      </c>
      <c r="O16" s="186">
        <v>2.5</v>
      </c>
      <c r="P16" s="186"/>
      <c r="Q16" s="186"/>
      <c r="R16" s="37">
        <f>'2'!Z23</f>
        <v>940</v>
      </c>
      <c r="S16" s="36">
        <f>'2'!AB23</f>
        <v>61.705362078496407</v>
      </c>
      <c r="T16" s="37">
        <f>'2'!Y23</f>
        <v>2814</v>
      </c>
      <c r="U16" s="33" t="str">
        <f>IF('2'!AA23=1,'2'!AR6,'2'!AR7)</f>
        <v>S.A.L</v>
      </c>
      <c r="V16" s="944"/>
      <c r="W16" s="944"/>
      <c r="X16" s="13">
        <v>0.45833333333333298</v>
      </c>
      <c r="Y16" s="54">
        <v>2754</v>
      </c>
      <c r="Z16" s="182">
        <v>940</v>
      </c>
      <c r="AA16" s="15">
        <v>1</v>
      </c>
      <c r="AB16" s="58">
        <f>IF('2'!AA16=1,(('2'!Z16*'2'!$AS$6*'2'!$AT$6)/('2'!Y16*0.0036)),IF('2'!AA16=2,(('2'!Z16*'2'!$AS$7*'2'!$AT$7)/('2'!Y16*0.0036))))</f>
        <v>63.049705478899376</v>
      </c>
      <c r="AC16" s="58"/>
      <c r="AD16" s="18">
        <f>(('2'!AC16*'2'!$Q$10*1000000))/('2'!Y16*3600)</f>
        <v>0</v>
      </c>
      <c r="AE16" s="183"/>
      <c r="AF16" s="184">
        <f>('2'!AE16/24)*0.454</f>
        <v>0</v>
      </c>
      <c r="AG16" s="19"/>
      <c r="AH16" s="184">
        <f>('2'!AG16/24)*0.454</f>
        <v>0</v>
      </c>
      <c r="AI16" s="183">
        <v>2000</v>
      </c>
      <c r="AJ16" s="184">
        <f>('2'!AI16/24)*0.454</f>
        <v>37.833333333333336</v>
      </c>
      <c r="AK16" s="21">
        <v>1500</v>
      </c>
      <c r="AL16" s="185">
        <f>('2'!AK16/24)*0.454</f>
        <v>28.375</v>
      </c>
      <c r="AM16" s="21">
        <v>1500</v>
      </c>
      <c r="AN16" s="185">
        <f>('2'!AM16/24)*0.454</f>
        <v>28.375</v>
      </c>
      <c r="AO16" s="21"/>
      <c r="AP16" s="185">
        <f>('2'!AO16/24)*0.454</f>
        <v>0</v>
      </c>
    </row>
    <row r="17" spans="1:42" ht="18.75" customHeight="1">
      <c r="A17" s="28">
        <v>0.83333333333333304</v>
      </c>
      <c r="B17" s="186">
        <v>70</v>
      </c>
      <c r="C17" s="186">
        <v>12.5</v>
      </c>
      <c r="D17" s="186">
        <v>12.5</v>
      </c>
      <c r="E17" s="186">
        <v>2.5</v>
      </c>
      <c r="F17" s="186">
        <v>8.4</v>
      </c>
      <c r="G17" s="186">
        <v>1.3</v>
      </c>
      <c r="H17" s="186">
        <v>1.6</v>
      </c>
      <c r="I17" s="186">
        <v>0.3</v>
      </c>
      <c r="J17" s="186">
        <v>0.4</v>
      </c>
      <c r="K17" s="186">
        <v>7.3</v>
      </c>
      <c r="L17" s="186">
        <v>6.7</v>
      </c>
      <c r="M17" s="186">
        <v>6.7</v>
      </c>
      <c r="N17" s="186">
        <v>6.4</v>
      </c>
      <c r="O17" s="186">
        <v>2.6</v>
      </c>
      <c r="P17" s="186"/>
      <c r="Q17" s="188"/>
      <c r="R17" s="37">
        <f>'2'!Z25</f>
        <v>940</v>
      </c>
      <c r="S17" s="36">
        <f>'2'!AB25</f>
        <v>62.415129003914053</v>
      </c>
      <c r="T17" s="37">
        <f>'2'!Y25</f>
        <v>2782</v>
      </c>
      <c r="U17" s="33" t="str">
        <f>IF('2'!AA25=1,'2'!AR6,'2'!AR7)</f>
        <v>S.A.L</v>
      </c>
      <c r="V17" s="945">
        <f>ESCALA!$C$4</f>
        <v>0</v>
      </c>
      <c r="W17" s="945"/>
      <c r="X17" s="13">
        <v>0.5</v>
      </c>
      <c r="Y17" s="54">
        <v>2813</v>
      </c>
      <c r="Z17" s="182">
        <v>940</v>
      </c>
      <c r="AA17" s="15">
        <v>1</v>
      </c>
      <c r="AB17" s="58">
        <f>IF('2'!AA17=1,(('2'!Z17*'2'!$AS$6*'2'!$AT$6)/('2'!Y17*0.0036)),IF('2'!AA17=2,(('2'!Z17*'2'!$AS$7*'2'!$AT$7)/('2'!Y17*0.0036))))</f>
        <v>61.727297863095949</v>
      </c>
      <c r="AC17" s="58"/>
      <c r="AD17" s="18">
        <f>(('2'!AC17*'2'!$Q$10*1000000))/('2'!Y17*3600)</f>
        <v>0</v>
      </c>
      <c r="AE17" s="183"/>
      <c r="AF17" s="184">
        <f>('2'!AE17/24)*0.454</f>
        <v>0</v>
      </c>
      <c r="AG17" s="19"/>
      <c r="AH17" s="184">
        <f>('2'!AG17/24)*0.454</f>
        <v>0</v>
      </c>
      <c r="AI17" s="183">
        <v>2000</v>
      </c>
      <c r="AJ17" s="184">
        <f>('2'!AI17/24)*0.454</f>
        <v>37.833333333333336</v>
      </c>
      <c r="AK17" s="21">
        <v>1500</v>
      </c>
      <c r="AL17" s="185">
        <f>('2'!AK17/24)*0.454</f>
        <v>28.375</v>
      </c>
      <c r="AM17" s="21">
        <v>1500</v>
      </c>
      <c r="AN17" s="185">
        <f>('2'!AM17/24)*0.454</f>
        <v>28.375</v>
      </c>
      <c r="AO17" s="21"/>
      <c r="AP17" s="185">
        <f>('2'!AO17/24)*0.454</f>
        <v>0</v>
      </c>
    </row>
    <row r="18" spans="1:42" ht="19.5" customHeight="1">
      <c r="A18" s="28">
        <v>0.91666666666666696</v>
      </c>
      <c r="B18" s="186">
        <v>70</v>
      </c>
      <c r="C18" s="186">
        <v>12.5</v>
      </c>
      <c r="D18" s="186">
        <v>12.5</v>
      </c>
      <c r="E18" s="186">
        <v>2.5</v>
      </c>
      <c r="F18" s="186">
        <v>8.5</v>
      </c>
      <c r="G18" s="186">
        <v>1.3</v>
      </c>
      <c r="H18" s="186">
        <v>1.6</v>
      </c>
      <c r="I18" s="186">
        <v>0.3</v>
      </c>
      <c r="J18" s="186">
        <v>0.4</v>
      </c>
      <c r="K18" s="186">
        <v>7.3</v>
      </c>
      <c r="L18" s="186">
        <v>6.7</v>
      </c>
      <c r="M18" s="186">
        <v>6.7</v>
      </c>
      <c r="N18" s="186">
        <v>6.4</v>
      </c>
      <c r="O18" s="186">
        <v>2.7</v>
      </c>
      <c r="P18" s="186"/>
      <c r="Q18" s="188"/>
      <c r="R18" s="37">
        <f>'2'!Z27</f>
        <v>940</v>
      </c>
      <c r="S18" s="36">
        <f>'2'!AB27</f>
        <v>62.437572415997451</v>
      </c>
      <c r="T18" s="37">
        <f>'2'!Y27</f>
        <v>2781</v>
      </c>
      <c r="U18" s="33" t="str">
        <f>IF('2'!AA27=1,'2'!AR6,'2'!AR7)</f>
        <v>S.A.L</v>
      </c>
      <c r="V18" s="945"/>
      <c r="W18" s="945"/>
      <c r="X18" s="13">
        <v>0.54166666666666696</v>
      </c>
      <c r="Y18" s="54">
        <v>2802</v>
      </c>
      <c r="Z18" s="182">
        <v>940</v>
      </c>
      <c r="AA18" s="15">
        <v>1</v>
      </c>
      <c r="AB18" s="58">
        <f>IF('2'!AA18=1,(('2'!Z18*'2'!$AS$6*'2'!$AT$6)/('2'!Y18*0.0036)),IF('2'!AA18=2,(('2'!Z18*'2'!$AS$7*'2'!$AT$7)/('2'!Y18*0.0036))))</f>
        <v>61.969624871123806</v>
      </c>
      <c r="AC18" s="58"/>
      <c r="AD18" s="18">
        <f>(('2'!AC18*'2'!$Q$10*1000000))/('2'!Y18*3600)</f>
        <v>0</v>
      </c>
      <c r="AE18" s="183"/>
      <c r="AF18" s="184">
        <f>('2'!AE18/24)*0.454</f>
        <v>0</v>
      </c>
      <c r="AG18" s="19"/>
      <c r="AH18" s="184">
        <f>('2'!AG18/24)*0.454</f>
        <v>0</v>
      </c>
      <c r="AI18" s="183">
        <v>2000</v>
      </c>
      <c r="AJ18" s="184">
        <f>('2'!AI18/24)*0.454</f>
        <v>37.833333333333336</v>
      </c>
      <c r="AK18" s="21">
        <v>1500</v>
      </c>
      <c r="AL18" s="185">
        <f>('2'!AK18/24)*0.454</f>
        <v>28.375</v>
      </c>
      <c r="AM18" s="21">
        <v>1500</v>
      </c>
      <c r="AN18" s="185">
        <f>('2'!AM18/24)*0.454</f>
        <v>28.375</v>
      </c>
      <c r="AO18" s="21"/>
      <c r="AP18" s="185">
        <f>('2'!AO18/24)*0.454</f>
        <v>0</v>
      </c>
    </row>
    <row r="19" spans="1:42" ht="18.75" customHeight="1">
      <c r="A19" s="10" t="s">
        <v>52</v>
      </c>
      <c r="B19" s="189">
        <f t="array" ref="B19">IF('2'!B7:B18&gt;0.01,AVERAGE('2'!B7:B18),"")</f>
        <v>63.333333333333336</v>
      </c>
      <c r="C19" s="69">
        <f t="array" ref="C19">IF('2'!C7:C18&gt;0.01,AVERAGE('2'!C7:C18),"")</f>
        <v>10.833333333333334</v>
      </c>
      <c r="D19" s="69">
        <f t="array" ref="D19">IF('2'!D7:D18&gt;0.01,AVERAGE('2'!D7:D18),"")</f>
        <v>10.833333333333334</v>
      </c>
      <c r="E19" s="69">
        <f t="array" ref="E19">IF('2'!E7:E18&gt;0.01,AVERAGE('2'!E7:E18),"")</f>
        <v>2.5</v>
      </c>
      <c r="F19" s="69">
        <f t="array" ref="F19">IF('2'!F7:F18&gt;0.01,AVERAGE('2'!F7:F18),"")</f>
        <v>8.5083333333333329</v>
      </c>
      <c r="G19" s="69">
        <f t="array" ref="G19">IF('2'!G7:G18&gt;0.01,AVERAGE('2'!G7:G18),"")</f>
        <v>1.2750000000000001</v>
      </c>
      <c r="H19" s="69">
        <f t="array" ref="H19">IF('2'!H7:H18&gt;0.01,AVERAGE('2'!H7:H18),"")</f>
        <v>1.4749999999999999</v>
      </c>
      <c r="I19" s="69">
        <f t="array" ref="I19">IF('2'!I7:I18&gt;0.01,AVERAGE('2'!I7:I18),"")</f>
        <v>0.3166666666666666</v>
      </c>
      <c r="J19" s="69">
        <f t="array" ref="J19">IF('2'!J7:J18&gt;0.01,AVERAGE('2'!J7:J18),"")</f>
        <v>0.32499999999999996</v>
      </c>
      <c r="K19" s="69">
        <f t="array" ref="K19">IF('2'!K7:K18&gt;0.01,AVERAGE('2'!K7:K18),"")</f>
        <v>7.299999999999998</v>
      </c>
      <c r="L19" s="69">
        <f t="array" ref="L19">IF('2'!L7:L18&gt;0.01,AVERAGE('2'!L7:L18),"")</f>
        <v>6.6500000000000012</v>
      </c>
      <c r="M19" s="69">
        <f t="array" ref="M19">IF('2'!M7:M18&gt;0.01,AVERAGE('2'!M7:M18),"")</f>
        <v>6.6500000000000012</v>
      </c>
      <c r="N19" s="69">
        <f t="array" ref="N19">IF('2'!N7:N18&gt;0.01,AVERAGE('2'!N7:N18),"")</f>
        <v>6.3999999999999995</v>
      </c>
      <c r="O19" s="69">
        <f t="array" ref="O19">IF('2'!O7:O18&gt;0.01,AVERAGE('2'!O7:O18),"")</f>
        <v>3.1166666666666671</v>
      </c>
      <c r="P19" s="190" t="str">
        <f t="array" ref="P19">IF('2'!P7:P18&gt;0.01,AVERAGE('2'!P7:P18),"")</f>
        <v/>
      </c>
      <c r="Q19" s="191" t="str">
        <f t="array" ref="Q19">IF('2'!Q7:Q18&gt;0.01,AVERAGE('2'!Q7:Q18),"")</f>
        <v/>
      </c>
      <c r="R19" s="191">
        <f t="array" ref="R19">IF('2'!R7:R18&gt;0.01,AVERAGE('2'!R7:R18),"")</f>
        <v>959.58333333333337</v>
      </c>
      <c r="S19" s="191">
        <f t="array" ref="S19">IF('2'!S7:S18&gt;0.01,AVERAGE('2'!S7:S18),"")</f>
        <v>63.043373396023469</v>
      </c>
      <c r="T19" s="946"/>
      <c r="U19" s="946"/>
      <c r="V19" s="49"/>
      <c r="W19" s="50"/>
      <c r="X19" s="13">
        <v>0.58333333333333304</v>
      </c>
      <c r="Y19" s="54">
        <v>2801</v>
      </c>
      <c r="Z19" s="182">
        <v>940</v>
      </c>
      <c r="AA19" s="15">
        <v>1</v>
      </c>
      <c r="AB19" s="58">
        <f>IF('2'!AA19=1,(('2'!Z19*'2'!$AS$6*'2'!$AT$6)/('2'!Y19*0.0036)),IF('2'!AA19=2,(('2'!Z19*'2'!$AS$7*'2'!$AT$7)/('2'!Y19*0.0036))))</f>
        <v>61.991748978539412</v>
      </c>
      <c r="AC19" s="58"/>
      <c r="AD19" s="18">
        <f>(('2'!AC19*'2'!$Q$10*1000000))/('2'!Y19*3600)</f>
        <v>0</v>
      </c>
      <c r="AE19" s="183"/>
      <c r="AF19" s="184">
        <f>('2'!AE19/24)*0.454</f>
        <v>0</v>
      </c>
      <c r="AG19" s="19"/>
      <c r="AH19" s="184">
        <f>('2'!AG19/24)*0.454</f>
        <v>0</v>
      </c>
      <c r="AI19" s="183">
        <v>2000</v>
      </c>
      <c r="AJ19" s="184">
        <f>('2'!AI19/24)*0.454</f>
        <v>37.833333333333336</v>
      </c>
      <c r="AK19" s="21">
        <v>1500</v>
      </c>
      <c r="AL19" s="185">
        <f>('2'!AK19/24)*0.454</f>
        <v>28.375</v>
      </c>
      <c r="AM19" s="21">
        <v>1500</v>
      </c>
      <c r="AN19" s="185">
        <f>('2'!AM19/24)*0.454</f>
        <v>28.375</v>
      </c>
      <c r="AO19" s="21"/>
      <c r="AP19" s="185">
        <f>('2'!AO19/24)*0.454</f>
        <v>0</v>
      </c>
    </row>
    <row r="20" spans="1:42" ht="18.75" customHeight="1">
      <c r="A20" s="10" t="s">
        <v>53</v>
      </c>
      <c r="B20" s="189">
        <f>MAX('2'!B7:B18)</f>
        <v>80</v>
      </c>
      <c r="C20" s="69">
        <f>MAX('2'!C7:C18)</f>
        <v>12.5</v>
      </c>
      <c r="D20" s="69">
        <f>MAX('2'!D7:D18)</f>
        <v>12.5</v>
      </c>
      <c r="E20" s="69">
        <f>MAX('2'!E7:E18)</f>
        <v>2.5</v>
      </c>
      <c r="F20" s="69">
        <f>MAX('2'!F7:F18)</f>
        <v>9.1999999999999993</v>
      </c>
      <c r="G20" s="69">
        <f>MAX('2'!G7:G18)</f>
        <v>1.5</v>
      </c>
      <c r="H20" s="69">
        <f>MAX('2'!H7:H18)</f>
        <v>1.7</v>
      </c>
      <c r="I20" s="69">
        <f>MAX('2'!I7:I18)</f>
        <v>0.4</v>
      </c>
      <c r="J20" s="69">
        <f>MAX('2'!J7:J18)</f>
        <v>0.4</v>
      </c>
      <c r="K20" s="69">
        <f>MAX('2'!K7:K18)</f>
        <v>7.3</v>
      </c>
      <c r="L20" s="69">
        <f>MAX('2'!L7:L18)</f>
        <v>6.7</v>
      </c>
      <c r="M20" s="69">
        <f>MAX('2'!M7:M18)</f>
        <v>6.7</v>
      </c>
      <c r="N20" s="69">
        <f>MAX('2'!N7:N18)</f>
        <v>6.4</v>
      </c>
      <c r="O20" s="70">
        <f>MAX('2'!O7:O18)</f>
        <v>3.8</v>
      </c>
      <c r="P20" s="70">
        <f>MAX('2'!P7:P18)</f>
        <v>0</v>
      </c>
      <c r="Q20" s="70">
        <f>MAX('2'!Q7:Q18)</f>
        <v>0</v>
      </c>
      <c r="R20" s="70">
        <f>MAX('2'!R7:R18)</f>
        <v>987</v>
      </c>
      <c r="S20" s="70">
        <f>MAX('2'!S7:S18)</f>
        <v>65.986548437688512</v>
      </c>
      <c r="T20" s="946"/>
      <c r="U20" s="946"/>
      <c r="X20" s="13">
        <v>0.625</v>
      </c>
      <c r="Y20" s="54">
        <v>2846</v>
      </c>
      <c r="Z20" s="182">
        <v>940</v>
      </c>
      <c r="AA20" s="15">
        <v>1</v>
      </c>
      <c r="AB20" s="58">
        <f>IF('2'!AA20=1,(('2'!Z20*'2'!$AS$6*'2'!$AT$6)/('2'!Y20*0.0036)),IF('2'!AA20=2,(('2'!Z20*'2'!$AS$7*'2'!$AT$7)/('2'!Y20*0.0036))))</f>
        <v>61.011556180213951</v>
      </c>
      <c r="AC20" s="58"/>
      <c r="AD20" s="18">
        <f>(('2'!AC20*'2'!$Q$10*1000000))/('2'!Y20*3600)</f>
        <v>0</v>
      </c>
      <c r="AE20" s="183"/>
      <c r="AF20" s="184">
        <f>('2'!AE20/24)*0.454</f>
        <v>0</v>
      </c>
      <c r="AG20" s="19"/>
      <c r="AH20" s="184">
        <f>('2'!AG20/24)*0.454</f>
        <v>0</v>
      </c>
      <c r="AI20" s="183">
        <v>2000</v>
      </c>
      <c r="AJ20" s="184">
        <f>('2'!AI20/24)*0.454</f>
        <v>37.833333333333336</v>
      </c>
      <c r="AK20" s="21">
        <v>1500</v>
      </c>
      <c r="AL20" s="185">
        <f>('2'!AK20/24)*0.454</f>
        <v>28.375</v>
      </c>
      <c r="AM20" s="21">
        <v>1500</v>
      </c>
      <c r="AN20" s="185">
        <f>('2'!AM20/24)*0.454</f>
        <v>28.375</v>
      </c>
      <c r="AO20" s="21"/>
      <c r="AP20" s="185">
        <f>('2'!AO20/24)*0.454</f>
        <v>0</v>
      </c>
    </row>
    <row r="21" spans="1:42" ht="19.5" customHeight="1">
      <c r="A21" s="10" t="s">
        <v>54</v>
      </c>
      <c r="B21" s="189">
        <f>MIN('2'!B7:B18)</f>
        <v>50</v>
      </c>
      <c r="C21" s="69">
        <f>MIN('2'!C7:C18)</f>
        <v>7.5</v>
      </c>
      <c r="D21" s="69">
        <f>MIN('2'!D7:D18)</f>
        <v>7.5</v>
      </c>
      <c r="E21" s="69">
        <f>MIN('2'!E7:E18)</f>
        <v>2.5</v>
      </c>
      <c r="F21" s="69">
        <f>MIN('2'!F7:F18)</f>
        <v>7.8</v>
      </c>
      <c r="G21" s="192">
        <f>MIN('2'!G7:G18)</f>
        <v>1.2</v>
      </c>
      <c r="H21" s="192">
        <f>MIN('2'!H7:H18)</f>
        <v>1.2</v>
      </c>
      <c r="I21" s="192">
        <f>MIN('2'!I7:I18)</f>
        <v>0.3</v>
      </c>
      <c r="J21" s="192">
        <f>MIN('2'!J7:J18)</f>
        <v>0.3</v>
      </c>
      <c r="K21" s="192">
        <f>MIN('2'!K7:K18)</f>
        <v>7.3</v>
      </c>
      <c r="L21" s="192">
        <f>MIN('2'!L7:L18)</f>
        <v>6.6</v>
      </c>
      <c r="M21" s="192">
        <f>MIN('2'!M7:M18)</f>
        <v>6.6</v>
      </c>
      <c r="N21" s="192">
        <f>MIN('2'!N7:N18)</f>
        <v>6.4</v>
      </c>
      <c r="O21" s="193">
        <f>MIN('2'!O7:O18)</f>
        <v>2.5</v>
      </c>
      <c r="P21" s="193">
        <f>MIN('2'!P7:P18)</f>
        <v>0</v>
      </c>
      <c r="Q21" s="193">
        <f>MIN('2'!Q7:Q18)</f>
        <v>0</v>
      </c>
      <c r="R21" s="193">
        <f>MIN('2'!R7:R18)</f>
        <v>940</v>
      </c>
      <c r="S21" s="193">
        <f>MIN('2'!S7:S18)</f>
        <v>58.68161165558935</v>
      </c>
      <c r="T21" s="946"/>
      <c r="U21" s="946"/>
      <c r="X21" s="13">
        <v>0.66666666666666696</v>
      </c>
      <c r="Y21" s="54">
        <v>2959</v>
      </c>
      <c r="Z21" s="182">
        <v>940</v>
      </c>
      <c r="AA21" s="15">
        <v>1</v>
      </c>
      <c r="AB21" s="58">
        <f>IF('2'!AA21=1,(('2'!Z21*'2'!$AS$6*'2'!$AT$6)/('2'!Y21*0.0036)),IF('2'!AA21=2,(('2'!Z21*'2'!$AS$7*'2'!$AT$7)/('2'!Y21*0.0036))))</f>
        <v>58.68161165558935</v>
      </c>
      <c r="AC21" s="58"/>
      <c r="AD21" s="18">
        <f>(('2'!AC21*'2'!$Q$10*1000000))/('2'!Y21*3600)</f>
        <v>0</v>
      </c>
      <c r="AE21" s="183"/>
      <c r="AF21" s="184">
        <f>('2'!AE21/24)*0.454</f>
        <v>0</v>
      </c>
      <c r="AG21" s="19"/>
      <c r="AH21" s="184">
        <f>('2'!AG21/24)*0.454</f>
        <v>0</v>
      </c>
      <c r="AI21" s="183">
        <v>2000</v>
      </c>
      <c r="AJ21" s="184">
        <f>('2'!AI21/24)*0.454</f>
        <v>37.833333333333336</v>
      </c>
      <c r="AK21" s="21">
        <v>1500</v>
      </c>
      <c r="AL21" s="185">
        <f>('2'!AK21/24)*0.454</f>
        <v>28.375</v>
      </c>
      <c r="AM21" s="21">
        <v>1500</v>
      </c>
      <c r="AN21" s="185">
        <f>('2'!AM21/24)*0.454</f>
        <v>28.375</v>
      </c>
      <c r="AO21" s="21"/>
      <c r="AP21" s="185">
        <f>('2'!AO21/24)*0.454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54">
        <v>2854</v>
      </c>
      <c r="Z22" s="182">
        <v>940</v>
      </c>
      <c r="AA22" s="15">
        <v>1</v>
      </c>
      <c r="AB22" s="58">
        <f>IF('2'!AA22=1,(('2'!Z22*'2'!$AS$6*'2'!$AT$6)/('2'!Y22*0.0036)),IF('2'!AA22=2,(('2'!Z22*'2'!$AS$7*'2'!$AT$7)/('2'!Y22*0.0036))))</f>
        <v>60.84053570038153</v>
      </c>
      <c r="AC22" s="58"/>
      <c r="AD22" s="18">
        <f>(('2'!AC22*'2'!$Q$10*1000000))/('2'!Y22*3600)</f>
        <v>0</v>
      </c>
      <c r="AE22" s="183"/>
      <c r="AF22" s="184">
        <f>('2'!AE22/24)*0.454</f>
        <v>0</v>
      </c>
      <c r="AG22" s="19"/>
      <c r="AH22" s="184">
        <f>('2'!AG22/24)*0.454</f>
        <v>0</v>
      </c>
      <c r="AI22" s="183">
        <v>5000</v>
      </c>
      <c r="AJ22" s="184">
        <f>('2'!AI22/24)*0.454</f>
        <v>94.583333333333343</v>
      </c>
      <c r="AK22" s="21"/>
      <c r="AL22" s="185">
        <f>('2'!AK22/24)*0.454</f>
        <v>0</v>
      </c>
      <c r="AM22" s="21"/>
      <c r="AN22" s="185">
        <f>('2'!AM22/24)*0.454</f>
        <v>0</v>
      </c>
      <c r="AO22" s="21"/>
      <c r="AP22" s="185">
        <f>('2'!AO22/24)*0.454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54">
        <v>2814</v>
      </c>
      <c r="Z23" s="182">
        <v>940</v>
      </c>
      <c r="AA23" s="15">
        <v>1</v>
      </c>
      <c r="AB23" s="58">
        <f>IF('2'!AA23=1,(('2'!Z23*'2'!$AS$6*'2'!$AT$6)/('2'!Y23*0.0036)),IF('2'!AA23=2,(('2'!Z23*'2'!$AS$7*'2'!$AT$7)/('2'!Y23*0.0036))))</f>
        <v>61.705362078496407</v>
      </c>
      <c r="AC23" s="58"/>
      <c r="AD23" s="18">
        <f>(('2'!AC23*'2'!$Q$10*1000000))/('2'!Y23*3600)</f>
        <v>0</v>
      </c>
      <c r="AE23" s="183"/>
      <c r="AF23" s="184">
        <f>('2'!AE23/24)*0.454</f>
        <v>0</v>
      </c>
      <c r="AG23" s="19"/>
      <c r="AH23" s="184">
        <f>('2'!AG23/24)*0.454</f>
        <v>0</v>
      </c>
      <c r="AI23" s="183">
        <v>5000</v>
      </c>
      <c r="AJ23" s="184">
        <f>('2'!AI23/24)*0.454</f>
        <v>94.583333333333343</v>
      </c>
      <c r="AK23" s="21"/>
      <c r="AL23" s="185">
        <f>('2'!AK23/24)*0.454</f>
        <v>0</v>
      </c>
      <c r="AM23" s="21"/>
      <c r="AN23" s="185">
        <f>('2'!AM23/24)*0.454</f>
        <v>0</v>
      </c>
      <c r="AO23" s="21"/>
      <c r="AP23" s="185">
        <f>('2'!AO23/24)*0.454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54">
        <v>2794</v>
      </c>
      <c r="Z24" s="182">
        <v>940</v>
      </c>
      <c r="AA24" s="15">
        <v>1</v>
      </c>
      <c r="AB24" s="16">
        <f>IF('2'!AA24=1,(('2'!Z24*'2'!$AS$6*'2'!$AT$6)/('2'!Y24*0.0036)),IF('2'!AA24=2,(('2'!Z24*'2'!$AS$7*'2'!$AT$7)/('2'!Y24*0.0036))))</f>
        <v>62.147061162809202</v>
      </c>
      <c r="AC24" s="16"/>
      <c r="AD24" s="194">
        <f>(('2'!AC24*'2'!$Q$10*1000000))/('2'!Y24*3600)</f>
        <v>0</v>
      </c>
      <c r="AE24" s="183"/>
      <c r="AF24" s="195">
        <f>('2'!AE24/24)*0.454</f>
        <v>0</v>
      </c>
      <c r="AG24" s="19"/>
      <c r="AH24" s="195">
        <f>('2'!AG24/24)*0.454</f>
        <v>0</v>
      </c>
      <c r="AI24" s="183">
        <v>5000</v>
      </c>
      <c r="AJ24" s="195">
        <f>('2'!AI24/24)*0.454</f>
        <v>94.583333333333343</v>
      </c>
      <c r="AK24" s="21"/>
      <c r="AL24" s="196">
        <f>('2'!AK24/24)*0.454</f>
        <v>0</v>
      </c>
      <c r="AM24" s="197"/>
      <c r="AN24" s="196">
        <f>('2'!AM24/24)*0.454</f>
        <v>0</v>
      </c>
      <c r="AO24" s="21"/>
      <c r="AP24" s="196">
        <f>('2'!AO24/24)*0.454</f>
        <v>0</v>
      </c>
    </row>
    <row r="25" spans="1:42" ht="19.5" customHeight="1">
      <c r="A25" s="64">
        <v>0.41666666666666702</v>
      </c>
      <c r="B25" s="198"/>
      <c r="C25" s="198">
        <v>0.37</v>
      </c>
      <c r="D25" s="198">
        <v>0.45</v>
      </c>
      <c r="E25" s="199">
        <v>0.37</v>
      </c>
      <c r="F25" s="199">
        <v>0.31</v>
      </c>
      <c r="G25" s="199">
        <v>0.28000000000000003</v>
      </c>
      <c r="H25" s="199">
        <v>0.28000000000000003</v>
      </c>
      <c r="I25" s="199">
        <v>0.36</v>
      </c>
      <c r="J25" s="199"/>
      <c r="K25" s="199">
        <v>0.31</v>
      </c>
      <c r="L25" s="199">
        <v>0.26</v>
      </c>
      <c r="M25" s="199">
        <v>0.26</v>
      </c>
      <c r="N25" s="199">
        <v>0.26</v>
      </c>
      <c r="O25" s="199">
        <v>0.31</v>
      </c>
      <c r="P25" s="199">
        <v>0.31</v>
      </c>
      <c r="Q25" s="199"/>
      <c r="R25" s="65" t="e">
        <f>#DIV/0!</f>
        <v>#DIV/0!</v>
      </c>
      <c r="S25" s="66"/>
      <c r="T25" s="1023" t="s">
        <v>0</v>
      </c>
      <c r="U25" s="951">
        <f>ESCALA!$A$4</f>
        <v>43892</v>
      </c>
      <c r="X25" s="13">
        <v>0.83333333333333304</v>
      </c>
      <c r="Y25" s="54">
        <v>2782</v>
      </c>
      <c r="Z25" s="182">
        <v>940</v>
      </c>
      <c r="AA25" s="15">
        <v>1</v>
      </c>
      <c r="AB25" s="58">
        <f>IF('2'!AA25=1,(('2'!Z25*'2'!$AS$6*'2'!$AT$6)/('2'!Y25*0.0036)),IF('2'!AA25=2,(('2'!Z25*'2'!$AS$7*'2'!$AT$7)/('2'!Y25*0.0036))))</f>
        <v>62.415129003914053</v>
      </c>
      <c r="AC25" s="58"/>
      <c r="AD25" s="18">
        <f>(('2'!AC25*'2'!$Q$10*1000000))/('2'!Y25*3600)</f>
        <v>0</v>
      </c>
      <c r="AE25" s="183"/>
      <c r="AF25" s="184">
        <f>('2'!AE25/24)*0.454</f>
        <v>0</v>
      </c>
      <c r="AG25" s="19"/>
      <c r="AH25" s="184">
        <f>('2'!AG25/24)*0.454</f>
        <v>0</v>
      </c>
      <c r="AI25" s="183">
        <v>5000</v>
      </c>
      <c r="AJ25" s="184">
        <f>('2'!AI25/24)*0.454</f>
        <v>94.583333333333343</v>
      </c>
      <c r="AK25" s="21"/>
      <c r="AL25" s="185">
        <f>('2'!AK25/24)*0.454</f>
        <v>0</v>
      </c>
      <c r="AM25" s="21"/>
      <c r="AN25" s="185">
        <f>('2'!AM25/24)*0.454</f>
        <v>0</v>
      </c>
      <c r="AO25" s="21"/>
      <c r="AP25" s="185">
        <f>('2'!AO25/24)*0.454</f>
        <v>0</v>
      </c>
    </row>
    <row r="26" spans="1:42" ht="19.5" customHeight="1">
      <c r="A26" s="64">
        <v>0.66666666666666696</v>
      </c>
      <c r="B26" s="198"/>
      <c r="C26" s="198"/>
      <c r="D26" s="198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65" t="e">
        <f>#DIV/0!</f>
        <v>#DIV/0!</v>
      </c>
      <c r="S26" s="67"/>
      <c r="T26" s="1023"/>
      <c r="U26" s="951"/>
      <c r="X26" s="13">
        <v>0.875</v>
      </c>
      <c r="Y26" s="54">
        <v>2788</v>
      </c>
      <c r="Z26" s="182">
        <v>940</v>
      </c>
      <c r="AA26" s="15">
        <v>1</v>
      </c>
      <c r="AB26" s="58">
        <f>IF('2'!AA26=1,(('2'!Z26*'2'!$AS$6*'2'!$AT$6)/('2'!Y26*0.0036)),IF('2'!AA26=2,(('2'!Z26*'2'!$AS$7*'2'!$AT$7)/('2'!Y26*0.0036))))</f>
        <v>62.28080663159573</v>
      </c>
      <c r="AC26" s="58"/>
      <c r="AD26" s="18">
        <f>(('2'!AC26*'2'!$Q$10*1000000))/('2'!Y26*3600)</f>
        <v>0</v>
      </c>
      <c r="AE26" s="183"/>
      <c r="AF26" s="184">
        <f>('2'!AE26/24)*0.454</f>
        <v>0</v>
      </c>
      <c r="AG26" s="19"/>
      <c r="AH26" s="184">
        <f>('2'!AG26/24)*0.454</f>
        <v>0</v>
      </c>
      <c r="AI26" s="183">
        <v>5000</v>
      </c>
      <c r="AJ26" s="184">
        <f>('2'!AI26/24)*0.454</f>
        <v>94.583333333333343</v>
      </c>
      <c r="AK26" s="21"/>
      <c r="AL26" s="185">
        <f>('2'!AK26/24)*0.454</f>
        <v>0</v>
      </c>
      <c r="AM26" s="21"/>
      <c r="AN26" s="185">
        <f>('2'!AM26/24)*0.454</f>
        <v>0</v>
      </c>
      <c r="AO26" s="21"/>
      <c r="AP26" s="185">
        <f>('2'!AO26/24)*0.454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54">
        <v>2781</v>
      </c>
      <c r="Z27" s="182">
        <v>940</v>
      </c>
      <c r="AA27" s="15">
        <v>1</v>
      </c>
      <c r="AB27" s="58">
        <f>IF('2'!AA27=1,(('2'!Z27*'2'!$AS$6*'2'!$AT$6)/('2'!Y27*0.0036)),IF('2'!AA27=2,(('2'!Z27*'2'!$AS$7*'2'!$AT$7)/('2'!Y27*0.0036))))</f>
        <v>62.437572415997451</v>
      </c>
      <c r="AC27" s="58"/>
      <c r="AD27" s="18">
        <f>(('2'!AC27*'2'!$Q$10*1000000))/('2'!Y27*3600)</f>
        <v>0</v>
      </c>
      <c r="AE27" s="183"/>
      <c r="AF27" s="184">
        <f>('2'!AE27/24)*0.454</f>
        <v>0</v>
      </c>
      <c r="AG27" s="19"/>
      <c r="AH27" s="184">
        <f>('2'!AG27/24)*0.454</f>
        <v>0</v>
      </c>
      <c r="AI27" s="183">
        <v>5000</v>
      </c>
      <c r="AJ27" s="184">
        <f>('2'!AI27/24)*0.454</f>
        <v>94.583333333333343</v>
      </c>
      <c r="AK27" s="21"/>
      <c r="AL27" s="185">
        <f>('2'!AK27/24)*0.454</f>
        <v>0</v>
      </c>
      <c r="AM27" s="21"/>
      <c r="AN27" s="185">
        <f>('2'!AM27/24)*0.454</f>
        <v>0</v>
      </c>
      <c r="AO27" s="21"/>
      <c r="AP27" s="185">
        <f>('2'!AO27/24)*0.454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4">
        <v>2760</v>
      </c>
      <c r="Z28" s="182">
        <v>940</v>
      </c>
      <c r="AA28" s="15">
        <v>1</v>
      </c>
      <c r="AB28" s="58">
        <f>IF('2'!AA28=1,(('2'!Z28*'2'!$AS$6*'2'!$AT$6)/('2'!Y28*0.0036)),IF('2'!AA28=2,(('2'!Z28*'2'!$AS$7*'2'!$AT$7)/('2'!Y28*0.0036))))</f>
        <v>62.91264090177134</v>
      </c>
      <c r="AC28" s="58"/>
      <c r="AD28" s="18">
        <f>(('2'!AC28*'2'!$Q$10*1000000))/('2'!Y28*3600)</f>
        <v>0</v>
      </c>
      <c r="AE28" s="183"/>
      <c r="AF28" s="184">
        <f>('2'!AE28/24)*0.454</f>
        <v>0</v>
      </c>
      <c r="AG28" s="19"/>
      <c r="AH28" s="184">
        <f>('2'!AG28/24)*0.454</f>
        <v>0</v>
      </c>
      <c r="AI28" s="183">
        <v>5000</v>
      </c>
      <c r="AJ28" s="184">
        <f>('2'!AI28/24)*0.454</f>
        <v>94.583333333333343</v>
      </c>
      <c r="AK28" s="21"/>
      <c r="AL28" s="185">
        <f>('2'!AK28/24)*0.454</f>
        <v>0</v>
      </c>
      <c r="AM28" s="21"/>
      <c r="AN28" s="185">
        <f>('2'!AM28/24)*0.454</f>
        <v>0</v>
      </c>
      <c r="AO28" s="21"/>
      <c r="AP28" s="185">
        <f>('2'!AO28/24)*0.454</f>
        <v>0</v>
      </c>
    </row>
    <row r="29" spans="1:42" ht="18.75" customHeight="1">
      <c r="A29" s="953"/>
      <c r="B29" s="953"/>
      <c r="C29" s="953"/>
      <c r="D29" s="953"/>
      <c r="E29" s="953"/>
      <c r="F29" s="953"/>
      <c r="G29" s="953"/>
      <c r="H29" s="953"/>
      <c r="I29" s="953"/>
      <c r="J29" s="953"/>
      <c r="K29" s="953"/>
      <c r="L29" s="953"/>
      <c r="M29" s="953"/>
      <c r="N29" s="953"/>
      <c r="O29" s="953"/>
      <c r="P29" s="953"/>
      <c r="Q29" s="953"/>
      <c r="R29" s="953"/>
      <c r="S29" s="953"/>
      <c r="T29" s="953"/>
      <c r="U29" s="953"/>
      <c r="X29" s="13">
        <v>1</v>
      </c>
      <c r="Y29" s="54">
        <v>2730</v>
      </c>
      <c r="Z29" s="182">
        <v>940</v>
      </c>
      <c r="AA29" s="15">
        <v>1</v>
      </c>
      <c r="AB29" s="58">
        <f>IF('2'!AA29=1,(('2'!Z29*'2'!$AS$6*'2'!$AT$6)/('2'!Y29*0.0036)),IF('2'!AA29=2,(('2'!Z29*'2'!$AS$7*'2'!$AT$7)/('2'!Y29*0.0036))))</f>
        <v>63.603988603988611</v>
      </c>
      <c r="AC29" s="58"/>
      <c r="AD29" s="18">
        <f>(('2'!AC29*'2'!$Q$10*1000000))/('2'!Y29*3600)</f>
        <v>0</v>
      </c>
      <c r="AE29" s="183"/>
      <c r="AF29" s="184">
        <f>('2'!AE29/24)*0.454</f>
        <v>0</v>
      </c>
      <c r="AG29" s="19"/>
      <c r="AH29" s="184">
        <f>('2'!AG29/24)*0.454</f>
        <v>0</v>
      </c>
      <c r="AI29" s="183">
        <v>5000</v>
      </c>
      <c r="AJ29" s="184">
        <f>('2'!AI29/24)*0.454</f>
        <v>94.583333333333343</v>
      </c>
      <c r="AK29" s="21"/>
      <c r="AL29" s="185">
        <f>('2'!AK29/24)*0.454</f>
        <v>0</v>
      </c>
      <c r="AM29" s="21"/>
      <c r="AN29" s="185">
        <f>('2'!AM29/24)*0.454</f>
        <v>0</v>
      </c>
      <c r="AO29" s="21"/>
      <c r="AP29" s="185">
        <f>('2'!AO29/24)*0.454</f>
        <v>0</v>
      </c>
    </row>
    <row r="30" spans="1:42" ht="18.75" customHeight="1">
      <c r="A30" s="953"/>
      <c r="B30" s="953"/>
      <c r="C30" s="953"/>
      <c r="D30" s="953"/>
      <c r="E30" s="953"/>
      <c r="F30" s="953"/>
      <c r="G30" s="953"/>
      <c r="H30" s="953"/>
      <c r="I30" s="953"/>
      <c r="J30" s="953"/>
      <c r="K30" s="953"/>
      <c r="L30" s="953"/>
      <c r="M30" s="953"/>
      <c r="N30" s="953"/>
      <c r="O30" s="953"/>
      <c r="P30" s="953"/>
      <c r="Q30" s="953"/>
      <c r="R30" s="953"/>
      <c r="S30" s="953"/>
      <c r="T30" s="953"/>
      <c r="U30" s="953"/>
      <c r="X30" s="75" t="s">
        <v>55</v>
      </c>
      <c r="Y30" s="201">
        <f>SUM('2'!Y6:Y29)*3.6</f>
        <v>241945.2</v>
      </c>
      <c r="Z30" s="82">
        <f>SUM('2'!Z6:Z29)</f>
        <v>22936</v>
      </c>
      <c r="AA30" s="78"/>
      <c r="AB30" s="79"/>
      <c r="AC30" s="78"/>
      <c r="AD30" s="79"/>
      <c r="AE30" s="34"/>
      <c r="AF30" s="184">
        <f>SUM('2'!AF6:AF29)</f>
        <v>0</v>
      </c>
      <c r="AG30" s="19"/>
      <c r="AH30" s="184">
        <f>SUM('2'!AH6:AH29)</f>
        <v>0</v>
      </c>
      <c r="AI30" s="34"/>
      <c r="AJ30" s="184">
        <f>SUM('2'!AJ6:AJ29)</f>
        <v>1778.1666666666665</v>
      </c>
      <c r="AK30" s="80"/>
      <c r="AL30" s="185">
        <f>SUM('2'!AL6:AL29)</f>
        <v>255.375</v>
      </c>
      <c r="AM30" s="80"/>
      <c r="AN30" s="185">
        <f>SUM('2'!AN6:AN29)</f>
        <v>255.375</v>
      </c>
      <c r="AO30" s="80"/>
      <c r="AP30" s="185">
        <f>SUM('2'!AP6:AP29)</f>
        <v>0</v>
      </c>
    </row>
    <row r="31" spans="1:42" ht="15" customHeight="1">
      <c r="A31" s="953"/>
      <c r="B31" s="953"/>
      <c r="C31" s="953"/>
      <c r="D31" s="953"/>
      <c r="E31" s="953"/>
      <c r="F31" s="953"/>
      <c r="G31" s="953"/>
      <c r="H31" s="953"/>
      <c r="I31" s="953"/>
      <c r="J31" s="953"/>
      <c r="K31" s="953"/>
      <c r="L31" s="953"/>
      <c r="M31" s="953"/>
      <c r="N31" s="953"/>
      <c r="O31" s="953"/>
      <c r="P31" s="953"/>
      <c r="Q31" s="953"/>
      <c r="R31" s="953"/>
      <c r="S31" s="953"/>
      <c r="T31" s="953"/>
      <c r="U31" s="953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953"/>
      <c r="B32" s="953"/>
      <c r="C32" s="953"/>
      <c r="D32" s="953"/>
      <c r="E32" s="953"/>
      <c r="F32" s="953"/>
      <c r="G32" s="953"/>
      <c r="H32" s="953"/>
      <c r="I32" s="953"/>
      <c r="J32" s="953"/>
      <c r="K32" s="953"/>
      <c r="L32" s="953"/>
      <c r="M32" s="953"/>
      <c r="N32" s="953"/>
      <c r="O32" s="953"/>
      <c r="P32" s="953"/>
      <c r="Q32" s="953"/>
      <c r="R32" s="953"/>
      <c r="S32" s="953"/>
      <c r="T32" s="953"/>
      <c r="U32" s="953"/>
      <c r="X32" s="955" t="s">
        <v>60</v>
      </c>
      <c r="Y32" s="955"/>
      <c r="Z32" s="82">
        <f>SUMIF('2'!AA6:AA29,"=1",'2'!Z6:Z29)</f>
        <v>22936</v>
      </c>
      <c r="AA32" s="82">
        <f>'2'!Z32*'2'!AS6</f>
        <v>30504.880000000001</v>
      </c>
      <c r="AB32" s="83">
        <f>SUMIF('2'!$AA$6:$AA$29,"=1",'2'!$AB$6:$AB$29)/COUNTIF('2'!$AA$6:$AA$29,"=1")</f>
        <v>63.063086650504914</v>
      </c>
      <c r="AC32" s="84">
        <f>SUMIF('2'!AA6:AA29,"=1",'2'!AC6:AC29)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953"/>
      <c r="B33" s="953"/>
      <c r="C33" s="953"/>
      <c r="D33" s="953"/>
      <c r="E33" s="953"/>
      <c r="F33" s="953"/>
      <c r="G33" s="953"/>
      <c r="H33" s="953"/>
      <c r="I33" s="953"/>
      <c r="J33" s="953"/>
      <c r="K33" s="953"/>
      <c r="L33" s="953"/>
      <c r="M33" s="953"/>
      <c r="N33" s="953"/>
      <c r="O33" s="953"/>
      <c r="P33" s="953"/>
      <c r="Q33" s="953"/>
      <c r="R33" s="953"/>
      <c r="S33" s="953"/>
      <c r="T33" s="953"/>
      <c r="U33" s="953"/>
      <c r="X33" s="955" t="s">
        <v>61</v>
      </c>
      <c r="Y33" s="955"/>
      <c r="Z33" s="82">
        <f>SUMIF('2'!AA6:AA29,"=2",'2'!Z6:Z29)</f>
        <v>0</v>
      </c>
      <c r="AA33" s="82">
        <f>'2'!Z33*'2'!AS7</f>
        <v>0</v>
      </c>
      <c r="AB33" s="83" t="e">
        <f>SUMIF('2'!$AA$6:$AA$29,"=2",'2'!$AB$6:$AB$29)/COUNTIF('2'!$AA$6:$AA$29,"=2")</f>
        <v>#DIV/0!</v>
      </c>
      <c r="AC33" s="89">
        <f>SUMIF('2'!AA6:AA29,"=2",'2'!AC6:AC29)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953"/>
      <c r="B34" s="953"/>
      <c r="C34" s="953"/>
      <c r="D34" s="953"/>
      <c r="E34" s="953"/>
      <c r="F34" s="953"/>
      <c r="G34" s="953"/>
      <c r="H34" s="953"/>
      <c r="I34" s="953"/>
      <c r="J34" s="953"/>
      <c r="K34" s="953"/>
      <c r="L34" s="953"/>
      <c r="M34" s="953"/>
      <c r="N34" s="953"/>
      <c r="O34" s="953"/>
      <c r="P34" s="953"/>
      <c r="Q34" s="953"/>
      <c r="R34" s="953"/>
      <c r="S34" s="953"/>
      <c r="T34" s="953"/>
      <c r="U34" s="953"/>
      <c r="X34" s="94" t="s">
        <v>52</v>
      </c>
      <c r="Y34" s="95">
        <f>AVERAGE('2'!Y6:Y29)</f>
        <v>2800.2916666666665</v>
      </c>
      <c r="Z34" s="96">
        <f>AVERAGE('2'!Z6:Z29)</f>
        <v>955.66666666666663</v>
      </c>
      <c r="AA34" s="97"/>
      <c r="AB34" s="97"/>
      <c r="AC34" s="98">
        <f>SUM('2'!AC6:AC29)/COUNTIF('2'!AC6:AC29,"&lt;&gt;0")</f>
        <v>0</v>
      </c>
      <c r="AD34" s="99" t="e">
        <f>SUM('2'!AD6:AD29)/COUNTIF('2'!AD6:AD29,"&lt;&gt;0")</f>
        <v>#DIV/0!</v>
      </c>
      <c r="AE34" s="78"/>
      <c r="AF34" s="98">
        <f>AVERAGE('2'!AF6:AF29)</f>
        <v>0</v>
      </c>
      <c r="AG34" s="98"/>
      <c r="AH34" s="98">
        <f>AVERAGE('2'!AH6:AH29)</f>
        <v>0</v>
      </c>
      <c r="AI34" s="98"/>
      <c r="AJ34" s="98">
        <f>'2'!AJ30/24</f>
        <v>74.090277777777771</v>
      </c>
      <c r="AK34" s="98"/>
      <c r="AL34" s="98">
        <f>AVERAGE('2'!AL6:AL29)</f>
        <v>10.640625</v>
      </c>
      <c r="AM34" s="98"/>
      <c r="AN34" s="98">
        <f>AVERAGE('2'!AN6:AN29)</f>
        <v>10.640625</v>
      </c>
      <c r="AO34" s="98"/>
      <c r="AP34" s="98">
        <f>AVERAGE('2'!AP6:AP29)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957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202" t="s">
        <v>71</v>
      </c>
      <c r="F36" s="61" t="s">
        <v>40</v>
      </c>
      <c r="G36" s="61" t="s">
        <v>72</v>
      </c>
      <c r="H36" s="202" t="s">
        <v>71</v>
      </c>
      <c r="I36" s="61" t="s">
        <v>40</v>
      </c>
      <c r="J36" s="61" t="s">
        <v>72</v>
      </c>
      <c r="K36" s="202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957"/>
      <c r="X36" s="203" t="s">
        <v>73</v>
      </c>
      <c r="Y36" s="106"/>
      <c r="Z36" s="107"/>
      <c r="AA36" s="108" t="s">
        <v>74</v>
      </c>
      <c r="AB36" s="106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80.7</v>
      </c>
      <c r="D37" s="186">
        <v>58.5</v>
      </c>
      <c r="E37" s="186">
        <v>50.4</v>
      </c>
      <c r="F37" s="186">
        <v>1</v>
      </c>
      <c r="G37" s="186">
        <v>0.1</v>
      </c>
      <c r="H37" s="186">
        <v>0.1</v>
      </c>
      <c r="I37" s="183">
        <v>0.1</v>
      </c>
      <c r="J37" s="183">
        <v>0.06</v>
      </c>
      <c r="K37" s="183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05">
        <f>'2'!V12</f>
        <v>0</v>
      </c>
      <c r="X37" s="962" t="s">
        <v>75</v>
      </c>
      <c r="Y37" s="962"/>
      <c r="Z37" s="110">
        <f>COUNTA('2'!Z6:Z29)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208"/>
      <c r="U38" s="209"/>
      <c r="X38" s="112"/>
      <c r="Y38" s="112"/>
      <c r="Z38" s="113"/>
      <c r="AA38" s="111"/>
      <c r="AB38" s="111"/>
      <c r="AJ38" s="210" t="s">
        <v>78</v>
      </c>
      <c r="AK38" s="211">
        <f>SUM('2'!AF30+'2'!AH30)</f>
        <v>0</v>
      </c>
      <c r="AL38" s="210" t="s">
        <v>78</v>
      </c>
      <c r="AM38" s="212">
        <f>SUM('2'!AL30+'2'!AN30)</f>
        <v>510.75</v>
      </c>
      <c r="AO38" s="210" t="s">
        <v>78</v>
      </c>
      <c r="AP38" s="211">
        <f>'2'!AJ30</f>
        <v>1778.1666666666665</v>
      </c>
      <c r="AQ38" s="210" t="s">
        <v>78</v>
      </c>
      <c r="AR38" s="212">
        <f>'2'!AP30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32"/>
      <c r="X39" s="112"/>
      <c r="Y39" s="112"/>
      <c r="Z39" s="113"/>
      <c r="AA39" s="111"/>
      <c r="AB39" s="111"/>
      <c r="AC39" s="111"/>
      <c r="AD39" s="111"/>
      <c r="AE39" s="111"/>
      <c r="AF39" s="123"/>
      <c r="AG39" s="123"/>
      <c r="AJ39" s="213" t="s">
        <v>86</v>
      </c>
      <c r="AK39" s="214">
        <f>('2'!AK38/'2'!Y30)*1000</f>
        <v>0</v>
      </c>
      <c r="AL39" s="215" t="s">
        <v>86</v>
      </c>
      <c r="AM39" s="216">
        <f>('2'!AM38/'2'!Y30)*1000</f>
        <v>2.1110152216286995</v>
      </c>
      <c r="AO39" s="213" t="s">
        <v>86</v>
      </c>
      <c r="AP39" s="214">
        <f>('2'!AP38/'2'!Y30)*1000</f>
        <v>7.3494604012258415</v>
      </c>
      <c r="AQ39" s="215" t="s">
        <v>86</v>
      </c>
      <c r="AR39" s="216">
        <f>('2'!AR38/'2'!Y30)*1000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SUM('2'!AK38,'2'!AM38)</f>
        <v>510.75</v>
      </c>
      <c r="AM40" s="975"/>
      <c r="AO40" s="976" t="s">
        <v>90</v>
      </c>
      <c r="AP40" s="976"/>
      <c r="AQ40" s="977">
        <f>SUM('2'!AP38,'2'!AR38)</f>
        <v>1778.1666666666665</v>
      </c>
      <c r="AR40" s="977"/>
    </row>
    <row r="41" spans="1:44" ht="16.5" customHeight="1">
      <c r="A41" s="133">
        <f>COUNTA('2'!E7:E18)</f>
        <v>12</v>
      </c>
      <c r="B41" s="134">
        <f>COUNTA('2'!I7:I18)</f>
        <v>12</v>
      </c>
      <c r="C41" s="978">
        <f>COUNTA('2'!J7:J18)</f>
        <v>12</v>
      </c>
      <c r="D41" s="978">
        <f>COUNTA('2'!K7:K18)</f>
        <v>12</v>
      </c>
      <c r="E41" s="978">
        <f>COUNTIF('2'!E7:E18,"&gt;15")</f>
        <v>0</v>
      </c>
      <c r="F41" s="978"/>
      <c r="G41" s="978">
        <f>COUNTIF('2'!J7:J18,"&gt;1")</f>
        <v>0</v>
      </c>
      <c r="H41" s="978"/>
      <c r="I41" s="135"/>
      <c r="J41" s="978">
        <f>'2'!A41-'2'!E41</f>
        <v>12</v>
      </c>
      <c r="K41" s="978"/>
      <c r="L41" s="978">
        <f>'2'!C41-'2'!G41</f>
        <v>12</v>
      </c>
      <c r="M41" s="978"/>
      <c r="N41" s="135"/>
      <c r="O41" s="979">
        <f>COUNTIF('2'!J7:J18,"&lt;=0,5")</f>
        <v>12</v>
      </c>
      <c r="P41" s="979"/>
      <c r="Q41" s="979"/>
      <c r="R41" s="969"/>
      <c r="S41" s="980">
        <f>COUNTIF('2'!J7:J18,"&lt;=1,0")</f>
        <v>12</v>
      </c>
      <c r="T41" s="980"/>
      <c r="U41" s="136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SUM(('2'!AK38+'2'!AM38)/'2'!Y30)*1000</f>
        <v>2.1110152216286995</v>
      </c>
      <c r="AM41" s="981"/>
      <c r="AO41" s="976" t="s">
        <v>91</v>
      </c>
      <c r="AP41" s="976"/>
      <c r="AQ41" s="981">
        <f>SUM(('2'!AP38+'2'!AR38)/'2'!Y30)*1000</f>
        <v>7.3494604012258415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/>
      <c r="Z44" s="144" t="s">
        <v>101</v>
      </c>
      <c r="AA44" s="145"/>
      <c r="AB44" s="144" t="s">
        <v>101</v>
      </c>
      <c r="AC44" s="145"/>
      <c r="AD44" s="988"/>
      <c r="AE44" s="988"/>
      <c r="AF44" s="989" t="s">
        <v>102</v>
      </c>
      <c r="AG44" s="990">
        <f>SUM('2'!Y45,'2'!AA45,'2'!AC45,'2'!AE45)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COUNTIF('2'!I7:I18,"&lt;=5,0")</f>
        <v>12</v>
      </c>
      <c r="I45" s="992"/>
      <c r="J45" s="992"/>
      <c r="K45" s="135"/>
      <c r="L45" s="974">
        <f>COUNTA('2'!L37)</f>
        <v>1</v>
      </c>
      <c r="M45" s="974"/>
      <c r="O45" s="146"/>
      <c r="P45" s="147"/>
      <c r="Q45" s="993">
        <f>'2'!S41-'2'!O41</f>
        <v>0</v>
      </c>
      <c r="R45" s="993"/>
      <c r="S45" s="993"/>
      <c r="T45" s="148"/>
      <c r="X45" s="149" t="s">
        <v>104</v>
      </c>
      <c r="Y45" s="150">
        <f>'2'!Y44*275.3</f>
        <v>0</v>
      </c>
      <c r="Z45" s="149" t="s">
        <v>104</v>
      </c>
      <c r="AA45" s="150">
        <f>262.4*'2'!AA44</f>
        <v>0</v>
      </c>
      <c r="AB45" s="149" t="s">
        <v>104</v>
      </c>
      <c r="AC45" s="150">
        <f>'2'!AC44*277.7</f>
        <v>0</v>
      </c>
      <c r="AD45" s="149" t="s">
        <v>104</v>
      </c>
      <c r="AE45" s="151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" customHeight="1">
      <c r="F46" s="152"/>
      <c r="X46" s="153" t="s">
        <v>105</v>
      </c>
      <c r="Y46" s="154">
        <f>'2'!AS6</f>
        <v>1.33</v>
      </c>
      <c r="Z46" s="153" t="s">
        <v>105</v>
      </c>
      <c r="AA46" s="155">
        <f>'2'!Y46</f>
        <v>1.33</v>
      </c>
      <c r="AB46" s="153" t="s">
        <v>105</v>
      </c>
      <c r="AC46" s="155">
        <f>'2'!Y46</f>
        <v>1.33</v>
      </c>
      <c r="AD46" s="153" t="s">
        <v>105</v>
      </c>
      <c r="AE46" s="156"/>
      <c r="AF46" s="995" t="s">
        <v>106</v>
      </c>
      <c r="AG46" s="996">
        <f>SUM('2'!Y47,'2'!AA47,'2'!AC47,'2'!AE47)</f>
        <v>0</v>
      </c>
      <c r="AI46" s="144" t="s">
        <v>101</v>
      </c>
      <c r="AJ46" s="145"/>
      <c r="AK46" s="144" t="s">
        <v>101</v>
      </c>
      <c r="AL46" s="145"/>
      <c r="AM46" s="144" t="s">
        <v>101</v>
      </c>
      <c r="AN46" s="145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'2'!Y45*'2'!Y46</f>
        <v>0</v>
      </c>
      <c r="Z47" s="149" t="s">
        <v>108</v>
      </c>
      <c r="AA47" s="150">
        <f>'2'!AA45*'2'!AA46</f>
        <v>0</v>
      </c>
      <c r="AB47" s="149" t="s">
        <v>108</v>
      </c>
      <c r="AC47" s="150">
        <f>'2'!AC45*'2'!AC46</f>
        <v>0</v>
      </c>
      <c r="AD47" s="149" t="s">
        <v>108</v>
      </c>
      <c r="AE47" s="150"/>
      <c r="AF47" s="995"/>
      <c r="AG47" s="996"/>
      <c r="AI47" s="149" t="s">
        <v>104</v>
      </c>
      <c r="AJ47" s="150">
        <f>'2'!AJ46*275.3</f>
        <v>0</v>
      </c>
      <c r="AK47" s="149" t="s">
        <v>104</v>
      </c>
      <c r="AL47" s="150">
        <f>262.4*'2'!AL46</f>
        <v>0</v>
      </c>
      <c r="AM47" s="149" t="s">
        <v>104</v>
      </c>
      <c r="AN47" s="150">
        <f>'2'!AN46*277.7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'2'!Y46</f>
        <v>1.33</v>
      </c>
      <c r="AK48" s="160" t="s">
        <v>105</v>
      </c>
      <c r="AL48" s="154">
        <f>'2'!AJ48</f>
        <v>1.33</v>
      </c>
      <c r="AM48" s="160" t="s">
        <v>105</v>
      </c>
      <c r="AN48" s="154">
        <f>'2'!AJ48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'2'!AJ47*'2'!AJ48</f>
        <v>0</v>
      </c>
      <c r="AK49" s="149" t="s">
        <v>108</v>
      </c>
      <c r="AL49" s="150">
        <f>'2'!AL47*'2'!AL48</f>
        <v>0</v>
      </c>
      <c r="AM49" s="149" t="s">
        <v>108</v>
      </c>
      <c r="AN49" s="150">
        <f>'2'!AN47*'2'!AN48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COUNTA('2'!O7:O18)</f>
        <v>12</v>
      </c>
      <c r="P51" s="974">
        <f>COUNTA('2'!W17:W28)</f>
        <v>0</v>
      </c>
      <c r="R51" s="992">
        <f>COUNTIF('2'!O7:O18,"&gt;=0,5")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SUM('2'!Y53,'2'!AA53,'2'!AC53,'2'!AE53)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'2'!Y52*275.3</f>
        <v>0</v>
      </c>
      <c r="Z53" s="149" t="s">
        <v>104</v>
      </c>
      <c r="AA53" s="150">
        <f>262.4*'2'!AA52</f>
        <v>0</v>
      </c>
      <c r="AB53" s="149" t="s">
        <v>104</v>
      </c>
      <c r="AC53" s="150">
        <f>'2'!AC52*277.7</f>
        <v>0</v>
      </c>
      <c r="AD53" s="149" t="s">
        <v>104</v>
      </c>
      <c r="AE53" s="165"/>
      <c r="AF53" s="989"/>
      <c r="AG53" s="1002"/>
      <c r="AI53" s="144" t="s">
        <v>101</v>
      </c>
      <c r="AJ53" s="166">
        <v>0</v>
      </c>
      <c r="AK53" s="144" t="s">
        <v>101</v>
      </c>
      <c r="AL53" s="164"/>
      <c r="AM53" s="144" t="s">
        <v>101</v>
      </c>
      <c r="AN53" s="164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'2'!AS7</f>
        <v>1.377</v>
      </c>
      <c r="Z54" s="153" t="s">
        <v>105</v>
      </c>
      <c r="AA54" s="155">
        <f>'2'!Y54</f>
        <v>1.377</v>
      </c>
      <c r="AB54" s="153" t="s">
        <v>105</v>
      </c>
      <c r="AC54" s="155">
        <f>'2'!Y54</f>
        <v>1.377</v>
      </c>
      <c r="AD54" s="153" t="s">
        <v>105</v>
      </c>
      <c r="AE54" s="156"/>
      <c r="AF54" s="995" t="s">
        <v>106</v>
      </c>
      <c r="AG54" s="996">
        <f>SUM('2'!Y55,'2'!AA55,'2'!AC55,'2'!AE55)</f>
        <v>0</v>
      </c>
      <c r="AI54" s="149" t="s">
        <v>104</v>
      </c>
      <c r="AJ54" s="150">
        <f>'2'!AJ53*275.3</f>
        <v>0</v>
      </c>
      <c r="AK54" s="149" t="s">
        <v>104</v>
      </c>
      <c r="AL54" s="150">
        <f>262.4*'2'!AL53</f>
        <v>0</v>
      </c>
      <c r="AM54" s="149" t="s">
        <v>104</v>
      </c>
      <c r="AN54" s="167">
        <f>'2'!AN53*277.7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'2'!Y53*'2'!Y54</f>
        <v>0</v>
      </c>
      <c r="Z55" s="149" t="s">
        <v>108</v>
      </c>
      <c r="AA55" s="150">
        <f>'2'!AA53*'2'!AA54</f>
        <v>0</v>
      </c>
      <c r="AB55" s="149" t="s">
        <v>108</v>
      </c>
      <c r="AC55" s="150"/>
      <c r="AD55" s="149" t="s">
        <v>108</v>
      </c>
      <c r="AE55" s="150"/>
      <c r="AF55" s="995"/>
      <c r="AG55" s="996"/>
      <c r="AI55" s="153" t="s">
        <v>105</v>
      </c>
      <c r="AJ55" s="154">
        <f>'2'!Y54</f>
        <v>1.377</v>
      </c>
      <c r="AK55" s="153" t="s">
        <v>105</v>
      </c>
      <c r="AL55" s="154">
        <f>'2'!AJ55</f>
        <v>1.377</v>
      </c>
      <c r="AM55" s="153" t="s">
        <v>105</v>
      </c>
      <c r="AN55" s="154">
        <f>'2'!AJ55</f>
        <v>1.377</v>
      </c>
      <c r="AO55" s="994"/>
      <c r="AP55" s="994"/>
      <c r="AQ55" s="994"/>
      <c r="AR55" s="994"/>
    </row>
    <row r="56" spans="15:44" ht="13.9" customHeight="1">
      <c r="O56" s="998"/>
      <c r="P56" s="998"/>
      <c r="R56" s="999"/>
      <c r="S56" s="999"/>
      <c r="T56" s="999"/>
      <c r="AI56" s="149" t="s">
        <v>108</v>
      </c>
      <c r="AJ56" s="150">
        <f>'2'!AJ54*'2'!AJ55</f>
        <v>0</v>
      </c>
      <c r="AK56" s="149" t="s">
        <v>108</v>
      </c>
      <c r="AL56" s="150">
        <f>'2'!AL54*'2'!AL55</f>
        <v>0</v>
      </c>
      <c r="AM56" s="149" t="s">
        <v>108</v>
      </c>
      <c r="AN56" s="150">
        <f>'2'!AN54*'2'!AN55</f>
        <v>0</v>
      </c>
      <c r="AO56" s="994"/>
      <c r="AP56" s="994"/>
      <c r="AQ56" s="994"/>
      <c r="AR56" s="994"/>
    </row>
    <row r="57" spans="15:44" ht="15.75" customHeight="1">
      <c r="O57" s="1003">
        <f>COUNTA('2'!N7:N18)</f>
        <v>12</v>
      </c>
      <c r="P57" s="1003"/>
      <c r="R57" s="1004">
        <f>COUNTIF('2'!N7:N18,"&gt;=6")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'2'!AJ56+'2'!AL56+'2'!AN56</f>
        <v>0</v>
      </c>
      <c r="AM61" s="1011"/>
      <c r="AN61" s="1010" t="s">
        <v>121</v>
      </c>
      <c r="AO61" s="1010"/>
      <c r="AP61" s="1010"/>
      <c r="AQ61" s="1011">
        <f>'2'!AJ49+'2'!AL49+'2'!AN49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'2'!AA33</f>
        <v>0</v>
      </c>
      <c r="AM62" s="1015"/>
      <c r="AN62" s="1010" t="s">
        <v>123</v>
      </c>
      <c r="AO62" s="1010"/>
      <c r="AP62" s="1010"/>
      <c r="AQ62" s="1016">
        <f>'2'!AA32</f>
        <v>30504.880000000001</v>
      </c>
      <c r="AR62" s="1016"/>
    </row>
    <row r="63" spans="15:44" ht="15" customHeight="1">
      <c r="X63" s="170" t="s">
        <v>124</v>
      </c>
      <c r="Y63" s="171">
        <v>0</v>
      </c>
      <c r="Z63" s="1013"/>
      <c r="AA63" s="1013"/>
      <c r="AB63" s="172" t="s">
        <v>124</v>
      </c>
      <c r="AC63" s="173"/>
      <c r="AE63" s="49"/>
      <c r="AI63" s="1010" t="s">
        <v>125</v>
      </c>
      <c r="AJ63" s="1010"/>
      <c r="AK63" s="1010"/>
      <c r="AL63" s="1011">
        <f>'2'!AL61-'2'!AL62</f>
        <v>0</v>
      </c>
      <c r="AM63" s="1011"/>
      <c r="AN63" s="1010" t="s">
        <v>125</v>
      </c>
      <c r="AO63" s="1010"/>
      <c r="AP63" s="1010"/>
      <c r="AQ63" s="1011">
        <f>'2'!AQ61-'2'!AQ62</f>
        <v>-30504.880000000001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>
        <f>'1'!$Y$68</f>
        <v>-2360.7999999999993</v>
      </c>
      <c r="Z65" s="1013"/>
      <c r="AA65" s="1013"/>
      <c r="AB65" s="176" t="s">
        <v>126</v>
      </c>
      <c r="AC65" s="218">
        <f>'1'!$AC$68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178">
        <f>SUM('2'!AK38,'2'!AP38)</f>
        <v>1778.1666666666665</v>
      </c>
      <c r="Z67" s="1013"/>
      <c r="AA67" s="1013"/>
      <c r="AB67" s="172" t="s">
        <v>124</v>
      </c>
      <c r="AC67" s="169">
        <f>SUM('2'!AM38,'2'!AR38)</f>
        <v>510.75</v>
      </c>
    </row>
    <row r="68" spans="24:29" ht="15.75" customHeight="1">
      <c r="X68" s="170" t="s">
        <v>128</v>
      </c>
      <c r="Y68" s="179">
        <f>SUM('2'!Y63,'2'!Y65)-'2'!Y67</f>
        <v>-4138.9666666666653</v>
      </c>
      <c r="Z68" s="1013"/>
      <c r="AA68" s="1013"/>
      <c r="AB68" s="172" t="s">
        <v>128</v>
      </c>
      <c r="AC68" s="180">
        <f>SUM('2'!AC63,'2'!AC65)-'2'!AC67</f>
        <v>-510.75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conditionalFormatting sqref="O19">
    <cfRule type="cellIs" priority="4" operator="lessThan">
      <formula>2.5</formula>
    </cfRule>
    <cfRule type="cellIs" priority="5" operator="greaterThan">
      <formula>3</formula>
    </cfRule>
    <cfRule type="cellIs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opLeftCell="R21" zoomScaleNormal="100" workbookViewId="0">
      <selection activeCell="AE53" sqref="AE53"/>
    </sheetView>
  </sheetViews>
  <sheetFormatPr defaultRowHeight="15"/>
  <cols>
    <col min="1" max="11" width="8.42578125" customWidth="1"/>
    <col min="12" max="12" width="6.140625" style="219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23"/>
      <c r="B2" s="923"/>
      <c r="C2" s="923"/>
      <c r="D2" s="1027" t="s">
        <v>5</v>
      </c>
      <c r="E2" s="1027"/>
      <c r="F2" s="1027"/>
      <c r="G2" s="1027"/>
      <c r="H2" s="1027"/>
      <c r="I2" s="1027"/>
      <c r="J2" s="1027"/>
      <c r="K2" s="1027"/>
      <c r="L2" s="1027"/>
      <c r="M2" s="1027"/>
      <c r="N2" s="1027"/>
      <c r="O2" s="1027"/>
      <c r="P2" s="1027"/>
      <c r="Q2" s="1027"/>
      <c r="R2" s="1027"/>
      <c r="S2" s="1027"/>
      <c r="T2" s="1027"/>
      <c r="U2" s="1027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27"/>
      <c r="E3" s="1027"/>
      <c r="F3" s="1027"/>
      <c r="G3" s="1027"/>
      <c r="H3" s="1027"/>
      <c r="I3" s="1027"/>
      <c r="J3" s="1027"/>
      <c r="K3" s="1027"/>
      <c r="L3" s="1027"/>
      <c r="M3" s="1027"/>
      <c r="N3" s="1027"/>
      <c r="O3" s="1027"/>
      <c r="P3" s="1027"/>
      <c r="Q3" s="1027"/>
      <c r="R3" s="1027"/>
      <c r="S3" s="1027"/>
      <c r="T3" s="1027"/>
      <c r="U3" s="1027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930" t="s">
        <v>13</v>
      </c>
      <c r="U4" s="102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930"/>
      <c r="U5" s="102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8"/>
      <c r="V6" s="932"/>
      <c r="W6" s="932"/>
      <c r="X6" s="13">
        <v>4.1666666666666699E-2</v>
      </c>
      <c r="Y6" s="54">
        <v>2773</v>
      </c>
      <c r="Z6" s="182">
        <v>940</v>
      </c>
      <c r="AA6" s="15">
        <v>1</v>
      </c>
      <c r="AB6" s="58">
        <f>IF('3'!AA6=1,(('3'!Z6*'3'!$AS$6*'3'!$AT$6)/('3'!Y6*0.0036)),IF('3'!AA6=2,(('3'!Z6*'3'!$AS$7*'3'!$AT$7)/('3'!Y6*0.0036))))</f>
        <v>62.617702448210927</v>
      </c>
      <c r="AC6" s="58"/>
      <c r="AD6" s="18">
        <f>(('3'!AC6*'3'!$O$9*1000000))/('3'!Y6*3600)</f>
        <v>0</v>
      </c>
      <c r="AE6" s="183"/>
      <c r="AF6" s="184">
        <f>('3'!AE6/24)*0.454</f>
        <v>0</v>
      </c>
      <c r="AG6" s="19"/>
      <c r="AH6" s="184">
        <f>('3'!AG6/24)*0.454</f>
        <v>0</v>
      </c>
      <c r="AI6" s="182">
        <v>5000</v>
      </c>
      <c r="AJ6" s="184">
        <f>('3'!AI6/24)*0.454</f>
        <v>94.583333333333343</v>
      </c>
      <c r="AK6" s="21"/>
      <c r="AL6" s="185">
        <f>('3'!AK6/24)*0.454</f>
        <v>0</v>
      </c>
      <c r="AM6" s="21"/>
      <c r="AN6" s="185">
        <f>('3'!AM6/24)*0.454</f>
        <v>0</v>
      </c>
      <c r="AO6" s="21"/>
      <c r="AP6" s="185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6">
        <v>70</v>
      </c>
      <c r="C7" s="186">
        <v>12.5</v>
      </c>
      <c r="D7" s="186">
        <v>12.5</v>
      </c>
      <c r="E7" s="186">
        <v>2.5</v>
      </c>
      <c r="F7" s="186">
        <v>8.4</v>
      </c>
      <c r="G7" s="186">
        <v>1.3</v>
      </c>
      <c r="H7" s="186">
        <v>1.5</v>
      </c>
      <c r="I7" s="186">
        <v>0.3</v>
      </c>
      <c r="J7" s="186">
        <v>0.4</v>
      </c>
      <c r="K7" s="186">
        <v>7.3</v>
      </c>
      <c r="L7" s="220">
        <v>6.7</v>
      </c>
      <c r="M7" s="220">
        <v>6.7</v>
      </c>
      <c r="N7" s="186">
        <v>6.4</v>
      </c>
      <c r="O7" s="186">
        <v>2.7</v>
      </c>
      <c r="P7" s="186"/>
      <c r="Q7" s="188"/>
      <c r="R7" s="37">
        <f>'2'!$Z$29</f>
        <v>940</v>
      </c>
      <c r="S7" s="187">
        <f>'2'!$AB$29</f>
        <v>63.603988603988611</v>
      </c>
      <c r="T7" s="37">
        <f>'2'!$Y$29</f>
        <v>2730</v>
      </c>
      <c r="U7" s="33" t="str">
        <f>IF('3'!AA6=1,'3'!AR6,'3'!AR7)</f>
        <v>S.A.L</v>
      </c>
      <c r="V7" s="1022">
        <f>ESCALA!$C$4</f>
        <v>0</v>
      </c>
      <c r="W7" s="1022"/>
      <c r="X7" s="13">
        <v>8.3333333333333301E-2</v>
      </c>
      <c r="Y7" s="54">
        <v>2727</v>
      </c>
      <c r="Z7" s="182">
        <v>940</v>
      </c>
      <c r="AA7" s="15">
        <v>1</v>
      </c>
      <c r="AB7" s="58">
        <f>IF('3'!AA7=1,(('3'!Z7*'3'!$AS$6*'3'!$AT$6)/('3'!Y7*0.0036)),IF('3'!AA7=2,(('3'!Z7*'3'!$AS$7*'3'!$AT$7)/('3'!Y7*0.0036))))</f>
        <v>63.673959988591456</v>
      </c>
      <c r="AC7" s="58"/>
      <c r="AD7" s="18">
        <f>(('3'!AC7*'3'!$O$9*1000000))/('3'!Y7*3600)</f>
        <v>0</v>
      </c>
      <c r="AE7" s="183"/>
      <c r="AF7" s="184">
        <f>('3'!AE7/24)*0.454</f>
        <v>0</v>
      </c>
      <c r="AG7" s="19"/>
      <c r="AH7" s="184">
        <f>('3'!AG7/24)*0.454</f>
        <v>0</v>
      </c>
      <c r="AI7" s="182">
        <v>5000</v>
      </c>
      <c r="AJ7" s="184">
        <f>('3'!AI7/24)*0.454</f>
        <v>94.583333333333343</v>
      </c>
      <c r="AK7" s="21"/>
      <c r="AL7" s="185">
        <f>('3'!AK7/24)*0.454</f>
        <v>0</v>
      </c>
      <c r="AM7" s="21"/>
      <c r="AN7" s="185">
        <f>('3'!AM7/24)*0.454</f>
        <v>0</v>
      </c>
      <c r="AO7" s="21"/>
      <c r="AP7" s="185">
        <f>('3'!AO7/24)*0.454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6">
        <v>70</v>
      </c>
      <c r="C8" s="186">
        <v>12.5</v>
      </c>
      <c r="D8" s="186">
        <v>12.5</v>
      </c>
      <c r="E8" s="186">
        <v>2.5</v>
      </c>
      <c r="F8" s="186">
        <v>8.1999999999999993</v>
      </c>
      <c r="G8" s="186">
        <v>1.3</v>
      </c>
      <c r="H8" s="186">
        <v>1.5</v>
      </c>
      <c r="I8" s="186">
        <v>0.3</v>
      </c>
      <c r="J8" s="186">
        <v>0.4</v>
      </c>
      <c r="K8" s="186">
        <v>7.3</v>
      </c>
      <c r="L8" s="220">
        <v>6.7</v>
      </c>
      <c r="M8" s="220">
        <v>6.7</v>
      </c>
      <c r="N8" s="186">
        <v>6.4</v>
      </c>
      <c r="O8" s="186">
        <v>2.7</v>
      </c>
      <c r="P8" s="186"/>
      <c r="Q8" s="188"/>
      <c r="R8" s="35">
        <f>'3'!Z7</f>
        <v>940</v>
      </c>
      <c r="S8" s="36">
        <f>'3'!AB7</f>
        <v>63.673959988591456</v>
      </c>
      <c r="T8" s="37">
        <f>'3'!Y7</f>
        <v>2727</v>
      </c>
      <c r="U8" s="33" t="str">
        <f>IF('3'!AA7=1,'3'!AR6,'3'!AR7)</f>
        <v>S.A.L</v>
      </c>
      <c r="V8" s="1022"/>
      <c r="W8" s="1022"/>
      <c r="X8" s="13">
        <v>0.125</v>
      </c>
      <c r="Y8" s="54">
        <v>2727</v>
      </c>
      <c r="Z8" s="182">
        <v>940</v>
      </c>
      <c r="AA8" s="15">
        <v>1</v>
      </c>
      <c r="AB8" s="58">
        <f>IF('3'!AA8=1,(('3'!Z8*'3'!$AS$6*'3'!$AT$6)/('3'!Y8*0.0036)),IF('3'!AA8=2,(('3'!Z8*'3'!$AS$7*'3'!$AT$7)/('3'!Y8*0.0036))))</f>
        <v>63.673959988591456</v>
      </c>
      <c r="AC8" s="58"/>
      <c r="AD8" s="18">
        <f>(('3'!AC8*'3'!$O$9*1000000))/('3'!Y8*3600)</f>
        <v>0</v>
      </c>
      <c r="AE8" s="183"/>
      <c r="AF8" s="184">
        <f>('3'!AE8/24)*0.454</f>
        <v>0</v>
      </c>
      <c r="AG8" s="19"/>
      <c r="AH8" s="184">
        <f>('3'!AG8/24)*0.454</f>
        <v>0</v>
      </c>
      <c r="AI8" s="182">
        <v>5000</v>
      </c>
      <c r="AJ8" s="184">
        <f>('3'!AI8/24)*0.454</f>
        <v>94.583333333333343</v>
      </c>
      <c r="AK8" s="21"/>
      <c r="AL8" s="185">
        <f>('3'!AK8/24)*0.454</f>
        <v>0</v>
      </c>
      <c r="AM8" s="21"/>
      <c r="AN8" s="185">
        <f>('3'!AM8/24)*0.454</f>
        <v>0</v>
      </c>
      <c r="AO8" s="21"/>
      <c r="AP8" s="185">
        <f>('3'!AO8/24)*0.454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70</v>
      </c>
      <c r="C9" s="186">
        <v>12.5</v>
      </c>
      <c r="D9" s="186">
        <v>12.5</v>
      </c>
      <c r="E9" s="186">
        <v>2.5</v>
      </c>
      <c r="F9" s="186">
        <v>8.1</v>
      </c>
      <c r="G9" s="186">
        <v>1.2</v>
      </c>
      <c r="H9" s="186">
        <v>1.6</v>
      </c>
      <c r="I9" s="186">
        <v>0.4</v>
      </c>
      <c r="J9" s="186">
        <v>0.3</v>
      </c>
      <c r="K9" s="186">
        <v>7.3</v>
      </c>
      <c r="L9" s="220">
        <v>6.7</v>
      </c>
      <c r="M9" s="220">
        <v>6.7</v>
      </c>
      <c r="N9" s="186">
        <v>6.4</v>
      </c>
      <c r="O9" s="186">
        <v>2.8</v>
      </c>
      <c r="P9" s="186"/>
      <c r="Q9" s="188"/>
      <c r="R9" s="37">
        <f>'3'!Z9</f>
        <v>940</v>
      </c>
      <c r="S9" s="36">
        <f>'3'!AB9</f>
        <v>63.534170833841536</v>
      </c>
      <c r="T9" s="37">
        <f>'3'!Y9</f>
        <v>2733</v>
      </c>
      <c r="U9" s="33" t="str">
        <f>IF('3'!AA9=1,'3'!AR6,'3'!AR7)</f>
        <v>S.A.L</v>
      </c>
      <c r="V9" s="1022"/>
      <c r="W9" s="1022"/>
      <c r="X9" s="13">
        <v>0.16666666666666699</v>
      </c>
      <c r="Y9" s="54">
        <v>2733</v>
      </c>
      <c r="Z9" s="182">
        <v>940</v>
      </c>
      <c r="AA9" s="15">
        <v>1</v>
      </c>
      <c r="AB9" s="58">
        <f>IF('3'!AA9=1,(('3'!Z9*'3'!$AS$6*'3'!$AT$6)/('3'!Y9*0.0036)),IF('3'!AA9=2,(('3'!Z9*'3'!$AS$7*'3'!$AT$7)/('3'!Y9*0.0036))))</f>
        <v>63.534170833841536</v>
      </c>
      <c r="AC9" s="58"/>
      <c r="AD9" s="18">
        <f>(('3'!AC9*'3'!$O$9*1000000))/('3'!Y9*3600)</f>
        <v>0</v>
      </c>
      <c r="AE9" s="183"/>
      <c r="AF9" s="184">
        <f>('3'!AE9/24)*0.454</f>
        <v>0</v>
      </c>
      <c r="AG9" s="19"/>
      <c r="AH9" s="184">
        <f>('3'!AG9/24)*0.454</f>
        <v>0</v>
      </c>
      <c r="AI9" s="182">
        <v>5000</v>
      </c>
      <c r="AJ9" s="184">
        <f>('3'!AI9/24)*0.454</f>
        <v>94.583333333333343</v>
      </c>
      <c r="AK9" s="21"/>
      <c r="AL9" s="185">
        <f>('3'!AK9/24)*0.454</f>
        <v>0</v>
      </c>
      <c r="AM9" s="21"/>
      <c r="AN9" s="185">
        <f>('3'!AM9/24)*0.454</f>
        <v>0</v>
      </c>
      <c r="AO9" s="21"/>
      <c r="AP9" s="185">
        <f>('3'!AO9/24)*0.454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70</v>
      </c>
      <c r="C10" s="186">
        <v>12.5</v>
      </c>
      <c r="D10" s="186">
        <v>12.5</v>
      </c>
      <c r="E10" s="186">
        <v>2.5</v>
      </c>
      <c r="F10" s="186">
        <v>8</v>
      </c>
      <c r="G10" s="186">
        <v>1.2</v>
      </c>
      <c r="H10" s="186">
        <v>1.6</v>
      </c>
      <c r="I10" s="186">
        <v>0.4</v>
      </c>
      <c r="J10" s="186">
        <v>0.3</v>
      </c>
      <c r="K10" s="186">
        <v>7.3</v>
      </c>
      <c r="L10" s="220">
        <v>6.7</v>
      </c>
      <c r="M10" s="220">
        <v>6.7</v>
      </c>
      <c r="N10" s="186">
        <v>6.4</v>
      </c>
      <c r="O10" s="186">
        <v>2.8</v>
      </c>
      <c r="P10" s="186"/>
      <c r="Q10" s="188"/>
      <c r="R10" s="37">
        <f>'3'!Z11</f>
        <v>940</v>
      </c>
      <c r="S10" s="36">
        <f>'3'!AB11</f>
        <v>64.406116056709521</v>
      </c>
      <c r="T10" s="37">
        <f>'3'!Y11</f>
        <v>2696</v>
      </c>
      <c r="U10" s="39" t="str">
        <f>IF('3'!AA11=1,'3'!AR6,'3'!AR7)</f>
        <v>S.A.L</v>
      </c>
      <c r="V10" s="1022"/>
      <c r="W10" s="1022"/>
      <c r="X10" s="13">
        <v>0.20833333333333301</v>
      </c>
      <c r="Y10" s="54">
        <v>2767</v>
      </c>
      <c r="Z10" s="182">
        <v>940</v>
      </c>
      <c r="AA10" s="15">
        <v>1</v>
      </c>
      <c r="AB10" s="58">
        <f>IF('3'!AA10=1,(('3'!Z10*'3'!$AS$6*'3'!$AT$6)/('3'!Y10*0.0036)),IF('3'!AA10=2,(('3'!Z10*'3'!$AS$7*'3'!$AT$7)/('3'!Y10*0.0036))))</f>
        <v>62.753483516042245</v>
      </c>
      <c r="AC10" s="58"/>
      <c r="AD10" s="18">
        <f>(('3'!AC10*'3'!$O$9*1000000))/('3'!Y10*3600)</f>
        <v>0</v>
      </c>
      <c r="AE10" s="183"/>
      <c r="AF10" s="184">
        <f>('3'!AE10/24)*0.454</f>
        <v>0</v>
      </c>
      <c r="AG10" s="19"/>
      <c r="AH10" s="184">
        <f>('3'!AG10/24)*0.454</f>
        <v>0</v>
      </c>
      <c r="AI10" s="182">
        <v>5000</v>
      </c>
      <c r="AJ10" s="184">
        <f>('3'!AI10/24)*0.454</f>
        <v>94.583333333333343</v>
      </c>
      <c r="AK10" s="21"/>
      <c r="AL10" s="185">
        <f>('3'!AK10/24)*0.454</f>
        <v>0</v>
      </c>
      <c r="AM10" s="21"/>
      <c r="AN10" s="185">
        <f>('3'!AM10/24)*0.454</f>
        <v>0</v>
      </c>
      <c r="AO10" s="21"/>
      <c r="AP10" s="185">
        <f>('3'!AO10/24)*0.454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6">
        <v>60</v>
      </c>
      <c r="C11" s="186">
        <v>12.5</v>
      </c>
      <c r="D11" s="186">
        <v>12.5</v>
      </c>
      <c r="E11" s="186">
        <v>2.5</v>
      </c>
      <c r="F11" s="186">
        <v>7.7</v>
      </c>
      <c r="G11" s="186">
        <v>1.6</v>
      </c>
      <c r="H11" s="186">
        <v>1.6</v>
      </c>
      <c r="I11" s="186">
        <v>0.4</v>
      </c>
      <c r="J11" s="186">
        <v>0.5</v>
      </c>
      <c r="K11" s="186">
        <v>7.3</v>
      </c>
      <c r="L11" s="220">
        <v>6.7</v>
      </c>
      <c r="M11" s="220">
        <v>6.7</v>
      </c>
      <c r="N11" s="186">
        <v>6.4</v>
      </c>
      <c r="O11" s="186">
        <v>2.8</v>
      </c>
      <c r="P11" s="186"/>
      <c r="Q11" s="188"/>
      <c r="R11" s="37">
        <f>'3'!Z13</f>
        <v>940</v>
      </c>
      <c r="S11" s="36">
        <f>'3'!AB13</f>
        <v>62.347895471773391</v>
      </c>
      <c r="T11" s="37">
        <f>'3'!Y13</f>
        <v>2785</v>
      </c>
      <c r="U11" s="42" t="str">
        <f>IF('3'!AA13=1,'3'!AR6,'3'!AR7)</f>
        <v>S.A.L</v>
      </c>
      <c r="V11" s="1022"/>
      <c r="W11" s="1022"/>
      <c r="X11" s="13">
        <v>0.25</v>
      </c>
      <c r="Y11" s="54">
        <v>2696</v>
      </c>
      <c r="Z11" s="182">
        <v>940</v>
      </c>
      <c r="AA11" s="15">
        <v>1</v>
      </c>
      <c r="AB11" s="58">
        <f>IF('3'!AA11=1,(('3'!Z11*'3'!$AS$6*'3'!$AT$6)/('3'!Y11*0.0036)),IF('3'!AA11=2,(('3'!Z11*'3'!$AS$7*'3'!$AT$7)/('3'!Y11*0.0036))))</f>
        <v>64.406116056709521</v>
      </c>
      <c r="AC11" s="58"/>
      <c r="AD11" s="18">
        <f>(('3'!AC11*'3'!$O$9*1000000))/('3'!Y11*3600)</f>
        <v>0</v>
      </c>
      <c r="AE11" s="183"/>
      <c r="AF11" s="184">
        <f>('3'!AE11/24)*0.454</f>
        <v>0</v>
      </c>
      <c r="AG11" s="19"/>
      <c r="AH11" s="184">
        <f>('3'!AG11/24)*0.454</f>
        <v>0</v>
      </c>
      <c r="AI11" s="182">
        <v>5000</v>
      </c>
      <c r="AJ11" s="184">
        <f>('3'!AI11/24)*0.454</f>
        <v>94.583333333333343</v>
      </c>
      <c r="AK11" s="21"/>
      <c r="AL11" s="185">
        <f>('3'!AK11/24)*0.454</f>
        <v>0</v>
      </c>
      <c r="AM11" s="21"/>
      <c r="AN11" s="185">
        <f>('3'!AM11/24)*0.454</f>
        <v>0</v>
      </c>
      <c r="AO11" s="21"/>
      <c r="AP11" s="185">
        <f>('3'!AO11/24)*0.454</f>
        <v>0</v>
      </c>
    </row>
    <row r="12" spans="1:47" ht="18.75" customHeight="1">
      <c r="A12" s="28">
        <v>0.41666666666666702</v>
      </c>
      <c r="B12" s="186">
        <v>60</v>
      </c>
      <c r="C12" s="186">
        <v>12.5</v>
      </c>
      <c r="D12" s="186">
        <v>12.5</v>
      </c>
      <c r="E12" s="186">
        <v>2.5</v>
      </c>
      <c r="F12" s="186">
        <v>7.8</v>
      </c>
      <c r="G12" s="186">
        <v>1.6</v>
      </c>
      <c r="H12" s="186">
        <v>1.9</v>
      </c>
      <c r="I12" s="186">
        <v>0.4</v>
      </c>
      <c r="J12" s="186">
        <v>0.5</v>
      </c>
      <c r="K12" s="186">
        <v>7.3</v>
      </c>
      <c r="L12" s="220">
        <v>6.7</v>
      </c>
      <c r="M12" s="220">
        <v>6.7</v>
      </c>
      <c r="N12" s="186">
        <v>6.4</v>
      </c>
      <c r="O12" s="186">
        <v>2.8</v>
      </c>
      <c r="P12" s="186"/>
      <c r="Q12" s="188"/>
      <c r="R12" s="37">
        <f>'3'!Z15</f>
        <v>940</v>
      </c>
      <c r="S12" s="36">
        <f>'3'!AB15</f>
        <v>62.25847575793793</v>
      </c>
      <c r="T12" s="37">
        <f>'3'!Y15</f>
        <v>2789</v>
      </c>
      <c r="U12" s="43" t="str">
        <f>IF('3'!AA15=1,'3'!AR6,'3'!AR7)</f>
        <v>S.A.L</v>
      </c>
      <c r="V12" s="944">
        <f>ESCALA!$B$5</f>
        <v>0</v>
      </c>
      <c r="W12" s="944"/>
      <c r="X12" s="13">
        <v>0.29166666666666702</v>
      </c>
      <c r="Y12" s="54">
        <v>2754</v>
      </c>
      <c r="Z12" s="182">
        <v>940</v>
      </c>
      <c r="AA12" s="15">
        <v>1</v>
      </c>
      <c r="AB12" s="58">
        <f>IF('3'!AA12=1,(('3'!Z12*'3'!$AS$6*'3'!$AT$6)/('3'!Y12*0.0036)),IF('3'!AA12=2,(('3'!Z12*'3'!$AS$7*'3'!$AT$7)/('3'!Y12*0.0036))))</f>
        <v>63.049705478899376</v>
      </c>
      <c r="AC12" s="58"/>
      <c r="AD12" s="18">
        <f>(('3'!AC12*'3'!$O$9*1000000))/('3'!Y12*3600)</f>
        <v>0</v>
      </c>
      <c r="AE12" s="183"/>
      <c r="AF12" s="184">
        <f>('3'!AE12/24)*0.454</f>
        <v>0</v>
      </c>
      <c r="AG12" s="19"/>
      <c r="AH12" s="184">
        <f>('3'!AG12/24)*0.454</f>
        <v>0</v>
      </c>
      <c r="AI12" s="182">
        <v>5000</v>
      </c>
      <c r="AJ12" s="184">
        <f>('3'!AI12/24)*0.454</f>
        <v>94.583333333333343</v>
      </c>
      <c r="AK12" s="21"/>
      <c r="AL12" s="185">
        <f>('3'!AK12/24)*0.454</f>
        <v>0</v>
      </c>
      <c r="AM12" s="21"/>
      <c r="AN12" s="185">
        <f>('3'!AM12/24)*0.454</f>
        <v>0</v>
      </c>
      <c r="AO12" s="21"/>
      <c r="AP12" s="185">
        <f>('3'!AO12/24)*0.454</f>
        <v>0</v>
      </c>
    </row>
    <row r="13" spans="1:47" ht="18.75" customHeight="1">
      <c r="A13" s="28">
        <v>0.5</v>
      </c>
      <c r="B13" s="186">
        <v>60</v>
      </c>
      <c r="C13" s="186">
        <v>12.5</v>
      </c>
      <c r="D13" s="186">
        <v>12.5</v>
      </c>
      <c r="E13" s="186">
        <v>2.5</v>
      </c>
      <c r="F13" s="186">
        <v>8.1</v>
      </c>
      <c r="G13" s="186">
        <v>1.6</v>
      </c>
      <c r="H13" s="186">
        <v>1.9</v>
      </c>
      <c r="I13" s="186">
        <v>0.5</v>
      </c>
      <c r="J13" s="186">
        <v>0.5</v>
      </c>
      <c r="K13" s="186">
        <v>7.3</v>
      </c>
      <c r="L13" s="220">
        <v>6.7</v>
      </c>
      <c r="M13" s="220">
        <v>6.7</v>
      </c>
      <c r="N13" s="186">
        <v>6.4</v>
      </c>
      <c r="O13" s="186">
        <v>2.8</v>
      </c>
      <c r="P13" s="186"/>
      <c r="Q13" s="188"/>
      <c r="R13" s="37">
        <f>'3'!Z17</f>
        <v>940</v>
      </c>
      <c r="S13" s="36">
        <f>'3'!AB17</f>
        <v>61.859240786921589</v>
      </c>
      <c r="T13" s="37">
        <f>'3'!Y17</f>
        <v>2807</v>
      </c>
      <c r="U13" s="33" t="str">
        <f>IF('3'!AA17=1,'3'!AR6,'3'!AR7)</f>
        <v>S.A.L</v>
      </c>
      <c r="V13" s="944"/>
      <c r="W13" s="944"/>
      <c r="X13" s="13">
        <v>0.33333333333333298</v>
      </c>
      <c r="Y13" s="54">
        <v>2785</v>
      </c>
      <c r="Z13" s="182">
        <v>940</v>
      </c>
      <c r="AA13" s="15">
        <v>1</v>
      </c>
      <c r="AB13" s="58">
        <f>IF('3'!AA13=1,(('3'!Z13*'3'!$AS$6*'3'!$AT$6)/('3'!Y13*0.0036)),IF('3'!AA13=2,(('3'!Z13*'3'!$AS$7*'3'!$AT$7)/('3'!Y13*0.0036))))</f>
        <v>62.347895471773391</v>
      </c>
      <c r="AC13" s="58"/>
      <c r="AD13" s="18">
        <f>(('3'!AC13*'3'!$O$9*1000000))/('3'!Y13*3600)</f>
        <v>0</v>
      </c>
      <c r="AE13" s="183"/>
      <c r="AF13" s="184">
        <f>('3'!AE13/24)*0.454</f>
        <v>0</v>
      </c>
      <c r="AG13" s="19"/>
      <c r="AH13" s="184">
        <f>('3'!AG13/24)*0.454</f>
        <v>0</v>
      </c>
      <c r="AI13" s="182">
        <v>5000</v>
      </c>
      <c r="AJ13" s="184">
        <f>('3'!AI13/24)*0.454</f>
        <v>94.583333333333343</v>
      </c>
      <c r="AK13" s="21"/>
      <c r="AL13" s="185">
        <f>('3'!AK13/24)*0.454</f>
        <v>0</v>
      </c>
      <c r="AM13" s="21"/>
      <c r="AN13" s="185">
        <f>('3'!AM13/24)*0.454</f>
        <v>0</v>
      </c>
      <c r="AO13" s="21"/>
      <c r="AP13" s="185">
        <f>('3'!AO13/24)*0.454</f>
        <v>0</v>
      </c>
    </row>
    <row r="14" spans="1:47" ht="18.75" customHeight="1">
      <c r="A14" s="28">
        <v>0.58333333333333304</v>
      </c>
      <c r="B14" s="186">
        <v>60</v>
      </c>
      <c r="C14" s="186">
        <v>12.5</v>
      </c>
      <c r="D14" s="186">
        <v>12.5</v>
      </c>
      <c r="E14" s="186">
        <v>2.5</v>
      </c>
      <c r="F14" s="186">
        <v>8</v>
      </c>
      <c r="G14" s="186">
        <v>8</v>
      </c>
      <c r="H14" s="186">
        <v>1.7</v>
      </c>
      <c r="I14" s="186">
        <v>0.5</v>
      </c>
      <c r="J14" s="186">
        <v>0.6</v>
      </c>
      <c r="K14" s="186">
        <v>7.3</v>
      </c>
      <c r="L14" s="220">
        <v>6.7</v>
      </c>
      <c r="M14" s="220">
        <v>6.7</v>
      </c>
      <c r="N14" s="186">
        <v>6.4</v>
      </c>
      <c r="O14" s="186">
        <v>3</v>
      </c>
      <c r="P14" s="186"/>
      <c r="Q14" s="188"/>
      <c r="R14" s="37">
        <f>'3'!Z19</f>
        <v>940</v>
      </c>
      <c r="S14" s="36">
        <f>'3'!AB19</f>
        <v>63.279478458049894</v>
      </c>
      <c r="T14" s="37">
        <f>'3'!Y19</f>
        <v>2744</v>
      </c>
      <c r="U14" s="33" t="str">
        <f>IF('3'!AA19=1,'3'!AR6,'3'!AR7)</f>
        <v>S.A.L</v>
      </c>
      <c r="V14" s="944"/>
      <c r="W14" s="944"/>
      <c r="X14" s="13">
        <v>0.375</v>
      </c>
      <c r="Y14" s="54">
        <v>2814</v>
      </c>
      <c r="Z14" s="182">
        <v>940</v>
      </c>
      <c r="AA14" s="15">
        <v>1</v>
      </c>
      <c r="AB14" s="58">
        <f>IF('3'!AA14=1,(('3'!Z14*'3'!$AS$6*'3'!$AT$6)/('3'!Y14*0.0036)),IF('3'!AA14=2,(('3'!Z14*'3'!$AS$7*'3'!$AT$7)/('3'!Y14*0.0036))))</f>
        <v>61.705362078496407</v>
      </c>
      <c r="AC14" s="58"/>
      <c r="AD14" s="18">
        <f>(('3'!AC14*'3'!$O$9*1000000))/('3'!Y14*3600)</f>
        <v>0</v>
      </c>
      <c r="AE14" s="183"/>
      <c r="AF14" s="184">
        <f>('3'!AE14/24)*0.454</f>
        <v>0</v>
      </c>
      <c r="AG14" s="19"/>
      <c r="AH14" s="184">
        <f>('3'!AG14/24)*0.454</f>
        <v>0</v>
      </c>
      <c r="AI14" s="182">
        <v>5000</v>
      </c>
      <c r="AJ14" s="184">
        <f>('3'!AI14/24)*0.454</f>
        <v>94.583333333333343</v>
      </c>
      <c r="AK14" s="21"/>
      <c r="AL14" s="185">
        <f>('3'!AK14/24)*0.454</f>
        <v>0</v>
      </c>
      <c r="AM14" s="21"/>
      <c r="AN14" s="185">
        <f>('3'!AM14/24)*0.454</f>
        <v>0</v>
      </c>
      <c r="AO14" s="21"/>
      <c r="AP14" s="185">
        <f>('3'!AO14/24)*0.454</f>
        <v>0</v>
      </c>
    </row>
    <row r="15" spans="1:47" ht="18.75" customHeight="1">
      <c r="A15" s="28">
        <v>0.66666666666666696</v>
      </c>
      <c r="B15" s="186">
        <v>60</v>
      </c>
      <c r="C15" s="186">
        <v>12.5</v>
      </c>
      <c r="D15" s="186">
        <v>12.5</v>
      </c>
      <c r="E15" s="186">
        <v>2.5</v>
      </c>
      <c r="F15" s="186">
        <v>8.1999999999999993</v>
      </c>
      <c r="G15" s="186">
        <v>1.7</v>
      </c>
      <c r="H15" s="186">
        <v>1.9</v>
      </c>
      <c r="I15" s="186">
        <v>0.5</v>
      </c>
      <c r="J15" s="186">
        <v>0.6</v>
      </c>
      <c r="K15" s="186">
        <v>7.3</v>
      </c>
      <c r="L15" s="220">
        <v>6.7</v>
      </c>
      <c r="M15" s="220">
        <v>6.7</v>
      </c>
      <c r="N15" s="186">
        <v>6.4</v>
      </c>
      <c r="O15" s="186">
        <v>3</v>
      </c>
      <c r="P15" s="186"/>
      <c r="Q15" s="188"/>
      <c r="R15" s="37">
        <f>'3'!Z21</f>
        <v>940</v>
      </c>
      <c r="S15" s="36">
        <f>'3'!AB21</f>
        <v>60.375135218667907</v>
      </c>
      <c r="T15" s="37">
        <f>'3'!Y21</f>
        <v>2876</v>
      </c>
      <c r="U15" s="33" t="str">
        <f>IF('3'!AA21=1,'3'!AR6,'3'!AR7)</f>
        <v>S.A.L</v>
      </c>
      <c r="V15" s="944"/>
      <c r="W15" s="944"/>
      <c r="X15" s="13">
        <v>0.41666666666666702</v>
      </c>
      <c r="Y15" s="54">
        <v>2789</v>
      </c>
      <c r="Z15" s="182">
        <v>940</v>
      </c>
      <c r="AA15" s="15">
        <v>1</v>
      </c>
      <c r="AB15" s="58">
        <f>IF('3'!AA15=1,(('3'!Z15*'3'!$AS$6*'3'!$AT$6)/('3'!Y15*0.0036)),IF('3'!AA15=2,(('3'!Z15*'3'!$AS$7*'3'!$AT$7)/('3'!Y15*0.0036))))</f>
        <v>62.25847575793793</v>
      </c>
      <c r="AC15" s="58"/>
      <c r="AD15" s="18">
        <f>(('3'!AC15*'3'!$O$9*1000000))/('3'!Y15*3600)</f>
        <v>0</v>
      </c>
      <c r="AE15" s="183"/>
      <c r="AF15" s="184">
        <f>('3'!AE15/24)*0.454</f>
        <v>0</v>
      </c>
      <c r="AG15" s="19"/>
      <c r="AH15" s="184">
        <f>('3'!AG15/24)*0.454</f>
        <v>0</v>
      </c>
      <c r="AI15" s="182">
        <v>5000</v>
      </c>
      <c r="AJ15" s="184">
        <f>('3'!AI15/24)*0.454</f>
        <v>94.583333333333343</v>
      </c>
      <c r="AK15" s="21"/>
      <c r="AL15" s="185">
        <f>('3'!AK15/24)*0.454</f>
        <v>0</v>
      </c>
      <c r="AM15" s="21"/>
      <c r="AN15" s="185">
        <f>('3'!AM15/24)*0.454</f>
        <v>0</v>
      </c>
      <c r="AO15" s="21"/>
      <c r="AP15" s="185">
        <f>('3'!AO15/24)*0.454</f>
        <v>0</v>
      </c>
    </row>
    <row r="16" spans="1:47" ht="18.75" customHeight="1">
      <c r="A16" s="28">
        <v>0.75</v>
      </c>
      <c r="B16" s="186">
        <v>60</v>
      </c>
      <c r="C16" s="186">
        <v>12.5</v>
      </c>
      <c r="D16" s="186">
        <v>12.5</v>
      </c>
      <c r="E16" s="186">
        <v>2.5</v>
      </c>
      <c r="F16" s="186">
        <v>8.4</v>
      </c>
      <c r="G16" s="186">
        <v>1.7</v>
      </c>
      <c r="H16" s="186">
        <v>1.8</v>
      </c>
      <c r="I16" s="186">
        <v>0.5</v>
      </c>
      <c r="J16" s="186">
        <v>0.6</v>
      </c>
      <c r="K16" s="186">
        <v>7.3</v>
      </c>
      <c r="L16" s="220">
        <v>6.7</v>
      </c>
      <c r="M16" s="220">
        <v>6.7</v>
      </c>
      <c r="N16" s="186">
        <v>6.4</v>
      </c>
      <c r="O16" s="186">
        <v>3.3</v>
      </c>
      <c r="P16" s="186"/>
      <c r="Q16" s="188"/>
      <c r="R16" s="37">
        <f>'3'!Z23</f>
        <v>940</v>
      </c>
      <c r="S16" s="36">
        <f>'3'!AB23</f>
        <v>61.399889988998908</v>
      </c>
      <c r="T16" s="37">
        <f>'3'!Y23</f>
        <v>2828</v>
      </c>
      <c r="U16" s="33" t="str">
        <f>IF('3'!AA23=1,'3'!AR6,'3'!AR7)</f>
        <v>S.A.L</v>
      </c>
      <c r="V16" s="944"/>
      <c r="W16" s="944"/>
      <c r="X16" s="13">
        <v>0.45833333333333298</v>
      </c>
      <c r="Y16" s="54">
        <v>2791</v>
      </c>
      <c r="Z16" s="182">
        <v>940</v>
      </c>
      <c r="AA16" s="15">
        <v>1</v>
      </c>
      <c r="AB16" s="58">
        <f>IF('3'!AA16=1,(('3'!Z16*'3'!$AS$6*'3'!$AT$6)/('3'!Y16*0.0036)),IF('3'!AA16=2,(('3'!Z16*'3'!$AS$7*'3'!$AT$7)/('3'!Y16*0.0036))))</f>
        <v>62.213862016800036</v>
      </c>
      <c r="AC16" s="58"/>
      <c r="AD16" s="18">
        <f>(('3'!AC16*'3'!$O$9*1000000))/('3'!Y16*3600)</f>
        <v>0</v>
      </c>
      <c r="AE16" s="183"/>
      <c r="AF16" s="184">
        <f>('3'!AE16/24)*0.454</f>
        <v>0</v>
      </c>
      <c r="AG16" s="19"/>
      <c r="AH16" s="184">
        <f>('3'!AG16/24)*0.454</f>
        <v>0</v>
      </c>
      <c r="AI16" s="182">
        <v>5000</v>
      </c>
      <c r="AJ16" s="184">
        <f>('3'!AI16/24)*0.454</f>
        <v>94.583333333333343</v>
      </c>
      <c r="AK16" s="21"/>
      <c r="AL16" s="185">
        <f>('3'!AK16/24)*0.454</f>
        <v>0</v>
      </c>
      <c r="AM16" s="21"/>
      <c r="AN16" s="185">
        <f>('3'!AM16/24)*0.454</f>
        <v>0</v>
      </c>
      <c r="AO16" s="21"/>
      <c r="AP16" s="185">
        <f>('3'!AO16/24)*0.454</f>
        <v>0</v>
      </c>
    </row>
    <row r="17" spans="1:42" ht="18.75" customHeight="1">
      <c r="A17" s="28">
        <v>0.83333333333333304</v>
      </c>
      <c r="B17" s="186">
        <v>50</v>
      </c>
      <c r="C17" s="186">
        <v>10</v>
      </c>
      <c r="D17" s="186">
        <v>12.5</v>
      </c>
      <c r="E17" s="186">
        <v>2.5</v>
      </c>
      <c r="F17" s="186">
        <v>8.4</v>
      </c>
      <c r="G17" s="186">
        <v>1.4</v>
      </c>
      <c r="H17" s="186">
        <v>2</v>
      </c>
      <c r="I17" s="186">
        <v>0.5</v>
      </c>
      <c r="J17" s="186">
        <v>0.4</v>
      </c>
      <c r="K17" s="186">
        <v>7.3</v>
      </c>
      <c r="L17" s="220">
        <v>6.7</v>
      </c>
      <c r="M17" s="220">
        <v>6.7</v>
      </c>
      <c r="N17" s="186">
        <v>6.4</v>
      </c>
      <c r="O17" s="186">
        <v>3.7</v>
      </c>
      <c r="P17" s="186"/>
      <c r="Q17" s="188"/>
      <c r="R17" s="37">
        <f>'3'!Z25</f>
        <v>940</v>
      </c>
      <c r="S17" s="36">
        <f>'3'!AB25</f>
        <v>61.2698972790716</v>
      </c>
      <c r="T17" s="37">
        <f>'3'!Y25</f>
        <v>2834</v>
      </c>
      <c r="U17" s="33" t="str">
        <f>IF('3'!AA25=1,'3'!AR6,'3'!AR7)</f>
        <v>S.A.L</v>
      </c>
      <c r="V17" s="945">
        <f>ESCALA!$C$5</f>
        <v>0</v>
      </c>
      <c r="W17" s="945"/>
      <c r="X17" s="13">
        <v>0.5</v>
      </c>
      <c r="Y17" s="54">
        <v>2807</v>
      </c>
      <c r="Z17" s="182">
        <v>940</v>
      </c>
      <c r="AA17" s="15">
        <v>1</v>
      </c>
      <c r="AB17" s="58">
        <f>IF('3'!AA17=1,(('3'!Z17*'3'!$AS$6*'3'!$AT$6)/('3'!Y17*0.0036)),IF('3'!AA17=2,(('3'!Z17*'3'!$AS$7*'3'!$AT$7)/('3'!Y17*0.0036))))</f>
        <v>61.859240786921589</v>
      </c>
      <c r="AC17" s="58"/>
      <c r="AD17" s="18">
        <f>(('3'!AC17*'3'!$O$9*1000000))/('3'!Y17*3600)</f>
        <v>0</v>
      </c>
      <c r="AE17" s="183"/>
      <c r="AF17" s="184">
        <f>('3'!AE17/24)*0.454</f>
        <v>0</v>
      </c>
      <c r="AG17" s="19"/>
      <c r="AH17" s="184">
        <f>('3'!AG17/24)*0.454</f>
        <v>0</v>
      </c>
      <c r="AI17" s="182">
        <v>5000</v>
      </c>
      <c r="AJ17" s="184">
        <f>('3'!AI17/24)*0.454</f>
        <v>94.583333333333343</v>
      </c>
      <c r="AK17" s="21"/>
      <c r="AL17" s="185">
        <f>('3'!AK17/24)*0.454</f>
        <v>0</v>
      </c>
      <c r="AM17" s="21"/>
      <c r="AN17" s="185">
        <f>('3'!AM17/24)*0.454</f>
        <v>0</v>
      </c>
      <c r="AO17" s="21"/>
      <c r="AP17" s="185">
        <f>('3'!AO17/24)*0.454</f>
        <v>0</v>
      </c>
    </row>
    <row r="18" spans="1:42" ht="19.5" customHeight="1">
      <c r="A18" s="28">
        <v>0.91666666666666696</v>
      </c>
      <c r="B18" s="186">
        <v>50</v>
      </c>
      <c r="C18" s="186">
        <v>10</v>
      </c>
      <c r="D18" s="186">
        <v>12.5</v>
      </c>
      <c r="E18" s="186">
        <v>2.5</v>
      </c>
      <c r="F18" s="186">
        <v>8.4</v>
      </c>
      <c r="G18" s="186">
        <v>1.4</v>
      </c>
      <c r="H18" s="186">
        <v>2</v>
      </c>
      <c r="I18" s="186">
        <v>0.5</v>
      </c>
      <c r="J18" s="186">
        <v>0.4</v>
      </c>
      <c r="K18" s="186">
        <v>7.3</v>
      </c>
      <c r="L18" s="220">
        <v>6.7</v>
      </c>
      <c r="M18" s="220">
        <v>6.7</v>
      </c>
      <c r="N18" s="186">
        <v>6.4</v>
      </c>
      <c r="O18" s="186">
        <v>3.7</v>
      </c>
      <c r="P18" s="186"/>
      <c r="Q18" s="188"/>
      <c r="R18" s="37">
        <f>'3'!Z27</f>
        <v>940</v>
      </c>
      <c r="S18" s="36">
        <f>'3'!AB27</f>
        <v>61.74924924924926</v>
      </c>
      <c r="T18" s="37">
        <f>'3'!Y27</f>
        <v>2812</v>
      </c>
      <c r="U18" s="33" t="str">
        <f>IF('3'!AA27=1,'3'!AR6,'3'!AR7)</f>
        <v>S.A.L</v>
      </c>
      <c r="V18" s="945"/>
      <c r="W18" s="945"/>
      <c r="X18" s="13">
        <v>0.54166666666666696</v>
      </c>
      <c r="Y18" s="54">
        <v>2878</v>
      </c>
      <c r="Z18" s="182">
        <v>940</v>
      </c>
      <c r="AA18" s="15">
        <v>1</v>
      </c>
      <c r="AB18" s="58">
        <f>IF('3'!AA18=1,(('3'!Z18*'3'!$AS$6*'3'!$AT$6)/('3'!Y18*0.0036)),IF('3'!AA18=2,(('3'!Z18*'3'!$AS$7*'3'!$AT$7)/('3'!Y18*0.0036))))</f>
        <v>60.333178905103857</v>
      </c>
      <c r="AC18" s="58"/>
      <c r="AD18" s="18">
        <f>(('3'!AC18*'3'!$O$9*1000000))/('3'!Y18*3600)</f>
        <v>0</v>
      </c>
      <c r="AE18" s="183"/>
      <c r="AF18" s="184">
        <f>('3'!AE18/24)*0.454</f>
        <v>0</v>
      </c>
      <c r="AG18" s="19"/>
      <c r="AH18" s="184">
        <f>('3'!AG18/24)*0.454</f>
        <v>0</v>
      </c>
      <c r="AI18" s="182">
        <v>5000</v>
      </c>
      <c r="AJ18" s="184">
        <f>('3'!AI18/24)*0.454</f>
        <v>94.583333333333343</v>
      </c>
      <c r="AK18" s="21"/>
      <c r="AL18" s="185">
        <f>('3'!AK18/24)*0.454</f>
        <v>0</v>
      </c>
      <c r="AM18" s="21"/>
      <c r="AN18" s="185">
        <f>('3'!AM18/24)*0.454</f>
        <v>0</v>
      </c>
      <c r="AO18" s="21"/>
      <c r="AP18" s="185">
        <f>('3'!AO18/24)*0.454</f>
        <v>0</v>
      </c>
    </row>
    <row r="19" spans="1:42" ht="18.75" customHeight="1">
      <c r="A19" s="10" t="s">
        <v>52</v>
      </c>
      <c r="B19" s="69">
        <f t="array" ref="B19">IF('3'!B7:B18&gt;0.01,AVERAGE('3'!B7:B18),"")</f>
        <v>61.666666666666664</v>
      </c>
      <c r="C19" s="69">
        <f t="array" ref="C19">IF('3'!C7:C18&gt;0.01,AVERAGE('3'!C7:C18),"")</f>
        <v>12.083333333333334</v>
      </c>
      <c r="D19" s="69">
        <f t="array" ref="D19">IF('3'!D7:D18&gt;0.01,AVERAGE('3'!D7:D18),"")</f>
        <v>12.5</v>
      </c>
      <c r="E19" s="69">
        <f t="array" ref="E19">IF('3'!E7:E18&gt;0.01,AVERAGE('3'!E7:E18),"")</f>
        <v>2.5</v>
      </c>
      <c r="F19" s="69">
        <f t="array" ref="F19">IF('3'!F7:F18&gt;0.01,AVERAGE('3'!F7:F18),"")</f>
        <v>8.1416666666666693</v>
      </c>
      <c r="G19" s="69">
        <f t="array" ref="G19">IF('3'!G7:G18&gt;0.01,AVERAGE('3'!G7:G18),"")</f>
        <v>1.9999999999999993</v>
      </c>
      <c r="H19" s="69">
        <f t="array" ref="H19">IF('3'!H7:H18&gt;0.01,AVERAGE('3'!H7:H18),"")</f>
        <v>1.75</v>
      </c>
      <c r="I19" s="69">
        <f t="array" ref="I19">IF('3'!I7:I18&gt;0.01,AVERAGE('3'!I7:I18),"")</f>
        <v>0.43333333333333329</v>
      </c>
      <c r="J19" s="69">
        <f t="array" ref="J19">IF('3'!J7:J18&gt;0.01,AVERAGE('3'!J7:J18),"")</f>
        <v>0.45833333333333343</v>
      </c>
      <c r="K19" s="69">
        <f t="array" ref="K19">IF('3'!K7:K18&gt;0.01,AVERAGE('3'!K7:K18),"")</f>
        <v>7.299999999999998</v>
      </c>
      <c r="L19" s="221">
        <f t="array" ref="L19">IF('3'!L7:L18&gt;0.01,AVERAGE('3'!L7:L18),"")</f>
        <v>6.700000000000002</v>
      </c>
      <c r="M19" s="69">
        <f t="array" ref="M19">IF('3'!M7:M18&gt;0.01,AVERAGE('3'!M7:M18),"")</f>
        <v>6.700000000000002</v>
      </c>
      <c r="N19" s="69">
        <f t="array" ref="N19">IF('3'!N7:N18&gt;0.01,AVERAGE('3'!N7:N18),"")</f>
        <v>6.3999999999999995</v>
      </c>
      <c r="O19" s="69">
        <f t="array" ref="O19">IF('3'!O7:O18&gt;0.01,AVERAGE('3'!O7:O18),"")</f>
        <v>3.0083333333333342</v>
      </c>
      <c r="P19" s="190" t="str">
        <f t="array" ref="P19">IF('3'!P7:P18&gt;0.01,AVERAGE('3'!P7:P18),"")</f>
        <v/>
      </c>
      <c r="Q19" s="191" t="str">
        <f t="array" ref="Q19">IF('3'!Q7:Q18&gt;0.01,AVERAGE('3'!Q7:Q18),"")</f>
        <v/>
      </c>
      <c r="R19" s="191">
        <f t="array" ref="R19">IF('3'!R7:R18&gt;0.01,AVERAGE('3'!R7:R18),"")</f>
        <v>940</v>
      </c>
      <c r="S19" s="191">
        <f t="array" ref="S19">IF('3'!S7:S18&gt;0.01,AVERAGE('3'!S7:S18),"")</f>
        <v>62.47979147448347</v>
      </c>
      <c r="T19" s="946"/>
      <c r="U19" s="946"/>
      <c r="V19" s="49"/>
      <c r="W19" s="50"/>
      <c r="X19" s="13">
        <v>0.58333333333333304</v>
      </c>
      <c r="Y19" s="54">
        <v>2744</v>
      </c>
      <c r="Z19" s="182">
        <v>940</v>
      </c>
      <c r="AA19" s="15">
        <v>1</v>
      </c>
      <c r="AB19" s="58">
        <f>IF('3'!AA19=1,(('3'!Z19*'3'!$AS$6*'3'!$AT$6)/('3'!Y19*0.0036)),IF('3'!AA19=2,(('3'!Z19*'3'!$AS$7*'3'!$AT$7)/('3'!Y19*0.0036))))</f>
        <v>63.279478458049894</v>
      </c>
      <c r="AC19" s="58"/>
      <c r="AD19" s="18">
        <f>(('3'!AC19*'3'!$O$9*1000000))/('3'!Y19*3600)</f>
        <v>0</v>
      </c>
      <c r="AE19" s="183"/>
      <c r="AF19" s="184">
        <f>('3'!AE19/24)*0.454</f>
        <v>0</v>
      </c>
      <c r="AG19" s="19"/>
      <c r="AH19" s="184">
        <f>('3'!AG19/24)*0.454</f>
        <v>0</v>
      </c>
      <c r="AI19" s="182">
        <v>5000</v>
      </c>
      <c r="AJ19" s="184">
        <f>('3'!AI19/24)*0.454</f>
        <v>94.583333333333343</v>
      </c>
      <c r="AK19" s="21"/>
      <c r="AL19" s="185">
        <f>('3'!AK19/24)*0.454</f>
        <v>0</v>
      </c>
      <c r="AM19" s="21"/>
      <c r="AN19" s="185">
        <f>('3'!AM19/24)*0.454</f>
        <v>0</v>
      </c>
      <c r="AO19" s="21"/>
      <c r="AP19" s="185">
        <f>('3'!AO19/24)*0.454</f>
        <v>0</v>
      </c>
    </row>
    <row r="20" spans="1:42" ht="18.75" customHeight="1">
      <c r="A20" s="10" t="s">
        <v>53</v>
      </c>
      <c r="B20" s="69">
        <f>MAX('3'!B7:B18)</f>
        <v>70</v>
      </c>
      <c r="C20" s="69">
        <f>MAX('3'!C7:C18)</f>
        <v>12.5</v>
      </c>
      <c r="D20" s="69">
        <f>MAX('3'!D7:D18)</f>
        <v>12.5</v>
      </c>
      <c r="E20" s="69">
        <f>MAX('3'!E7:E18)</f>
        <v>2.5</v>
      </c>
      <c r="F20" s="69">
        <f>MAX('3'!F7:F18)</f>
        <v>8.4</v>
      </c>
      <c r="G20" s="69">
        <f>MAX('3'!G7:G18)</f>
        <v>8</v>
      </c>
      <c r="H20" s="69">
        <f>MAX('3'!H7:H18)</f>
        <v>2</v>
      </c>
      <c r="I20" s="69">
        <f>MAX('3'!I7:I18)</f>
        <v>0.5</v>
      </c>
      <c r="J20" s="69">
        <f>MAX('3'!J7:J18)</f>
        <v>0.6</v>
      </c>
      <c r="K20" s="69">
        <f>MAX('3'!K7:K18)</f>
        <v>7.3</v>
      </c>
      <c r="L20" s="221">
        <f>MAX('3'!L7:L18)</f>
        <v>6.7</v>
      </c>
      <c r="M20" s="69">
        <f>MAX('3'!M7:M18)</f>
        <v>6.7</v>
      </c>
      <c r="N20" s="69">
        <f>MAX('3'!N7:N18)</f>
        <v>6.4</v>
      </c>
      <c r="O20" s="70">
        <f>MAX('3'!O7:O18)</f>
        <v>3.7</v>
      </c>
      <c r="P20" s="70">
        <f>MAX('3'!P7:P18)</f>
        <v>0</v>
      </c>
      <c r="Q20" s="70">
        <f>MAX('3'!Q7:Q18)</f>
        <v>0</v>
      </c>
      <c r="R20" s="70">
        <f>MAX('3'!R7:R18)</f>
        <v>940</v>
      </c>
      <c r="S20" s="70">
        <f>MAX('3'!S7:S18)</f>
        <v>64.406116056709521</v>
      </c>
      <c r="T20" s="946"/>
      <c r="U20" s="946"/>
      <c r="X20" s="13">
        <v>0.625</v>
      </c>
      <c r="Y20" s="54">
        <v>2843</v>
      </c>
      <c r="Z20" s="182">
        <v>940</v>
      </c>
      <c r="AA20" s="15">
        <v>1</v>
      </c>
      <c r="AB20" s="58">
        <f>IF('3'!AA20=1,(('3'!Z20*'3'!$AS$6*'3'!$AT$6)/('3'!Y20*0.0036)),IF('3'!AA20=2,(('3'!Z20*'3'!$AS$7*'3'!$AT$7)/('3'!Y20*0.0036))))</f>
        <v>61.075936999257436</v>
      </c>
      <c r="AC20" s="58"/>
      <c r="AD20" s="18">
        <f>(('3'!AC20*'3'!$O$9*1000000))/('3'!Y20*3600)</f>
        <v>0</v>
      </c>
      <c r="AE20" s="183"/>
      <c r="AF20" s="184">
        <f>('3'!AE20/24)*0.454</f>
        <v>0</v>
      </c>
      <c r="AG20" s="19"/>
      <c r="AH20" s="184">
        <f>('3'!AG20/24)*0.454</f>
        <v>0</v>
      </c>
      <c r="AI20" s="182">
        <v>5000</v>
      </c>
      <c r="AJ20" s="184">
        <f>('3'!AI20/24)*0.454</f>
        <v>94.583333333333343</v>
      </c>
      <c r="AK20" s="21"/>
      <c r="AL20" s="185">
        <f>('3'!AK20/24)*0.454</f>
        <v>0</v>
      </c>
      <c r="AM20" s="21"/>
      <c r="AN20" s="185">
        <f>('3'!AM20/24)*0.454</f>
        <v>0</v>
      </c>
      <c r="AO20" s="21"/>
      <c r="AP20" s="185">
        <f>('3'!AO20/24)*0.454</f>
        <v>0</v>
      </c>
    </row>
    <row r="21" spans="1:42" ht="19.5" customHeight="1">
      <c r="A21" s="10" t="s">
        <v>54</v>
      </c>
      <c r="B21" s="189">
        <f>MIN('3'!B7:B18)</f>
        <v>50</v>
      </c>
      <c r="C21" s="69">
        <f>MIN('3'!C7:C18)</f>
        <v>10</v>
      </c>
      <c r="D21" s="69">
        <f>MIN('3'!D7:D18)</f>
        <v>12.5</v>
      </c>
      <c r="E21" s="69">
        <f>MIN('3'!E7:E18)</f>
        <v>2.5</v>
      </c>
      <c r="F21" s="69">
        <f>MIN('3'!F7:F18)</f>
        <v>7.7</v>
      </c>
      <c r="G21" s="192">
        <f>MIN('3'!G7:G18)</f>
        <v>1.2</v>
      </c>
      <c r="H21" s="192">
        <f>MIN('3'!H7:H18)</f>
        <v>1.5</v>
      </c>
      <c r="I21" s="192">
        <f>MIN('3'!I7:I18)</f>
        <v>0.3</v>
      </c>
      <c r="J21" s="192">
        <f>MIN('3'!J7:J18)</f>
        <v>0.3</v>
      </c>
      <c r="K21" s="192">
        <f>MIN('3'!K7:K18)</f>
        <v>7.3</v>
      </c>
      <c r="L21" s="222">
        <f>MIN('3'!L7:L18)</f>
        <v>6.7</v>
      </c>
      <c r="M21" s="192">
        <f>MIN('3'!M7:M18)</f>
        <v>6.7</v>
      </c>
      <c r="N21" s="192">
        <f>MIN('3'!N7:N18)</f>
        <v>6.4</v>
      </c>
      <c r="O21" s="193">
        <f>MIN('3'!O7:O18)</f>
        <v>2.7</v>
      </c>
      <c r="P21" s="193">
        <f>MIN('3'!P7:P18)</f>
        <v>0</v>
      </c>
      <c r="Q21" s="193">
        <f>MIN('3'!Q7:Q18)</f>
        <v>0</v>
      </c>
      <c r="R21" s="193">
        <f>MIN('3'!R7:R18)</f>
        <v>940</v>
      </c>
      <c r="S21" s="193">
        <f>MIN('3'!S7:S18)</f>
        <v>60.375135218667907</v>
      </c>
      <c r="T21" s="946"/>
      <c r="U21" s="946"/>
      <c r="X21" s="13">
        <v>0.66666666666666696</v>
      </c>
      <c r="Y21" s="54">
        <v>2876</v>
      </c>
      <c r="Z21" s="182">
        <v>940</v>
      </c>
      <c r="AA21" s="15">
        <v>1</v>
      </c>
      <c r="AB21" s="58">
        <f>IF('3'!AA21=1,(('3'!Z21*'3'!$AS$6*'3'!$AT$6)/('3'!Y21*0.0036)),IF('3'!AA21=2,(('3'!Z21*'3'!$AS$7*'3'!$AT$7)/('3'!Y21*0.0036))))</f>
        <v>60.375135218667907</v>
      </c>
      <c r="AC21" s="58"/>
      <c r="AD21" s="18">
        <f>(('3'!AC21*'3'!$O$9*1000000))/('3'!Y21*3600)</f>
        <v>0</v>
      </c>
      <c r="AE21" s="183"/>
      <c r="AF21" s="184">
        <f>('3'!AE21/24)*0.454</f>
        <v>0</v>
      </c>
      <c r="AG21" s="19"/>
      <c r="AH21" s="184">
        <f>('3'!AG21/24)*0.454</f>
        <v>0</v>
      </c>
      <c r="AI21" s="182">
        <v>5000</v>
      </c>
      <c r="AJ21" s="184">
        <f>('3'!AI21/24)*0.454</f>
        <v>94.583333333333343</v>
      </c>
      <c r="AK21" s="21"/>
      <c r="AL21" s="185">
        <f>('3'!AK21/24)*0.454</f>
        <v>0</v>
      </c>
      <c r="AM21" s="21"/>
      <c r="AN21" s="185">
        <f>('3'!AM21/24)*0.454</f>
        <v>0</v>
      </c>
      <c r="AO21" s="21"/>
      <c r="AP21" s="185">
        <f>('3'!AO21/24)*0.454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223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54">
        <v>2777</v>
      </c>
      <c r="Z22" s="182">
        <v>940</v>
      </c>
      <c r="AA22" s="15">
        <v>1</v>
      </c>
      <c r="AB22" s="58">
        <f>IF('3'!AA22=1,(('3'!Z22*'3'!$AS$6*'3'!$AT$6)/('3'!Y22*0.0036)),IF('3'!AA22=2,(('3'!Z22*'3'!$AS$7*'3'!$AT$7)/('3'!Y22*0.0036))))</f>
        <v>62.527507702156612</v>
      </c>
      <c r="AC22" s="58"/>
      <c r="AD22" s="18">
        <f>(('3'!AC22*'3'!$O$9*1000000))/('3'!Y22*3600)</f>
        <v>0</v>
      </c>
      <c r="AE22" s="183"/>
      <c r="AF22" s="184">
        <f>('3'!AE22/24)*0.454</f>
        <v>0</v>
      </c>
      <c r="AG22" s="19"/>
      <c r="AH22" s="184">
        <f>('3'!AG22/24)*0.454</f>
        <v>0</v>
      </c>
      <c r="AI22" s="182">
        <v>5000</v>
      </c>
      <c r="AJ22" s="184">
        <f>('3'!AI22/24)*0.454</f>
        <v>94.583333333333343</v>
      </c>
      <c r="AK22" s="21"/>
      <c r="AL22" s="185">
        <f>('3'!AK22/24)*0.454</f>
        <v>0</v>
      </c>
      <c r="AM22" s="21"/>
      <c r="AN22" s="185">
        <f>('3'!AM22/24)*0.454</f>
        <v>0</v>
      </c>
      <c r="AO22" s="21"/>
      <c r="AP22" s="185">
        <f>('3'!AO22/24)*0.454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54">
        <v>2828</v>
      </c>
      <c r="Z23" s="182">
        <v>940</v>
      </c>
      <c r="AA23" s="15">
        <v>1</v>
      </c>
      <c r="AB23" s="58">
        <f>IF('3'!AA23=1,(('3'!Z23*'3'!$AS$6*'3'!$AT$6)/('3'!Y23*0.0036)),IF('3'!AA23=2,(('3'!Z23*'3'!$AS$7*'3'!$AT$7)/('3'!Y23*0.0036))))</f>
        <v>61.399889988998908</v>
      </c>
      <c r="AC23" s="58"/>
      <c r="AD23" s="18">
        <f>(('3'!AC23*'3'!$O$9*1000000))/('3'!Y23*3600)</f>
        <v>0</v>
      </c>
      <c r="AE23" s="183"/>
      <c r="AF23" s="184">
        <f>('3'!AE23/24)*0.454</f>
        <v>0</v>
      </c>
      <c r="AG23" s="19"/>
      <c r="AH23" s="184">
        <f>('3'!AG23/24)*0.454</f>
        <v>0</v>
      </c>
      <c r="AI23" s="182">
        <v>5000</v>
      </c>
      <c r="AJ23" s="184">
        <f>('3'!AI23/24)*0.454</f>
        <v>94.583333333333343</v>
      </c>
      <c r="AK23" s="21"/>
      <c r="AL23" s="185">
        <f>('3'!AK23/24)*0.454</f>
        <v>0</v>
      </c>
      <c r="AM23" s="21"/>
      <c r="AN23" s="185">
        <f>('3'!AM23/24)*0.454</f>
        <v>0</v>
      </c>
      <c r="AO23" s="21"/>
      <c r="AP23" s="185">
        <f>('3'!AO23/24)*0.454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104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54">
        <v>2847</v>
      </c>
      <c r="Z24" s="182">
        <v>940</v>
      </c>
      <c r="AA24" s="15">
        <v>1</v>
      </c>
      <c r="AB24" s="16">
        <f>IF('3'!AA24=1,(('3'!Z24*'3'!$AS$6*'3'!$AT$6)/('3'!Y24*0.0036)),IF('3'!AA24=2,(('3'!Z24*'3'!$AS$7*'3'!$AT$7)/('3'!Y24*0.0036))))</f>
        <v>60.990126058619211</v>
      </c>
      <c r="AC24" s="16"/>
      <c r="AD24" s="194">
        <f>(('3'!AC24*'3'!$O$9*1000000))/('3'!Y24*3600)</f>
        <v>0</v>
      </c>
      <c r="AE24" s="183"/>
      <c r="AF24" s="195">
        <f>('3'!AE24/24)*0.454</f>
        <v>0</v>
      </c>
      <c r="AG24" s="173"/>
      <c r="AH24" s="195">
        <f>('3'!AG24/24)*0.454</f>
        <v>0</v>
      </c>
      <c r="AI24" s="182">
        <v>5000</v>
      </c>
      <c r="AJ24" s="195">
        <f>('3'!AI24/24)*0.454</f>
        <v>94.583333333333343</v>
      </c>
      <c r="AK24" s="21"/>
      <c r="AL24" s="196">
        <f>('3'!AK24/24)*0.454</f>
        <v>0</v>
      </c>
      <c r="AM24" s="197"/>
      <c r="AN24" s="196">
        <f>('3'!AM24/24)*0.454</f>
        <v>0</v>
      </c>
      <c r="AO24" s="21"/>
      <c r="AP24" s="196">
        <f>('3'!AO24/24)*0.454</f>
        <v>0</v>
      </c>
    </row>
    <row r="25" spans="1:42" ht="19.5" customHeight="1">
      <c r="A25" s="64">
        <v>0.41666666666666702</v>
      </c>
      <c r="B25" s="198" t="s">
        <v>131</v>
      </c>
      <c r="C25" s="198">
        <v>0.42</v>
      </c>
      <c r="D25" s="198">
        <v>0.44</v>
      </c>
      <c r="E25" s="199">
        <v>0.46</v>
      </c>
      <c r="F25" s="199">
        <v>0.52</v>
      </c>
      <c r="G25" s="199">
        <v>0.49</v>
      </c>
      <c r="H25" s="199">
        <v>0.45</v>
      </c>
      <c r="I25" s="199">
        <v>0.4</v>
      </c>
      <c r="J25" s="199" t="s">
        <v>131</v>
      </c>
      <c r="K25" s="199">
        <v>0.43</v>
      </c>
      <c r="L25" s="199">
        <v>0.39</v>
      </c>
      <c r="M25" s="199">
        <v>0.47</v>
      </c>
      <c r="N25" s="199">
        <v>0.42</v>
      </c>
      <c r="O25" s="199">
        <v>0.43</v>
      </c>
      <c r="P25" s="199">
        <v>0.39</v>
      </c>
      <c r="Q25" s="199" t="s">
        <v>131</v>
      </c>
      <c r="R25" s="65" t="e">
        <f>#DIV/0!</f>
        <v>#DIV/0!</v>
      </c>
      <c r="S25" s="66"/>
      <c r="T25" s="950" t="s">
        <v>0</v>
      </c>
      <c r="U25" s="951">
        <f>ESCALA!$A$5</f>
        <v>43893</v>
      </c>
      <c r="X25" s="13">
        <v>0.83333333333333304</v>
      </c>
      <c r="Y25" s="54">
        <v>2834</v>
      </c>
      <c r="Z25" s="182">
        <v>940</v>
      </c>
      <c r="AA25" s="15">
        <v>1</v>
      </c>
      <c r="AB25" s="58">
        <f>IF('3'!AA25=1,(('3'!Z25*'3'!$AS$6*'3'!$AT$6)/('3'!Y25*0.0036)),IF('3'!AA25=2,(('3'!Z25*'3'!$AS$7*'3'!$AT$7)/('3'!Y25*0.0036))))</f>
        <v>61.2698972790716</v>
      </c>
      <c r="AC25" s="58"/>
      <c r="AD25" s="18">
        <f>(('3'!AC25*'3'!$O$9*1000000))/('3'!Y25*3600)</f>
        <v>0</v>
      </c>
      <c r="AE25" s="183"/>
      <c r="AF25" s="184">
        <f>('3'!AE25/24)*0.454</f>
        <v>0</v>
      </c>
      <c r="AG25" s="19"/>
      <c r="AH25" s="184">
        <f>('3'!AG25/24)*0.454</f>
        <v>0</v>
      </c>
      <c r="AI25" s="182">
        <v>5000</v>
      </c>
      <c r="AJ25" s="184">
        <f>('3'!AI25/24)*0.454</f>
        <v>94.583333333333343</v>
      </c>
      <c r="AK25" s="21"/>
      <c r="AL25" s="185">
        <f>('3'!AK25/24)*0.454</f>
        <v>0</v>
      </c>
      <c r="AM25" s="21"/>
      <c r="AN25" s="185">
        <f>('3'!AM25/24)*0.454</f>
        <v>0</v>
      </c>
      <c r="AO25" s="21"/>
      <c r="AP25" s="185">
        <f>('3'!AO25/24)*0.454</f>
        <v>0</v>
      </c>
    </row>
    <row r="26" spans="1:42" ht="19.5" customHeight="1">
      <c r="A26" s="64">
        <v>0.66666666666666696</v>
      </c>
      <c r="B26" s="206"/>
      <c r="C26" s="206"/>
      <c r="D26" s="207"/>
      <c r="E26" s="207"/>
      <c r="F26" s="207"/>
      <c r="G26" s="207"/>
      <c r="H26" s="206"/>
      <c r="I26" s="206"/>
      <c r="J26" s="206"/>
      <c r="K26" s="104"/>
      <c r="L26" s="104"/>
      <c r="M26" s="104"/>
      <c r="N26" s="224"/>
      <c r="O26" s="224"/>
      <c r="P26" s="224"/>
      <c r="Q26" s="224"/>
      <c r="R26" s="65" t="e">
        <f>#DIV/0!</f>
        <v>#DIV/0!</v>
      </c>
      <c r="S26" s="67"/>
      <c r="T26" s="950"/>
      <c r="U26" s="951"/>
      <c r="X26" s="13">
        <v>0.875</v>
      </c>
      <c r="Y26" s="54">
        <v>2802</v>
      </c>
      <c r="Z26" s="182">
        <v>940</v>
      </c>
      <c r="AA26" s="15">
        <v>1</v>
      </c>
      <c r="AB26" s="58">
        <f>IF('3'!AA26=1,(('3'!Z26*'3'!$AS$6*'3'!$AT$6)/('3'!Y26*0.0036)),IF('3'!AA26=2,(('3'!Z26*'3'!$AS$7*'3'!$AT$7)/('3'!Y26*0.0036))))</f>
        <v>61.969624871123806</v>
      </c>
      <c r="AC26" s="58"/>
      <c r="AD26" s="18">
        <f>(('3'!AC26*'3'!$O$9*1000000))/('3'!Y26*3600)</f>
        <v>0</v>
      </c>
      <c r="AE26" s="183"/>
      <c r="AF26" s="184">
        <f>('3'!AE26/24)*0.454</f>
        <v>0</v>
      </c>
      <c r="AG26" s="19"/>
      <c r="AH26" s="184">
        <f>('3'!AG26/24)*0.454</f>
        <v>0</v>
      </c>
      <c r="AI26" s="182">
        <v>5000</v>
      </c>
      <c r="AJ26" s="184">
        <f>('3'!AI26/24)*0.454</f>
        <v>94.583333333333343</v>
      </c>
      <c r="AK26" s="21"/>
      <c r="AL26" s="185">
        <f>('3'!AK26/24)*0.454</f>
        <v>0</v>
      </c>
      <c r="AM26" s="21"/>
      <c r="AN26" s="185">
        <f>('3'!AM26/24)*0.454</f>
        <v>0</v>
      </c>
      <c r="AO26" s="21"/>
      <c r="AP26" s="185">
        <f>('3'!AO26/24)*0.454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221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54">
        <v>2812</v>
      </c>
      <c r="Z27" s="182">
        <v>940</v>
      </c>
      <c r="AA27" s="15">
        <v>1</v>
      </c>
      <c r="AB27" s="58">
        <f>IF('3'!AA27=1,(('3'!Z27*'3'!$AS$6*'3'!$AT$6)/('3'!Y27*0.0036)),IF('3'!AA27=2,(('3'!Z27*'3'!$AS$7*'3'!$AT$7)/('3'!Y27*0.0036))))</f>
        <v>61.74924924924926</v>
      </c>
      <c r="AC27" s="58"/>
      <c r="AD27" s="18">
        <f>(('3'!AC27*'3'!$O$9*1000000))/('3'!Y27*3600)</f>
        <v>0</v>
      </c>
      <c r="AE27" s="183"/>
      <c r="AF27" s="184">
        <f>('3'!AE27/24)*0.454</f>
        <v>0</v>
      </c>
      <c r="AG27" s="19"/>
      <c r="AH27" s="184">
        <f>('3'!AG27/24)*0.454</f>
        <v>0</v>
      </c>
      <c r="AI27" s="182">
        <v>5000</v>
      </c>
      <c r="AJ27" s="184">
        <f>('3'!AI27/24)*0.454</f>
        <v>94.583333333333343</v>
      </c>
      <c r="AK27" s="21"/>
      <c r="AL27" s="185">
        <f>('3'!AK27/24)*0.454</f>
        <v>0</v>
      </c>
      <c r="AM27" s="21"/>
      <c r="AN27" s="185">
        <f>('3'!AM27/24)*0.454</f>
        <v>0</v>
      </c>
      <c r="AO27" s="21"/>
      <c r="AP27" s="185">
        <f>('3'!AO27/24)*0.454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4">
        <v>2814</v>
      </c>
      <c r="Z28" s="182">
        <v>940</v>
      </c>
      <c r="AA28" s="15">
        <v>1</v>
      </c>
      <c r="AB28" s="58">
        <f>IF('3'!AA28=1,(('3'!Z28*'3'!$AS$6*'3'!$AT$6)/('3'!Y28*0.0036)),IF('3'!AA28=2,(('3'!Z28*'3'!$AS$7*'3'!$AT$7)/('3'!Y28*0.0036))))</f>
        <v>61.705362078496407</v>
      </c>
      <c r="AC28" s="58"/>
      <c r="AD28" s="18">
        <f>(('3'!AC28*'3'!$O$9*1000000))/('3'!Y28*3600)</f>
        <v>0</v>
      </c>
      <c r="AE28" s="183"/>
      <c r="AF28" s="184">
        <f>('3'!AE28/24)*0.454</f>
        <v>0</v>
      </c>
      <c r="AG28" s="19"/>
      <c r="AH28" s="184">
        <f>('3'!AG28/24)*0.454</f>
        <v>0</v>
      </c>
      <c r="AI28" s="182">
        <v>5000</v>
      </c>
      <c r="AJ28" s="184">
        <f>('3'!AI28/24)*0.454</f>
        <v>94.583333333333343</v>
      </c>
      <c r="AK28" s="21"/>
      <c r="AL28" s="185">
        <f>('3'!AK28/24)*0.454</f>
        <v>0</v>
      </c>
      <c r="AM28" s="21"/>
      <c r="AN28" s="185">
        <f>('3'!AM28/24)*0.454</f>
        <v>0</v>
      </c>
      <c r="AO28" s="21"/>
      <c r="AP28" s="185">
        <f>('3'!AO28/24)*0.454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4">
        <v>2786</v>
      </c>
      <c r="Z29" s="182">
        <v>940</v>
      </c>
      <c r="AA29" s="15">
        <v>1</v>
      </c>
      <c r="AB29" s="58">
        <f>IF('3'!AA29=1,(('3'!Z29*'3'!$AS$6*'3'!$AT$6)/('3'!Y29*0.0036)),IF('3'!AA29=2,(('3'!Z29*'3'!$AS$7*'3'!$AT$7)/('3'!Y29*0.0036))))</f>
        <v>62.325516471245116</v>
      </c>
      <c r="AC29" s="58"/>
      <c r="AD29" s="18">
        <f>(('3'!AC29*'3'!$O$9*1000000))/('3'!Y29*3600)</f>
        <v>0</v>
      </c>
      <c r="AE29" s="183"/>
      <c r="AF29" s="184">
        <f>('3'!AE29/24)*0.454</f>
        <v>0</v>
      </c>
      <c r="AG29" s="19"/>
      <c r="AH29" s="184">
        <f>('3'!AG29/24)*0.454</f>
        <v>0</v>
      </c>
      <c r="AI29" s="182">
        <v>5000</v>
      </c>
      <c r="AJ29" s="184">
        <f>('3'!AI29/24)*0.454</f>
        <v>94.583333333333343</v>
      </c>
      <c r="AK29" s="21"/>
      <c r="AL29" s="185">
        <f>('3'!AK29/24)*0.454</f>
        <v>0</v>
      </c>
      <c r="AM29" s="21"/>
      <c r="AN29" s="185">
        <f>('3'!AM29/24)*0.454</f>
        <v>0</v>
      </c>
      <c r="AO29" s="21"/>
      <c r="AP29" s="185">
        <f>('3'!AO29/24)*0.454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SUM('3'!Y6:Y29)*3.6</f>
        <v>241214.4</v>
      </c>
      <c r="Z30" s="82">
        <f>SUM('3'!Z6:Z29)</f>
        <v>22560</v>
      </c>
      <c r="AA30" s="78"/>
      <c r="AB30" s="79"/>
      <c r="AC30" s="78"/>
      <c r="AD30" s="79"/>
      <c r="AE30" s="34"/>
      <c r="AF30" s="184">
        <f>SUM('3'!AF6:AF29)</f>
        <v>0</v>
      </c>
      <c r="AG30" s="34"/>
      <c r="AH30" s="184">
        <f>SUM('3'!AH6:AH29)</f>
        <v>0</v>
      </c>
      <c r="AI30" s="34"/>
      <c r="AJ30" s="184">
        <f>SUM('3'!AJ6:AJ29)</f>
        <v>2270</v>
      </c>
      <c r="AK30" s="80"/>
      <c r="AL30" s="185">
        <f>SUM('3'!AL6:AL29)</f>
        <v>0</v>
      </c>
      <c r="AM30" s="80"/>
      <c r="AN30" s="185">
        <f>SUM('3'!AN6:AN29)</f>
        <v>0</v>
      </c>
      <c r="AO30" s="80"/>
      <c r="AP30" s="185">
        <f>SUM('3'!AP6:AP29)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SUMIF('3'!AA6:AA29,"=1",'3'!Z6:Z29)</f>
        <v>22560</v>
      </c>
      <c r="AA32" s="82">
        <f>'3'!Z32*'3'!AS6</f>
        <v>30004.800000000003</v>
      </c>
      <c r="AB32" s="83">
        <f>SUMIF('3'!$AA$6:$AA$29,"=1",'3'!$AB$6:$AB$29)/COUNTIF('3'!$AA$6:$AA$29,"=1")</f>
        <v>62.212284904285646</v>
      </c>
      <c r="AC32" s="84">
        <f>SUMIF('3'!AA6:AA29,"=1",'3'!AC6:AC29)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SUMIF('3'!AA6:AA29,"=2",'3'!Z6:Z29)</f>
        <v>0</v>
      </c>
      <c r="AA33" s="82">
        <f>'3'!Z33*'3'!AS7</f>
        <v>0</v>
      </c>
      <c r="AB33" s="83" t="e">
        <f>SUMIF('3'!$AA$6:$AA$29,"=2",'3'!$AB$6:$AB$29)/COUNTIF('3'!$AA$6:$AA$29,"=2")</f>
        <v>#DIV/0!</v>
      </c>
      <c r="AC33" s="89">
        <f>SUMIF('3'!AA6:AA29,"=2",'3'!AC6:AC29)</f>
        <v>0</v>
      </c>
      <c r="AD33" s="89"/>
      <c r="AE33" s="90"/>
      <c r="AF33" s="91"/>
      <c r="AG33" s="90"/>
      <c r="AH33" s="91"/>
      <c r="AI33" s="90"/>
      <c r="AJ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AVERAGE('3'!Y6:Y29)</f>
        <v>2791.8333333333335</v>
      </c>
      <c r="Z34" s="96">
        <f>AVERAGE('3'!Z6:Z29)</f>
        <v>940</v>
      </c>
      <c r="AA34" s="97"/>
      <c r="AB34" s="97"/>
      <c r="AC34" s="98">
        <f>SUM('3'!AC6:AC29)/COUNTIF('3'!AC6:AC29,"&lt;&gt;0")</f>
        <v>0</v>
      </c>
      <c r="AD34" s="99" t="e">
        <f>SUM('3'!AD6:AD29)/COUNTIF('3'!AD6:AD29,"&lt;&gt;0")</f>
        <v>#DIV/0!</v>
      </c>
      <c r="AE34" s="78"/>
      <c r="AF34" s="98">
        <f>AVERAGE('3'!AF6:AF29)</f>
        <v>0</v>
      </c>
      <c r="AG34" s="98"/>
      <c r="AH34" s="98">
        <f>AVERAGE('3'!AH6:AH29)</f>
        <v>0</v>
      </c>
      <c r="AI34" s="98"/>
      <c r="AJ34" s="98">
        <f>'3'!AJ30/24</f>
        <v>94.583333333333329</v>
      </c>
      <c r="AK34" s="98"/>
      <c r="AL34" s="98">
        <f>AVERAGE('3'!AL6:AL29)</f>
        <v>0</v>
      </c>
      <c r="AM34" s="98"/>
      <c r="AN34" s="98">
        <f>AVERAGE('3'!AN6:AN29)</f>
        <v>0</v>
      </c>
      <c r="AO34" s="98"/>
      <c r="AP34" s="98">
        <f>AVERAGE('3'!AP6:AP29)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957" t="s">
        <v>15</v>
      </c>
      <c r="X35" s="958" t="s">
        <v>66</v>
      </c>
      <c r="Y35" s="958"/>
      <c r="Z35" s="103"/>
      <c r="AA35" s="958" t="s">
        <v>67</v>
      </c>
      <c r="AB35" s="958"/>
      <c r="AJ35" s="1030" t="s">
        <v>68</v>
      </c>
      <c r="AK35" s="1030"/>
      <c r="AL35" s="1030"/>
      <c r="AM35" s="1030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957"/>
      <c r="X36" s="225" t="s">
        <v>73</v>
      </c>
      <c r="Y36" s="106"/>
      <c r="Z36" s="107"/>
      <c r="AA36" s="108" t="s">
        <v>74</v>
      </c>
      <c r="AB36" s="106">
        <v>7</v>
      </c>
      <c r="AJ36" s="1030"/>
      <c r="AK36" s="1030"/>
      <c r="AL36" s="1030"/>
      <c r="AM36" s="1030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206">
        <v>84.3</v>
      </c>
      <c r="D37" s="206">
        <v>54.2</v>
      </c>
      <c r="E37" s="207">
        <v>48.2</v>
      </c>
      <c r="F37" s="207"/>
      <c r="G37" s="207"/>
      <c r="H37" s="207"/>
      <c r="I37" s="206">
        <v>0.1</v>
      </c>
      <c r="J37" s="206">
        <v>0.06</v>
      </c>
      <c r="K37" s="206">
        <v>0.03</v>
      </c>
      <c r="L37" s="961">
        <v>0.05</v>
      </c>
      <c r="M37" s="961"/>
      <c r="N37" s="961"/>
      <c r="O37" s="10"/>
      <c r="P37" s="10"/>
      <c r="Q37" s="10"/>
      <c r="R37" s="10"/>
      <c r="S37" s="10"/>
      <c r="T37" s="10"/>
      <c r="U37" s="226">
        <f>'3'!V12</f>
        <v>0</v>
      </c>
      <c r="X37" s="1031" t="s">
        <v>75</v>
      </c>
      <c r="Y37" s="1031"/>
      <c r="Z37" s="110">
        <f>COUNTA('3'!Z6:Z29)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114" t="s">
        <v>78</v>
      </c>
      <c r="AK38" s="211">
        <f>SUM('3'!AF30+'3'!AH30)</f>
        <v>0</v>
      </c>
      <c r="AL38" s="114" t="s">
        <v>78</v>
      </c>
      <c r="AM38" s="212">
        <f>SUM('3'!AL30+'3'!AN30)</f>
        <v>0</v>
      </c>
      <c r="AO38" s="114" t="s">
        <v>78</v>
      </c>
      <c r="AP38" s="211">
        <f>'3'!AJ30</f>
        <v>2270</v>
      </c>
      <c r="AQ38" s="114" t="s">
        <v>78</v>
      </c>
      <c r="AR38" s="212">
        <f>'3'!AP30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125" t="s">
        <v>86</v>
      </c>
      <c r="AK39" s="214">
        <f>('3'!AK38/'3'!Y30)*1000</f>
        <v>0</v>
      </c>
      <c r="AL39" s="125" t="s">
        <v>86</v>
      </c>
      <c r="AM39" s="216">
        <f>('3'!AM38/'3'!Y28)*1000</f>
        <v>0</v>
      </c>
      <c r="AO39" s="125" t="s">
        <v>86</v>
      </c>
      <c r="AP39" s="214">
        <f>('3'!AP38/'3'!Y28)*1000</f>
        <v>806.68088130774697</v>
      </c>
      <c r="AQ39" s="125" t="s">
        <v>86</v>
      </c>
      <c r="AR39" s="216">
        <f>('3'!AR38/'3'!Y28)*1000</f>
        <v>0</v>
      </c>
    </row>
    <row r="40" spans="1:44" ht="15.7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92" t="s">
        <v>90</v>
      </c>
      <c r="AK40" s="992"/>
      <c r="AL40" s="975">
        <f>SUM('3'!AK38,'3'!AM38)</f>
        <v>0</v>
      </c>
      <c r="AM40" s="975"/>
      <c r="AO40" s="992" t="s">
        <v>90</v>
      </c>
      <c r="AP40" s="992"/>
      <c r="AQ40" s="977">
        <f>SUM('3'!AP38,'3'!AR38)</f>
        <v>2270</v>
      </c>
      <c r="AR40" s="977"/>
    </row>
    <row r="41" spans="1:44" ht="16.5" customHeight="1">
      <c r="A41" s="133">
        <f>COUNTA('3'!E7:E18)</f>
        <v>12</v>
      </c>
      <c r="B41" s="134">
        <f>COUNTA('3'!I7:I18)</f>
        <v>12</v>
      </c>
      <c r="C41" s="978">
        <f>COUNTA('3'!J7:J18)</f>
        <v>12</v>
      </c>
      <c r="D41" s="978">
        <f>COUNTA('3'!K7:K18)</f>
        <v>12</v>
      </c>
      <c r="E41" s="978">
        <f>COUNTIF('3'!E7:E18,"&gt;15")</f>
        <v>0</v>
      </c>
      <c r="F41" s="978"/>
      <c r="G41" s="978">
        <f>COUNTIF('3'!J7:J18,"&gt;1")</f>
        <v>0</v>
      </c>
      <c r="H41" s="978"/>
      <c r="I41" s="135"/>
      <c r="J41" s="978">
        <f>'3'!A41-'3'!E41</f>
        <v>12</v>
      </c>
      <c r="K41" s="978"/>
      <c r="L41" s="1032">
        <f>'3'!C41-'3'!G41</f>
        <v>12</v>
      </c>
      <c r="M41" s="1032"/>
      <c r="N41" s="135"/>
      <c r="O41" s="979">
        <f>COUNTIF('3'!J7:J18,"&lt;=0,5")</f>
        <v>9</v>
      </c>
      <c r="P41" s="979"/>
      <c r="Q41" s="979"/>
      <c r="R41" s="969"/>
      <c r="S41" s="980">
        <f>COUNTIF('3'!J7:J18,"&lt;=1,0")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92" t="s">
        <v>91</v>
      </c>
      <c r="AK41" s="992"/>
      <c r="AL41" s="981">
        <f>SUM(('3'!AK38+'3'!AM38)/'3'!Y28)*1000</f>
        <v>0</v>
      </c>
      <c r="AM41" s="981"/>
      <c r="AO41" s="992" t="s">
        <v>91</v>
      </c>
      <c r="AP41" s="992"/>
      <c r="AQ41" s="981">
        <f>SUM(('3'!AP38+'3'!AR38)/'3'!Y30)*1000</f>
        <v>9.4107151148521808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1033" t="s">
        <v>95</v>
      </c>
      <c r="M43" s="1033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1033"/>
      <c r="M44" s="1033"/>
      <c r="N44" s="138"/>
      <c r="O44" s="139"/>
      <c r="P44" s="140"/>
      <c r="Q44" s="986"/>
      <c r="R44" s="986"/>
      <c r="S44" s="986"/>
      <c r="T44" s="141"/>
      <c r="X44" s="144" t="s">
        <v>101</v>
      </c>
      <c r="Y44" s="145">
        <v>86</v>
      </c>
      <c r="Z44" s="144" t="s">
        <v>101</v>
      </c>
      <c r="AA44" s="145"/>
      <c r="AB44" s="144" t="s">
        <v>101</v>
      </c>
      <c r="AC44" s="145">
        <v>141</v>
      </c>
      <c r="AD44" s="988"/>
      <c r="AE44" s="988"/>
      <c r="AF44" s="989" t="s">
        <v>102</v>
      </c>
      <c r="AG44" s="1034">
        <f>SUM('3'!Y45,'3'!AA45,'3'!AC45,'3'!AE45)</f>
        <v>214831.5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COUNTIF('3'!I7:I18,"&lt;=5,0")</f>
        <v>12</v>
      </c>
      <c r="I45" s="992"/>
      <c r="J45" s="992"/>
      <c r="K45" s="135"/>
      <c r="L45" s="1035">
        <f>COUNTA('3'!L37)</f>
        <v>1</v>
      </c>
      <c r="M45" s="1035"/>
      <c r="O45" s="146"/>
      <c r="P45" s="147"/>
      <c r="Q45" s="993">
        <f>'3'!S41-'3'!O41</f>
        <v>3</v>
      </c>
      <c r="R45" s="993"/>
      <c r="S45" s="993"/>
      <c r="T45" s="148"/>
      <c r="X45" s="149" t="s">
        <v>104</v>
      </c>
      <c r="Y45" s="150">
        <f>'3'!Y44*275.3</f>
        <v>23675.8</v>
      </c>
      <c r="Z45" s="149" t="s">
        <v>104</v>
      </c>
      <c r="AA45" s="150">
        <f>262.4*'3'!AA44</f>
        <v>0</v>
      </c>
      <c r="AB45" s="149" t="s">
        <v>104</v>
      </c>
      <c r="AC45" s="150">
        <f>'3'!AC44*277.7</f>
        <v>39155.699999999997</v>
      </c>
      <c r="AD45" s="149" t="s">
        <v>104</v>
      </c>
      <c r="AE45" s="151">
        <v>152000</v>
      </c>
      <c r="AF45" s="989"/>
      <c r="AG45" s="1034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.75" customHeight="1">
      <c r="F46" s="152"/>
      <c r="X46" s="153" t="s">
        <v>105</v>
      </c>
      <c r="Y46" s="154">
        <f>'3'!AS6</f>
        <v>1.33</v>
      </c>
      <c r="Z46" s="153" t="s">
        <v>105</v>
      </c>
      <c r="AA46" s="155">
        <f>'3'!Y46</f>
        <v>1.33</v>
      </c>
      <c r="AB46" s="153" t="s">
        <v>105</v>
      </c>
      <c r="AC46" s="155">
        <f>'3'!Y46</f>
        <v>1.33</v>
      </c>
      <c r="AD46" s="153" t="s">
        <v>105</v>
      </c>
      <c r="AE46" s="156">
        <f>'3'!Y46</f>
        <v>1.33</v>
      </c>
      <c r="AF46" s="995" t="s">
        <v>106</v>
      </c>
      <c r="AG46" s="996">
        <f>SUM('3'!Y47,'3'!AA47,'3'!AC47,'3'!AE47)</f>
        <v>285725.89500000002</v>
      </c>
      <c r="AI46" s="144" t="s">
        <v>101</v>
      </c>
      <c r="AJ46" s="145">
        <v>28</v>
      </c>
      <c r="AK46" s="144" t="s">
        <v>101</v>
      </c>
      <c r="AL46" s="145"/>
      <c r="AM46" s="144" t="s">
        <v>101</v>
      </c>
      <c r="AN46" s="145">
        <v>49</v>
      </c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'3'!Y45*'3'!Y46</f>
        <v>31488.814000000002</v>
      </c>
      <c r="Z47" s="149" t="s">
        <v>108</v>
      </c>
      <c r="AA47" s="150">
        <f>'3'!AA45*'3'!AA46</f>
        <v>0</v>
      </c>
      <c r="AB47" s="149" t="s">
        <v>108</v>
      </c>
      <c r="AC47" s="150">
        <f>'3'!AC45*'3'!AC46</f>
        <v>52077.080999999998</v>
      </c>
      <c r="AD47" s="149" t="s">
        <v>108</v>
      </c>
      <c r="AE47" s="150">
        <f>'3'!AE45*'3'!AE46</f>
        <v>202160</v>
      </c>
      <c r="AF47" s="995"/>
      <c r="AG47" s="996"/>
      <c r="AI47" s="149" t="s">
        <v>104</v>
      </c>
      <c r="AJ47" s="150">
        <f>'3'!AJ46*275.3</f>
        <v>7708.4000000000005</v>
      </c>
      <c r="AK47" s="149" t="s">
        <v>104</v>
      </c>
      <c r="AL47" s="150">
        <f>262.4*'3'!AL46</f>
        <v>0</v>
      </c>
      <c r="AM47" s="149" t="s">
        <v>104</v>
      </c>
      <c r="AN47" s="150">
        <f>'3'!AN46*277.7</f>
        <v>13607.3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'3'!Y46</f>
        <v>1.33</v>
      </c>
      <c r="AK48" s="160" t="s">
        <v>105</v>
      </c>
      <c r="AL48" s="154">
        <f>'3'!AJ48</f>
        <v>1.33</v>
      </c>
      <c r="AM48" s="160" t="s">
        <v>105</v>
      </c>
      <c r="AN48" s="154">
        <f>'3'!AJ48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'3'!AJ47*'3'!AJ48</f>
        <v>10252.172</v>
      </c>
      <c r="AK49" s="149" t="s">
        <v>108</v>
      </c>
      <c r="AL49" s="150">
        <f>'3'!AL47*'3'!AL48</f>
        <v>0</v>
      </c>
      <c r="AM49" s="149" t="s">
        <v>108</v>
      </c>
      <c r="AN49" s="150">
        <f>'3'!AN47*'3'!AN48</f>
        <v>18097.708999999999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37" t="s">
        <v>111</v>
      </c>
      <c r="Y50" s="1037"/>
      <c r="Z50" s="1037"/>
      <c r="AA50" s="1037"/>
      <c r="AB50" s="1037"/>
      <c r="AC50" s="1037"/>
      <c r="AD50" s="1037"/>
      <c r="AE50" s="1037"/>
      <c r="AF50" s="1037"/>
      <c r="AG50" s="1037"/>
    </row>
    <row r="51" spans="15:44" ht="16.5" customHeight="1">
      <c r="O51" s="974">
        <f>COUNTA('3'!O7:O18)</f>
        <v>12</v>
      </c>
      <c r="P51" s="974">
        <f>COUNTA('3'!W17:W28)</f>
        <v>0</v>
      </c>
      <c r="R51" s="992">
        <f>COUNTIF('3'!O7:O18,"&gt;=0,5")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SUM('3'!Y53,'3'!AA53,'3'!AC53,'3'!AE53)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'3'!Y52*275.3</f>
        <v>0</v>
      </c>
      <c r="Z53" s="149" t="s">
        <v>104</v>
      </c>
      <c r="AA53" s="150">
        <f>262.4*'3'!AA52</f>
        <v>0</v>
      </c>
      <c r="AB53" s="149" t="s">
        <v>104</v>
      </c>
      <c r="AC53" s="150">
        <f>'3'!AC52*277.7</f>
        <v>0</v>
      </c>
      <c r="AD53" s="149" t="s">
        <v>104</v>
      </c>
      <c r="AE53" s="165"/>
      <c r="AF53" s="989"/>
      <c r="AG53" s="1002"/>
      <c r="AI53" s="144" t="s">
        <v>101</v>
      </c>
      <c r="AJ53" s="166"/>
      <c r="AK53" s="144" t="s">
        <v>101</v>
      </c>
      <c r="AL53" s="164"/>
      <c r="AM53" s="144" t="s">
        <v>101</v>
      </c>
      <c r="AN53" s="164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'3'!AS7</f>
        <v>1.377</v>
      </c>
      <c r="Z54" s="153" t="s">
        <v>105</v>
      </c>
      <c r="AA54" s="155">
        <f>'3'!Y54</f>
        <v>1.377</v>
      </c>
      <c r="AB54" s="153" t="s">
        <v>105</v>
      </c>
      <c r="AC54" s="155">
        <f>'3'!Y54</f>
        <v>1.377</v>
      </c>
      <c r="AD54" s="153" t="s">
        <v>105</v>
      </c>
      <c r="AE54" s="156">
        <f>'3'!Y54</f>
        <v>1.377</v>
      </c>
      <c r="AF54" s="995" t="s">
        <v>106</v>
      </c>
      <c r="AG54" s="996">
        <f>SUM('3'!Y55,'3'!AA55,'3'!AC55,'3'!AE55)</f>
        <v>0</v>
      </c>
      <c r="AI54" s="149" t="s">
        <v>104</v>
      </c>
      <c r="AJ54" s="150">
        <f>'3'!AJ53*275.3</f>
        <v>0</v>
      </c>
      <c r="AK54" s="149" t="s">
        <v>104</v>
      </c>
      <c r="AL54" s="150">
        <f>262.4*'3'!AL53</f>
        <v>0</v>
      </c>
      <c r="AM54" s="149" t="s">
        <v>104</v>
      </c>
      <c r="AN54" s="167">
        <f>'3'!AN53*277.7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'3'!Y53*'3'!Y54</f>
        <v>0</v>
      </c>
      <c r="Z55" s="149" t="s">
        <v>108</v>
      </c>
      <c r="AA55" s="150">
        <f>'3'!AA53*'3'!AA54</f>
        <v>0</v>
      </c>
      <c r="AB55" s="149" t="s">
        <v>108</v>
      </c>
      <c r="AC55" s="150">
        <f>'3'!AC53*'3'!AC54</f>
        <v>0</v>
      </c>
      <c r="AD55" s="149" t="s">
        <v>108</v>
      </c>
      <c r="AE55" s="150">
        <f>'3'!AE53*'3'!AE54</f>
        <v>0</v>
      </c>
      <c r="AF55" s="995"/>
      <c r="AG55" s="996"/>
      <c r="AI55" s="153" t="s">
        <v>105</v>
      </c>
      <c r="AJ55" s="154">
        <f>'3'!Y54</f>
        <v>1.377</v>
      </c>
      <c r="AK55" s="153" t="s">
        <v>105</v>
      </c>
      <c r="AL55" s="154">
        <f>'3'!AJ55</f>
        <v>1.377</v>
      </c>
      <c r="AM55" s="153" t="s">
        <v>105</v>
      </c>
      <c r="AN55" s="154">
        <f>'3'!AJ55</f>
        <v>1.377</v>
      </c>
      <c r="AO55" s="1036" t="s">
        <v>105</v>
      </c>
      <c r="AP55" s="1036">
        <f>'3'!AJ55</f>
        <v>1.377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'3'!AJ54*'3'!AJ55</f>
        <v>0</v>
      </c>
      <c r="AK56" s="149" t="s">
        <v>108</v>
      </c>
      <c r="AL56" s="150">
        <f>'3'!AL54*'3'!AL55</f>
        <v>0</v>
      </c>
      <c r="AM56" s="149" t="s">
        <v>108</v>
      </c>
      <c r="AN56" s="150">
        <f>'3'!AN54*'3'!AN55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>
      <c r="O57" s="1003">
        <f>COUNTA('3'!N7:N18)</f>
        <v>12</v>
      </c>
      <c r="P57" s="1003"/>
      <c r="R57" s="1004">
        <f>COUNTIF('3'!N7:N18,"&gt;=6")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38" t="s">
        <v>118</v>
      </c>
      <c r="Y60" s="1038"/>
      <c r="Z60" s="1008"/>
      <c r="AA60" s="1008"/>
      <c r="AB60" s="1038" t="s">
        <v>119</v>
      </c>
      <c r="AC60" s="1038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'3'!AJ56+'3'!AL56+'3'!AN56</f>
        <v>0</v>
      </c>
      <c r="AM61" s="1011"/>
      <c r="AN61" s="1010" t="s">
        <v>121</v>
      </c>
      <c r="AO61" s="1010"/>
      <c r="AP61" s="1010"/>
      <c r="AQ61" s="1011">
        <f>'3'!AJ49+'3'!AL49+'3'!AN49</f>
        <v>28349.881000000001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'3'!AA32</f>
        <v>30004.800000000003</v>
      </c>
      <c r="AR62" s="1016"/>
    </row>
    <row r="63" spans="15:44" ht="15" customHeight="1">
      <c r="X63" s="170" t="s">
        <v>124</v>
      </c>
      <c r="Y63" s="171">
        <v>0</v>
      </c>
      <c r="Z63" s="1013"/>
      <c r="AA63" s="1013"/>
      <c r="AB63" s="172" t="s">
        <v>124</v>
      </c>
      <c r="AC63" s="173"/>
      <c r="AE63" s="49"/>
      <c r="AI63" s="1010" t="s">
        <v>125</v>
      </c>
      <c r="AJ63" s="1010"/>
      <c r="AK63" s="1010"/>
      <c r="AL63" s="1011">
        <f>'3'!AL61-'3'!AL62</f>
        <v>0</v>
      </c>
      <c r="AM63" s="1011"/>
      <c r="AN63" s="1010" t="s">
        <v>125</v>
      </c>
      <c r="AO63" s="1010"/>
      <c r="AP63" s="1010"/>
      <c r="AQ63" s="1011">
        <f>'3'!AQ61-'3'!AQ62</f>
        <v>-1654.9190000000017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>
        <f>'2'!$Y$68</f>
        <v>-4138.9666666666653</v>
      </c>
      <c r="Z65" s="1013"/>
      <c r="AA65" s="1013"/>
      <c r="AB65" s="176" t="s">
        <v>126</v>
      </c>
      <c r="AC65" s="218">
        <f>'2'!$AC$68</f>
        <v>-510.75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178">
        <f>SUM('3'!AK38,'3'!AP38)</f>
        <v>2270</v>
      </c>
      <c r="Z67" s="1013"/>
      <c r="AA67" s="1013"/>
      <c r="AB67" s="172" t="s">
        <v>124</v>
      </c>
      <c r="AC67" s="169">
        <f>SUM('3'!AM38,'3'!AR38)</f>
        <v>0</v>
      </c>
    </row>
    <row r="68" spans="24:29" ht="15.75" customHeight="1">
      <c r="X68" s="170" t="s">
        <v>128</v>
      </c>
      <c r="Y68" s="179">
        <f>SUM('3'!Y63,'3'!Y65)-'3'!Y67</f>
        <v>-6408.9666666666653</v>
      </c>
      <c r="Z68" s="1013"/>
      <c r="AA68" s="1013"/>
      <c r="AB68" s="172" t="s">
        <v>128</v>
      </c>
      <c r="AC68" s="180">
        <f>SUM('3'!AC63,'3'!AC65)-'3'!AC67</f>
        <v>-510.75</v>
      </c>
    </row>
    <row r="70" spans="24:29" ht="15" customHeight="1">
      <c r="AA70" t="s">
        <v>132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conditionalFormatting sqref="O19">
    <cfRule type="cellIs" priority="4" operator="lessThan">
      <formula>2.5</formula>
    </cfRule>
    <cfRule type="cellIs" priority="5" operator="greaterThan">
      <formula>3</formula>
    </cfRule>
    <cfRule type="cellIs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13" zoomScaleNormal="100" workbookViewId="0">
      <selection activeCell="AI6" sqref="AI6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27" t="s">
        <v>5</v>
      </c>
      <c r="E2" s="1027"/>
      <c r="F2" s="1027"/>
      <c r="G2" s="1027"/>
      <c r="H2" s="1027"/>
      <c r="I2" s="1027"/>
      <c r="J2" s="1027"/>
      <c r="K2" s="1027"/>
      <c r="L2" s="1027"/>
      <c r="M2" s="1027"/>
      <c r="N2" s="1027"/>
      <c r="O2" s="1027"/>
      <c r="P2" s="1027"/>
      <c r="Q2" s="1027"/>
      <c r="R2" s="1027"/>
      <c r="S2" s="1027"/>
      <c r="T2" s="1027"/>
      <c r="U2" s="1027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27"/>
      <c r="E3" s="1027"/>
      <c r="F3" s="1027"/>
      <c r="G3" s="1027"/>
      <c r="H3" s="1027"/>
      <c r="I3" s="1027"/>
      <c r="J3" s="1027"/>
      <c r="K3" s="1027"/>
      <c r="L3" s="1027"/>
      <c r="M3" s="1027"/>
      <c r="N3" s="1027"/>
      <c r="O3" s="1027"/>
      <c r="P3" s="1027"/>
      <c r="Q3" s="1027"/>
      <c r="R3" s="1027"/>
      <c r="S3" s="1027"/>
      <c r="T3" s="1027"/>
      <c r="U3" s="1027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1039" t="s">
        <v>12</v>
      </c>
      <c r="S4" s="1039"/>
      <c r="T4" s="1040" t="s">
        <v>13</v>
      </c>
      <c r="U4" s="104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1039"/>
      <c r="S5" s="1039"/>
      <c r="T5" s="1040"/>
      <c r="U5" s="104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41"/>
      <c r="V6" s="932"/>
      <c r="W6" s="932"/>
      <c r="X6" s="13">
        <v>4.1666666666666699E-2</v>
      </c>
      <c r="Y6" s="54">
        <v>2798</v>
      </c>
      <c r="Z6" s="182">
        <v>940</v>
      </c>
      <c r="AA6" s="15">
        <v>1</v>
      </c>
      <c r="AB6" s="58">
        <f>IF('4'!AA6=1,(('4'!Z6*'4'!$AS$6*'4'!$AT$6)/('4'!Y6*0.0036)),IF('4'!AA6=2,(('4'!Z6*'4'!$AS$7*'4'!$AT$7)/('4'!Y6*0.0036))))</f>
        <v>62.058216186164728</v>
      </c>
      <c r="AC6" s="58"/>
      <c r="AD6" s="18">
        <f>(('4'!AC6*'4'!$Q$10*1000000))/('4'!Y6*3600)</f>
        <v>0</v>
      </c>
      <c r="AE6" s="19"/>
      <c r="AF6" s="184">
        <f>('4'!AE6/24)*0.454</f>
        <v>0</v>
      </c>
      <c r="AG6" s="19"/>
      <c r="AH6" s="184">
        <f>('4'!AG6/24)*0.454</f>
        <v>0</v>
      </c>
      <c r="AI6" s="19">
        <v>5000</v>
      </c>
      <c r="AJ6" s="184">
        <f>('4'!AI6/24)*0.454</f>
        <v>94.583333333333343</v>
      </c>
      <c r="AK6" s="21"/>
      <c r="AL6" s="185">
        <f>('4'!AK6/24)*0.454</f>
        <v>0</v>
      </c>
      <c r="AM6" s="21"/>
      <c r="AN6" s="185">
        <f>('4'!AM6/24)*0.454</f>
        <v>0</v>
      </c>
      <c r="AO6" s="21"/>
      <c r="AP6" s="185">
        <f>('4'!AO6/24)*0.454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6">
        <v>50</v>
      </c>
      <c r="C7" s="186">
        <v>10</v>
      </c>
      <c r="D7" s="186">
        <v>12.5</v>
      </c>
      <c r="E7" s="186">
        <v>2.5</v>
      </c>
      <c r="F7" s="186">
        <v>8.4</v>
      </c>
      <c r="G7" s="186">
        <v>1.4</v>
      </c>
      <c r="H7" s="186">
        <v>1.9</v>
      </c>
      <c r="I7" s="186">
        <v>0.5</v>
      </c>
      <c r="J7" s="186">
        <v>0.4</v>
      </c>
      <c r="K7" s="186">
        <v>7.3</v>
      </c>
      <c r="L7" s="186">
        <v>6.7</v>
      </c>
      <c r="M7" s="186">
        <v>6.7</v>
      </c>
      <c r="N7" s="186">
        <v>6.4</v>
      </c>
      <c r="O7" s="186">
        <v>3.7</v>
      </c>
      <c r="P7" s="186"/>
      <c r="Q7" s="188"/>
      <c r="R7" s="37">
        <f>'3'!$Z$29</f>
        <v>940</v>
      </c>
      <c r="S7" s="187">
        <f>'3'!$AB$29</f>
        <v>62.325516471245116</v>
      </c>
      <c r="T7" s="37">
        <f>'3'!$Y$29</f>
        <v>2786</v>
      </c>
      <c r="U7" s="33" t="str">
        <f>IF('4'!AA6=1,'4'!AR6,'4'!AR7)</f>
        <v>S.A.L</v>
      </c>
      <c r="V7" s="1022">
        <f>ESCALA!$B$5</f>
        <v>0</v>
      </c>
      <c r="W7" s="1022"/>
      <c r="X7" s="13">
        <v>8.3333333333333301E-2</v>
      </c>
      <c r="Y7" s="54">
        <v>2803</v>
      </c>
      <c r="Z7" s="182">
        <v>940</v>
      </c>
      <c r="AA7" s="15">
        <v>1</v>
      </c>
      <c r="AB7" s="58">
        <f>IF('4'!AA7=1,(('4'!Z7*'4'!$AS$6*'4'!$AT$6)/('4'!Y7*0.0036)),IF('4'!AA7=2,(('4'!Z7*'4'!$AS$7*'4'!$AT$7)/('4'!Y7*0.0036))))</f>
        <v>61.947516549728469</v>
      </c>
      <c r="AC7" s="58"/>
      <c r="AD7" s="18">
        <f>(('4'!AC7*'4'!$Q$10*1000000))/('4'!Y7*3600)</f>
        <v>0</v>
      </c>
      <c r="AE7" s="19"/>
      <c r="AF7" s="184">
        <f>('4'!AE7/24)*0.454</f>
        <v>0</v>
      </c>
      <c r="AG7" s="19"/>
      <c r="AH7" s="184">
        <f>('4'!AG7/24)*0.454</f>
        <v>0</v>
      </c>
      <c r="AI7" s="19">
        <v>5000</v>
      </c>
      <c r="AJ7" s="184">
        <f>('4'!AI7/24)*0.454</f>
        <v>94.583333333333343</v>
      </c>
      <c r="AK7" s="21"/>
      <c r="AL7" s="185">
        <f>('4'!AK7/24)*0.454</f>
        <v>0</v>
      </c>
      <c r="AM7" s="21"/>
      <c r="AN7" s="185">
        <f>('4'!AM7/24)*0.454</f>
        <v>0</v>
      </c>
      <c r="AO7" s="21"/>
      <c r="AP7" s="185">
        <f>('4'!AO7/24)*0.454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6">
        <v>50</v>
      </c>
      <c r="C8" s="186">
        <v>10</v>
      </c>
      <c r="D8" s="186">
        <v>12.5</v>
      </c>
      <c r="E8" s="186">
        <v>2.5</v>
      </c>
      <c r="F8" s="186">
        <v>8.3000000000000007</v>
      </c>
      <c r="G8" s="186">
        <v>1.4</v>
      </c>
      <c r="H8" s="186">
        <v>1.9</v>
      </c>
      <c r="I8" s="186">
        <v>0.5</v>
      </c>
      <c r="J8" s="186">
        <v>0.4</v>
      </c>
      <c r="K8" s="186">
        <v>7.3</v>
      </c>
      <c r="L8" s="186">
        <v>6.7</v>
      </c>
      <c r="M8" s="186">
        <v>6.7</v>
      </c>
      <c r="N8" s="186">
        <v>6.4</v>
      </c>
      <c r="O8" s="186">
        <v>3.7</v>
      </c>
      <c r="P8" s="186"/>
      <c r="Q8" s="188"/>
      <c r="R8" s="35">
        <f>'4'!Z7</f>
        <v>940</v>
      </c>
      <c r="S8" s="36">
        <f>'4'!AB7</f>
        <v>61.947516549728469</v>
      </c>
      <c r="T8" s="37">
        <f>'4'!Y7</f>
        <v>2803</v>
      </c>
      <c r="U8" s="33" t="str">
        <f>IF('4'!AA7=1,'4'!AR6,'4'!AR7)</f>
        <v>S.A.L</v>
      </c>
      <c r="V8" s="1022"/>
      <c r="W8" s="1022"/>
      <c r="X8" s="13">
        <v>0.125</v>
      </c>
      <c r="Y8" s="54">
        <v>2757</v>
      </c>
      <c r="Z8" s="182">
        <v>940</v>
      </c>
      <c r="AA8" s="15">
        <v>1</v>
      </c>
      <c r="AB8" s="58">
        <f>IF('4'!AA8=1,(('4'!Z8*'4'!$AS$6*'4'!$AT$6)/('4'!Y8*0.0036)),IF('4'!AA8=2,(('4'!Z8*'4'!$AS$7*'4'!$AT$7)/('4'!Y8*0.0036))))</f>
        <v>62.981098617660095</v>
      </c>
      <c r="AC8" s="58"/>
      <c r="AD8" s="18">
        <f>(('4'!AC8*'4'!$Q$10*1000000))/('4'!Y8*3600)</f>
        <v>0</v>
      </c>
      <c r="AE8" s="19"/>
      <c r="AF8" s="184">
        <f>('4'!AE8/24)*0.454</f>
        <v>0</v>
      </c>
      <c r="AG8" s="19"/>
      <c r="AH8" s="184">
        <f>('4'!AG8/24)*0.454</f>
        <v>0</v>
      </c>
      <c r="AI8" s="19">
        <v>5000</v>
      </c>
      <c r="AJ8" s="184">
        <f>('4'!AI8/24)*0.454</f>
        <v>94.583333333333343</v>
      </c>
      <c r="AK8" s="21"/>
      <c r="AL8" s="185">
        <f>('4'!AK8/24)*0.454</f>
        <v>0</v>
      </c>
      <c r="AM8" s="21"/>
      <c r="AN8" s="185">
        <f>('4'!AM8/24)*0.454</f>
        <v>0</v>
      </c>
      <c r="AO8" s="21"/>
      <c r="AP8" s="185">
        <f>('4'!AO8/24)*0.454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50</v>
      </c>
      <c r="C9" s="186">
        <v>10</v>
      </c>
      <c r="D9" s="186">
        <v>12.5</v>
      </c>
      <c r="E9" s="186">
        <v>2.5</v>
      </c>
      <c r="F9" s="186">
        <v>8.3000000000000007</v>
      </c>
      <c r="G9" s="186">
        <v>1.3</v>
      </c>
      <c r="H9" s="186">
        <v>1.8</v>
      </c>
      <c r="I9" s="186">
        <v>0.5</v>
      </c>
      <c r="J9" s="186">
        <v>0.4</v>
      </c>
      <c r="K9" s="186">
        <v>7.3</v>
      </c>
      <c r="L9" s="186">
        <v>6.7</v>
      </c>
      <c r="M9" s="186">
        <v>6.7</v>
      </c>
      <c r="N9" s="186">
        <v>6.4</v>
      </c>
      <c r="O9" s="186">
        <v>3.6</v>
      </c>
      <c r="P9" s="186"/>
      <c r="Q9" s="188"/>
      <c r="R9" s="37">
        <f>'4'!Z9</f>
        <v>940</v>
      </c>
      <c r="S9" s="36">
        <f>'4'!AB9</f>
        <v>62.730812459858704</v>
      </c>
      <c r="T9" s="37">
        <f>'4'!Y9</f>
        <v>2768</v>
      </c>
      <c r="U9" s="33" t="str">
        <f>IF('4'!AA9=1,'4'!AR6,'4'!AR7)</f>
        <v>S.A.L</v>
      </c>
      <c r="V9" s="1022"/>
      <c r="W9" s="1022"/>
      <c r="X9" s="13">
        <v>0.16666666666666699</v>
      </c>
      <c r="Y9" s="54">
        <v>2768</v>
      </c>
      <c r="Z9" s="182">
        <v>940</v>
      </c>
      <c r="AA9" s="15">
        <v>1</v>
      </c>
      <c r="AB9" s="58">
        <f>IF('4'!AA9=1,(('4'!Z9*'4'!$AS$6*'4'!$AT$6)/('4'!Y9*0.0036)),IF('4'!AA9=2,(('4'!Z9*'4'!$AS$7*'4'!$AT$7)/('4'!Y9*0.0036))))</f>
        <v>62.730812459858704</v>
      </c>
      <c r="AC9" s="58"/>
      <c r="AD9" s="18">
        <f>(('4'!AC9*'4'!$Q$10*1000000))/('4'!Y9*3600)</f>
        <v>0</v>
      </c>
      <c r="AE9" s="19"/>
      <c r="AF9" s="184">
        <f>('4'!AE9/24)*0.454</f>
        <v>0</v>
      </c>
      <c r="AG9" s="19"/>
      <c r="AH9" s="184">
        <f>('4'!AG9/24)*0.454</f>
        <v>0</v>
      </c>
      <c r="AI9" s="19">
        <v>5000</v>
      </c>
      <c r="AJ9" s="184">
        <f>('4'!AI9/24)*0.454</f>
        <v>94.583333333333343</v>
      </c>
      <c r="AK9" s="21"/>
      <c r="AL9" s="185">
        <f>('4'!AK9/24)*0.454</f>
        <v>0</v>
      </c>
      <c r="AM9" s="21"/>
      <c r="AN9" s="185">
        <f>('4'!AM9/24)*0.454</f>
        <v>0</v>
      </c>
      <c r="AO9" s="21"/>
      <c r="AP9" s="185">
        <f>('4'!AO9/24)*0.454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50</v>
      </c>
      <c r="C10" s="186">
        <v>10</v>
      </c>
      <c r="D10" s="186">
        <v>12.5</v>
      </c>
      <c r="E10" s="186">
        <v>2.5</v>
      </c>
      <c r="F10" s="186">
        <v>8.3000000000000007</v>
      </c>
      <c r="G10" s="186">
        <v>1.3</v>
      </c>
      <c r="H10" s="186">
        <v>1.8</v>
      </c>
      <c r="I10" s="186">
        <v>0.5</v>
      </c>
      <c r="J10" s="186">
        <v>0.4</v>
      </c>
      <c r="K10" s="186">
        <v>7.3</v>
      </c>
      <c r="L10" s="186">
        <v>6.7</v>
      </c>
      <c r="M10" s="186">
        <v>6.7</v>
      </c>
      <c r="N10" s="186">
        <v>6.4</v>
      </c>
      <c r="O10" s="186">
        <v>3.6</v>
      </c>
      <c r="P10" s="186"/>
      <c r="Q10" s="188"/>
      <c r="R10" s="37">
        <f>'4'!Z11</f>
        <v>940</v>
      </c>
      <c r="S10" s="36">
        <f>'4'!AB11</f>
        <v>62.572572572572575</v>
      </c>
      <c r="T10" s="37">
        <f>'4'!Y11</f>
        <v>2775</v>
      </c>
      <c r="U10" s="33" t="str">
        <f>IF('4'!AA11=1,'4'!AR6,'4'!AR7)</f>
        <v>S.A.L</v>
      </c>
      <c r="V10" s="1022"/>
      <c r="W10" s="1022"/>
      <c r="X10" s="13">
        <v>0.20833333333333301</v>
      </c>
      <c r="Y10" s="54">
        <v>2794</v>
      </c>
      <c r="Z10" s="182">
        <v>940</v>
      </c>
      <c r="AA10" s="15">
        <v>1</v>
      </c>
      <c r="AB10" s="58">
        <f>IF('4'!AA10=1,(('4'!Z10*'4'!$AS$6*'4'!$AT$6)/('4'!Y10*0.0036)),IF('4'!AA10=2,(('4'!Z10*'4'!$AS$7*'4'!$AT$7)/('4'!Y10*0.0036))))</f>
        <v>62.147061162809202</v>
      </c>
      <c r="AC10" s="58"/>
      <c r="AD10" s="18">
        <f>(('4'!AC10*'4'!$Q$10*1000000))/('4'!Y10*3600)</f>
        <v>0</v>
      </c>
      <c r="AE10" s="19"/>
      <c r="AF10" s="184">
        <f>('4'!AE10/24)*0.454</f>
        <v>0</v>
      </c>
      <c r="AG10" s="19"/>
      <c r="AH10" s="184">
        <f>('4'!AG10/24)*0.454</f>
        <v>0</v>
      </c>
      <c r="AI10" s="19">
        <v>5000</v>
      </c>
      <c r="AJ10" s="184">
        <f>('4'!AI10/24)*0.454</f>
        <v>94.583333333333343</v>
      </c>
      <c r="AK10" s="21"/>
      <c r="AL10" s="185">
        <f>('4'!AK10/24)*0.454</f>
        <v>0</v>
      </c>
      <c r="AM10" s="21"/>
      <c r="AN10" s="185">
        <f>('4'!AM10/24)*0.454</f>
        <v>0</v>
      </c>
      <c r="AO10" s="21"/>
      <c r="AP10" s="185">
        <f>('4'!AO10/24)*0.454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6">
        <v>50</v>
      </c>
      <c r="C11" s="186">
        <v>10</v>
      </c>
      <c r="D11" s="186">
        <v>12.5</v>
      </c>
      <c r="E11" s="186">
        <v>2.5</v>
      </c>
      <c r="F11" s="186">
        <v>8.3000000000000007</v>
      </c>
      <c r="G11" s="186">
        <v>1.3</v>
      </c>
      <c r="H11" s="186">
        <v>1.6</v>
      </c>
      <c r="I11" s="186">
        <v>0.4</v>
      </c>
      <c r="J11" s="186">
        <v>0.4</v>
      </c>
      <c r="K11" s="186">
        <v>7.3</v>
      </c>
      <c r="L11" s="186">
        <v>6.7</v>
      </c>
      <c r="M11" s="186">
        <v>6.7</v>
      </c>
      <c r="N11" s="186">
        <v>6.4</v>
      </c>
      <c r="O11" s="186">
        <v>3.5</v>
      </c>
      <c r="P11" s="186"/>
      <c r="Q11" s="188"/>
      <c r="R11" s="37">
        <f>'4'!Z13</f>
        <v>940</v>
      </c>
      <c r="S11" s="36">
        <f>'4'!AB13</f>
        <v>62.662897469826376</v>
      </c>
      <c r="T11" s="37">
        <f>'4'!Y13</f>
        <v>2771</v>
      </c>
      <c r="U11" s="33" t="str">
        <f>IF('4'!AA13=1,'4'!AR6,'4'!AR7)</f>
        <v>S.A.L</v>
      </c>
      <c r="V11" s="1022"/>
      <c r="W11" s="1022"/>
      <c r="X11" s="13">
        <v>0.25</v>
      </c>
      <c r="Y11" s="54">
        <v>2775</v>
      </c>
      <c r="Z11" s="182">
        <v>940</v>
      </c>
      <c r="AA11" s="15">
        <v>1</v>
      </c>
      <c r="AB11" s="58">
        <f>IF('4'!AA11=1,(('4'!Z11*'4'!$AS$6*'4'!$AT$6)/('4'!Y11*0.0036)),IF('4'!AA11=2,(('4'!Z11*'4'!$AS$7*'4'!$AT$7)/('4'!Y11*0.0036))))</f>
        <v>62.572572572572575</v>
      </c>
      <c r="AC11" s="58"/>
      <c r="AD11" s="18">
        <f>(('4'!AC11*'4'!$Q$10*1000000))/('4'!Y11*3600)</f>
        <v>0</v>
      </c>
      <c r="AE11" s="19"/>
      <c r="AF11" s="184">
        <f>('4'!AE11/24)*0.454</f>
        <v>0</v>
      </c>
      <c r="AG11" s="19"/>
      <c r="AH11" s="184">
        <f>('4'!AG11/24)*0.454</f>
        <v>0</v>
      </c>
      <c r="AI11" s="19">
        <v>5000</v>
      </c>
      <c r="AJ11" s="184">
        <f>('4'!AI11/24)*0.454</f>
        <v>94.583333333333343</v>
      </c>
      <c r="AK11" s="21"/>
      <c r="AL11" s="185">
        <f>('4'!AK11/24)*0.454</f>
        <v>0</v>
      </c>
      <c r="AM11" s="21"/>
      <c r="AN11" s="185">
        <f>('4'!AM11/24)*0.454</f>
        <v>0</v>
      </c>
      <c r="AO11" s="21"/>
      <c r="AP11" s="185">
        <f>('4'!AO11/24)*0.454</f>
        <v>0</v>
      </c>
    </row>
    <row r="12" spans="1:47" ht="18.75" customHeight="1">
      <c r="A12" s="28">
        <v>0.41666666666666702</v>
      </c>
      <c r="B12" s="186">
        <v>50</v>
      </c>
      <c r="C12" s="186">
        <v>10</v>
      </c>
      <c r="D12" s="186">
        <v>12.5</v>
      </c>
      <c r="E12" s="186">
        <v>2.5</v>
      </c>
      <c r="F12" s="186">
        <v>8.4</v>
      </c>
      <c r="G12" s="186">
        <v>1.4</v>
      </c>
      <c r="H12" s="186">
        <v>1.7</v>
      </c>
      <c r="I12" s="186">
        <v>0.4</v>
      </c>
      <c r="J12" s="186">
        <v>0.4</v>
      </c>
      <c r="K12" s="186">
        <v>7.3</v>
      </c>
      <c r="L12" s="186">
        <v>6.7</v>
      </c>
      <c r="M12" s="186">
        <v>6.7</v>
      </c>
      <c r="N12" s="186">
        <v>6.4</v>
      </c>
      <c r="O12" s="186">
        <v>3.4</v>
      </c>
      <c r="P12" s="186"/>
      <c r="Q12" s="188"/>
      <c r="R12" s="37">
        <f>'4'!Z15</f>
        <v>940</v>
      </c>
      <c r="S12" s="36">
        <f>'4'!AB15</f>
        <v>61.925423997463938</v>
      </c>
      <c r="T12" s="37">
        <f>'4'!Y15</f>
        <v>2804</v>
      </c>
      <c r="U12" s="33" t="str">
        <f>IF('4'!AA15=1,'4'!AR6,'4'!AR7)</f>
        <v>S.A.L</v>
      </c>
      <c r="V12" s="944">
        <f>ESCALA!$B$6</f>
        <v>0</v>
      </c>
      <c r="W12" s="944"/>
      <c r="X12" s="13">
        <v>0.29166666666666702</v>
      </c>
      <c r="Y12" s="54">
        <v>2791</v>
      </c>
      <c r="Z12" s="182">
        <v>940</v>
      </c>
      <c r="AA12" s="15">
        <v>1</v>
      </c>
      <c r="AB12" s="58">
        <f>IF('4'!AA12=1,(('4'!Z12*'4'!$AS$6*'4'!$AT$6)/('4'!Y12*0.0036)),IF('4'!AA12=2,(('4'!Z12*'4'!$AS$7*'4'!$AT$7)/('4'!Y12*0.0036))))</f>
        <v>62.213862016800036</v>
      </c>
      <c r="AC12" s="58"/>
      <c r="AD12" s="18">
        <f>(('4'!AC12*'4'!$Q$10*1000000))/('4'!Y12*3600)</f>
        <v>0</v>
      </c>
      <c r="AE12" s="19"/>
      <c r="AF12" s="184">
        <f>('4'!AE12/24)*0.454</f>
        <v>0</v>
      </c>
      <c r="AG12" s="19"/>
      <c r="AH12" s="184">
        <f>('4'!AG12/24)*0.454</f>
        <v>0</v>
      </c>
      <c r="AI12" s="19">
        <v>5000</v>
      </c>
      <c r="AJ12" s="184">
        <f>('4'!AI12/24)*0.454</f>
        <v>94.583333333333343</v>
      </c>
      <c r="AK12" s="21"/>
      <c r="AL12" s="185">
        <f>('4'!AK12/24)*0.454</f>
        <v>0</v>
      </c>
      <c r="AM12" s="21"/>
      <c r="AN12" s="185">
        <f>('4'!AM12/24)*0.454</f>
        <v>0</v>
      </c>
      <c r="AO12" s="21"/>
      <c r="AP12" s="185">
        <f>('4'!AO12/24)*0.454</f>
        <v>0</v>
      </c>
    </row>
    <row r="13" spans="1:47" ht="18.75" customHeight="1">
      <c r="A13" s="28">
        <v>0.5</v>
      </c>
      <c r="B13" s="186">
        <v>60</v>
      </c>
      <c r="C13" s="186">
        <v>10</v>
      </c>
      <c r="D13" s="186">
        <v>12.5</v>
      </c>
      <c r="E13" s="186">
        <v>2.5</v>
      </c>
      <c r="F13" s="186">
        <v>8.8000000000000007</v>
      </c>
      <c r="G13" s="186">
        <v>1.5</v>
      </c>
      <c r="H13" s="186">
        <v>1.8</v>
      </c>
      <c r="I13" s="186">
        <v>0.4</v>
      </c>
      <c r="J13" s="186">
        <v>0.4</v>
      </c>
      <c r="K13" s="186">
        <v>7.3</v>
      </c>
      <c r="L13" s="186">
        <v>6.7</v>
      </c>
      <c r="M13" s="186">
        <v>6.7</v>
      </c>
      <c r="N13" s="186">
        <v>6.4</v>
      </c>
      <c r="O13" s="186">
        <v>3.5</v>
      </c>
      <c r="P13" s="186"/>
      <c r="Q13" s="188"/>
      <c r="R13" s="37">
        <f>'4'!Z17</f>
        <v>940</v>
      </c>
      <c r="S13" s="36">
        <f>'4'!AB17</f>
        <v>62.102606898744241</v>
      </c>
      <c r="T13" s="37">
        <f>'4'!Y17</f>
        <v>2796</v>
      </c>
      <c r="U13" s="33" t="str">
        <f>IF('4'!AA17=1,'4'!AR6,'4'!AR7)</f>
        <v>S.A.L</v>
      </c>
      <c r="V13" s="944"/>
      <c r="W13" s="944"/>
      <c r="X13" s="13">
        <v>0.33333333333333298</v>
      </c>
      <c r="Y13" s="54">
        <v>2771</v>
      </c>
      <c r="Z13" s="182">
        <v>940</v>
      </c>
      <c r="AA13" s="15">
        <v>1</v>
      </c>
      <c r="AB13" s="58">
        <f>IF('4'!AA13=1,(('4'!Z13*'4'!$AS$6*'4'!$AT$6)/('4'!Y13*0.0036)),IF('4'!AA13=2,(('4'!Z13*'4'!$AS$7*'4'!$AT$7)/('4'!Y13*0.0036))))</f>
        <v>62.662897469826376</v>
      </c>
      <c r="AC13" s="58"/>
      <c r="AD13" s="18">
        <f>(('4'!AC13*'4'!$Q$10*1000000))/('4'!Y13*3600)</f>
        <v>0</v>
      </c>
      <c r="AE13" s="19"/>
      <c r="AF13" s="184">
        <f>('4'!AE13/24)*0.454</f>
        <v>0</v>
      </c>
      <c r="AG13" s="19"/>
      <c r="AH13" s="184">
        <f>('4'!AG13/24)*0.454</f>
        <v>0</v>
      </c>
      <c r="AI13" s="19">
        <v>5000</v>
      </c>
      <c r="AJ13" s="184">
        <f>('4'!AI13/24)*0.454</f>
        <v>94.583333333333343</v>
      </c>
      <c r="AK13" s="21"/>
      <c r="AL13" s="185">
        <f>('4'!AK13/24)*0.454</f>
        <v>0</v>
      </c>
      <c r="AM13" s="21"/>
      <c r="AN13" s="185">
        <f>('4'!AM13/24)*0.454</f>
        <v>0</v>
      </c>
      <c r="AO13" s="21"/>
      <c r="AP13" s="185">
        <f>('4'!AO13/24)*0.454</f>
        <v>0</v>
      </c>
    </row>
    <row r="14" spans="1:47" ht="18.75" customHeight="1">
      <c r="A14" s="28">
        <v>0.58333333333333304</v>
      </c>
      <c r="B14" s="186">
        <v>60</v>
      </c>
      <c r="C14" s="186">
        <v>10</v>
      </c>
      <c r="D14" s="186">
        <v>12.5</v>
      </c>
      <c r="E14" s="186">
        <v>2.5</v>
      </c>
      <c r="F14" s="186">
        <v>8.8000000000000007</v>
      </c>
      <c r="G14" s="186">
        <v>1.4</v>
      </c>
      <c r="H14" s="186">
        <v>1.9</v>
      </c>
      <c r="I14" s="186">
        <v>0.4</v>
      </c>
      <c r="J14" s="186">
        <v>0.4</v>
      </c>
      <c r="K14" s="186">
        <v>7.3</v>
      </c>
      <c r="L14" s="186">
        <v>6.7</v>
      </c>
      <c r="M14" s="186">
        <v>6.7</v>
      </c>
      <c r="N14" s="186">
        <v>6.4</v>
      </c>
      <c r="O14" s="186">
        <v>3.5</v>
      </c>
      <c r="P14" s="186"/>
      <c r="Q14" s="188"/>
      <c r="R14" s="37">
        <f>'4'!Z19</f>
        <v>940</v>
      </c>
      <c r="S14" s="36">
        <f>'4'!AB19</f>
        <v>59.121174289713615</v>
      </c>
      <c r="T14" s="37">
        <f>'4'!Y19</f>
        <v>2937</v>
      </c>
      <c r="U14" s="33" t="str">
        <f>IF('4'!AA19=1,'4'!AR6,'4'!AR7)</f>
        <v>S.A.L</v>
      </c>
      <c r="V14" s="944"/>
      <c r="W14" s="944"/>
      <c r="X14" s="13">
        <v>0.375</v>
      </c>
      <c r="Y14" s="54">
        <v>2811</v>
      </c>
      <c r="Z14" s="182">
        <v>940</v>
      </c>
      <c r="AA14" s="15">
        <v>1</v>
      </c>
      <c r="AB14" s="58">
        <f>IF('4'!AA14=1,(('4'!Z14*'4'!$AS$6*'4'!$AT$6)/('4'!Y14*0.0036)),IF('4'!AA14=2,(('4'!Z14*'4'!$AS$7*'4'!$AT$7)/('4'!Y14*0.0036))))</f>
        <v>61.771216253606866</v>
      </c>
      <c r="AC14" s="58"/>
      <c r="AD14" s="18">
        <f>(('4'!AC14*'4'!$Q$10*1000000))/('4'!Y14*3600)</f>
        <v>0</v>
      </c>
      <c r="AE14" s="19"/>
      <c r="AF14" s="184">
        <f>('4'!AE14/24)*0.454</f>
        <v>0</v>
      </c>
      <c r="AG14" s="19"/>
      <c r="AH14" s="184">
        <f>('4'!AG14/24)*0.454</f>
        <v>0</v>
      </c>
      <c r="AI14" s="19">
        <v>5000</v>
      </c>
      <c r="AJ14" s="184">
        <f>('4'!AI14/24)*0.454</f>
        <v>94.583333333333343</v>
      </c>
      <c r="AK14" s="21"/>
      <c r="AL14" s="185">
        <f>('4'!AK14/24)*0.454</f>
        <v>0</v>
      </c>
      <c r="AM14" s="21"/>
      <c r="AN14" s="185">
        <f>('4'!AM14/24)*0.454</f>
        <v>0</v>
      </c>
      <c r="AO14" s="21"/>
      <c r="AP14" s="185">
        <f>('4'!AO14/24)*0.454</f>
        <v>0</v>
      </c>
    </row>
    <row r="15" spans="1:47" ht="18.75" customHeight="1">
      <c r="A15" s="28">
        <v>0.66666666666666696</v>
      </c>
      <c r="B15" s="186">
        <v>60</v>
      </c>
      <c r="C15" s="186">
        <v>10</v>
      </c>
      <c r="D15" s="186">
        <v>12.5</v>
      </c>
      <c r="E15" s="186">
        <v>2.5</v>
      </c>
      <c r="F15" s="186">
        <v>8.9</v>
      </c>
      <c r="G15" s="186">
        <v>1.4</v>
      </c>
      <c r="H15" s="186">
        <v>1.7</v>
      </c>
      <c r="I15" s="186">
        <v>0.4</v>
      </c>
      <c r="J15" s="186">
        <v>0.4</v>
      </c>
      <c r="K15" s="186">
        <v>7.3</v>
      </c>
      <c r="L15" s="186">
        <v>6.8</v>
      </c>
      <c r="M15" s="186">
        <v>6.8</v>
      </c>
      <c r="N15" s="186">
        <v>6.4</v>
      </c>
      <c r="O15" s="186">
        <v>3.5</v>
      </c>
      <c r="P15" s="186"/>
      <c r="Q15" s="188"/>
      <c r="R15" s="37">
        <f>'4'!Z21</f>
        <v>940</v>
      </c>
      <c r="S15" s="36">
        <f>'4'!AB21</f>
        <v>60.904555906309675</v>
      </c>
      <c r="T15" s="37">
        <f>'4'!Y21</f>
        <v>2851</v>
      </c>
      <c r="U15" s="33" t="str">
        <f>IF('4'!AA21=1,'4'!AR6,'4'!AR7)</f>
        <v>S.A.L</v>
      </c>
      <c r="V15" s="944"/>
      <c r="W15" s="944"/>
      <c r="X15" s="13">
        <v>0.41666666666666702</v>
      </c>
      <c r="Y15" s="54">
        <v>2804</v>
      </c>
      <c r="Z15" s="182">
        <v>940</v>
      </c>
      <c r="AA15" s="15">
        <v>1</v>
      </c>
      <c r="AB15" s="58">
        <f>IF('4'!AA15=1,(('4'!Z15*'4'!$AS$6*'4'!$AT$6)/('4'!Y15*0.0036)),IF('4'!AA15=2,(('4'!Z15*'4'!$AS$7*'4'!$AT$7)/('4'!Y15*0.0036))))</f>
        <v>61.925423997463938</v>
      </c>
      <c r="AC15" s="58"/>
      <c r="AD15" s="18">
        <f>(('4'!AC15*'4'!$Q$10*1000000))/('4'!Y15*3600)</f>
        <v>0</v>
      </c>
      <c r="AE15" s="19"/>
      <c r="AF15" s="184">
        <f>('4'!AE15/24)*0.454</f>
        <v>0</v>
      </c>
      <c r="AG15" s="19"/>
      <c r="AH15" s="184">
        <f>('4'!AG15/24)*0.454</f>
        <v>0</v>
      </c>
      <c r="AI15" s="19">
        <v>5000</v>
      </c>
      <c r="AJ15" s="184">
        <f>('4'!AI15/24)*0.454</f>
        <v>94.583333333333343</v>
      </c>
      <c r="AK15" s="21"/>
      <c r="AL15" s="185">
        <f>('4'!AK15/24)*0.454</f>
        <v>0</v>
      </c>
      <c r="AM15" s="21"/>
      <c r="AN15" s="185">
        <f>('4'!AM15/24)*0.454</f>
        <v>0</v>
      </c>
      <c r="AO15" s="21"/>
      <c r="AP15" s="185">
        <f>('4'!AO15/24)*0.454</f>
        <v>0</v>
      </c>
    </row>
    <row r="16" spans="1:47" ht="18.75" customHeight="1">
      <c r="A16" s="28">
        <v>0.75</v>
      </c>
      <c r="B16" s="186">
        <v>60</v>
      </c>
      <c r="C16" s="186">
        <v>10</v>
      </c>
      <c r="D16" s="186">
        <v>12.5</v>
      </c>
      <c r="E16" s="186">
        <v>2.5</v>
      </c>
      <c r="F16" s="186">
        <v>8.9</v>
      </c>
      <c r="G16" s="186">
        <v>1.4</v>
      </c>
      <c r="H16" s="186">
        <v>2</v>
      </c>
      <c r="I16" s="186">
        <v>0.4</v>
      </c>
      <c r="J16" s="186">
        <v>0.4</v>
      </c>
      <c r="K16" s="186">
        <v>7.3</v>
      </c>
      <c r="L16" s="186">
        <v>6.8</v>
      </c>
      <c r="M16" s="186">
        <v>6.8</v>
      </c>
      <c r="N16" s="186">
        <v>6.4</v>
      </c>
      <c r="O16" s="186">
        <v>3.5</v>
      </c>
      <c r="P16" s="186"/>
      <c r="Q16" s="188"/>
      <c r="R16" s="37">
        <f>'4'!Z23</f>
        <v>940</v>
      </c>
      <c r="S16" s="36">
        <f>'4'!AB23</f>
        <v>61.14045383411581</v>
      </c>
      <c r="T16" s="37">
        <f>'4'!Y23</f>
        <v>2840</v>
      </c>
      <c r="U16" s="33" t="str">
        <f>IF('4'!AA23=1,'4'!AR6,'4'!AR7)</f>
        <v>S.A.L</v>
      </c>
      <c r="V16" s="944"/>
      <c r="W16" s="944"/>
      <c r="X16" s="13">
        <v>0.45833333333333298</v>
      </c>
      <c r="Y16" s="54">
        <v>2812</v>
      </c>
      <c r="Z16" s="182">
        <v>940</v>
      </c>
      <c r="AA16" s="15">
        <v>1</v>
      </c>
      <c r="AB16" s="58">
        <f>IF('4'!AA16=1,(('4'!Z16*'4'!$AS$6*'4'!$AT$6)/('4'!Y16*0.0036)),IF('4'!AA16=2,(('4'!Z16*'4'!$AS$7*'4'!$AT$7)/('4'!Y16*0.0036))))</f>
        <v>61.74924924924926</v>
      </c>
      <c r="AC16" s="58"/>
      <c r="AD16" s="18">
        <f>(('4'!AC16*'4'!$Q$10*1000000))/('4'!Y16*3600)</f>
        <v>0</v>
      </c>
      <c r="AE16" s="19"/>
      <c r="AF16" s="184">
        <f>('4'!AE16/24)*0.454</f>
        <v>0</v>
      </c>
      <c r="AG16" s="19"/>
      <c r="AH16" s="184">
        <f>('4'!AG16/24)*0.454</f>
        <v>0</v>
      </c>
      <c r="AI16" s="19">
        <v>5000</v>
      </c>
      <c r="AJ16" s="184">
        <f>('4'!AI16/24)*0.454</f>
        <v>94.583333333333343</v>
      </c>
      <c r="AK16" s="21"/>
      <c r="AL16" s="185">
        <f>('4'!AK16/24)*0.454</f>
        <v>0</v>
      </c>
      <c r="AM16" s="21"/>
      <c r="AN16" s="185">
        <f>('4'!AM16/24)*0.454</f>
        <v>0</v>
      </c>
      <c r="AO16" s="21"/>
      <c r="AP16" s="185">
        <f>('4'!AO16/24)*0.454</f>
        <v>0</v>
      </c>
    </row>
    <row r="17" spans="1:42" ht="18.75" customHeight="1">
      <c r="A17" s="28">
        <v>0.83333333333333304</v>
      </c>
      <c r="B17" s="186">
        <v>60</v>
      </c>
      <c r="C17" s="186">
        <v>10</v>
      </c>
      <c r="D17" s="186">
        <v>12.5</v>
      </c>
      <c r="E17" s="186">
        <v>2.5</v>
      </c>
      <c r="F17" s="186">
        <v>9.8000000000000007</v>
      </c>
      <c r="G17" s="186">
        <v>1.5</v>
      </c>
      <c r="H17" s="186">
        <v>2</v>
      </c>
      <c r="I17" s="186">
        <v>0.4</v>
      </c>
      <c r="J17" s="186">
        <v>0.5</v>
      </c>
      <c r="K17" s="186">
        <v>7.3</v>
      </c>
      <c r="L17" s="186">
        <v>6.8</v>
      </c>
      <c r="M17" s="186">
        <v>6.8</v>
      </c>
      <c r="N17" s="186">
        <v>6.4</v>
      </c>
      <c r="O17" s="186">
        <v>3.5</v>
      </c>
      <c r="P17" s="186"/>
      <c r="Q17" s="188"/>
      <c r="R17" s="37">
        <f>'4'!Z25</f>
        <v>940</v>
      </c>
      <c r="S17" s="36">
        <f>'4'!AB25</f>
        <v>62.685519454472526</v>
      </c>
      <c r="T17" s="37">
        <f>'4'!Y25</f>
        <v>2770</v>
      </c>
      <c r="U17" s="33" t="str">
        <f>IF('4'!AA25=1,'4'!AR6,'4'!AR7)</f>
        <v>S.A.L</v>
      </c>
      <c r="V17" s="945">
        <f>ESCALA!$C$6</f>
        <v>0</v>
      </c>
      <c r="W17" s="945"/>
      <c r="X17" s="13">
        <v>0.5</v>
      </c>
      <c r="Y17" s="54">
        <v>2796</v>
      </c>
      <c r="Z17" s="182">
        <v>940</v>
      </c>
      <c r="AA17" s="15">
        <v>1</v>
      </c>
      <c r="AB17" s="58">
        <f>IF('4'!AA17=1,(('4'!Z17*'4'!$AS$6*'4'!$AT$6)/('4'!Y17*0.0036)),IF('4'!AA17=2,(('4'!Z17*'4'!$AS$7*'4'!$AT$7)/('4'!Y17*0.0036))))</f>
        <v>62.102606898744241</v>
      </c>
      <c r="AC17" s="58"/>
      <c r="AD17" s="18">
        <f>(('4'!AC17*'4'!$Q$10*1000000))/('4'!Y17*3600)</f>
        <v>0</v>
      </c>
      <c r="AE17" s="19"/>
      <c r="AF17" s="184">
        <f>('4'!AE17/24)*0.454</f>
        <v>0</v>
      </c>
      <c r="AG17" s="19"/>
      <c r="AH17" s="184">
        <f>('4'!AG17/24)*0.454</f>
        <v>0</v>
      </c>
      <c r="AI17" s="19">
        <v>5000</v>
      </c>
      <c r="AJ17" s="184">
        <f>('4'!AI17/24)*0.454</f>
        <v>94.583333333333343</v>
      </c>
      <c r="AK17" s="21"/>
      <c r="AL17" s="185">
        <f>('4'!AK17/24)*0.454</f>
        <v>0</v>
      </c>
      <c r="AM17" s="21"/>
      <c r="AN17" s="185">
        <f>('4'!AM17/24)*0.454</f>
        <v>0</v>
      </c>
      <c r="AO17" s="21"/>
      <c r="AP17" s="185">
        <f>('4'!AO17/24)*0.454</f>
        <v>0</v>
      </c>
    </row>
    <row r="18" spans="1:42" ht="19.5" customHeight="1">
      <c r="A18" s="28">
        <v>0.91666666666666696</v>
      </c>
      <c r="B18" s="186">
        <v>60</v>
      </c>
      <c r="C18" s="186">
        <v>10</v>
      </c>
      <c r="D18" s="186">
        <v>12.5</v>
      </c>
      <c r="E18" s="186">
        <v>2.5</v>
      </c>
      <c r="F18" s="186">
        <v>10</v>
      </c>
      <c r="G18" s="186">
        <v>1.5</v>
      </c>
      <c r="H18" s="186">
        <v>1.9</v>
      </c>
      <c r="I18" s="186">
        <v>0.4</v>
      </c>
      <c r="J18" s="186">
        <v>0.5</v>
      </c>
      <c r="K18" s="186">
        <v>7.3</v>
      </c>
      <c r="L18" s="186">
        <v>6.8</v>
      </c>
      <c r="M18" s="186">
        <v>6.8</v>
      </c>
      <c r="N18" s="186">
        <v>6.4</v>
      </c>
      <c r="O18" s="186">
        <v>3.5</v>
      </c>
      <c r="P18" s="186"/>
      <c r="Q18" s="188"/>
      <c r="R18" s="37">
        <f>'4'!Z27</f>
        <v>940</v>
      </c>
      <c r="S18" s="36">
        <f>'4'!AB27</f>
        <v>63.026819923371654</v>
      </c>
      <c r="T18" s="37">
        <f>'4'!Y27</f>
        <v>2755</v>
      </c>
      <c r="U18" s="33" t="str">
        <f>IF('4'!AA27=1,'4'!AR6,'4'!AR7)</f>
        <v>S.A.L</v>
      </c>
      <c r="V18" s="945"/>
      <c r="W18" s="945"/>
      <c r="X18" s="13">
        <v>0.54166666666666696</v>
      </c>
      <c r="Y18" s="54">
        <v>2847</v>
      </c>
      <c r="Z18" s="182">
        <v>940</v>
      </c>
      <c r="AA18" s="15">
        <v>1</v>
      </c>
      <c r="AB18" s="58">
        <f>IF('4'!AA18=1,(('4'!Z18*'4'!$AS$6*'4'!$AT$6)/('4'!Y18*0.0036)),IF('4'!AA18=2,(('4'!Z18*'4'!$AS$7*'4'!$AT$7)/('4'!Y18*0.0036))))</f>
        <v>60.990126058619211</v>
      </c>
      <c r="AC18" s="58"/>
      <c r="AD18" s="18">
        <f>(('4'!AC18*'4'!$Q$10*1000000))/('4'!Y18*3600)</f>
        <v>0</v>
      </c>
      <c r="AE18" s="19"/>
      <c r="AF18" s="184">
        <f>('4'!AE18/24)*0.454</f>
        <v>0</v>
      </c>
      <c r="AG18" s="19"/>
      <c r="AH18" s="184">
        <f>('4'!AG18/24)*0.454</f>
        <v>0</v>
      </c>
      <c r="AI18" s="19">
        <v>5000</v>
      </c>
      <c r="AJ18" s="184">
        <f>('4'!AI18/24)*0.454</f>
        <v>94.583333333333343</v>
      </c>
      <c r="AK18" s="21"/>
      <c r="AL18" s="185">
        <f>('4'!AK18/24)*0.454</f>
        <v>0</v>
      </c>
      <c r="AM18" s="21"/>
      <c r="AN18" s="185">
        <f>('4'!AM18/24)*0.454</f>
        <v>0</v>
      </c>
      <c r="AO18" s="21"/>
      <c r="AP18" s="185">
        <f>('4'!AO18/24)*0.454</f>
        <v>0</v>
      </c>
    </row>
    <row r="19" spans="1:42" ht="18.75" customHeight="1">
      <c r="A19" s="10" t="s">
        <v>52</v>
      </c>
      <c r="B19" s="69">
        <f t="array" ref="B19">IF('3'!B7:B18&gt;0.01,AVERAGE('3'!B7:B18),"")</f>
        <v>61.666666666666664</v>
      </c>
      <c r="C19" s="69">
        <f t="array" ref="C19">IF('3'!C7:C18&gt;0.01,AVERAGE('3'!C7:C18),"")</f>
        <v>12.083333333333334</v>
      </c>
      <c r="D19" s="69">
        <f t="array" ref="D19">IF('3'!D7:D18&gt;0.01,AVERAGE('3'!D7:D18),"")</f>
        <v>12.5</v>
      </c>
      <c r="E19" s="69">
        <f t="array" ref="E19">IF('3'!E7:E18&gt;0.01,AVERAGE('3'!E7:E18),"")</f>
        <v>2.5</v>
      </c>
      <c r="F19" s="69">
        <f t="array" ref="F19">IF('3'!F7:F18&gt;0.01,AVERAGE('3'!F7:F18),"")</f>
        <v>8.1416666666666693</v>
      </c>
      <c r="G19" s="69">
        <f t="array" ref="G19">IF('3'!G7:G18&gt;0.01,AVERAGE('3'!G7:G18),"")</f>
        <v>1.9999999999999993</v>
      </c>
      <c r="H19" s="69">
        <f t="array" ref="H19">IF('3'!H7:H18&gt;0.01,AVERAGE('3'!H7:H18),"")</f>
        <v>1.75</v>
      </c>
      <c r="I19" s="69">
        <f t="array" ref="I19">IF('3'!I7:I18&gt;0.01,AVERAGE('3'!I7:I18),"")</f>
        <v>0.43333333333333329</v>
      </c>
      <c r="J19" s="69">
        <f t="array" ref="J19">IF('3'!J7:J18&gt;0.01,AVERAGE('3'!J7:J18),"")</f>
        <v>0.45833333333333343</v>
      </c>
      <c r="K19" s="69">
        <f t="array" ref="K19">IF('3'!K7:K18&gt;0.01,AVERAGE('3'!K7:K18),"")</f>
        <v>7.299999999999998</v>
      </c>
      <c r="L19" s="221">
        <f t="array" ref="L19">IF('3'!L7:L18&gt;0.01,AVERAGE('3'!L7:L18),"")</f>
        <v>6.700000000000002</v>
      </c>
      <c r="M19" s="69">
        <f t="array" ref="M19">IF('3'!M7:M18&gt;0.01,AVERAGE('3'!M7:M18),"")</f>
        <v>6.700000000000002</v>
      </c>
      <c r="N19" s="69">
        <f t="array" ref="N19">IF('3'!N7:N18&gt;0.01,AVERAGE('3'!N7:N18),"")</f>
        <v>6.3999999999999995</v>
      </c>
      <c r="O19" s="69">
        <f t="array" ref="O19">IF('3'!O7:O18&gt;0.01,AVERAGE('3'!O7:O18),"")</f>
        <v>3.0083333333333342</v>
      </c>
      <c r="P19" s="190" t="str">
        <f t="array" ref="P19">IF('2'!P7:P18&gt;0.01,AVERAGE('2'!P7:P18),"")</f>
        <v/>
      </c>
      <c r="Q19" s="191" t="str">
        <f t="array" ref="Q19">IF('2'!Q7:Q18&gt;0.01,AVERAGE('2'!Q7:Q18),"")</f>
        <v/>
      </c>
      <c r="R19" s="191">
        <f t="array" ref="R19">IF('4'!R7:R18&gt;0.01,AVERAGE('4'!R7:R18),"")</f>
        <v>940</v>
      </c>
      <c r="S19" s="191">
        <f t="array" ref="S19">IF('4'!S7:S18&gt;0.01,AVERAGE('4'!S7:S18),"")</f>
        <v>61.928822485618561</v>
      </c>
      <c r="T19" s="946"/>
      <c r="U19" s="946"/>
      <c r="V19" s="49"/>
      <c r="W19" s="50"/>
      <c r="X19" s="13">
        <v>0.58333333333333304</v>
      </c>
      <c r="Y19" s="54">
        <v>2937</v>
      </c>
      <c r="Z19" s="182">
        <v>940</v>
      </c>
      <c r="AA19" s="15">
        <v>1</v>
      </c>
      <c r="AB19" s="58">
        <f>IF('4'!AA19=1,(('4'!Z19*'4'!$AS$6*'4'!$AT$6)/('4'!Y19*0.0036)),IF('4'!AA19=2,(('4'!Z19*'4'!$AS$7*'4'!$AT$7)/('4'!Y19*0.0036))))</f>
        <v>59.121174289713615</v>
      </c>
      <c r="AC19" s="58"/>
      <c r="AD19" s="18">
        <f>(('4'!AC19*'4'!$Q$10*1000000))/('4'!Y19*3600)</f>
        <v>0</v>
      </c>
      <c r="AE19" s="19"/>
      <c r="AF19" s="184">
        <f>('4'!AE19/24)*0.454</f>
        <v>0</v>
      </c>
      <c r="AG19" s="19"/>
      <c r="AH19" s="184">
        <f>('4'!AG19/24)*0.454</f>
        <v>0</v>
      </c>
      <c r="AI19" s="19">
        <v>5000</v>
      </c>
      <c r="AJ19" s="184">
        <f>('4'!AI19/24)*0.454</f>
        <v>94.583333333333343</v>
      </c>
      <c r="AK19" s="21"/>
      <c r="AL19" s="185">
        <f>('4'!AK19/24)*0.454</f>
        <v>0</v>
      </c>
      <c r="AM19" s="21"/>
      <c r="AN19" s="185">
        <f>('4'!AM19/24)*0.454</f>
        <v>0</v>
      </c>
      <c r="AO19" s="21"/>
      <c r="AP19" s="185">
        <f>('4'!AO19/24)*0.454</f>
        <v>0</v>
      </c>
    </row>
    <row r="20" spans="1:42" ht="18.75" customHeight="1">
      <c r="A20" s="10" t="s">
        <v>53</v>
      </c>
      <c r="B20" s="189">
        <f>MAX(B7:B18)</f>
        <v>60</v>
      </c>
      <c r="C20" s="69">
        <f>MAX(C7:C18)</f>
        <v>10</v>
      </c>
      <c r="D20" s="69">
        <f>MAX(D7:D18)</f>
        <v>12.5</v>
      </c>
      <c r="E20" s="69">
        <f>MAX(E7:E18)</f>
        <v>2.5</v>
      </c>
      <c r="F20" s="69">
        <f>MAX('5'!F7:F18)</f>
        <v>11</v>
      </c>
      <c r="G20" s="69">
        <f>MAX('5'!G7:G18)</f>
        <v>1.43</v>
      </c>
      <c r="H20" s="69">
        <f>MAX('5'!H7:H18)</f>
        <v>2</v>
      </c>
      <c r="I20" s="69">
        <f>MAX('5'!I7:I18)</f>
        <v>0.5</v>
      </c>
      <c r="J20" s="69">
        <f>MAX('5'!J7:J18)</f>
        <v>0.5</v>
      </c>
      <c r="K20" s="69">
        <f>MAX('5'!K7:K18)</f>
        <v>7.3</v>
      </c>
      <c r="L20" s="69">
        <f>MAX('5'!L7:L18)</f>
        <v>6.7</v>
      </c>
      <c r="M20" s="69">
        <f>MAX('5'!M7:M18)</f>
        <v>6.7</v>
      </c>
      <c r="N20" s="69">
        <f>MAX('5'!N7:N18)</f>
        <v>6.4</v>
      </c>
      <c r="O20" s="70">
        <f>MAX('4'!O7:O18)</f>
        <v>3.7</v>
      </c>
      <c r="P20" s="70">
        <f>MAX('5'!P7:P18)</f>
        <v>0</v>
      </c>
      <c r="Q20" s="70">
        <f>MAX('5'!Q7:Q18)</f>
        <v>0</v>
      </c>
      <c r="R20" s="70">
        <f>MAX('4'!R7:R18)</f>
        <v>940</v>
      </c>
      <c r="S20" s="70">
        <f>MAX('4'!S7:S18)</f>
        <v>63.026819923371654</v>
      </c>
      <c r="T20" s="946"/>
      <c r="U20" s="946"/>
      <c r="X20" s="13">
        <v>0.625</v>
      </c>
      <c r="Y20" s="54">
        <v>2861</v>
      </c>
      <c r="Z20" s="182">
        <v>940</v>
      </c>
      <c r="AA20" s="15">
        <v>1</v>
      </c>
      <c r="AB20" s="58">
        <f>IF('4'!AA20=1,(('4'!Z20*'4'!$AS$6*'4'!$AT$6)/('4'!Y20*0.0036)),IF('4'!AA20=2,(('4'!Z20*'4'!$AS$7*'4'!$AT$7)/('4'!Y20*0.0036))))</f>
        <v>60.691677346693076</v>
      </c>
      <c r="AC20" s="58"/>
      <c r="AD20" s="18">
        <f>(('4'!AC20*'4'!$Q$10*1000000))/('4'!Y20*3600)</f>
        <v>0</v>
      </c>
      <c r="AE20" s="19"/>
      <c r="AF20" s="184">
        <f>('4'!AE20/24)*0.454</f>
        <v>0</v>
      </c>
      <c r="AG20" s="19"/>
      <c r="AH20" s="184">
        <v>0</v>
      </c>
      <c r="AI20" s="19">
        <v>5000</v>
      </c>
      <c r="AJ20" s="184">
        <f>('4'!AI20/24)*0.454</f>
        <v>94.583333333333343</v>
      </c>
      <c r="AK20" s="21"/>
      <c r="AL20" s="185">
        <f>('4'!AK20/24)*0.454</f>
        <v>0</v>
      </c>
      <c r="AM20" s="21"/>
      <c r="AN20" s="185">
        <f>('4'!AM20/24)*0.454</f>
        <v>0</v>
      </c>
      <c r="AO20" s="21"/>
      <c r="AP20" s="185">
        <f>('4'!AO20/24)*0.454</f>
        <v>0</v>
      </c>
    </row>
    <row r="21" spans="1:42" ht="19.5" customHeight="1">
      <c r="A21" s="10" t="s">
        <v>54</v>
      </c>
      <c r="B21" s="189">
        <f>MIN('4'!B7:B18)</f>
        <v>50</v>
      </c>
      <c r="C21" s="69">
        <f>MIN('4'!C7:C18)</f>
        <v>10</v>
      </c>
      <c r="D21" s="69">
        <f>MIN('4'!D7:D18)</f>
        <v>12.5</v>
      </c>
      <c r="E21" s="69">
        <f>MIN('4'!E7:E18)</f>
        <v>2.5</v>
      </c>
      <c r="F21" s="69">
        <f>MIN('4'!F7:F18)</f>
        <v>8.3000000000000007</v>
      </c>
      <c r="G21" s="192">
        <f>MIN('4'!G7:G18)</f>
        <v>1.3</v>
      </c>
      <c r="H21" s="192">
        <f>MIN('4'!H7:H18)</f>
        <v>1.6</v>
      </c>
      <c r="I21" s="192">
        <f>MIN('4'!I7:I18)</f>
        <v>0.4</v>
      </c>
      <c r="J21" s="192">
        <f>MIN('4'!J7:J18)</f>
        <v>0.4</v>
      </c>
      <c r="K21" s="192">
        <f>MIN('4'!K7:K18)</f>
        <v>7.3</v>
      </c>
      <c r="L21" s="192">
        <f>MIN('4'!L7:L18)</f>
        <v>6.7</v>
      </c>
      <c r="M21" s="192">
        <f>MIN('4'!M7:M18)</f>
        <v>6.7</v>
      </c>
      <c r="N21" s="192">
        <f>MIN('4'!N7:N18)</f>
        <v>6.4</v>
      </c>
      <c r="O21" s="193">
        <f>MIN('4'!O7:O18)</f>
        <v>3.4</v>
      </c>
      <c r="P21" s="193">
        <f>MIN('4'!P7:P18)</f>
        <v>0</v>
      </c>
      <c r="Q21" s="193">
        <f>MIN('4'!Q7:Q18)</f>
        <v>0</v>
      </c>
      <c r="R21" s="193">
        <f>MIN('4'!R7:R18)</f>
        <v>940</v>
      </c>
      <c r="S21" s="193">
        <f>MIN('4'!S7:S18)</f>
        <v>59.121174289713615</v>
      </c>
      <c r="T21" s="946"/>
      <c r="U21" s="946"/>
      <c r="X21" s="13">
        <v>0.66666666666666696</v>
      </c>
      <c r="Y21" s="54">
        <v>2851</v>
      </c>
      <c r="Z21" s="182">
        <v>940</v>
      </c>
      <c r="AA21" s="15">
        <v>1</v>
      </c>
      <c r="AB21" s="58">
        <f>IF('4'!AA21=1,(('4'!Z21*'4'!$AS$6*'4'!$AT$6)/('4'!Y21*0.0036)),IF('4'!AA21=2,(('4'!Z21*'4'!$AS$7*'4'!$AT$7)/('4'!Y21*0.0036))))</f>
        <v>60.904555906309675</v>
      </c>
      <c r="AC21" s="58"/>
      <c r="AD21" s="18">
        <f>(('4'!AC21*'4'!$Q$10*1000000))/('4'!Y21*3600)</f>
        <v>0</v>
      </c>
      <c r="AE21" s="19"/>
      <c r="AF21" s="184">
        <f>('4'!AE21/24)*0.454</f>
        <v>0</v>
      </c>
      <c r="AG21" s="19"/>
      <c r="AH21" s="184">
        <f>('4'!AG21/24)*0.454</f>
        <v>0</v>
      </c>
      <c r="AI21" s="19">
        <v>5000</v>
      </c>
      <c r="AJ21" s="184">
        <f>('4'!AI21/24)*0.454</f>
        <v>94.583333333333343</v>
      </c>
      <c r="AK21" s="21"/>
      <c r="AL21" s="185">
        <f>('4'!AK21/24)*0.454</f>
        <v>0</v>
      </c>
      <c r="AM21" s="21"/>
      <c r="AN21" s="185">
        <f>('4'!AM21/24)*0.454</f>
        <v>0</v>
      </c>
      <c r="AO21" s="21"/>
      <c r="AP21" s="185">
        <f>('4'!AO21/24)*0.454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Q22" s="57"/>
      <c r="R22" s="948" t="s">
        <v>55</v>
      </c>
      <c r="S22" s="948"/>
      <c r="T22" s="946"/>
      <c r="U22" s="946"/>
      <c r="X22" s="13">
        <v>0.70833333333333304</v>
      </c>
      <c r="Y22" s="54">
        <v>2840</v>
      </c>
      <c r="Z22" s="182">
        <v>940</v>
      </c>
      <c r="AA22" s="15">
        <v>1</v>
      </c>
      <c r="AB22" s="58">
        <f>IF('4'!AA22=1,(('4'!Z22*'4'!$AS$6*'4'!$AT$6)/('4'!Y22*0.0036)),IF('4'!AA22=2,(('4'!Z22*'4'!$AS$7*'4'!$AT$7)/('4'!Y22*0.0036))))</f>
        <v>61.14045383411581</v>
      </c>
      <c r="AC22" s="58"/>
      <c r="AD22" s="18">
        <f>(('4'!AC22*'4'!$Q$10*1000000))/('4'!Y22*3600)</f>
        <v>0</v>
      </c>
      <c r="AE22" s="19"/>
      <c r="AF22" s="184">
        <f>('4'!AE22/24)*0.454</f>
        <v>0</v>
      </c>
      <c r="AG22" s="19"/>
      <c r="AH22" s="184">
        <f>('4'!AG22/24)*0.454</f>
        <v>0</v>
      </c>
      <c r="AI22" s="19">
        <v>5000</v>
      </c>
      <c r="AJ22" s="184">
        <f>('4'!AI22/24)*0.454</f>
        <v>94.583333333333343</v>
      </c>
      <c r="AK22" s="21"/>
      <c r="AL22" s="185">
        <f>('4'!AK22/24)*0.454</f>
        <v>0</v>
      </c>
      <c r="AM22" s="21"/>
      <c r="AN22" s="185">
        <f>('4'!AM22/24)*0.454</f>
        <v>0</v>
      </c>
      <c r="AO22" s="21"/>
      <c r="AP22" s="185">
        <f>('4'!AO22/24)*0.454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54">
        <v>2840</v>
      </c>
      <c r="Z23" s="182">
        <v>940</v>
      </c>
      <c r="AA23" s="15">
        <v>1</v>
      </c>
      <c r="AB23" s="58">
        <f>IF('4'!AA23=1,(('4'!Z23*'4'!$AS$6*'4'!$AT$6)/('4'!Y23*0.0036)),IF('4'!AA23=2,(('4'!Z23*'4'!$AS$7*'4'!$AT$7)/('4'!Y23*0.0036))))</f>
        <v>61.14045383411581</v>
      </c>
      <c r="AC23" s="58"/>
      <c r="AD23" s="18">
        <f>(('4'!AC23*'4'!$Q$10*1000000))/('4'!Y23*3600)</f>
        <v>0</v>
      </c>
      <c r="AE23" s="19"/>
      <c r="AF23" s="184">
        <f>('4'!AE23/24)*0.454</f>
        <v>0</v>
      </c>
      <c r="AG23" s="19"/>
      <c r="AH23" s="184">
        <f>('4'!AG23/24)*0.454</f>
        <v>0</v>
      </c>
      <c r="AI23" s="19">
        <v>5000</v>
      </c>
      <c r="AJ23" s="184">
        <f>('4'!AI23/24)*0.454</f>
        <v>94.583333333333343</v>
      </c>
      <c r="AK23" s="21"/>
      <c r="AL23" s="185">
        <f>('4'!AK23/24)*0.454</f>
        <v>0</v>
      </c>
      <c r="AM23" s="21"/>
      <c r="AN23" s="185">
        <f>('4'!AM23/24)*0.454</f>
        <v>0</v>
      </c>
      <c r="AO23" s="21"/>
      <c r="AP23" s="185">
        <f>('4'!AO23/24)*0.454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54">
        <v>2773</v>
      </c>
      <c r="Z24" s="182">
        <v>940</v>
      </c>
      <c r="AA24" s="15">
        <v>1</v>
      </c>
      <c r="AB24" s="16">
        <f>IF('4'!AA24=1,(('4'!Z24*'4'!$AS$6*'4'!$AT$6)/('4'!Y24*0.0036)),IF('4'!AA24=2,(('4'!Z24*'4'!$AS$7*'4'!$AT$7)/('4'!Y24*0.0036))))</f>
        <v>62.617702448210927</v>
      </c>
      <c r="AC24" s="58"/>
      <c r="AD24" s="18">
        <f>(('4'!AC24*'4'!$Q$10*1000000))/('4'!Y24*3600)</f>
        <v>0</v>
      </c>
      <c r="AE24" s="19"/>
      <c r="AF24" s="184">
        <f>('4'!AE24/24)*0.454</f>
        <v>0</v>
      </c>
      <c r="AG24" s="19"/>
      <c r="AH24" s="184">
        <f>('4'!AG24/24)*0.454</f>
        <v>0</v>
      </c>
      <c r="AI24" s="19">
        <v>5000</v>
      </c>
      <c r="AJ24" s="184">
        <f>('4'!AI24/24)*0.454</f>
        <v>94.583333333333343</v>
      </c>
      <c r="AK24" s="21"/>
      <c r="AL24" s="196">
        <f>('4'!AK24/24)*0.454</f>
        <v>0</v>
      </c>
      <c r="AM24" s="197"/>
      <c r="AN24" s="196">
        <f>('4'!AM24/24)*0.454</f>
        <v>0</v>
      </c>
      <c r="AO24" s="21"/>
      <c r="AP24" s="196">
        <f>('4'!AO24/24)*0.454</f>
        <v>0</v>
      </c>
    </row>
    <row r="25" spans="1:42" ht="19.5" customHeight="1">
      <c r="A25" s="64">
        <v>0.41666666666666702</v>
      </c>
      <c r="B25" s="198">
        <v>0.76</v>
      </c>
      <c r="C25" s="198">
        <v>0.43</v>
      </c>
      <c r="D25" s="198">
        <v>0.79</v>
      </c>
      <c r="E25" s="199">
        <v>0.41</v>
      </c>
      <c r="F25" s="199">
        <v>0.39</v>
      </c>
      <c r="G25" s="199">
        <v>0.4</v>
      </c>
      <c r="H25" s="199">
        <v>0.42</v>
      </c>
      <c r="I25" s="199">
        <v>0.45</v>
      </c>
      <c r="J25" s="199">
        <v>0.59</v>
      </c>
      <c r="K25" s="199">
        <v>0.43</v>
      </c>
      <c r="L25" s="199">
        <v>0.4</v>
      </c>
      <c r="M25" s="199">
        <v>0.44</v>
      </c>
      <c r="N25" s="199">
        <v>0.41</v>
      </c>
      <c r="O25" s="199">
        <v>0.41</v>
      </c>
      <c r="P25" s="199">
        <v>0.38</v>
      </c>
      <c r="Q25" s="199">
        <v>0.28000000000000003</v>
      </c>
      <c r="R25" s="65" t="e">
        <f>#DIV/0!</f>
        <v>#DIV/0!</v>
      </c>
      <c r="S25" s="66"/>
      <c r="T25" s="1042" t="s">
        <v>0</v>
      </c>
      <c r="U25" s="951">
        <f>ESCALA!$A$6</f>
        <v>43894</v>
      </c>
      <c r="X25" s="13">
        <v>0.83333333333333304</v>
      </c>
      <c r="Y25" s="54">
        <v>2770</v>
      </c>
      <c r="Z25" s="182">
        <v>940</v>
      </c>
      <c r="AA25" s="15">
        <v>1</v>
      </c>
      <c r="AB25" s="58">
        <f>IF('4'!AA25=1,(('4'!Z25*'4'!$AS$6*'4'!$AT$6)/('4'!Y25*0.0036)),IF('4'!AA25=2,(('4'!Z25*'4'!$AS$7*'4'!$AT$7)/('4'!Y25*0.0036))))</f>
        <v>62.685519454472526</v>
      </c>
      <c r="AC25" s="58"/>
      <c r="AD25" s="18">
        <f>(('4'!AC25*'4'!$Q$10*1000000))/('4'!Y25*3600)</f>
        <v>0</v>
      </c>
      <c r="AE25" s="19"/>
      <c r="AF25" s="184">
        <f>('4'!AE25/24)*0.454</f>
        <v>0</v>
      </c>
      <c r="AG25" s="19"/>
      <c r="AH25" s="184">
        <f>('4'!AG25/24)*0.454</f>
        <v>0</v>
      </c>
      <c r="AI25" s="19">
        <v>5000</v>
      </c>
      <c r="AJ25" s="184">
        <f>('4'!AI25/24)*0.454</f>
        <v>94.583333333333343</v>
      </c>
      <c r="AK25" s="21"/>
      <c r="AL25" s="185">
        <f>('4'!AK25/24)*0.454</f>
        <v>0</v>
      </c>
      <c r="AM25" s="21"/>
      <c r="AN25" s="185">
        <f>('4'!AM25/24)*0.454</f>
        <v>0</v>
      </c>
      <c r="AO25" s="21"/>
      <c r="AP25" s="185">
        <f>('4'!AO25/24)*0.454</f>
        <v>0</v>
      </c>
    </row>
    <row r="26" spans="1:42" ht="19.5" customHeight="1">
      <c r="A26" s="64">
        <v>0.66666666666666696</v>
      </c>
      <c r="B26" s="198"/>
      <c r="C26" s="198"/>
      <c r="D26" s="198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7"/>
      <c r="P26" s="228"/>
      <c r="Q26" s="224"/>
      <c r="R26" s="65" t="e">
        <f>#DIV/0!</f>
        <v>#DIV/0!</v>
      </c>
      <c r="S26" s="67"/>
      <c r="T26" s="1042"/>
      <c r="U26" s="951"/>
      <c r="X26" s="13">
        <v>0.875</v>
      </c>
      <c r="Y26" s="54">
        <v>2804</v>
      </c>
      <c r="Z26" s="182">
        <v>940</v>
      </c>
      <c r="AA26" s="15">
        <v>1</v>
      </c>
      <c r="AB26" s="58">
        <f>IF('4'!AA26=1,(('4'!Z26*'4'!$AS$6*'4'!$AT$6)/('4'!Y26*0.0036)),IF('4'!AA26=2,(('4'!Z26*'4'!$AS$7*'4'!$AT$7)/('4'!Y26*0.0036))))</f>
        <v>61.925423997463938</v>
      </c>
      <c r="AC26" s="58"/>
      <c r="AD26" s="18">
        <f>(('4'!AC26*'4'!$Q$10*1000000))/('4'!Y26*3600)</f>
        <v>0</v>
      </c>
      <c r="AE26" s="19"/>
      <c r="AF26" s="184">
        <f>('4'!AE26/24)*0.454</f>
        <v>0</v>
      </c>
      <c r="AG26" s="19"/>
      <c r="AH26" s="184">
        <f>('4'!AG26/24)*0.454</f>
        <v>0</v>
      </c>
      <c r="AI26" s="19">
        <v>5000</v>
      </c>
      <c r="AJ26" s="184">
        <f>('4'!AI26/24)*0.454</f>
        <v>94.583333333333343</v>
      </c>
      <c r="AK26" s="21"/>
      <c r="AL26" s="185">
        <f>('4'!AK26/24)*0.454</f>
        <v>0</v>
      </c>
      <c r="AM26" s="21"/>
      <c r="AN26" s="185">
        <f>('4'!AM26/24)*0.454</f>
        <v>0</v>
      </c>
      <c r="AO26" s="21"/>
      <c r="AP26" s="185">
        <f>('4'!AO26/24)*0.454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229"/>
      <c r="X27" s="13">
        <v>0.91666666666666696</v>
      </c>
      <c r="Y27" s="54">
        <v>2755</v>
      </c>
      <c r="Z27" s="182">
        <v>940</v>
      </c>
      <c r="AA27" s="15">
        <v>1</v>
      </c>
      <c r="AB27" s="58">
        <f>IF('4'!AA27=1,(('4'!Z27*'4'!$AS$6*'4'!$AT$6)/('4'!Y27*0.0036)),IF('4'!AA27=2,(('4'!Z27*'4'!$AS$7*'4'!$AT$7)/('4'!Y27*0.0036))))</f>
        <v>63.026819923371654</v>
      </c>
      <c r="AC27" s="58"/>
      <c r="AD27" s="18">
        <f>(('4'!AC27*'4'!$Q$10*1000000))/('4'!Y27*3600)</f>
        <v>0</v>
      </c>
      <c r="AE27" s="19"/>
      <c r="AF27" s="184">
        <f>('4'!AE27/24)*0.454</f>
        <v>0</v>
      </c>
      <c r="AG27" s="19"/>
      <c r="AH27" s="184">
        <f>('4'!AG27/24)*0.454</f>
        <v>0</v>
      </c>
      <c r="AI27" s="19">
        <v>5000</v>
      </c>
      <c r="AJ27" s="184">
        <f>('4'!AI27/24)*0.454</f>
        <v>94.583333333333343</v>
      </c>
      <c r="AK27" s="21"/>
      <c r="AL27" s="185">
        <f>('4'!AK27/24)*0.454</f>
        <v>0</v>
      </c>
      <c r="AM27" s="21"/>
      <c r="AN27" s="185">
        <f>('4'!AM27/24)*0.454</f>
        <v>0</v>
      </c>
      <c r="AO27" s="21"/>
      <c r="AP27" s="185">
        <f>('4'!AO27/24)*0.454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4">
        <v>2800</v>
      </c>
      <c r="Z28" s="182">
        <v>940</v>
      </c>
      <c r="AA28" s="15">
        <v>1</v>
      </c>
      <c r="AB28" s="58">
        <f>IF('4'!AA28=1,(('4'!Z28*'4'!$AS$6*'4'!$AT$6)/('4'!Y28*0.0036)),IF('4'!AA28=2,(('4'!Z28*'4'!$AS$7*'4'!$AT$7)/('4'!Y28*0.0036))))</f>
        <v>62.013888888888893</v>
      </c>
      <c r="AC28" s="58"/>
      <c r="AD28" s="18">
        <f>(('4'!AC28*'4'!$Q$10*1000000))/('4'!Y28*3600)</f>
        <v>0</v>
      </c>
      <c r="AE28" s="19"/>
      <c r="AF28" s="184">
        <f>('4'!AE28/24)*0.454</f>
        <v>0</v>
      </c>
      <c r="AG28" s="19"/>
      <c r="AH28" s="184">
        <f>('4'!AG28/24)*0.454</f>
        <v>0</v>
      </c>
      <c r="AI28" s="19">
        <v>5000</v>
      </c>
      <c r="AJ28" s="184">
        <f>('4'!AI28/24)*0.454</f>
        <v>94.583333333333343</v>
      </c>
      <c r="AK28" s="21"/>
      <c r="AL28" s="185">
        <f>('4'!AK28/24)*0.454</f>
        <v>0</v>
      </c>
      <c r="AM28" s="21"/>
      <c r="AN28" s="185">
        <f>('4'!AM28/24)*0.454</f>
        <v>0</v>
      </c>
      <c r="AO28" s="21"/>
      <c r="AP28" s="185">
        <f>('4'!AO28/24)*0.454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4">
        <v>2759</v>
      </c>
      <c r="Z29" s="182">
        <v>940</v>
      </c>
      <c r="AA29" s="15">
        <v>1</v>
      </c>
      <c r="AB29" s="58">
        <f>IF('4'!AA29=1,(('4'!Z29*'4'!$AS$6*'4'!$AT$6)/('4'!Y29*0.0036)),IF('4'!AA29=2,(('4'!Z29*'4'!$AS$7*'4'!$AT$7)/('4'!Y29*0.0036))))</f>
        <v>62.935443598727403</v>
      </c>
      <c r="AC29" s="58"/>
      <c r="AD29" s="18">
        <f>(('4'!AC29*'4'!$Q$10*1000000))/('4'!Y29*3600)</f>
        <v>0</v>
      </c>
      <c r="AE29" s="19"/>
      <c r="AF29" s="184">
        <f>('4'!AE29/24)*0.454</f>
        <v>0</v>
      </c>
      <c r="AG29" s="19"/>
      <c r="AH29" s="184">
        <f>('4'!AG29/24)*0.454</f>
        <v>0</v>
      </c>
      <c r="AI29" s="19">
        <v>5000</v>
      </c>
      <c r="AJ29" s="184">
        <f>('4'!AI29/24)*0.454</f>
        <v>94.583333333333343</v>
      </c>
      <c r="AK29" s="21"/>
      <c r="AL29" s="185">
        <f>('4'!AK29/24)*0.454</f>
        <v>0</v>
      </c>
      <c r="AM29" s="21"/>
      <c r="AN29" s="185">
        <f>('4'!AM29/24)*0.454</f>
        <v>0</v>
      </c>
      <c r="AO29" s="21"/>
      <c r="AP29" s="185">
        <f>('4'!AO29/24)*0.454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SUM('4'!Y6:Y29)*3.6</f>
        <v>242341.2</v>
      </c>
      <c r="Z30" s="82">
        <f>SUM('4'!Z6:Z29)</f>
        <v>22560</v>
      </c>
      <c r="AA30" s="78"/>
      <c r="AB30" s="79"/>
      <c r="AC30" s="78"/>
      <c r="AD30" s="79"/>
      <c r="AE30" s="34"/>
      <c r="AF30" s="184">
        <f>SUM('4'!AF6:AF29)</f>
        <v>0</v>
      </c>
      <c r="AG30" s="34"/>
      <c r="AH30" s="184">
        <f>SUM('4'!AH6:AH29)</f>
        <v>0</v>
      </c>
      <c r="AI30" s="34"/>
      <c r="AJ30" s="184">
        <f>SUM('4'!AJ6:AJ29)</f>
        <v>2270</v>
      </c>
      <c r="AK30" s="80"/>
      <c r="AL30" s="185">
        <f>SUM('4'!AL6:AL29)</f>
        <v>0</v>
      </c>
      <c r="AM30" s="80"/>
      <c r="AN30" s="185">
        <f>SUM('4'!AN6:AN29)</f>
        <v>0</v>
      </c>
      <c r="AO30" s="80"/>
      <c r="AP30" s="185">
        <f>SUM('4'!AP6:AP29)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SUMIF('4'!AA6:AA29,"=1",'4'!Z6:Z29)</f>
        <v>22560</v>
      </c>
      <c r="AA32" s="82">
        <f>'4'!Z32*'4'!AS6</f>
        <v>30004.800000000003</v>
      </c>
      <c r="AB32" s="83">
        <f>SUMIF('4'!$AA$6:$AA$29,"=1",'4'!$AB$6:$AB$29)/COUNTIF('4'!$AA$6:$AA$29,"=1")</f>
        <v>61.918990542299461</v>
      </c>
      <c r="AC32" s="84">
        <f>SUMIF('4'!AA6:AA29,"=1",'4'!AC6:AC29)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SUMIF('4'!AA6:AA29,"=2",'4'!Z6:Z29)</f>
        <v>0</v>
      </c>
      <c r="AA33" s="82">
        <f>'4'!Z33*'4'!AS7</f>
        <v>0</v>
      </c>
      <c r="AB33" s="83" t="e">
        <f>SUMIF('4'!$AA$6:$AA$29,"=2",'4'!$AB$6:$AB$29)/COUNTIF('4'!$AA$6:$AA$29,"=2")</f>
        <v>#DIV/0!</v>
      </c>
      <c r="AC33" s="89">
        <f>SUMIF('4'!AA6:AA29,"=2",'4'!AC6:AC29)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AVERAGE('4'!Y6:Y29)</f>
        <v>2804.875</v>
      </c>
      <c r="Z34" s="96">
        <f>AVERAGE('4'!Z6:Z29)</f>
        <v>940</v>
      </c>
      <c r="AA34" s="97"/>
      <c r="AB34" s="97"/>
      <c r="AC34" s="98">
        <f>SUM('4'!AC6:AC29)/COUNTIF('4'!AC6:AC29,"&lt;&gt;0")</f>
        <v>0</v>
      </c>
      <c r="AD34" s="99" t="e">
        <f>SUM('4'!AD6:AD29)/COUNTIF('4'!AD6:AD29,"&lt;&gt;0")</f>
        <v>#DIV/0!</v>
      </c>
      <c r="AE34" s="78"/>
      <c r="AF34" s="98">
        <f>AVERAGE('4'!AF6:AF29)</f>
        <v>0</v>
      </c>
      <c r="AG34" s="98"/>
      <c r="AH34" s="98">
        <f>AVERAGE('4'!AH6:AH29)</f>
        <v>0</v>
      </c>
      <c r="AI34" s="98"/>
      <c r="AJ34" s="98">
        <f>'4'!AJ30/24</f>
        <v>94.583333333333329</v>
      </c>
      <c r="AK34" s="98"/>
      <c r="AL34" s="98">
        <f>AVERAGE('4'!AL6:AL29)</f>
        <v>0</v>
      </c>
      <c r="AM34" s="98"/>
      <c r="AN34" s="98">
        <f>AVERAGE('4'!AN6:AN29)</f>
        <v>0</v>
      </c>
      <c r="AO34" s="98"/>
      <c r="AP34" s="98">
        <f>AVERAGE('4'!AP6:AP29)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957" t="s">
        <v>15</v>
      </c>
      <c r="X35" s="958" t="s">
        <v>66</v>
      </c>
      <c r="Y35" s="958"/>
      <c r="Z35" s="103"/>
      <c r="AA35" s="958" t="s">
        <v>67</v>
      </c>
      <c r="AB35" s="958"/>
      <c r="AJ35" s="1030" t="s">
        <v>68</v>
      </c>
      <c r="AK35" s="1030"/>
      <c r="AL35" s="1030"/>
      <c r="AM35" s="1030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957"/>
      <c r="X36" s="105" t="s">
        <v>73</v>
      </c>
      <c r="Y36" s="106"/>
      <c r="Z36" s="107"/>
      <c r="AA36" s="108" t="s">
        <v>74</v>
      </c>
      <c r="AB36" s="106"/>
      <c r="AJ36" s="1030"/>
      <c r="AK36" s="1030"/>
      <c r="AL36" s="1030"/>
      <c r="AM36" s="1030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80.599999999999994</v>
      </c>
      <c r="D37" s="186">
        <v>55.4</v>
      </c>
      <c r="E37" s="186">
        <v>35</v>
      </c>
      <c r="F37" s="186">
        <v>0.6</v>
      </c>
      <c r="G37" s="183">
        <v>0</v>
      </c>
      <c r="H37" s="183">
        <v>0</v>
      </c>
      <c r="I37" s="183">
        <v>0.1</v>
      </c>
      <c r="J37" s="183">
        <v>0.08</v>
      </c>
      <c r="K37" s="183">
        <v>0.03</v>
      </c>
      <c r="L37" s="1026">
        <v>0</v>
      </c>
      <c r="M37" s="1026"/>
      <c r="N37" s="1026"/>
      <c r="O37" s="10"/>
      <c r="P37" s="10"/>
      <c r="Q37" s="10"/>
      <c r="R37" s="10"/>
      <c r="S37" s="10"/>
      <c r="T37" s="10"/>
      <c r="U37" s="226">
        <f>'4'!V12</f>
        <v>0</v>
      </c>
      <c r="X37" s="962" t="s">
        <v>75</v>
      </c>
      <c r="Y37" s="962"/>
      <c r="Z37" s="110">
        <f>COUNTA('4'!Z6:Z29)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SUM('4'!AF30+'4'!AH30)*1.0561</f>
        <v>0</v>
      </c>
      <c r="AL38" s="210" t="s">
        <v>78</v>
      </c>
      <c r="AM38" s="212">
        <f>SUM('4'!AL30+'4'!AN30)*1.0561</f>
        <v>0</v>
      </c>
      <c r="AO38" s="210" t="s">
        <v>78</v>
      </c>
      <c r="AP38" s="211">
        <f>'4'!AJ30*1.0561</f>
        <v>2397.3470000000002</v>
      </c>
      <c r="AQ38" s="210" t="s">
        <v>78</v>
      </c>
      <c r="AR38" s="212">
        <f>'4'!AP30*1.0561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('4'!AK38/'4'!Y30)*1000</f>
        <v>0</v>
      </c>
      <c r="AL39" s="215" t="s">
        <v>86</v>
      </c>
      <c r="AM39" s="216">
        <f>('4'!AM38/'4'!Y30)*1000</f>
        <v>0</v>
      </c>
      <c r="AO39" s="213" t="s">
        <v>86</v>
      </c>
      <c r="AP39" s="214">
        <f>('4'!AP38/'4'!Y30)*1000</f>
        <v>9.8924450320457264</v>
      </c>
      <c r="AQ39" s="215" t="s">
        <v>86</v>
      </c>
      <c r="AR39" s="216">
        <f>('4'!AR38/'4'!Y30)*1000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SUM('4'!AK38,'4'!AM38)</f>
        <v>0</v>
      </c>
      <c r="AM40" s="975"/>
      <c r="AO40" s="976" t="s">
        <v>90</v>
      </c>
      <c r="AP40" s="976"/>
      <c r="AQ40" s="977">
        <f>SUM('4'!AP38,'4'!AR38)</f>
        <v>2397.3470000000002</v>
      </c>
      <c r="AR40" s="977"/>
    </row>
    <row r="41" spans="1:44" ht="16.5" customHeight="1">
      <c r="A41" s="133">
        <f>COUNTA('4'!E7:E18)</f>
        <v>12</v>
      </c>
      <c r="B41" s="134">
        <f>COUNTA('4'!I7:I18)</f>
        <v>12</v>
      </c>
      <c r="C41" s="978">
        <f>COUNTA('4'!J7:J18)</f>
        <v>12</v>
      </c>
      <c r="D41" s="978">
        <f>COUNTA('4'!K7:K18)</f>
        <v>12</v>
      </c>
      <c r="E41" s="978">
        <f>COUNTIF('4'!E7:E18,"&gt;15")</f>
        <v>0</v>
      </c>
      <c r="F41" s="978"/>
      <c r="G41" s="978">
        <f>COUNTIF('4'!J7:J18,"&gt;1")</f>
        <v>0</v>
      </c>
      <c r="H41" s="978"/>
      <c r="I41" s="135"/>
      <c r="J41" s="978">
        <f>'4'!A41-'4'!E41</f>
        <v>12</v>
      </c>
      <c r="K41" s="978"/>
      <c r="L41" s="978">
        <f>'4'!C41-'4'!G41</f>
        <v>12</v>
      </c>
      <c r="M41" s="978"/>
      <c r="N41" s="135"/>
      <c r="O41" s="979">
        <f>COUNTIF('4'!J7:J18,"&lt;=0,5")</f>
        <v>12</v>
      </c>
      <c r="P41" s="979"/>
      <c r="Q41" s="979"/>
      <c r="R41" s="969"/>
      <c r="S41" s="980">
        <f>COUNTIF('4'!J7:J18,"&lt;=1,0")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SUM(('4'!AK38+'4'!AM38)/'4'!Y30)*1000</f>
        <v>0</v>
      </c>
      <c r="AM41" s="981"/>
      <c r="AO41" s="976" t="s">
        <v>91</v>
      </c>
      <c r="AP41" s="976"/>
      <c r="AQ41" s="981">
        <f>SUM(('4'!AP38+'4'!AR38)/'4'!Y30)*1000</f>
        <v>9.8924450320457264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>
        <v>87</v>
      </c>
      <c r="Z44" s="144" t="s">
        <v>101</v>
      </c>
      <c r="AA44" s="145"/>
      <c r="AB44" s="144" t="s">
        <v>101</v>
      </c>
      <c r="AC44" s="145">
        <v>137</v>
      </c>
      <c r="AD44" s="988"/>
      <c r="AE44" s="988"/>
      <c r="AF44" s="989" t="s">
        <v>102</v>
      </c>
      <c r="AG44" s="1034">
        <f>SUM(Y45,AA45,AC45,AE45)</f>
        <v>220996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COUNTIF('4'!I7:I18,"&lt;=5,0")</f>
        <v>12</v>
      </c>
      <c r="I45" s="992"/>
      <c r="J45" s="992"/>
      <c r="K45" s="135"/>
      <c r="L45" s="974">
        <f>COUNTA('4'!L37)</f>
        <v>1</v>
      </c>
      <c r="M45" s="974"/>
      <c r="O45" s="146"/>
      <c r="P45" s="147"/>
      <c r="Q45" s="993">
        <f>'4'!S41-'4'!O41</f>
        <v>0</v>
      </c>
      <c r="R45" s="993"/>
      <c r="S45" s="993"/>
      <c r="T45" s="148"/>
      <c r="X45" s="149" t="s">
        <v>104</v>
      </c>
      <c r="Y45" s="150">
        <f>'4'!Y44*275.3</f>
        <v>23951.100000000002</v>
      </c>
      <c r="Z45" s="149" t="s">
        <v>104</v>
      </c>
      <c r="AA45" s="150">
        <f>262.4*'4'!AA44</f>
        <v>0</v>
      </c>
      <c r="AB45" s="149" t="s">
        <v>104</v>
      </c>
      <c r="AC45" s="150">
        <f>'4'!AC44*277.7</f>
        <v>38044.9</v>
      </c>
      <c r="AD45" s="149" t="s">
        <v>104</v>
      </c>
      <c r="AE45" s="151">
        <v>159000</v>
      </c>
      <c r="AF45" s="989"/>
      <c r="AG45" s="1034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2"/>
      <c r="X46" s="153" t="s">
        <v>105</v>
      </c>
      <c r="Y46" s="154">
        <f>'4'!AS6</f>
        <v>1.33</v>
      </c>
      <c r="Z46" s="153" t="s">
        <v>105</v>
      </c>
      <c r="AA46" s="155">
        <f>'4'!Y46</f>
        <v>1.33</v>
      </c>
      <c r="AB46" s="153" t="s">
        <v>105</v>
      </c>
      <c r="AC46" s="155">
        <f>'4'!Y46</f>
        <v>1.33</v>
      </c>
      <c r="AD46" s="153" t="s">
        <v>105</v>
      </c>
      <c r="AE46" s="156">
        <f>'4'!Y46</f>
        <v>1.33</v>
      </c>
      <c r="AF46" s="995" t="s">
        <v>106</v>
      </c>
      <c r="AG46" s="996">
        <f>SUM('4'!Y47,'4'!AA47,'4'!AC47,'4'!AE47)</f>
        <v>293924.68</v>
      </c>
      <c r="AI46" s="144" t="s">
        <v>101</v>
      </c>
      <c r="AJ46" s="145"/>
      <c r="AK46" s="144" t="s">
        <v>101</v>
      </c>
      <c r="AL46" s="145"/>
      <c r="AM46" s="144" t="s">
        <v>101</v>
      </c>
      <c r="AN46" s="145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'4'!Y45*'4'!Y46</f>
        <v>31854.963000000003</v>
      </c>
      <c r="Z47" s="149" t="s">
        <v>108</v>
      </c>
      <c r="AA47" s="150">
        <f>'4'!AA45*'4'!AA46</f>
        <v>0</v>
      </c>
      <c r="AB47" s="149" t="s">
        <v>108</v>
      </c>
      <c r="AC47" s="150">
        <f>'4'!AC45*'4'!AC46</f>
        <v>50599.717000000004</v>
      </c>
      <c r="AD47" s="149" t="s">
        <v>108</v>
      </c>
      <c r="AE47" s="150">
        <f>'4'!AE45*'4'!AE46</f>
        <v>211470</v>
      </c>
      <c r="AF47" s="995"/>
      <c r="AG47" s="996"/>
      <c r="AI47" s="149" t="s">
        <v>104</v>
      </c>
      <c r="AJ47" s="150">
        <f>'4'!AJ46*275.3</f>
        <v>0</v>
      </c>
      <c r="AK47" s="149" t="s">
        <v>104</v>
      </c>
      <c r="AL47" s="150">
        <f>262.4*'4'!AL46</f>
        <v>0</v>
      </c>
      <c r="AM47" s="149" t="s">
        <v>104</v>
      </c>
      <c r="AN47" s="150">
        <f>'4'!AN46*277.7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>
        <v>0</v>
      </c>
      <c r="AE48" s="159"/>
      <c r="AF48" s="159"/>
      <c r="AG48" s="159"/>
      <c r="AI48" s="153" t="s">
        <v>105</v>
      </c>
      <c r="AJ48" s="154">
        <f>'4'!Y46</f>
        <v>1.33</v>
      </c>
      <c r="AK48" s="160" t="s">
        <v>105</v>
      </c>
      <c r="AL48" s="154">
        <f>'4'!AJ48</f>
        <v>1.33</v>
      </c>
      <c r="AM48" s="160" t="s">
        <v>105</v>
      </c>
      <c r="AN48" s="154">
        <f>'4'!AJ48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'4'!AJ47*'4'!AJ48</f>
        <v>0</v>
      </c>
      <c r="AK49" s="149" t="s">
        <v>108</v>
      </c>
      <c r="AL49" s="150">
        <f>'4'!AL47*'4'!AL48</f>
        <v>0</v>
      </c>
      <c r="AM49" s="149" t="s">
        <v>108</v>
      </c>
      <c r="AN49" s="150">
        <f>'4'!AN47*'4'!AN48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COUNTA('4'!O7:O18)</f>
        <v>12</v>
      </c>
      <c r="P51" s="974">
        <f>COUNTA('4'!W17:W28)</f>
        <v>0</v>
      </c>
      <c r="R51" s="992">
        <f>COUNTIF('4'!O7:O18,"&gt;=0,5")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SUM('4'!Y53,'4'!AA53,'4'!AC53,'4'!AE53)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'4'!Y52*275.3</f>
        <v>0</v>
      </c>
      <c r="Z53" s="149" t="s">
        <v>104</v>
      </c>
      <c r="AA53" s="150">
        <f>262.4*'4'!AA52</f>
        <v>0</v>
      </c>
      <c r="AB53" s="149" t="s">
        <v>104</v>
      </c>
      <c r="AC53" s="167">
        <f>'4'!AC52*277.7</f>
        <v>0</v>
      </c>
      <c r="AD53" s="149" t="s">
        <v>104</v>
      </c>
      <c r="AE53" s="230"/>
      <c r="AF53" s="989"/>
      <c r="AG53" s="1002"/>
      <c r="AI53" s="144" t="s">
        <v>101</v>
      </c>
      <c r="AJ53" s="166">
        <v>0</v>
      </c>
      <c r="AK53" s="144" t="s">
        <v>101</v>
      </c>
      <c r="AL53" s="164"/>
      <c r="AM53" s="144" t="s">
        <v>101</v>
      </c>
      <c r="AN53" s="164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'4'!AS7</f>
        <v>1.377</v>
      </c>
      <c r="Z54" s="153" t="s">
        <v>105</v>
      </c>
      <c r="AA54" s="155">
        <f>'4'!Y54</f>
        <v>1.377</v>
      </c>
      <c r="AB54" s="153" t="s">
        <v>105</v>
      </c>
      <c r="AC54" s="155">
        <f>'4'!Y54</f>
        <v>1.377</v>
      </c>
      <c r="AD54" s="153" t="s">
        <v>105</v>
      </c>
      <c r="AE54" s="156">
        <f>'4'!Y54</f>
        <v>1.377</v>
      </c>
      <c r="AF54" s="995" t="s">
        <v>106</v>
      </c>
      <c r="AG54" s="996">
        <f>SUM('4'!Y55,'4'!AA55,'4'!AC55,'4'!AE55)</f>
        <v>0</v>
      </c>
      <c r="AI54" s="149" t="s">
        <v>104</v>
      </c>
      <c r="AJ54" s="150">
        <f>'4'!AJ53*275.3</f>
        <v>0</v>
      </c>
      <c r="AK54" s="149" t="s">
        <v>104</v>
      </c>
      <c r="AL54" s="150">
        <f>262.4*'4'!AL53</f>
        <v>0</v>
      </c>
      <c r="AM54" s="149" t="s">
        <v>104</v>
      </c>
      <c r="AN54" s="167">
        <f>'4'!AN53*277.7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'4'!Y53*'4'!Y54</f>
        <v>0</v>
      </c>
      <c r="Z55" s="149" t="s">
        <v>108</v>
      </c>
      <c r="AA55" s="150">
        <f>'4'!AA53*'4'!AA54</f>
        <v>0</v>
      </c>
      <c r="AB55" s="149" t="s">
        <v>108</v>
      </c>
      <c r="AC55" s="150">
        <f>'4'!AC53*'4'!AC54</f>
        <v>0</v>
      </c>
      <c r="AD55" s="149" t="s">
        <v>108</v>
      </c>
      <c r="AE55" s="150">
        <f>'4'!AE53*'4'!AE54</f>
        <v>0</v>
      </c>
      <c r="AF55" s="995"/>
      <c r="AG55" s="996"/>
      <c r="AI55" s="153" t="s">
        <v>105</v>
      </c>
      <c r="AJ55" s="154">
        <f>'4'!Y54</f>
        <v>1.377</v>
      </c>
      <c r="AK55" s="153" t="s">
        <v>105</v>
      </c>
      <c r="AL55" s="154">
        <f>'4'!AJ55</f>
        <v>1.377</v>
      </c>
      <c r="AM55" s="153" t="s">
        <v>105</v>
      </c>
      <c r="AN55" s="154">
        <f>'4'!AJ55</f>
        <v>1.377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'4'!AJ54*'4'!AJ55</f>
        <v>0</v>
      </c>
      <c r="AK56" s="149" t="s">
        <v>108</v>
      </c>
      <c r="AL56" s="150">
        <f>'4'!AL54*'4'!AL55</f>
        <v>0</v>
      </c>
      <c r="AM56" s="149" t="s">
        <v>108</v>
      </c>
      <c r="AN56" s="150">
        <f>'4'!AN54*'4'!AN55</f>
        <v>0</v>
      </c>
      <c r="AO56" s="994"/>
      <c r="AP56" s="994"/>
      <c r="AQ56" s="994"/>
      <c r="AR56" s="994"/>
    </row>
    <row r="57" spans="15:44" ht="15.75" customHeight="1">
      <c r="O57" s="1003">
        <f>COUNTA('4'!N7:N18)</f>
        <v>12</v>
      </c>
      <c r="P57" s="1003"/>
      <c r="R57" s="1004">
        <f>COUNTIF('4'!N7:N18,"&gt;=6")</f>
        <v>12</v>
      </c>
      <c r="S57" s="1004"/>
      <c r="T57" s="1004"/>
      <c r="AE57" s="118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O59" s="997" t="s">
        <v>113</v>
      </c>
      <c r="P59" s="997"/>
      <c r="Q59" s="997"/>
      <c r="R59" s="997"/>
      <c r="S59" s="997"/>
      <c r="T59" s="997"/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O60" s="997"/>
      <c r="P60" s="997"/>
      <c r="Q60" s="997"/>
      <c r="R60" s="997"/>
      <c r="S60" s="997"/>
      <c r="T60" s="997"/>
      <c r="X60" s="1038" t="s">
        <v>118</v>
      </c>
      <c r="Y60" s="1038"/>
      <c r="Z60" s="1008"/>
      <c r="AA60" s="1008"/>
      <c r="AB60" s="1038" t="s">
        <v>119</v>
      </c>
      <c r="AC60" s="1038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O61" s="998" t="s">
        <v>114</v>
      </c>
      <c r="P61" s="998"/>
      <c r="R61" s="999" t="s">
        <v>115</v>
      </c>
      <c r="S61" s="999"/>
      <c r="T61" s="999"/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'4'!AJ56+'4'!AL56+'4'!AN56</f>
        <v>0</v>
      </c>
      <c r="AM61" s="1011"/>
      <c r="AN61" s="1010" t="s">
        <v>121</v>
      </c>
      <c r="AO61" s="1010"/>
      <c r="AP61" s="1010"/>
      <c r="AQ61" s="1011">
        <f>'4'!AJ49+'4'!AL49+'4'!AN49</f>
        <v>0</v>
      </c>
      <c r="AR61" s="1011"/>
    </row>
    <row r="62" spans="15:44" ht="15" customHeight="1">
      <c r="O62" s="998"/>
      <c r="P62" s="998"/>
      <c r="R62" s="999"/>
      <c r="S62" s="999"/>
      <c r="T62" s="999"/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'4'!AA32</f>
        <v>30004.800000000003</v>
      </c>
      <c r="AR62" s="1016"/>
    </row>
    <row r="63" spans="15:44" ht="15" customHeight="1">
      <c r="O63" s="1003">
        <f>COUNTA('4'!N7:N18)</f>
        <v>12</v>
      </c>
      <c r="P63" s="1003"/>
      <c r="R63" s="1004">
        <f>COUNTIF('4'!N7:N18,"&gt;=6")</f>
        <v>12</v>
      </c>
      <c r="S63" s="1004"/>
      <c r="T63" s="1004"/>
      <c r="X63" s="170" t="s">
        <v>124</v>
      </c>
      <c r="Y63" s="171">
        <v>0</v>
      </c>
      <c r="Z63" s="1013"/>
      <c r="AA63" s="1013"/>
      <c r="AB63" s="172" t="s">
        <v>124</v>
      </c>
      <c r="AC63" s="173">
        <v>0</v>
      </c>
      <c r="AE63" s="49"/>
      <c r="AI63" s="1010" t="s">
        <v>125</v>
      </c>
      <c r="AJ63" s="1010"/>
      <c r="AK63" s="1010"/>
      <c r="AL63" s="1011">
        <f>'4'!AL61-'4'!AL62</f>
        <v>0</v>
      </c>
      <c r="AM63" s="1011"/>
      <c r="AN63" s="1010" t="s">
        <v>125</v>
      </c>
      <c r="AO63" s="1010"/>
      <c r="AP63" s="1010"/>
      <c r="AQ63" s="1011">
        <f>'4'!AQ61-'4'!AQ62</f>
        <v>-30004.800000000003</v>
      </c>
      <c r="AR63" s="1011"/>
    </row>
    <row r="64" spans="15:44" ht="15" customHeight="1">
      <c r="X64" s="170" t="s">
        <v>133</v>
      </c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>
        <f>'3'!$Y$68</f>
        <v>-6408.9666666666653</v>
      </c>
      <c r="Z65" s="1013"/>
      <c r="AA65" s="1013"/>
      <c r="AB65" s="176" t="s">
        <v>126</v>
      </c>
      <c r="AC65" s="217">
        <f>'3'!AC$68</f>
        <v>-510.75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178">
        <f>SUM('4'!AK38,'4'!AP38)</f>
        <v>2397.3470000000002</v>
      </c>
      <c r="Z67" s="1013"/>
      <c r="AA67" s="1013"/>
      <c r="AB67" s="172" t="s">
        <v>124</v>
      </c>
      <c r="AC67" s="169">
        <f>SUM('4'!AM38,'4'!AR38)</f>
        <v>0</v>
      </c>
    </row>
    <row r="68" spans="24:29" ht="15.75" customHeight="1">
      <c r="X68" s="170" t="s">
        <v>128</v>
      </c>
      <c r="Y68" s="179">
        <f>SUM('4'!Y63,'4'!Y65)-'4'!Y67-'4'!Y64</f>
        <v>-8806.3136666666651</v>
      </c>
      <c r="Z68" s="1013"/>
      <c r="AA68" s="1013"/>
      <c r="AB68" s="172" t="s">
        <v>128</v>
      </c>
      <c r="AC68" s="180">
        <f>SUM('4'!AC63,'4'!AC65)-'4'!AC67</f>
        <v>-510.75</v>
      </c>
    </row>
  </sheetData>
  <sheetProtection password="E1DF" sheet="1" objects="1" scenarios="1" selectLockedCells="1"/>
  <mergeCells count="176"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priority="2" operator="lessThan">
      <formula>k/5</formula>
    </cfRule>
  </conditionalFormatting>
  <conditionalFormatting sqref="O20">
    <cfRule type="cellIs" priority="3" operator="greaterThan">
      <formula>3</formula>
    </cfRule>
  </conditionalFormatting>
  <conditionalFormatting sqref="O19">
    <cfRule type="cellIs" priority="4" operator="lessThan">
      <formula>2.5</formula>
    </cfRule>
    <cfRule type="cellIs" priority="5" operator="greaterThan">
      <formula>3</formula>
    </cfRule>
    <cfRule type="cellIs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3" zoomScaleNormal="100" workbookViewId="0">
      <selection activeCell="K37" sqref="K37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4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4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4">
        <v>2757</v>
      </c>
      <c r="Z6" s="183">
        <v>940</v>
      </c>
      <c r="AA6" s="15">
        <v>1</v>
      </c>
      <c r="AB6" s="58">
        <f>IF('5'!AA6=1,(('5'!Z6*'5'!$AS$6*'5'!$AT$6)/('5'!Y6*0.0036)),IF('5'!AA6=2,(('5'!Z6*'5'!$AS$7*'5'!$AT$7)/('5'!Y6*0.0036))))</f>
        <v>62.981098617660095</v>
      </c>
      <c r="AC6" s="58"/>
      <c r="AD6" s="18">
        <f>(('5'!AC6*'5'!$Q$10*1000000))/('5'!Y6*3600)</f>
        <v>0</v>
      </c>
      <c r="AE6" s="19"/>
      <c r="AF6" s="184">
        <f>('5'!AE6/24)*0.454</f>
        <v>0</v>
      </c>
      <c r="AG6" s="19"/>
      <c r="AH6" s="184">
        <f>('5'!AG6/24)*0.454</f>
        <v>0</v>
      </c>
      <c r="AI6" s="19">
        <v>5000</v>
      </c>
      <c r="AJ6" s="184">
        <f>('5'!AI6/24)*0.454</f>
        <v>94.583333333333343</v>
      </c>
      <c r="AK6" s="21"/>
      <c r="AL6" s="185">
        <f>('5'!AK6/24)*0.454</f>
        <v>0</v>
      </c>
      <c r="AM6" s="21"/>
      <c r="AN6" s="185">
        <f>('5'!AM6/24)*0.454</f>
        <v>0</v>
      </c>
      <c r="AO6" s="23"/>
      <c r="AP6" s="185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6">
        <v>60</v>
      </c>
      <c r="C7" s="186">
        <v>10</v>
      </c>
      <c r="D7" s="186">
        <v>12.5</v>
      </c>
      <c r="E7" s="186">
        <v>2.5</v>
      </c>
      <c r="F7" s="186">
        <v>9.5</v>
      </c>
      <c r="G7" s="186">
        <v>1.43</v>
      </c>
      <c r="H7" s="186">
        <v>1.9</v>
      </c>
      <c r="I7" s="186">
        <v>0.5</v>
      </c>
      <c r="J7" s="186">
        <v>0.5</v>
      </c>
      <c r="K7" s="186">
        <v>7.3</v>
      </c>
      <c r="L7" s="186">
        <v>6.7</v>
      </c>
      <c r="M7" s="186">
        <v>6.7</v>
      </c>
      <c r="N7" s="186">
        <v>6.4</v>
      </c>
      <c r="O7" s="186">
        <v>3.5</v>
      </c>
      <c r="P7" s="186"/>
      <c r="Q7" s="188"/>
      <c r="R7" s="37">
        <f>'4'!$Z$29</f>
        <v>940</v>
      </c>
      <c r="S7" s="187">
        <f>'4'!$AB$29</f>
        <v>62.935443598727403</v>
      </c>
      <c r="T7" s="37">
        <f>'4'!$Y$29</f>
        <v>2759</v>
      </c>
      <c r="U7" s="33" t="str">
        <f>IF('5'!AA6=1,'5'!AR6,'5'!AR7)</f>
        <v>S.A.L</v>
      </c>
      <c r="V7" s="1022">
        <f>ESCALA!$B$6</f>
        <v>0</v>
      </c>
      <c r="W7" s="1022"/>
      <c r="X7" s="13">
        <v>8.3333333333333301E-2</v>
      </c>
      <c r="Y7" s="54">
        <v>2735</v>
      </c>
      <c r="Z7" s="183">
        <v>940</v>
      </c>
      <c r="AA7" s="15">
        <v>1</v>
      </c>
      <c r="AB7" s="58">
        <f>IF('5'!AA7=1,(('5'!Z7*'5'!$AS$6*'5'!$AT$6)/('5'!Y7*0.0036)),IF('5'!AA7=2,(('5'!Z7*'5'!$AS$7*'5'!$AT$7)/('5'!Y7*0.0036))))</f>
        <v>63.487710745480399</v>
      </c>
      <c r="AC7" s="58"/>
      <c r="AD7" s="18">
        <f>(('5'!AC7*'5'!$Q$10*1000000))/('5'!Y7*3600)</f>
        <v>0</v>
      </c>
      <c r="AE7" s="19"/>
      <c r="AF7" s="184">
        <f>('5'!AE7/24)*0.454</f>
        <v>0</v>
      </c>
      <c r="AG7" s="19"/>
      <c r="AH7" s="184">
        <f>('5'!AG7/24)*0.454</f>
        <v>0</v>
      </c>
      <c r="AI7" s="19">
        <v>5000</v>
      </c>
      <c r="AJ7" s="184">
        <f>('5'!AI7/24)*0.454</f>
        <v>94.583333333333343</v>
      </c>
      <c r="AK7" s="21"/>
      <c r="AL7" s="185">
        <f>('5'!AK7/24)*0.454</f>
        <v>0</v>
      </c>
      <c r="AM7" s="21"/>
      <c r="AN7" s="185">
        <f>('5'!AM7/24)*0.454</f>
        <v>0</v>
      </c>
      <c r="AO7" s="23"/>
      <c r="AP7" s="185">
        <f>('5'!AO7/24)*0.454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6">
        <v>60</v>
      </c>
      <c r="C8" s="186">
        <v>10</v>
      </c>
      <c r="D8" s="186">
        <v>12.5</v>
      </c>
      <c r="E8" s="186">
        <v>2.5</v>
      </c>
      <c r="F8" s="186">
        <v>11</v>
      </c>
      <c r="G8" s="186">
        <v>1.3</v>
      </c>
      <c r="H8" s="186">
        <v>2</v>
      </c>
      <c r="I8" s="186">
        <v>0.5</v>
      </c>
      <c r="J8" s="186">
        <v>0.4</v>
      </c>
      <c r="K8" s="186">
        <v>7.3</v>
      </c>
      <c r="L8" s="186">
        <v>6.7</v>
      </c>
      <c r="M8" s="186">
        <v>6.7</v>
      </c>
      <c r="N8" s="186">
        <v>6.4</v>
      </c>
      <c r="O8" s="186">
        <v>3.2</v>
      </c>
      <c r="P8" s="186"/>
      <c r="Q8" s="188"/>
      <c r="R8" s="35">
        <f>'5'!Z7</f>
        <v>940</v>
      </c>
      <c r="S8" s="36">
        <f>'5'!AB7</f>
        <v>63.487710745480399</v>
      </c>
      <c r="T8" s="37">
        <f>'5'!Y7</f>
        <v>2735</v>
      </c>
      <c r="U8" s="33" t="str">
        <f>IF('5'!AA7=1,'5'!AR6,'5'!AR7)</f>
        <v>S.A.L</v>
      </c>
      <c r="V8" s="1022"/>
      <c r="W8" s="1022"/>
      <c r="X8" s="13">
        <v>0.125</v>
      </c>
      <c r="Y8" s="54">
        <v>2754</v>
      </c>
      <c r="Z8" s="183">
        <v>940</v>
      </c>
      <c r="AA8" s="15">
        <v>1</v>
      </c>
      <c r="AB8" s="58">
        <f>IF('5'!AA8=1,(('5'!Z8*'5'!$AS$6*'5'!$AT$6)/('5'!Y8*0.0036)),IF('5'!AA8=2,(('5'!Z8*'5'!$AS$7*'5'!$AT$7)/('5'!Y8*0.0036))))</f>
        <v>63.049705478899376</v>
      </c>
      <c r="AC8" s="58"/>
      <c r="AD8" s="18">
        <f>(('5'!AC8*'5'!$Q$10*1000000))/('5'!Y8*3600)</f>
        <v>0</v>
      </c>
      <c r="AE8" s="19"/>
      <c r="AF8" s="184">
        <f>('5'!AE8/24)*0.454</f>
        <v>0</v>
      </c>
      <c r="AG8" s="19"/>
      <c r="AH8" s="184">
        <f>('5'!AG8/24)*0.454</f>
        <v>0</v>
      </c>
      <c r="AI8" s="19">
        <v>5000</v>
      </c>
      <c r="AJ8" s="184">
        <f>('5'!AI8/24)*0.454</f>
        <v>94.583333333333343</v>
      </c>
      <c r="AK8" s="21"/>
      <c r="AL8" s="185">
        <f>('5'!AK8/24)*0.454</f>
        <v>0</v>
      </c>
      <c r="AM8" s="21"/>
      <c r="AN8" s="185">
        <f>('5'!AM8/24)*0.454</f>
        <v>0</v>
      </c>
      <c r="AO8" s="23"/>
      <c r="AP8" s="185">
        <f>('5'!AO8/24)*0.454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60</v>
      </c>
      <c r="C9" s="186">
        <v>10</v>
      </c>
      <c r="D9" s="186">
        <v>12.5</v>
      </c>
      <c r="E9" s="186">
        <v>2.5</v>
      </c>
      <c r="F9" s="186">
        <v>10</v>
      </c>
      <c r="G9" s="186">
        <v>1.4</v>
      </c>
      <c r="H9" s="186">
        <v>2</v>
      </c>
      <c r="I9" s="186">
        <v>0.5</v>
      </c>
      <c r="J9" s="186">
        <v>0.4</v>
      </c>
      <c r="K9" s="186">
        <v>7.3</v>
      </c>
      <c r="L9" s="186">
        <v>6.7</v>
      </c>
      <c r="M9" s="186">
        <v>6.7</v>
      </c>
      <c r="N9" s="186">
        <v>6.4</v>
      </c>
      <c r="O9" s="186">
        <v>3.2</v>
      </c>
      <c r="P9" s="186"/>
      <c r="Q9" s="188"/>
      <c r="R9" s="37">
        <f>'5'!Z9</f>
        <v>940</v>
      </c>
      <c r="S9" s="36">
        <f>'5'!AB9</f>
        <v>63.884800915705995</v>
      </c>
      <c r="T9" s="37">
        <f>'5'!Y9</f>
        <v>2718</v>
      </c>
      <c r="U9" s="33" t="str">
        <f>IF('5'!AA9=1,'5'!AR6,'5'!AR7)</f>
        <v>S.A.L</v>
      </c>
      <c r="V9" s="1022"/>
      <c r="W9" s="1022"/>
      <c r="X9" s="13">
        <v>0.16666666666666699</v>
      </c>
      <c r="Y9" s="54">
        <v>2718</v>
      </c>
      <c r="Z9" s="183">
        <v>940</v>
      </c>
      <c r="AA9" s="15">
        <v>1</v>
      </c>
      <c r="AB9" s="58">
        <f>IF('5'!AA9=1,(('5'!Z9*'5'!$AS$6*'5'!$AT$6)/('5'!Y9*0.0036)),IF('5'!AA9=2,(('5'!Z9*'5'!$AS$7*'5'!$AT$7)/('5'!Y9*0.0036))))</f>
        <v>63.884800915705995</v>
      </c>
      <c r="AC9" s="58"/>
      <c r="AD9" s="18">
        <f>(('5'!AC9*'5'!$Q$10*1000000))/('5'!Y9*3600)</f>
        <v>0</v>
      </c>
      <c r="AE9" s="19"/>
      <c r="AF9" s="184">
        <f>('5'!AE9/24)*0.454</f>
        <v>0</v>
      </c>
      <c r="AG9" s="19"/>
      <c r="AH9" s="184">
        <f>('5'!AG9/24)*0.454</f>
        <v>0</v>
      </c>
      <c r="AI9" s="19">
        <v>5000</v>
      </c>
      <c r="AJ9" s="184">
        <f>('5'!AI9/24)*0.454</f>
        <v>94.583333333333343</v>
      </c>
      <c r="AK9" s="21"/>
      <c r="AL9" s="185">
        <f>('5'!AK9/24)*0.454</f>
        <v>0</v>
      </c>
      <c r="AM9" s="21"/>
      <c r="AN9" s="185">
        <f>('5'!AM9/24)*0.454</f>
        <v>0</v>
      </c>
      <c r="AO9" s="23"/>
      <c r="AP9" s="185">
        <f>('5'!AO9/24)*0.454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60</v>
      </c>
      <c r="C10" s="186">
        <v>10</v>
      </c>
      <c r="D10" s="186">
        <v>12.5</v>
      </c>
      <c r="E10" s="186">
        <v>2.5</v>
      </c>
      <c r="F10" s="186">
        <v>9.3000000000000007</v>
      </c>
      <c r="G10" s="186">
        <v>1.4</v>
      </c>
      <c r="H10" s="186">
        <v>1.9</v>
      </c>
      <c r="I10" s="186">
        <v>0.5</v>
      </c>
      <c r="J10" s="186">
        <v>0.4</v>
      </c>
      <c r="K10" s="186">
        <v>7.3</v>
      </c>
      <c r="L10" s="186">
        <v>6.7</v>
      </c>
      <c r="M10" s="186">
        <v>6.7</v>
      </c>
      <c r="N10" s="186">
        <v>6.4</v>
      </c>
      <c r="O10" s="186">
        <v>3.2</v>
      </c>
      <c r="P10" s="186"/>
      <c r="Q10" s="188"/>
      <c r="R10" s="37">
        <f>'5'!Z11</f>
        <v>940</v>
      </c>
      <c r="S10" s="36">
        <f>'5'!AB11</f>
        <v>63.790921707894533</v>
      </c>
      <c r="T10" s="37">
        <f>'5'!Y11</f>
        <v>2722</v>
      </c>
      <c r="U10" s="39" t="str">
        <f>IF('5'!AA11=1,'5'!AR6,'5'!AR7)</f>
        <v>S.A.L</v>
      </c>
      <c r="V10" s="1022"/>
      <c r="W10" s="1022"/>
      <c r="X10" s="13">
        <v>0.20833333333333301</v>
      </c>
      <c r="Y10" s="54">
        <v>2732</v>
      </c>
      <c r="Z10" s="183">
        <v>940</v>
      </c>
      <c r="AA10" s="15">
        <v>1</v>
      </c>
      <c r="AB10" s="58">
        <f>IF('5'!AA10=1,(('5'!Z10*'5'!$AS$6*'5'!$AT$6)/('5'!Y10*0.0036)),IF('5'!AA10=2,(('5'!Z10*'5'!$AS$7*'5'!$AT$7)/('5'!Y10*0.0036))))</f>
        <v>63.557426386855376</v>
      </c>
      <c r="AC10" s="58"/>
      <c r="AD10" s="18">
        <f>(('5'!AC10*'5'!$Q$10*1000000))/('5'!Y10*3600)</f>
        <v>0</v>
      </c>
      <c r="AE10" s="19"/>
      <c r="AF10" s="184">
        <f>('5'!AE10/24)*0.454</f>
        <v>0</v>
      </c>
      <c r="AG10" s="19"/>
      <c r="AH10" s="184">
        <f>('5'!AG10/24)*0.454</f>
        <v>0</v>
      </c>
      <c r="AI10" s="19">
        <v>5000</v>
      </c>
      <c r="AJ10" s="184">
        <f>('5'!AI10/24)*0.454</f>
        <v>94.583333333333343</v>
      </c>
      <c r="AK10" s="21"/>
      <c r="AL10" s="185">
        <f>('5'!AK10/24)*0.454</f>
        <v>0</v>
      </c>
      <c r="AM10" s="21"/>
      <c r="AN10" s="185">
        <f>('5'!AM10/24)*0.454</f>
        <v>0</v>
      </c>
      <c r="AO10" s="23"/>
      <c r="AP10" s="185">
        <f>('5'!AO10/24)*0.454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6">
        <v>60</v>
      </c>
      <c r="C11" s="186">
        <v>10</v>
      </c>
      <c r="D11" s="186">
        <v>12.5</v>
      </c>
      <c r="E11" s="186">
        <v>2.5</v>
      </c>
      <c r="F11" s="186">
        <v>8.6999999999999993</v>
      </c>
      <c r="G11" s="186">
        <v>1.3</v>
      </c>
      <c r="H11" s="186">
        <v>1.8</v>
      </c>
      <c r="I11" s="186">
        <v>0.4</v>
      </c>
      <c r="J11" s="186">
        <v>0.4</v>
      </c>
      <c r="K11" s="186">
        <v>7.3</v>
      </c>
      <c r="L11" s="186">
        <v>6.7</v>
      </c>
      <c r="M11" s="186">
        <v>6.7</v>
      </c>
      <c r="N11" s="186">
        <v>6.4</v>
      </c>
      <c r="O11" s="186">
        <v>3</v>
      </c>
      <c r="P11" s="186"/>
      <c r="Q11" s="188"/>
      <c r="R11" s="37">
        <f>'5'!Z13</f>
        <v>940</v>
      </c>
      <c r="S11" s="36">
        <f>'5'!AB13</f>
        <v>62.550032020493127</v>
      </c>
      <c r="T11" s="37">
        <f>'5'!Y13</f>
        <v>2776</v>
      </c>
      <c r="U11" s="42" t="str">
        <f>IF('5'!AA13=1,'5'!AR6,'5'!AR7)</f>
        <v>S.A.L</v>
      </c>
      <c r="V11" s="1022"/>
      <c r="W11" s="1022"/>
      <c r="X11" s="13">
        <v>0.25</v>
      </c>
      <c r="Y11" s="54">
        <v>2722</v>
      </c>
      <c r="Z11" s="183">
        <v>940</v>
      </c>
      <c r="AA11" s="15">
        <v>1</v>
      </c>
      <c r="AB11" s="58">
        <f>IF('5'!AA11=1,(('5'!Z11*'5'!$AS$6*'5'!$AT$6)/('5'!Y11*0.0036)),IF('5'!AA11=2,(('5'!Z11*'5'!$AS$7*'5'!$AT$7)/('5'!Y11*0.0036))))</f>
        <v>63.790921707894533</v>
      </c>
      <c r="AC11" s="58"/>
      <c r="AD11" s="18">
        <f>(('5'!AC11*'5'!$Q$10*1000000))/('5'!Y11*3600)</f>
        <v>0</v>
      </c>
      <c r="AE11" s="19"/>
      <c r="AF11" s="184">
        <f>('5'!AE11/24)*0.454</f>
        <v>0</v>
      </c>
      <c r="AG11" s="19"/>
      <c r="AH11" s="184">
        <f>('5'!AG11/24)*0.454</f>
        <v>0</v>
      </c>
      <c r="AI11" s="19">
        <v>5000</v>
      </c>
      <c r="AJ11" s="184">
        <f>('5'!AI11/24)*0.454</f>
        <v>94.583333333333343</v>
      </c>
      <c r="AK11" s="21"/>
      <c r="AL11" s="185">
        <f>('5'!AK11/24)*0.454</f>
        <v>0</v>
      </c>
      <c r="AM11" s="21"/>
      <c r="AN11" s="185">
        <f>('5'!AM11/24)*0.454</f>
        <v>0</v>
      </c>
      <c r="AO11" s="23"/>
      <c r="AP11" s="185">
        <f>('5'!AO11/24)*0.454</f>
        <v>0</v>
      </c>
    </row>
    <row r="12" spans="1:47" ht="18.75" customHeight="1">
      <c r="A12" s="28">
        <v>0.41666666666666702</v>
      </c>
      <c r="B12" s="186">
        <v>60</v>
      </c>
      <c r="C12" s="186">
        <v>10</v>
      </c>
      <c r="D12" s="186">
        <v>12.5</v>
      </c>
      <c r="E12" s="186">
        <v>2.5</v>
      </c>
      <c r="F12" s="186">
        <v>8.6999999999999993</v>
      </c>
      <c r="G12" s="186">
        <v>1.3</v>
      </c>
      <c r="H12" s="186">
        <v>1.7</v>
      </c>
      <c r="I12" s="186">
        <v>0.4</v>
      </c>
      <c r="J12" s="186">
        <v>0.4</v>
      </c>
      <c r="K12" s="186">
        <v>7.3</v>
      </c>
      <c r="L12" s="186">
        <v>6.7</v>
      </c>
      <c r="M12" s="186">
        <v>6.7</v>
      </c>
      <c r="N12" s="186">
        <v>6.4</v>
      </c>
      <c r="O12" s="186">
        <v>3</v>
      </c>
      <c r="P12" s="186"/>
      <c r="Q12" s="186"/>
      <c r="R12" s="37">
        <f>'5'!Z15</f>
        <v>940</v>
      </c>
      <c r="S12" s="36">
        <f>'5'!AB15</f>
        <v>63.767495001428166</v>
      </c>
      <c r="T12" s="37">
        <f>'5'!Y15</f>
        <v>2723</v>
      </c>
      <c r="U12" s="43" t="str">
        <f>IF('5'!AA15=1,'5'!AR6,'5'!AR7)</f>
        <v>S.A.L</v>
      </c>
      <c r="V12" s="944">
        <f>ESCALA!$B$7</f>
        <v>0</v>
      </c>
      <c r="W12" s="944"/>
      <c r="X12" s="13">
        <v>0.29166666666666702</v>
      </c>
      <c r="Y12" s="54">
        <v>2723</v>
      </c>
      <c r="Z12" s="183">
        <v>940</v>
      </c>
      <c r="AA12" s="15">
        <v>1</v>
      </c>
      <c r="AB12" s="58">
        <f>IF('5'!AA12=1,(('5'!Z12*'5'!$AS$6*'5'!$AT$6)/('5'!Y12*0.0036)),IF('5'!AA12=2,(('5'!Z12*'5'!$AS$7*'5'!$AT$7)/('5'!Y12*0.0036))))</f>
        <v>63.767495001428166</v>
      </c>
      <c r="AC12" s="58"/>
      <c r="AD12" s="18">
        <f>(('5'!AC12*'5'!$Q$10*1000000))/('5'!Y12*3600)</f>
        <v>0</v>
      </c>
      <c r="AE12" s="19"/>
      <c r="AF12" s="184">
        <f>('5'!AE12/24)*0.454</f>
        <v>0</v>
      </c>
      <c r="AG12" s="19"/>
      <c r="AH12" s="184">
        <f>('5'!AG12/24)*0.454</f>
        <v>0</v>
      </c>
      <c r="AI12" s="19">
        <v>5000</v>
      </c>
      <c r="AJ12" s="184">
        <f>('5'!AI12/24)*0.454</f>
        <v>94.583333333333343</v>
      </c>
      <c r="AK12" s="21"/>
      <c r="AL12" s="185">
        <f>('5'!AK12/24)*0.454</f>
        <v>0</v>
      </c>
      <c r="AM12" s="21"/>
      <c r="AN12" s="185">
        <f>('5'!AM12/24)*0.454</f>
        <v>0</v>
      </c>
      <c r="AO12" s="23"/>
      <c r="AP12" s="185">
        <f>('5'!AO12/24)*0.454</f>
        <v>0</v>
      </c>
    </row>
    <row r="13" spans="1:47" ht="18.75" customHeight="1">
      <c r="A13" s="28">
        <v>0.5</v>
      </c>
      <c r="B13" s="186">
        <v>60</v>
      </c>
      <c r="C13" s="186">
        <v>10</v>
      </c>
      <c r="D13" s="186">
        <v>12.5</v>
      </c>
      <c r="E13" s="186">
        <v>2.5</v>
      </c>
      <c r="F13" s="186">
        <v>8.9</v>
      </c>
      <c r="G13" s="186">
        <v>1.3</v>
      </c>
      <c r="H13" s="186">
        <v>1.7</v>
      </c>
      <c r="I13" s="186">
        <v>0.4</v>
      </c>
      <c r="J13" s="186">
        <v>0.4</v>
      </c>
      <c r="K13" s="186">
        <v>7.3</v>
      </c>
      <c r="L13" s="186">
        <v>6.7</v>
      </c>
      <c r="M13" s="186">
        <v>6.7</v>
      </c>
      <c r="N13" s="186">
        <v>6.4</v>
      </c>
      <c r="O13" s="186">
        <v>3</v>
      </c>
      <c r="P13" s="186"/>
      <c r="Q13" s="186"/>
      <c r="R13" s="37">
        <f>'5'!Z17</f>
        <v>940</v>
      </c>
      <c r="S13" s="36">
        <f>'5'!AB17</f>
        <v>64.120712292795019</v>
      </c>
      <c r="T13" s="37">
        <f>'5'!Y17</f>
        <v>2708</v>
      </c>
      <c r="U13" s="33" t="str">
        <f>IF('5'!AA17=1,'5'!AR6,'5'!AR7)</f>
        <v>S.A.L</v>
      </c>
      <c r="V13" s="944"/>
      <c r="W13" s="944"/>
      <c r="X13" s="13">
        <v>0.33333333333333298</v>
      </c>
      <c r="Y13" s="54">
        <v>2776</v>
      </c>
      <c r="Z13" s="183">
        <v>940</v>
      </c>
      <c r="AA13" s="15">
        <v>1</v>
      </c>
      <c r="AB13" s="58">
        <f>IF('5'!AA13=1,(('5'!Z13*'5'!$AS$6*'5'!$AT$6)/('5'!Y13*0.0036)),IF('5'!AA13=2,(('5'!Z13*'5'!$AS$7*'5'!$AT$7)/('5'!Y13*0.0036))))</f>
        <v>62.550032020493127</v>
      </c>
      <c r="AC13" s="58"/>
      <c r="AD13" s="18">
        <f>(('5'!AC13*'5'!$Q$10*1000000))/('5'!Y13*3600)</f>
        <v>0</v>
      </c>
      <c r="AE13" s="19"/>
      <c r="AF13" s="184">
        <f>('5'!AE13/24)*0.454</f>
        <v>0</v>
      </c>
      <c r="AG13" s="19"/>
      <c r="AH13" s="184">
        <f>('5'!AG13/24)*0.454</f>
        <v>0</v>
      </c>
      <c r="AI13" s="19">
        <v>5000</v>
      </c>
      <c r="AJ13" s="184">
        <f>('5'!AI13/24)*0.454</f>
        <v>94.583333333333343</v>
      </c>
      <c r="AK13" s="21"/>
      <c r="AL13" s="185">
        <f>('5'!AK13/24)*0.454</f>
        <v>0</v>
      </c>
      <c r="AM13" s="21"/>
      <c r="AN13" s="185">
        <f>('5'!AM13/24)*0.454</f>
        <v>0</v>
      </c>
      <c r="AO13" s="23"/>
      <c r="AP13" s="185">
        <f>('5'!AO13/24)*0.454</f>
        <v>0</v>
      </c>
    </row>
    <row r="14" spans="1:47" ht="18.75" customHeight="1">
      <c r="A14" s="28">
        <v>0.58333333333333304</v>
      </c>
      <c r="B14" s="186">
        <v>60</v>
      </c>
      <c r="C14" s="186">
        <v>10</v>
      </c>
      <c r="D14" s="186">
        <v>12.5</v>
      </c>
      <c r="E14" s="186">
        <v>2.5</v>
      </c>
      <c r="F14" s="186">
        <v>9</v>
      </c>
      <c r="G14" s="186">
        <v>1.4</v>
      </c>
      <c r="H14" s="186">
        <v>1.6</v>
      </c>
      <c r="I14" s="186">
        <v>0.4</v>
      </c>
      <c r="J14" s="186">
        <v>0.4</v>
      </c>
      <c r="K14" s="186">
        <v>7.3</v>
      </c>
      <c r="L14" s="186">
        <v>6.7</v>
      </c>
      <c r="M14" s="186">
        <v>6.7</v>
      </c>
      <c r="N14" s="186">
        <v>6.4</v>
      </c>
      <c r="O14" s="186">
        <v>3</v>
      </c>
      <c r="P14" s="186"/>
      <c r="Q14" s="186"/>
      <c r="R14" s="231">
        <f>'5'!Z19</f>
        <v>940</v>
      </c>
      <c r="S14" s="36">
        <f>'5'!AB19</f>
        <v>59.834213952063713</v>
      </c>
      <c r="T14" s="37">
        <f>'5'!Y19</f>
        <v>2902</v>
      </c>
      <c r="U14" s="33" t="str">
        <f>IF('5'!AA19=1,'5'!AR6,'5'!AR7)</f>
        <v>S.A.L</v>
      </c>
      <c r="V14" s="944"/>
      <c r="W14" s="944"/>
      <c r="X14" s="13">
        <v>0.375</v>
      </c>
      <c r="Y14" s="54">
        <v>2778</v>
      </c>
      <c r="Z14" s="183">
        <v>940</v>
      </c>
      <c r="AA14" s="15">
        <v>1</v>
      </c>
      <c r="AB14" s="58">
        <f>IF('5'!AA14=1,(('5'!Z14*'5'!$AS$6*'5'!$AT$6)/('5'!Y14*0.0036)),IF('5'!AA14=2,(('5'!Z14*'5'!$AS$7*'5'!$AT$7)/('5'!Y14*0.0036))))</f>
        <v>62.504999600032001</v>
      </c>
      <c r="AC14" s="58"/>
      <c r="AD14" s="18">
        <f>(('5'!AC14*'5'!$Q$10*1000000))/('5'!Y14*3600)</f>
        <v>0</v>
      </c>
      <c r="AE14" s="19"/>
      <c r="AF14" s="184">
        <f>('5'!AE14/24)*0.454</f>
        <v>0</v>
      </c>
      <c r="AG14" s="19"/>
      <c r="AH14" s="184">
        <f>('5'!AG14/24)*0.454</f>
        <v>0</v>
      </c>
      <c r="AI14" s="19">
        <v>5000</v>
      </c>
      <c r="AJ14" s="184">
        <f>('5'!AI14/24)*0.454</f>
        <v>94.583333333333343</v>
      </c>
      <c r="AK14" s="21"/>
      <c r="AL14" s="185">
        <f>('5'!AK14/24)*0.454</f>
        <v>0</v>
      </c>
      <c r="AM14" s="21"/>
      <c r="AN14" s="185">
        <f>('5'!AM14/24)*0.454</f>
        <v>0</v>
      </c>
      <c r="AO14" s="23"/>
      <c r="AP14" s="185">
        <f>('5'!AO14/24)*0.454</f>
        <v>0</v>
      </c>
    </row>
    <row r="15" spans="1:47" ht="18.75" customHeight="1">
      <c r="A15" s="28">
        <v>0.66666666666666696</v>
      </c>
      <c r="B15" s="186">
        <v>60</v>
      </c>
      <c r="C15" s="186">
        <v>10</v>
      </c>
      <c r="D15" s="186">
        <v>12.5</v>
      </c>
      <c r="E15" s="186">
        <v>2.5</v>
      </c>
      <c r="F15" s="186">
        <v>9.1999999999999993</v>
      </c>
      <c r="G15" s="186">
        <v>1.4</v>
      </c>
      <c r="H15" s="186">
        <v>1.6</v>
      </c>
      <c r="I15" s="186">
        <v>0.4</v>
      </c>
      <c r="J15" s="186">
        <v>0.4</v>
      </c>
      <c r="K15" s="186">
        <v>7.3</v>
      </c>
      <c r="L15" s="186">
        <v>6.7</v>
      </c>
      <c r="M15" s="186">
        <v>6.7</v>
      </c>
      <c r="N15" s="186">
        <v>6.4</v>
      </c>
      <c r="O15" s="186">
        <v>3</v>
      </c>
      <c r="P15" s="186"/>
      <c r="Q15" s="188"/>
      <c r="R15" s="37">
        <f>'5'!Z21</f>
        <v>940</v>
      </c>
      <c r="S15" s="36">
        <f>'5'!AB21</f>
        <v>61.859240786921589</v>
      </c>
      <c r="T15" s="37">
        <f>'5'!Y21</f>
        <v>2807</v>
      </c>
      <c r="U15" s="33" t="str">
        <f>IF('5'!AA21=1,'5'!AR6,'5'!AR7)</f>
        <v>S.A.L</v>
      </c>
      <c r="V15" s="944"/>
      <c r="W15" s="944"/>
      <c r="X15" s="13">
        <v>0.41666666666666702</v>
      </c>
      <c r="Y15" s="54">
        <v>2723</v>
      </c>
      <c r="Z15" s="183">
        <v>940</v>
      </c>
      <c r="AA15" s="15">
        <v>1</v>
      </c>
      <c r="AB15" s="58">
        <f>IF('5'!AA15=1,(('5'!Z15*'5'!$AS$6*'5'!$AT$6)/('5'!Y15*0.0036)),IF('5'!AA15=2,(('5'!Z15*'5'!$AS$7*'5'!$AT$7)/('5'!Y15*0.0036))))</f>
        <v>63.767495001428166</v>
      </c>
      <c r="AC15" s="58"/>
      <c r="AD15" s="18">
        <f>(('5'!AC15*'5'!$Q$10*1000000))/('5'!Y15*3600)</f>
        <v>0</v>
      </c>
      <c r="AE15" s="19"/>
      <c r="AF15" s="184">
        <f>('5'!AE15/24)*0.454</f>
        <v>0</v>
      </c>
      <c r="AG15" s="19"/>
      <c r="AH15" s="184">
        <f>('5'!AG15/24)*0.454</f>
        <v>0</v>
      </c>
      <c r="AI15" s="19">
        <v>5000</v>
      </c>
      <c r="AJ15" s="184">
        <f>('5'!AI15/24)*0.454</f>
        <v>94.583333333333343</v>
      </c>
      <c r="AK15" s="21"/>
      <c r="AL15" s="185">
        <f>('5'!AK15/24)*0.454</f>
        <v>0</v>
      </c>
      <c r="AM15" s="21"/>
      <c r="AN15" s="185">
        <f>('5'!AM15/24)*0.454</f>
        <v>0</v>
      </c>
      <c r="AO15" s="23"/>
      <c r="AP15" s="185">
        <f>('5'!AO15/24)*0.454</f>
        <v>0</v>
      </c>
    </row>
    <row r="16" spans="1:47" ht="18.75" customHeight="1">
      <c r="A16" s="28">
        <v>0.75</v>
      </c>
      <c r="B16" s="186">
        <v>60</v>
      </c>
      <c r="C16" s="186">
        <v>10</v>
      </c>
      <c r="D16" s="186">
        <v>12.5</v>
      </c>
      <c r="E16" s="186">
        <v>2.5</v>
      </c>
      <c r="F16" s="186">
        <v>9</v>
      </c>
      <c r="G16" s="186">
        <v>1.4</v>
      </c>
      <c r="H16" s="186">
        <v>1.6</v>
      </c>
      <c r="I16" s="186">
        <v>0.4</v>
      </c>
      <c r="J16" s="186">
        <v>0.4</v>
      </c>
      <c r="K16" s="186">
        <v>7.3</v>
      </c>
      <c r="L16" s="186">
        <v>6.7</v>
      </c>
      <c r="M16" s="186">
        <v>6.7</v>
      </c>
      <c r="N16" s="186">
        <v>6.4</v>
      </c>
      <c r="O16" s="186">
        <v>3</v>
      </c>
      <c r="P16" s="186"/>
      <c r="Q16" s="188"/>
      <c r="R16" s="37">
        <f>'5'!Z23</f>
        <v>940</v>
      </c>
      <c r="S16" s="36">
        <f>'5'!AB23</f>
        <v>63.09552648578812</v>
      </c>
      <c r="T16" s="37">
        <f>'5'!Y23</f>
        <v>2752</v>
      </c>
      <c r="U16" s="33" t="str">
        <f>IF('5'!AA23=1,'5'!AR6,'5'!AR7)</f>
        <v>S.A.L</v>
      </c>
      <c r="V16" s="944"/>
      <c r="W16" s="944"/>
      <c r="X16" s="13">
        <v>0.45833333333333298</v>
      </c>
      <c r="Y16" s="54">
        <v>2752</v>
      </c>
      <c r="Z16" s="183">
        <v>940</v>
      </c>
      <c r="AA16" s="15">
        <v>1</v>
      </c>
      <c r="AB16" s="58">
        <f>IF('5'!AA16=1,(('5'!Z16*'5'!$AS$6*'5'!$AT$6)/('5'!Y16*0.0036)),IF('5'!AA16=2,(('5'!Z16*'5'!$AS$7*'5'!$AT$7)/('5'!Y16*0.0036))))</f>
        <v>63.09552648578812</v>
      </c>
      <c r="AC16" s="58"/>
      <c r="AD16" s="18">
        <f>(('5'!AC16*'5'!$Q$10*1000000))/('5'!Y16*3600)</f>
        <v>0</v>
      </c>
      <c r="AE16" s="19"/>
      <c r="AF16" s="184">
        <f>('5'!AE16/24)*0.454</f>
        <v>0</v>
      </c>
      <c r="AG16" s="19"/>
      <c r="AH16" s="184">
        <f>('5'!AG16/24)*0.454</f>
        <v>0</v>
      </c>
      <c r="AI16" s="19">
        <v>5000</v>
      </c>
      <c r="AJ16" s="184">
        <f>('5'!AI16/24)*0.454</f>
        <v>94.583333333333343</v>
      </c>
      <c r="AK16" s="21"/>
      <c r="AL16" s="185">
        <f>('5'!AK16/24)*0.454</f>
        <v>0</v>
      </c>
      <c r="AM16" s="21"/>
      <c r="AN16" s="185">
        <f>('5'!AM16/24)*0.454</f>
        <v>0</v>
      </c>
      <c r="AO16" s="23"/>
      <c r="AP16" s="185">
        <f>('5'!AO16/24)*0.454</f>
        <v>0</v>
      </c>
    </row>
    <row r="17" spans="1:42" ht="18.75" customHeight="1">
      <c r="A17" s="28">
        <v>0.83333333333333304</v>
      </c>
      <c r="B17" s="186">
        <v>60</v>
      </c>
      <c r="C17" s="186">
        <v>10</v>
      </c>
      <c r="D17" s="186">
        <v>12.5</v>
      </c>
      <c r="E17" s="186">
        <v>2.5</v>
      </c>
      <c r="F17" s="186">
        <v>9.1</v>
      </c>
      <c r="G17" s="186">
        <v>1.4</v>
      </c>
      <c r="H17" s="186">
        <v>1.8</v>
      </c>
      <c r="I17" s="186">
        <v>0.4</v>
      </c>
      <c r="J17" s="186">
        <v>0.4</v>
      </c>
      <c r="K17" s="186">
        <v>7.3</v>
      </c>
      <c r="L17" s="186">
        <v>6.7</v>
      </c>
      <c r="M17" s="186">
        <v>6.7</v>
      </c>
      <c r="N17" s="186">
        <v>6.4</v>
      </c>
      <c r="O17" s="186">
        <v>3</v>
      </c>
      <c r="P17" s="186"/>
      <c r="Q17" s="188"/>
      <c r="R17" s="37">
        <f>'5'!Z25</f>
        <v>940</v>
      </c>
      <c r="S17" s="36">
        <f>'5'!AB25</f>
        <v>62.080403607039287</v>
      </c>
      <c r="T17" s="37">
        <f>'5'!Y25</f>
        <v>2797</v>
      </c>
      <c r="U17" s="33" t="str">
        <f>IF('5'!AA25=1,'5'!AR6,'5'!AR7)</f>
        <v>S.A.L</v>
      </c>
      <c r="V17" s="945">
        <f>ESCALA!$C$7</f>
        <v>0</v>
      </c>
      <c r="W17" s="945"/>
      <c r="X17" s="13">
        <v>0.5</v>
      </c>
      <c r="Y17" s="54">
        <v>2708</v>
      </c>
      <c r="Z17" s="183">
        <v>940</v>
      </c>
      <c r="AA17" s="15">
        <v>1</v>
      </c>
      <c r="AB17" s="58">
        <f>IF('5'!AA17=1,(('5'!Z17*'5'!$AS$6*'5'!$AT$6)/('5'!Y17*0.0036)),IF('5'!AA17=2,(('5'!Z17*'5'!$AS$7*'5'!$AT$7)/('5'!Y17*0.0036))))</f>
        <v>64.120712292795019</v>
      </c>
      <c r="AC17" s="58"/>
      <c r="AD17" s="18">
        <f>(('5'!AC17*'5'!$Q$10*1000000))/('5'!Y17*3600)</f>
        <v>0</v>
      </c>
      <c r="AE17" s="19"/>
      <c r="AF17" s="184">
        <f>('5'!AE17/24)*0.454</f>
        <v>0</v>
      </c>
      <c r="AG17" s="19"/>
      <c r="AH17" s="184">
        <f>('5'!AG17/24)*0.454</f>
        <v>0</v>
      </c>
      <c r="AI17" s="19">
        <v>5000</v>
      </c>
      <c r="AJ17" s="184">
        <f>('5'!AI17/24)*0.454</f>
        <v>94.583333333333343</v>
      </c>
      <c r="AK17" s="21"/>
      <c r="AL17" s="185">
        <f>('5'!AK17/24)*0.454</f>
        <v>0</v>
      </c>
      <c r="AM17" s="21"/>
      <c r="AN17" s="185">
        <f>('5'!AM17/24)*0.454</f>
        <v>0</v>
      </c>
      <c r="AO17" s="23"/>
      <c r="AP17" s="185">
        <f>('5'!AO17/24)*0.454</f>
        <v>0</v>
      </c>
    </row>
    <row r="18" spans="1:42" ht="19.5" customHeight="1">
      <c r="A18" s="28">
        <v>0.91666666666666696</v>
      </c>
      <c r="B18" s="186">
        <v>60</v>
      </c>
      <c r="C18" s="186">
        <v>10</v>
      </c>
      <c r="D18" s="186">
        <v>12.5</v>
      </c>
      <c r="E18" s="186">
        <v>2.5</v>
      </c>
      <c r="F18" s="186">
        <v>9</v>
      </c>
      <c r="G18" s="186">
        <v>1.4</v>
      </c>
      <c r="H18" s="186">
        <v>1.7</v>
      </c>
      <c r="I18" s="186">
        <v>0.4</v>
      </c>
      <c r="J18" s="186">
        <v>0.4</v>
      </c>
      <c r="K18" s="186">
        <v>7.3</v>
      </c>
      <c r="L18" s="186">
        <v>6.7</v>
      </c>
      <c r="M18" s="186">
        <v>6.7</v>
      </c>
      <c r="N18" s="186">
        <v>6.4</v>
      </c>
      <c r="O18" s="186">
        <v>3</v>
      </c>
      <c r="P18" s="186"/>
      <c r="Q18" s="188"/>
      <c r="R18" s="37">
        <f>'5'!Z27</f>
        <v>940</v>
      </c>
      <c r="S18" s="36">
        <f>'5'!AB27</f>
        <v>61.574074074074083</v>
      </c>
      <c r="T18" s="37">
        <f>'5'!Y27</f>
        <v>2820</v>
      </c>
      <c r="U18" s="33" t="str">
        <f>IF('5'!AA27=1,'5'!AR6,'5'!AR7)</f>
        <v>S.A.L</v>
      </c>
      <c r="V18" s="945"/>
      <c r="W18" s="945"/>
      <c r="X18" s="13">
        <v>0.54166666666666696</v>
      </c>
      <c r="Y18" s="54">
        <v>2858</v>
      </c>
      <c r="Z18" s="183">
        <v>940</v>
      </c>
      <c r="AA18" s="15">
        <v>1</v>
      </c>
      <c r="AB18" s="58">
        <f>IF('5'!AA18=1,(('5'!Z18*'5'!$AS$6*'5'!$AT$6)/('5'!Y18*0.0036)),IF('5'!AA18=2,(('5'!Z18*'5'!$AS$7*'5'!$AT$7)/('5'!Y18*0.0036))))</f>
        <v>60.755384495762385</v>
      </c>
      <c r="AC18" s="58"/>
      <c r="AD18" s="18">
        <f>(('5'!AC18*'5'!$Q$10*1000000))/('5'!Y18*3600)</f>
        <v>0</v>
      </c>
      <c r="AE18" s="19"/>
      <c r="AF18" s="184">
        <f>('5'!AE18/24)*0.454</f>
        <v>0</v>
      </c>
      <c r="AG18" s="19"/>
      <c r="AH18" s="184">
        <f>('5'!AG18/24)*0.454</f>
        <v>0</v>
      </c>
      <c r="AI18" s="19">
        <v>5000</v>
      </c>
      <c r="AJ18" s="184">
        <f>('5'!AI18/24)*0.454</f>
        <v>94.583333333333343</v>
      </c>
      <c r="AK18" s="21"/>
      <c r="AL18" s="185">
        <f>('5'!AK18/24)*0.454</f>
        <v>0</v>
      </c>
      <c r="AM18" s="21"/>
      <c r="AN18" s="185">
        <f>('5'!AM18/24)*0.454</f>
        <v>0</v>
      </c>
      <c r="AO18" s="23"/>
      <c r="AP18" s="185">
        <f>('5'!AO18/24)*0.454</f>
        <v>0</v>
      </c>
    </row>
    <row r="19" spans="1:42" ht="18.75" customHeight="1">
      <c r="A19" s="10" t="s">
        <v>52</v>
      </c>
      <c r="B19" s="189">
        <f t="array" ref="B19">IF('5'!B7:B18&gt;0.01,AVERAGE('5'!B7:B18),"")</f>
        <v>60</v>
      </c>
      <c r="C19" s="69">
        <f t="array" ref="C19">IF('5'!C7:C18&gt;0.01,AVERAGE('5'!C7:C18),"")</f>
        <v>10</v>
      </c>
      <c r="D19" s="69">
        <f t="array" ref="D19">IF('5'!D7:D18&gt;0.01,AVERAGE('5'!D7:D18),"")</f>
        <v>12.5</v>
      </c>
      <c r="E19" s="69">
        <f t="array" ref="E19">IF('5'!E7:E18&gt;0.01,AVERAGE('5'!E7:E18),"")</f>
        <v>2.5</v>
      </c>
      <c r="F19" s="69">
        <f t="array" ref="F19">IF('5'!F7:F18&gt;0.01,AVERAGE('5'!F7:F18),"")</f>
        <v>9.2833333333333332</v>
      </c>
      <c r="G19" s="69">
        <f t="array" ref="G19">IF('5'!G7:G18&gt;0.01,AVERAGE('5'!G7:G18),"")</f>
        <v>1.3691666666666666</v>
      </c>
      <c r="H19" s="69">
        <f t="array" ref="H19">IF('5'!H7:H18&gt;0.01,AVERAGE('5'!H7:H18),"")</f>
        <v>1.7750000000000001</v>
      </c>
      <c r="I19" s="69">
        <f t="array" ref="I19">IF('5'!I7:I18&gt;0.01,AVERAGE('5'!I7:I18),"")</f>
        <v>0.43333333333333335</v>
      </c>
      <c r="J19" s="69">
        <f t="array" ref="J19">IF('5'!J7:J18&gt;0.01,AVERAGE('5'!J7:J18),"")</f>
        <v>0.40833333333333338</v>
      </c>
      <c r="K19" s="69">
        <f t="array" ref="K19">IF('5'!K7:K18&gt;0.01,AVERAGE('5'!K7:K18),"")</f>
        <v>7.299999999999998</v>
      </c>
      <c r="L19" s="69">
        <f t="array" ref="L19">IF('5'!L7:L18&gt;0.01,AVERAGE('5'!L7:L18),"")</f>
        <v>6.700000000000002</v>
      </c>
      <c r="M19" s="69">
        <f t="array" ref="M19">IF('5'!M7:M18&gt;0.01,AVERAGE('5'!M7:M18),"")</f>
        <v>6.700000000000002</v>
      </c>
      <c r="N19" s="69">
        <f t="array" ref="N19">IF('5'!N7:N18&gt;0.01,AVERAGE('5'!N7:N18),"")</f>
        <v>6.3999999999999995</v>
      </c>
      <c r="O19" s="69">
        <f t="array" ref="O19">IF('5'!O7:O18&gt;0.01,AVERAGE('5'!O7:O18),"")</f>
        <v>3.0916666666666668</v>
      </c>
      <c r="P19" s="190" t="str">
        <f t="array" ref="P19">IF('5'!P7:P18&gt;0.01,AVERAGE('5'!P7:P18),"")</f>
        <v/>
      </c>
      <c r="Q19" s="191" t="str">
        <f t="array" ref="Q19">IF('5'!Q7:Q18&gt;0.01,AVERAGE('5'!Q7:Q18),"")</f>
        <v/>
      </c>
      <c r="R19" s="191">
        <f t="array" ref="R19">IF('5'!R7:R18&gt;0.01,AVERAGE('5'!R7:R18),"")</f>
        <v>940</v>
      </c>
      <c r="S19" s="191">
        <f t="array" ref="S19">IF('5'!S7:S18&gt;0.01,AVERAGE('5'!S7:S18),"")</f>
        <v>62.748381265700964</v>
      </c>
      <c r="T19" s="1044"/>
      <c r="U19" s="1044"/>
      <c r="V19" s="49"/>
      <c r="W19" s="50"/>
      <c r="X19" s="13">
        <v>0.58333333333333304</v>
      </c>
      <c r="Y19" s="54">
        <v>2902</v>
      </c>
      <c r="Z19" s="183">
        <v>940</v>
      </c>
      <c r="AA19" s="15">
        <v>1</v>
      </c>
      <c r="AB19" s="58">
        <f>IF('5'!AA19=1,(('5'!Z19*'5'!$AS$6*'5'!$AT$6)/('5'!Y19*0.0036)),IF('5'!AA19=2,(('5'!Z19*'5'!$AS$7*'5'!$AT$7)/('5'!Y19*0.0036))))</f>
        <v>59.834213952063713</v>
      </c>
      <c r="AC19" s="58"/>
      <c r="AD19" s="18">
        <f>(('5'!AC19*'5'!$Q$10*1000000))/('5'!Y19*3600)</f>
        <v>0</v>
      </c>
      <c r="AE19" s="19"/>
      <c r="AF19" s="184">
        <f>('5'!AE19/24)*0.454</f>
        <v>0</v>
      </c>
      <c r="AG19" s="19"/>
      <c r="AH19" s="184">
        <f>('5'!AG19/24)*0.454</f>
        <v>0</v>
      </c>
      <c r="AI19" s="19">
        <v>5000</v>
      </c>
      <c r="AJ19" s="184">
        <f>('5'!AI19/24)*0.454</f>
        <v>94.583333333333343</v>
      </c>
      <c r="AK19" s="21"/>
      <c r="AL19" s="185">
        <f>('5'!AK19/24)*0.454</f>
        <v>0</v>
      </c>
      <c r="AM19" s="21"/>
      <c r="AN19" s="185">
        <f>('5'!AM19/24)*0.454</f>
        <v>0</v>
      </c>
      <c r="AO19" s="23"/>
      <c r="AP19" s="185">
        <f>('5'!AO19/24)*0.454</f>
        <v>0</v>
      </c>
    </row>
    <row r="20" spans="1:42" ht="18.75" customHeight="1">
      <c r="A20" s="10" t="s">
        <v>53</v>
      </c>
      <c r="B20" s="189">
        <f>MAX('5'!B7:B18)</f>
        <v>60</v>
      </c>
      <c r="C20" s="69">
        <f>MAX('5'!C7:C18)</f>
        <v>10</v>
      </c>
      <c r="D20" s="69">
        <f>MAX('5'!D7:D18)</f>
        <v>12.5</v>
      </c>
      <c r="E20" s="69">
        <f>MAX('5'!E7:E18)</f>
        <v>2.5</v>
      </c>
      <c r="F20" s="69">
        <f>MAX('5'!F7:F18)</f>
        <v>11</v>
      </c>
      <c r="G20" s="69">
        <f>MAX('5'!G7:G18)</f>
        <v>1.43</v>
      </c>
      <c r="H20" s="69">
        <f>MAX('5'!H7:H18)</f>
        <v>2</v>
      </c>
      <c r="I20" s="69">
        <f>MAX('5'!I7:I18)</f>
        <v>0.5</v>
      </c>
      <c r="J20" s="69">
        <f>MAX('5'!J7:J18)</f>
        <v>0.5</v>
      </c>
      <c r="K20" s="69">
        <f>MAX('5'!K7:K18)</f>
        <v>7.3</v>
      </c>
      <c r="L20" s="69">
        <f>MAX('5'!L7:L18)</f>
        <v>6.7</v>
      </c>
      <c r="M20" s="69">
        <f>MAX('5'!M7:M18)</f>
        <v>6.7</v>
      </c>
      <c r="N20" s="69">
        <f>MAX('5'!N7:N18)</f>
        <v>6.4</v>
      </c>
      <c r="O20" s="70">
        <f>MAX('5'!O7:O18)</f>
        <v>3.5</v>
      </c>
      <c r="P20" s="70">
        <f>MAX('5'!P7:P18)</f>
        <v>0</v>
      </c>
      <c r="Q20" s="70">
        <f>MAX('5'!Q7:Q18)</f>
        <v>0</v>
      </c>
      <c r="R20" s="70">
        <f>MAX('5'!R7:R18)</f>
        <v>940</v>
      </c>
      <c r="S20" s="70">
        <f>MAX('5'!S7:S18)</f>
        <v>64.120712292795019</v>
      </c>
      <c r="T20" s="1044"/>
      <c r="U20" s="1044"/>
      <c r="X20" s="13">
        <v>0.625</v>
      </c>
      <c r="Y20" s="54">
        <v>2862</v>
      </c>
      <c r="Z20" s="183">
        <v>940</v>
      </c>
      <c r="AA20" s="15">
        <v>1</v>
      </c>
      <c r="AB20" s="58">
        <f>IF('5'!AA20=1,(('5'!Z20*'5'!$AS$6*'5'!$AT$6)/('5'!Y20*0.0036)),IF('5'!AA20=2,(('5'!Z20*'5'!$AS$7*'5'!$AT$7)/('5'!Y20*0.0036))))</f>
        <v>60.670471309884306</v>
      </c>
      <c r="AC20" s="58"/>
      <c r="AD20" s="18">
        <f>(('5'!AC20*'5'!$Q$10*1000000))/('5'!Y20*3600)</f>
        <v>0</v>
      </c>
      <c r="AE20" s="19"/>
      <c r="AF20" s="184">
        <f>('5'!AE20/24)*0.454</f>
        <v>0</v>
      </c>
      <c r="AG20" s="19"/>
      <c r="AH20" s="184">
        <f>('5'!AG20/24)*0.454</f>
        <v>0</v>
      </c>
      <c r="AI20" s="19">
        <v>5000</v>
      </c>
      <c r="AJ20" s="184">
        <f>('5'!AI20/24)*0.454</f>
        <v>94.583333333333343</v>
      </c>
      <c r="AK20" s="21"/>
      <c r="AL20" s="185">
        <f>('5'!AK20/24)*0.454</f>
        <v>0</v>
      </c>
      <c r="AM20" s="21"/>
      <c r="AN20" s="185">
        <f>('5'!AM20/24)*0.454</f>
        <v>0</v>
      </c>
      <c r="AO20" s="23"/>
      <c r="AP20" s="185">
        <f>('5'!AO20/24)*0.454</f>
        <v>0</v>
      </c>
    </row>
    <row r="21" spans="1:42" ht="19.5" customHeight="1">
      <c r="A21" s="10" t="s">
        <v>54</v>
      </c>
      <c r="B21" s="189">
        <f>MIN('5'!B7:B18)</f>
        <v>60</v>
      </c>
      <c r="C21" s="69">
        <f>MIN('5'!C7:C18)</f>
        <v>10</v>
      </c>
      <c r="D21" s="69">
        <f>MIN('5'!D7:D18)</f>
        <v>12.5</v>
      </c>
      <c r="E21" s="69">
        <f>MIN('5'!E7:E18)</f>
        <v>2.5</v>
      </c>
      <c r="F21" s="69">
        <f>MIN('5'!F7:F18)</f>
        <v>8.6999999999999993</v>
      </c>
      <c r="G21" s="192">
        <f>MIN('5'!G7:G18)</f>
        <v>1.3</v>
      </c>
      <c r="H21" s="192">
        <f>MIN('5'!H7:H18)</f>
        <v>1.6</v>
      </c>
      <c r="I21" s="192">
        <f>MIN('5'!I7:I18)</f>
        <v>0.4</v>
      </c>
      <c r="J21" s="192">
        <f>MIN('5'!J7:J18)</f>
        <v>0.4</v>
      </c>
      <c r="K21" s="192">
        <f>MIN('5'!K7:K18)</f>
        <v>7.3</v>
      </c>
      <c r="L21" s="192">
        <f>MIN('5'!L7:L18)</f>
        <v>6.7</v>
      </c>
      <c r="M21" s="192">
        <f>MIN('5'!M7:M18)</f>
        <v>6.7</v>
      </c>
      <c r="N21" s="192">
        <f>MIN('5'!N7:N18)</f>
        <v>6.4</v>
      </c>
      <c r="O21" s="193">
        <f>MIN('5'!O7:O18)</f>
        <v>3</v>
      </c>
      <c r="P21" s="193">
        <f>MIN('5'!P7:P18)</f>
        <v>0</v>
      </c>
      <c r="Q21" s="193">
        <f>MIN('5'!Q7:Q18)</f>
        <v>0</v>
      </c>
      <c r="R21" s="193">
        <f>MIN('5'!R7:R18)</f>
        <v>940</v>
      </c>
      <c r="S21" s="193">
        <f>MIN('5'!S7:S18)</f>
        <v>59.834213952063713</v>
      </c>
      <c r="T21" s="1044"/>
      <c r="U21" s="1044"/>
      <c r="X21" s="13">
        <v>0.66666666666666696</v>
      </c>
      <c r="Y21" s="54">
        <v>2807</v>
      </c>
      <c r="Z21" s="183">
        <v>940</v>
      </c>
      <c r="AA21" s="15">
        <v>1</v>
      </c>
      <c r="AB21" s="58">
        <f>IF('5'!AA21=1,(('5'!Z21*'5'!$AS$6*'5'!$AT$6)/('5'!Y21*0.0036)),IF('5'!AA21=2,(('5'!Z21*'5'!$AS$7*'5'!$AT$7)/('5'!Y21*0.0036))))</f>
        <v>61.859240786921589</v>
      </c>
      <c r="AC21" s="58"/>
      <c r="AD21" s="18">
        <f>(('5'!AC21*'5'!$Q$10*1000000))/('5'!Y21*3600)</f>
        <v>0</v>
      </c>
      <c r="AE21" s="19"/>
      <c r="AF21" s="184">
        <f>('5'!AE21/24)*0.454</f>
        <v>0</v>
      </c>
      <c r="AG21" s="19"/>
      <c r="AH21" s="184">
        <f>('5'!AG21/24)*0.454</f>
        <v>0</v>
      </c>
      <c r="AI21" s="19">
        <v>5000</v>
      </c>
      <c r="AJ21" s="184">
        <f>('5'!AI21/24)*0.454</f>
        <v>94.583333333333343</v>
      </c>
      <c r="AK21" s="21"/>
      <c r="AL21" s="185">
        <f>('5'!AK21/24)*0.454</f>
        <v>0</v>
      </c>
      <c r="AM21" s="21"/>
      <c r="AN21" s="185">
        <f>('5'!AM21/24)*0.454</f>
        <v>0</v>
      </c>
      <c r="AO21" s="23"/>
      <c r="AP21" s="185">
        <f>('5'!AO21/24)*0.454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1044"/>
      <c r="U22" s="1044"/>
      <c r="X22" s="13">
        <v>0.70833333333333304</v>
      </c>
      <c r="Y22" s="54">
        <v>2748</v>
      </c>
      <c r="Z22" s="183">
        <v>940</v>
      </c>
      <c r="AA22" s="15">
        <v>1</v>
      </c>
      <c r="AB22" s="58">
        <f>IF('5'!AA22=1,(('5'!Z22*'5'!$AS$6*'5'!$AT$6)/('5'!Y22*0.0036)),IF('5'!AA22=2,(('5'!Z22*'5'!$AS$7*'5'!$AT$7)/('5'!Y22*0.0036))))</f>
        <v>63.187368591298728</v>
      </c>
      <c r="AC22" s="58"/>
      <c r="AD22" s="18">
        <f>(('5'!AC22*'5'!$Q$10*1000000))/('5'!Y22*3600)</f>
        <v>0</v>
      </c>
      <c r="AE22" s="19"/>
      <c r="AF22" s="184">
        <f>('5'!AE22/24)*0.454</f>
        <v>0</v>
      </c>
      <c r="AG22" s="19"/>
      <c r="AH22" s="184">
        <f>('5'!AG22/24)*0.454</f>
        <v>0</v>
      </c>
      <c r="AI22" s="19">
        <v>5000</v>
      </c>
      <c r="AJ22" s="184">
        <f>('5'!AI22/24)*0.454</f>
        <v>94.583333333333343</v>
      </c>
      <c r="AK22" s="21"/>
      <c r="AL22" s="185">
        <f>('5'!AK22/24)*0.454</f>
        <v>0</v>
      </c>
      <c r="AM22" s="21"/>
      <c r="AN22" s="185">
        <f>('5'!AM22/24)*0.454</f>
        <v>0</v>
      </c>
      <c r="AO22" s="23"/>
      <c r="AP22" s="185">
        <f>('5'!AO22/24)*0.454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1044"/>
      <c r="U23" s="1044"/>
      <c r="X23" s="13">
        <v>0.75</v>
      </c>
      <c r="Y23" s="54">
        <v>2752</v>
      </c>
      <c r="Z23" s="183">
        <v>940</v>
      </c>
      <c r="AA23" s="15">
        <v>1</v>
      </c>
      <c r="AB23" s="58">
        <f>IF('5'!AA23=1,(('5'!Z23*'5'!$AS$6*'5'!$AT$6)/('5'!Y23*0.0036)),IF('5'!AA23=2,(('5'!Z23*'5'!$AS$7*'5'!$AT$7)/('5'!Y23*0.0036))))</f>
        <v>63.09552648578812</v>
      </c>
      <c r="AC23" s="58"/>
      <c r="AD23" s="18">
        <f>(('5'!AC23*'5'!$Q$10*1000000))/('5'!Y23*3600)</f>
        <v>0</v>
      </c>
      <c r="AE23" s="19"/>
      <c r="AF23" s="184">
        <f>('5'!AE23/24)*0.454</f>
        <v>0</v>
      </c>
      <c r="AG23" s="19"/>
      <c r="AH23" s="184">
        <f>('5'!AG23/24)*0.454</f>
        <v>0</v>
      </c>
      <c r="AI23" s="19">
        <v>5000</v>
      </c>
      <c r="AJ23" s="184">
        <f>('5'!AI23/24)*0.454</f>
        <v>94.583333333333343</v>
      </c>
      <c r="AK23" s="21"/>
      <c r="AL23" s="185">
        <f>('5'!AK23/24)*0.454</f>
        <v>0</v>
      </c>
      <c r="AM23" s="21"/>
      <c r="AN23" s="185">
        <f>('5'!AM23/24)*0.454</f>
        <v>0</v>
      </c>
      <c r="AO23" s="23"/>
      <c r="AP23" s="185">
        <f>('5'!AO23/24)*0.454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1044"/>
      <c r="U24" s="1044"/>
      <c r="X24" s="13">
        <v>0.79166666666666696</v>
      </c>
      <c r="Y24" s="54">
        <v>2777</v>
      </c>
      <c r="Z24" s="183">
        <v>940</v>
      </c>
      <c r="AA24" s="15">
        <v>1</v>
      </c>
      <c r="AB24" s="16">
        <f>IF('5'!AA24=1,(('5'!Z24*'5'!$AS$6*'5'!$AT$6)/('5'!Y24*0.0036)),IF('5'!AA24=2,(('5'!Z24*'5'!$AS$7*'5'!$AT$7)/('5'!Y24*0.0036))))</f>
        <v>62.527507702156612</v>
      </c>
      <c r="AC24" s="58"/>
      <c r="AD24" s="18">
        <f>(('5'!AC24*'5'!$Q$10*1000000))/('5'!Y24*3600)</f>
        <v>0</v>
      </c>
      <c r="AE24" s="19"/>
      <c r="AF24" s="184">
        <f>('5'!AE24/24)*0.454</f>
        <v>0</v>
      </c>
      <c r="AG24" s="19"/>
      <c r="AH24" s="184">
        <f>('5'!AG24/24)*0.454</f>
        <v>0</v>
      </c>
      <c r="AI24" s="19">
        <v>5000</v>
      </c>
      <c r="AJ24" s="184">
        <f>('5'!AI24/24)*0.454</f>
        <v>94.583333333333343</v>
      </c>
      <c r="AK24" s="21"/>
      <c r="AL24" s="196">
        <f>('5'!AK24/24)*0.454</f>
        <v>0</v>
      </c>
      <c r="AM24" s="197"/>
      <c r="AN24" s="196">
        <f>('5'!AM24/24)*0.454</f>
        <v>0</v>
      </c>
      <c r="AO24" s="23"/>
      <c r="AP24" s="196">
        <f>('5'!AO24/24)*0.454</f>
        <v>0</v>
      </c>
    </row>
    <row r="25" spans="1:42" ht="19.5" customHeight="1">
      <c r="A25" s="64">
        <v>0.41666666666666702</v>
      </c>
      <c r="B25" s="198"/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5" t="e">
        <f>#DIV/0!</f>
        <v>#DIV/0!</v>
      </c>
      <c r="S25" s="66"/>
      <c r="T25" s="1045" t="s">
        <v>0</v>
      </c>
      <c r="U25" s="1046">
        <f>ESCALA!$A$7</f>
        <v>43895</v>
      </c>
      <c r="X25" s="13">
        <v>0.83333333333333304</v>
      </c>
      <c r="Y25" s="54">
        <v>2797</v>
      </c>
      <c r="Z25" s="183">
        <v>940</v>
      </c>
      <c r="AA25" s="15">
        <v>1</v>
      </c>
      <c r="AB25" s="58">
        <f>IF('5'!AA25=1,(('5'!Z25*'5'!$AS$6*'5'!$AT$6)/('5'!Y25*0.0036)),IF('5'!AA25=2,(('5'!Z25*'5'!$AS$7*'5'!$AT$7)/('5'!Y25*0.0036))))</f>
        <v>62.080403607039287</v>
      </c>
      <c r="AC25" s="58"/>
      <c r="AD25" s="18">
        <f>(('5'!AC25*'5'!$Q$10*1000000))/('5'!Y25*3600)</f>
        <v>0</v>
      </c>
      <c r="AE25" s="19"/>
      <c r="AF25" s="184">
        <f>('5'!AE25/24)*0.454</f>
        <v>0</v>
      </c>
      <c r="AG25" s="19"/>
      <c r="AH25" s="184">
        <f>('5'!AG25/24)*0.454</f>
        <v>0</v>
      </c>
      <c r="AI25" s="19">
        <v>5000</v>
      </c>
      <c r="AJ25" s="184">
        <f>('5'!AI25/24)*0.454</f>
        <v>94.583333333333343</v>
      </c>
      <c r="AK25" s="21"/>
      <c r="AL25" s="185">
        <f>('5'!AK25/24)*0.454</f>
        <v>0</v>
      </c>
      <c r="AM25" s="21"/>
      <c r="AN25" s="185">
        <f>('5'!AM25/24)*0.454</f>
        <v>0</v>
      </c>
      <c r="AO25" s="23"/>
      <c r="AP25" s="185">
        <f>('5'!AO25/24)*0.454</f>
        <v>0</v>
      </c>
    </row>
    <row r="26" spans="1:42" ht="19.5" customHeight="1">
      <c r="A26" s="64">
        <v>0.66666666666666696</v>
      </c>
      <c r="B26" s="198"/>
      <c r="C26" s="198"/>
      <c r="D26" s="198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7"/>
      <c r="P26" s="228"/>
      <c r="Q26" s="224"/>
      <c r="R26" s="65" t="e">
        <f>#DIV/0!</f>
        <v>#DIV/0!</v>
      </c>
      <c r="S26" s="67"/>
      <c r="T26" s="1045"/>
      <c r="U26" s="1046"/>
      <c r="X26" s="13">
        <v>0.875</v>
      </c>
      <c r="Y26" s="54">
        <v>2790</v>
      </c>
      <c r="Z26" s="183">
        <v>940</v>
      </c>
      <c r="AA26" s="15">
        <v>1</v>
      </c>
      <c r="AB26" s="58">
        <f>IF('5'!AA26=1,(('5'!Z26*'5'!$AS$6*'5'!$AT$6)/('5'!Y26*0.0036)),IF('5'!AA26=2,(('5'!Z26*'5'!$AS$7*'5'!$AT$7)/('5'!Y26*0.0036))))</f>
        <v>62.236160892074871</v>
      </c>
      <c r="AC26" s="58"/>
      <c r="AD26" s="18">
        <f>(('5'!AC26*'5'!$Q$10*1000000))/('5'!Y26*3600)</f>
        <v>0</v>
      </c>
      <c r="AE26" s="19"/>
      <c r="AF26" s="184">
        <f>('5'!AE26/24)*0.454</f>
        <v>0</v>
      </c>
      <c r="AG26" s="19"/>
      <c r="AH26" s="184">
        <f>('5'!AG26/24)*0.454</f>
        <v>0</v>
      </c>
      <c r="AI26" s="19">
        <v>5000</v>
      </c>
      <c r="AJ26" s="184">
        <f>('5'!AI26/24)*0.454</f>
        <v>94.583333333333343</v>
      </c>
      <c r="AK26" s="21"/>
      <c r="AL26" s="185">
        <f>('5'!AK26/24)*0.454</f>
        <v>0</v>
      </c>
      <c r="AM26" s="21"/>
      <c r="AN26" s="185">
        <f>('5'!AM26/24)*0.454</f>
        <v>0</v>
      </c>
      <c r="AO26" s="23"/>
      <c r="AP26" s="185">
        <f>('5'!AO26/24)*0.454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47"/>
      <c r="S27" s="1047"/>
      <c r="T27" s="1047"/>
      <c r="U27" s="74"/>
      <c r="X27" s="13">
        <v>0.91666666666666696</v>
      </c>
      <c r="Y27" s="54">
        <v>2820</v>
      </c>
      <c r="Z27" s="183">
        <v>940</v>
      </c>
      <c r="AA27" s="15">
        <v>1</v>
      </c>
      <c r="AB27" s="58">
        <f>IF('5'!AA27=1,(('5'!Z27*'5'!$AS$6*'5'!$AT$6)/('5'!Y27*0.0036)),IF('5'!AA27=2,(('5'!Z27*'5'!$AS$7*'5'!$AT$7)/('5'!Y27*0.0036))))</f>
        <v>61.574074074074083</v>
      </c>
      <c r="AC27" s="58"/>
      <c r="AD27" s="18">
        <f>(('5'!AC27*'5'!$Q$10*1000000))/('5'!Y27*3600)</f>
        <v>0</v>
      </c>
      <c r="AE27" s="19"/>
      <c r="AF27" s="184">
        <f>('5'!AE27/24)*0.454</f>
        <v>0</v>
      </c>
      <c r="AG27" s="19"/>
      <c r="AH27" s="184">
        <f>('5'!AG27/24)*0.454</f>
        <v>0</v>
      </c>
      <c r="AI27" s="19">
        <v>5000</v>
      </c>
      <c r="AJ27" s="184">
        <f>('5'!AI27/24)*0.454</f>
        <v>94.583333333333343</v>
      </c>
      <c r="AK27" s="21"/>
      <c r="AL27" s="185">
        <f>('5'!AK27/24)*0.454</f>
        <v>0</v>
      </c>
      <c r="AM27" s="21"/>
      <c r="AN27" s="185">
        <f>('5'!AM27/24)*0.454</f>
        <v>0</v>
      </c>
      <c r="AO27" s="23"/>
      <c r="AP27" s="185">
        <f>('5'!AO27/24)*0.454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4">
        <v>2740</v>
      </c>
      <c r="Z28" s="183">
        <v>940</v>
      </c>
      <c r="AA28" s="15">
        <v>1</v>
      </c>
      <c r="AB28" s="58">
        <f>IF('5'!AA28=1,(('5'!Z28*'5'!$AS$6*'5'!$AT$6)/('5'!Y28*0.0036)),IF('5'!AA28=2,(('5'!Z28*'5'!$AS$7*'5'!$AT$7)/('5'!Y28*0.0036))))</f>
        <v>63.371857258718585</v>
      </c>
      <c r="AC28" s="58"/>
      <c r="AD28" s="18">
        <f>(('5'!AC28*'5'!$Q$10*1000000))/('5'!Y28*3600)</f>
        <v>0</v>
      </c>
      <c r="AE28" s="19"/>
      <c r="AF28" s="184">
        <f>('5'!AE28/24)*0.454</f>
        <v>0</v>
      </c>
      <c r="AG28" s="19"/>
      <c r="AH28" s="184">
        <f>('5'!AG28/24)*0.454</f>
        <v>0</v>
      </c>
      <c r="AI28" s="19">
        <v>5000</v>
      </c>
      <c r="AJ28" s="184">
        <f>('5'!AI28/24)*0.454</f>
        <v>94.583333333333343</v>
      </c>
      <c r="AK28" s="21"/>
      <c r="AL28" s="185">
        <f>('5'!AK28/24)*0.454</f>
        <v>0</v>
      </c>
      <c r="AM28" s="21"/>
      <c r="AN28" s="185">
        <f>('5'!AM28/24)*0.454</f>
        <v>0</v>
      </c>
      <c r="AO28" s="23"/>
      <c r="AP28" s="185">
        <f>('5'!AO28/24)*0.454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4">
        <v>2789</v>
      </c>
      <c r="Z29" s="183">
        <v>940</v>
      </c>
      <c r="AA29" s="15">
        <v>1</v>
      </c>
      <c r="AB29" s="58">
        <f>IF('5'!AA29=1,(('5'!Z29*'5'!$AS$6*'5'!$AT$6)/('5'!Y29*0.0036)),IF('5'!AA29=2,(('5'!Z29*'5'!$AS$7*'5'!$AT$7)/('5'!Y29*0.0036))))</f>
        <v>62.25847575793793</v>
      </c>
      <c r="AC29" s="58"/>
      <c r="AD29" s="18">
        <f>(('5'!AC29*'5'!$Q$10*1000000))/('5'!Y29*3600)</f>
        <v>0</v>
      </c>
      <c r="AE29" s="19"/>
      <c r="AF29" s="184">
        <f>('5'!AE29/24)*0.454</f>
        <v>0</v>
      </c>
      <c r="AG29" s="19"/>
      <c r="AH29" s="184">
        <f>('5'!AG29/24)*0.454</f>
        <v>0</v>
      </c>
      <c r="AI29" s="19">
        <v>5000</v>
      </c>
      <c r="AJ29" s="184">
        <f>('5'!AI29/24)*0.454</f>
        <v>94.583333333333343</v>
      </c>
      <c r="AK29" s="21"/>
      <c r="AL29" s="185">
        <f>('5'!AK29/24)*0.454</f>
        <v>0</v>
      </c>
      <c r="AM29" s="21"/>
      <c r="AN29" s="185">
        <f>('5'!AM29/24)*0.454</f>
        <v>0</v>
      </c>
      <c r="AO29" s="23"/>
      <c r="AP29" s="185">
        <f>('5'!AO29/24)*0.454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SUM('5'!Y6:Y29)*3.6</f>
        <v>239472</v>
      </c>
      <c r="Z30" s="82">
        <f>SUM('5'!Z6:Z29)</f>
        <v>22560</v>
      </c>
      <c r="AA30" s="78"/>
      <c r="AB30" s="79"/>
      <c r="AC30" s="78"/>
      <c r="AD30" s="79"/>
      <c r="AE30" s="34"/>
      <c r="AF30" s="184">
        <f>SUM('5'!AF6:AF29)</f>
        <v>0</v>
      </c>
      <c r="AG30" s="34"/>
      <c r="AH30" s="184">
        <f>SUM('5'!AH6:AH29)</f>
        <v>0</v>
      </c>
      <c r="AI30" s="34"/>
      <c r="AJ30" s="184">
        <f>SUM('5'!AJ6:AJ29)</f>
        <v>2270</v>
      </c>
      <c r="AK30" s="80"/>
      <c r="AL30" s="185">
        <f>SUM('5'!AL6:AL29)</f>
        <v>0</v>
      </c>
      <c r="AM30" s="80"/>
      <c r="AN30" s="185">
        <f>SUM('5'!AN6:AN29)</f>
        <v>0</v>
      </c>
      <c r="AO30" s="80"/>
      <c r="AP30" s="185">
        <f>SUM('5'!AP6:AP29)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SUMIF('5'!AA6:AA29,"=1",'5'!Z6:Z29)</f>
        <v>22560</v>
      </c>
      <c r="AA32" s="82">
        <f>'5'!Z32*'5'!AS6</f>
        <v>30004.800000000003</v>
      </c>
      <c r="AB32" s="83">
        <f>SUMIF('5'!$AA$6:$AA$29,"=1",'5'!$AB$6:$AB$29)/COUNTIF('5'!$AA$6:$AA$29,"=1")</f>
        <v>62.667025382007523</v>
      </c>
      <c r="AC32" s="84">
        <f>SUMIF('5'!AA6:AA29,"=1",'5'!AC6:AC29)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SUMIF('5'!AA6:AA29,"=2",'5'!Z6:Z29)</f>
        <v>0</v>
      </c>
      <c r="AA33" s="82">
        <f>'5'!Z33*'5'!AS7</f>
        <v>0</v>
      </c>
      <c r="AB33" s="83" t="e">
        <f>SUMIF('5'!$AA$6:$AA$29,"=2",'5'!$AB$6:$AB$29)/COUNTIF('5'!$AA$6:$AA$29,"=2")</f>
        <v>#DIV/0!</v>
      </c>
      <c r="AC33" s="89">
        <f>SUMIF('5'!AA6:AA29,"=2",'5'!AC6:AC29)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AVERAGE('5'!Y6:Y29)</f>
        <v>2771.6666666666665</v>
      </c>
      <c r="Z34" s="96">
        <f>AVERAGE('5'!Z6:Z29)</f>
        <v>940</v>
      </c>
      <c r="AA34" s="97"/>
      <c r="AB34" s="97"/>
      <c r="AC34" s="98">
        <f>SUM('5'!AC6:AC29)/COUNTIF('5'!AC6:AC29,"&lt;&gt;0")</f>
        <v>0</v>
      </c>
      <c r="AD34" s="99" t="e">
        <f>SUM('5'!AD6:AD29)/COUNTIF('5'!AD6:AD29,"&lt;&gt;0")</f>
        <v>#DIV/0!</v>
      </c>
      <c r="AE34" s="78"/>
      <c r="AF34" s="98">
        <f>AVERAGE('5'!AF6:AF29)</f>
        <v>0</v>
      </c>
      <c r="AG34" s="98"/>
      <c r="AH34" s="98">
        <f>AVERAGE('5'!AH6:AH29)</f>
        <v>0</v>
      </c>
      <c r="AI34" s="98"/>
      <c r="AJ34" s="98">
        <f>'5'!AJ30/24</f>
        <v>94.583333333333329</v>
      </c>
      <c r="AK34" s="98"/>
      <c r="AL34" s="98">
        <f>AVERAGE('5'!AL6:AL29)</f>
        <v>0</v>
      </c>
      <c r="AM34" s="98"/>
      <c r="AN34" s="98">
        <f>AVERAGE('5'!AN6:AN29)</f>
        <v>0</v>
      </c>
      <c r="AO34" s="98"/>
      <c r="AP34" s="98">
        <f>AVERAGE('5'!AP6:AP29)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48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48"/>
      <c r="X36" s="232" t="s">
        <v>73</v>
      </c>
      <c r="Y36" s="106"/>
      <c r="Z36" s="107"/>
      <c r="AA36" s="108" t="s">
        <v>74</v>
      </c>
      <c r="AB36" s="106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82.7</v>
      </c>
      <c r="D37" s="186">
        <v>55.5</v>
      </c>
      <c r="E37" s="186">
        <v>51.4</v>
      </c>
      <c r="F37" s="186">
        <v>0.8</v>
      </c>
      <c r="G37" s="186">
        <v>0.1</v>
      </c>
      <c r="H37" s="186">
        <v>0.1</v>
      </c>
      <c r="I37" s="233">
        <v>0.1</v>
      </c>
      <c r="J37" s="233">
        <v>0.06</v>
      </c>
      <c r="K37" s="233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26">
        <f>'5'!V12</f>
        <v>0</v>
      </c>
      <c r="X37" s="962" t="s">
        <v>75</v>
      </c>
      <c r="Y37" s="962"/>
      <c r="Z37" s="110">
        <f>COUNTA('5'!Z6:Z29)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SUM('5'!AF30+'5'!AH30)*1.0561</f>
        <v>0</v>
      </c>
      <c r="AL38" s="210" t="s">
        <v>78</v>
      </c>
      <c r="AM38" s="212">
        <f>SUM('5'!AL30+'5'!AN30)*1.0561</f>
        <v>0</v>
      </c>
      <c r="AO38" s="210" t="s">
        <v>78</v>
      </c>
      <c r="AP38" s="211">
        <f>'5'!AJ30</f>
        <v>2270</v>
      </c>
      <c r="AQ38" s="210" t="s">
        <v>78</v>
      </c>
      <c r="AR38" s="212">
        <f>'5'!AP30*1.0561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('5'!AK38/'5'!Y30)*1000</f>
        <v>0</v>
      </c>
      <c r="AL39" s="215" t="s">
        <v>86</v>
      </c>
      <c r="AM39" s="216">
        <f>('5'!AM38/'5'!Y30)*1000</f>
        <v>0</v>
      </c>
      <c r="AO39" s="213" t="s">
        <v>86</v>
      </c>
      <c r="AP39" s="214">
        <f>('5'!AP38/'5'!Y30)*1000</f>
        <v>9.4791875459343906</v>
      </c>
      <c r="AQ39" s="215" t="s">
        <v>86</v>
      </c>
      <c r="AR39" s="216">
        <f>('5'!AR38/'5'!Y30)*1000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SUM('5'!AK38,'5'!AM38)</f>
        <v>0</v>
      </c>
      <c r="AM40" s="975"/>
      <c r="AO40" s="976" t="s">
        <v>90</v>
      </c>
      <c r="AP40" s="976"/>
      <c r="AQ40" s="977">
        <f>SUM('5'!AP38,'5'!AR38)</f>
        <v>2270</v>
      </c>
      <c r="AR40" s="977"/>
    </row>
    <row r="41" spans="1:44" ht="16.5" customHeight="1">
      <c r="A41" s="133">
        <f>COUNTA('5'!E7:E18)</f>
        <v>12</v>
      </c>
      <c r="B41" s="134">
        <f>COUNTA('5'!I7:I18)</f>
        <v>12</v>
      </c>
      <c r="C41" s="978">
        <f>COUNTA('5'!J7:J18)</f>
        <v>12</v>
      </c>
      <c r="D41" s="978">
        <f>COUNTA('5'!K7:K18)</f>
        <v>12</v>
      </c>
      <c r="E41" s="978">
        <f>COUNTIF('5'!E7:E18,"&gt;15")</f>
        <v>0</v>
      </c>
      <c r="F41" s="978"/>
      <c r="G41" s="978">
        <f>COUNTIF('5'!J7:J18,"&gt;1")</f>
        <v>0</v>
      </c>
      <c r="H41" s="978"/>
      <c r="I41" s="135"/>
      <c r="J41" s="978">
        <f>'5'!A41-'5'!E41</f>
        <v>12</v>
      </c>
      <c r="K41" s="978"/>
      <c r="L41" s="978">
        <f>'5'!C41-'5'!G41</f>
        <v>12</v>
      </c>
      <c r="M41" s="978"/>
      <c r="N41" s="135"/>
      <c r="O41" s="979">
        <f>COUNTIF('5'!J7:J18,"&lt;=0,5")</f>
        <v>12</v>
      </c>
      <c r="P41" s="979"/>
      <c r="Q41" s="979"/>
      <c r="R41" s="969"/>
      <c r="S41" s="980">
        <f>COUNTIF('5'!J7:J18,"&lt;=1,0")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SUM(('5'!AK38+'5'!AM38)/'5'!Y30)*1000</f>
        <v>0</v>
      </c>
      <c r="AM41" s="981"/>
      <c r="AO41" s="976" t="s">
        <v>91</v>
      </c>
      <c r="AP41" s="976"/>
      <c r="AQ41" s="981">
        <f>SUM(('5'!AP38+'5'!AR38)/'5'!Y30)*1000</f>
        <v>9.4791875459343906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/>
      <c r="Z44" s="144" t="s">
        <v>101</v>
      </c>
      <c r="AA44" s="145"/>
      <c r="AB44" s="144" t="s">
        <v>101</v>
      </c>
      <c r="AC44" s="145"/>
      <c r="AD44" s="988"/>
      <c r="AE44" s="988"/>
      <c r="AF44" s="989" t="s">
        <v>102</v>
      </c>
      <c r="AG44" s="1034">
        <f>SUM('5'!Y45,'5'!AA45,'5'!AC45,'5'!AE45)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COUNTIF('5'!I7:I18,"&lt;=5,0")</f>
        <v>12</v>
      </c>
      <c r="I45" s="992"/>
      <c r="J45" s="992"/>
      <c r="K45" s="135"/>
      <c r="L45" s="974">
        <f>COUNTA('5'!L37)</f>
        <v>1</v>
      </c>
      <c r="M45" s="974"/>
      <c r="O45" s="146"/>
      <c r="P45" s="147"/>
      <c r="Q45" s="993">
        <f>'5'!S41-'5'!O41</f>
        <v>0</v>
      </c>
      <c r="R45" s="993"/>
      <c r="S45" s="993"/>
      <c r="T45" s="148"/>
      <c r="X45" s="149" t="s">
        <v>104</v>
      </c>
      <c r="Y45" s="150">
        <f>'5'!Y44*275.3</f>
        <v>0</v>
      </c>
      <c r="Z45" s="149" t="s">
        <v>104</v>
      </c>
      <c r="AA45" s="150">
        <f>262.4*'5'!AA44</f>
        <v>0</v>
      </c>
      <c r="AB45" s="149" t="s">
        <v>104</v>
      </c>
      <c r="AC45" s="150">
        <f>'5'!AC44*277.7</f>
        <v>0</v>
      </c>
      <c r="AD45" s="149" t="s">
        <v>104</v>
      </c>
      <c r="AE45" s="151"/>
      <c r="AF45" s="989"/>
      <c r="AG45" s="1034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2"/>
      <c r="X46" s="153" t="s">
        <v>105</v>
      </c>
      <c r="Y46" s="154">
        <f>'5'!AS6</f>
        <v>1.33</v>
      </c>
      <c r="Z46" s="153" t="s">
        <v>105</v>
      </c>
      <c r="AA46" s="155">
        <f>'5'!Y46</f>
        <v>1.33</v>
      </c>
      <c r="AB46" s="153" t="s">
        <v>105</v>
      </c>
      <c r="AC46" s="155">
        <f>'5'!Y46</f>
        <v>1.33</v>
      </c>
      <c r="AD46" s="153" t="s">
        <v>105</v>
      </c>
      <c r="AE46" s="156">
        <f>'5'!Y46</f>
        <v>1.33</v>
      </c>
      <c r="AF46" s="995" t="s">
        <v>106</v>
      </c>
      <c r="AG46" s="1034">
        <f>SUM('5'!Y47,'5'!AA47,'5'!AC47,'5'!AE47)</f>
        <v>0</v>
      </c>
      <c r="AI46" s="144" t="s">
        <v>101</v>
      </c>
      <c r="AJ46" s="145"/>
      <c r="AK46" s="144" t="s">
        <v>101</v>
      </c>
      <c r="AL46" s="145"/>
      <c r="AM46" s="144" t="s">
        <v>101</v>
      </c>
      <c r="AN46" s="145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'5'!Y45*'5'!Y46</f>
        <v>0</v>
      </c>
      <c r="Z47" s="149" t="s">
        <v>108</v>
      </c>
      <c r="AA47" s="150">
        <f>'5'!AA45*'5'!AA46</f>
        <v>0</v>
      </c>
      <c r="AB47" s="149" t="s">
        <v>108</v>
      </c>
      <c r="AC47" s="150">
        <f>'5'!AC45*'5'!AC46</f>
        <v>0</v>
      </c>
      <c r="AD47" s="149" t="s">
        <v>108</v>
      </c>
      <c r="AE47" s="150">
        <f>'5'!AE45*'5'!AE46</f>
        <v>0</v>
      </c>
      <c r="AF47" s="995"/>
      <c r="AG47" s="1034"/>
      <c r="AI47" s="149" t="s">
        <v>104</v>
      </c>
      <c r="AJ47" s="150">
        <f>'5'!AJ46*275.3</f>
        <v>0</v>
      </c>
      <c r="AK47" s="149" t="s">
        <v>104</v>
      </c>
      <c r="AL47" s="150">
        <f>262.4*'5'!AL46</f>
        <v>0</v>
      </c>
      <c r="AM47" s="149" t="s">
        <v>104</v>
      </c>
      <c r="AN47" s="150">
        <f>'5'!AN46*277.7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'5'!Y46</f>
        <v>1.33</v>
      </c>
      <c r="AK48" s="160" t="s">
        <v>105</v>
      </c>
      <c r="AL48" s="154">
        <f>'5'!AJ48</f>
        <v>1.33</v>
      </c>
      <c r="AM48" s="160" t="s">
        <v>105</v>
      </c>
      <c r="AN48" s="154">
        <f>'5'!AJ48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'5'!AJ47*'5'!AJ48</f>
        <v>0</v>
      </c>
      <c r="AK49" s="149" t="s">
        <v>108</v>
      </c>
      <c r="AL49" s="150">
        <f>'5'!AL47*'5'!AL48</f>
        <v>0</v>
      </c>
      <c r="AM49" s="149" t="s">
        <v>108</v>
      </c>
      <c r="AN49" s="150">
        <f>'5'!AN47*'5'!AN48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COUNTA('5'!O7:O18)</f>
        <v>12</v>
      </c>
      <c r="P51" s="974">
        <f>COUNTA('5'!W17:W28)</f>
        <v>0</v>
      </c>
      <c r="R51" s="992">
        <f>COUNTIF('5'!O7:O18,"&gt;=0,5")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SUM('5'!Y53,'5'!AA53,'5'!AC53,'5'!AE53)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'5'!Y52*275.3</f>
        <v>0</v>
      </c>
      <c r="Z53" s="149" t="s">
        <v>104</v>
      </c>
      <c r="AA53" s="150">
        <f>262.4*'5'!AA52</f>
        <v>0</v>
      </c>
      <c r="AB53" s="149" t="s">
        <v>104</v>
      </c>
      <c r="AC53" s="150">
        <f>'5'!AC52*277.7</f>
        <v>0</v>
      </c>
      <c r="AD53" s="149" t="s">
        <v>104</v>
      </c>
      <c r="AE53" s="165">
        <v>0</v>
      </c>
      <c r="AF53" s="989"/>
      <c r="AG53" s="1002"/>
      <c r="AI53" s="144" t="s">
        <v>101</v>
      </c>
      <c r="AJ53" s="166"/>
      <c r="AK53" s="144" t="s">
        <v>101</v>
      </c>
      <c r="AL53" s="164"/>
      <c r="AM53" s="144" t="s">
        <v>101</v>
      </c>
      <c r="AN53" s="164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'5'!AS7</f>
        <v>1.377</v>
      </c>
      <c r="Z54" s="153" t="s">
        <v>105</v>
      </c>
      <c r="AA54" s="155">
        <f>'5'!Y54</f>
        <v>1.377</v>
      </c>
      <c r="AB54" s="153" t="s">
        <v>105</v>
      </c>
      <c r="AC54" s="155">
        <f>'5'!Y54</f>
        <v>1.377</v>
      </c>
      <c r="AD54" s="153" t="s">
        <v>105</v>
      </c>
      <c r="AE54" s="156">
        <f>'5'!Y54</f>
        <v>1.377</v>
      </c>
      <c r="AF54" s="995" t="s">
        <v>106</v>
      </c>
      <c r="AG54" s="996">
        <f>SUM('5'!Y55,'5'!AA55,'5'!AC55,'5'!AE55)</f>
        <v>0</v>
      </c>
      <c r="AI54" s="149" t="s">
        <v>104</v>
      </c>
      <c r="AJ54" s="150">
        <f>'5'!AJ53*275.3</f>
        <v>0</v>
      </c>
      <c r="AK54" s="149" t="s">
        <v>104</v>
      </c>
      <c r="AL54" s="150">
        <f>262.4*'5'!AL53</f>
        <v>0</v>
      </c>
      <c r="AM54" s="149" t="s">
        <v>104</v>
      </c>
      <c r="AN54" s="167">
        <f>'5'!AN53*277.7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'5'!Y53*'5'!Y54</f>
        <v>0</v>
      </c>
      <c r="Z55" s="149" t="s">
        <v>108</v>
      </c>
      <c r="AA55" s="150">
        <f>'5'!AA53*'5'!AA54</f>
        <v>0</v>
      </c>
      <c r="AB55" s="149" t="s">
        <v>108</v>
      </c>
      <c r="AC55" s="150">
        <f>'5'!AC53*'5'!AC54</f>
        <v>0</v>
      </c>
      <c r="AD55" s="149" t="s">
        <v>108</v>
      </c>
      <c r="AE55" s="150">
        <f>'5'!AE53*'5'!AE54</f>
        <v>0</v>
      </c>
      <c r="AF55" s="995"/>
      <c r="AG55" s="996"/>
      <c r="AI55" s="153" t="s">
        <v>105</v>
      </c>
      <c r="AJ55" s="154">
        <f>'5'!Y54</f>
        <v>1.377</v>
      </c>
      <c r="AK55" s="153" t="s">
        <v>105</v>
      </c>
      <c r="AL55" s="154">
        <f>'5'!AJ55</f>
        <v>1.377</v>
      </c>
      <c r="AM55" s="153" t="s">
        <v>105</v>
      </c>
      <c r="AN55" s="154">
        <f>'5'!AJ55</f>
        <v>1.377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'5'!AJ54*'5'!AJ55</f>
        <v>0</v>
      </c>
      <c r="AK56" s="149" t="s">
        <v>108</v>
      </c>
      <c r="AL56" s="150">
        <f>'5'!AL54*'5'!AL55</f>
        <v>0</v>
      </c>
      <c r="AM56" s="149" t="s">
        <v>108</v>
      </c>
      <c r="AN56" s="150">
        <f>'5'!AN54*'5'!AN55</f>
        <v>0</v>
      </c>
      <c r="AO56" s="994"/>
      <c r="AP56" s="994"/>
      <c r="AQ56" s="994"/>
      <c r="AR56" s="994"/>
    </row>
    <row r="57" spans="15:44" ht="15.75" customHeight="1">
      <c r="O57" s="1003">
        <f>COUNTA('5'!N7:N18)</f>
        <v>12</v>
      </c>
      <c r="P57" s="1003"/>
      <c r="R57" s="1004">
        <f>COUNTIF('5'!N7:N18,"&gt;=6")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'5'!AJ56+'5'!AL56+'5'!AN56</f>
        <v>0</v>
      </c>
      <c r="AM61" s="1011"/>
      <c r="AN61" s="1010" t="s">
        <v>121</v>
      </c>
      <c r="AO61" s="1010"/>
      <c r="AP61" s="1010"/>
      <c r="AQ61" s="1011">
        <f>'5'!AJ49+'5'!AL49+'5'!AN49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'5'!AA32</f>
        <v>30004.800000000003</v>
      </c>
      <c r="AR62" s="1016"/>
    </row>
    <row r="63" spans="15:44" ht="15" customHeight="1">
      <c r="X63" s="170" t="s">
        <v>124</v>
      </c>
      <c r="Y63" s="171"/>
      <c r="Z63" s="1013"/>
      <c r="AA63" s="1013"/>
      <c r="AB63" s="172" t="s">
        <v>124</v>
      </c>
      <c r="AC63" s="173"/>
      <c r="AE63" s="49"/>
      <c r="AI63" s="1010" t="s">
        <v>125</v>
      </c>
      <c r="AJ63" s="1010"/>
      <c r="AK63" s="1010"/>
      <c r="AL63" s="1011">
        <f>'5'!AL61-'5'!AL62</f>
        <v>0</v>
      </c>
      <c r="AM63" s="1011"/>
      <c r="AN63" s="1010" t="s">
        <v>125</v>
      </c>
      <c r="AO63" s="1010"/>
      <c r="AP63" s="1010"/>
      <c r="AQ63" s="1011">
        <f>'5'!AQ61-'5'!AQ62</f>
        <v>-30004.800000000003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>
        <f>'4'!$Y$68</f>
        <v>-8806.3136666666651</v>
      </c>
      <c r="Z65" s="1013"/>
      <c r="AA65" s="1013"/>
      <c r="AB65" s="176" t="s">
        <v>126</v>
      </c>
      <c r="AC65" s="218">
        <f>'4'!$AC$68</f>
        <v>-510.75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178">
        <f>SUM('5'!AK38,'5'!AP38)</f>
        <v>2270</v>
      </c>
      <c r="Z67" s="1013"/>
      <c r="AA67" s="1013"/>
      <c r="AB67" s="172" t="s">
        <v>124</v>
      </c>
      <c r="AC67" s="169">
        <f>SUM('5'!AM38,'5'!AR38)</f>
        <v>0</v>
      </c>
    </row>
    <row r="68" spans="24:29" ht="15.75" customHeight="1">
      <c r="X68" s="170" t="s">
        <v>128</v>
      </c>
      <c r="Y68" s="179">
        <f>SUM('5'!Y63,'5'!Y65)-'5'!Y67</f>
        <v>-11076.313666666665</v>
      </c>
      <c r="Z68" s="1013"/>
      <c r="AA68" s="1013"/>
      <c r="AB68" s="172" t="s">
        <v>128</v>
      </c>
      <c r="AC68" s="180">
        <f>SUM('5'!AC63,'5'!AC65)-'5'!AC67</f>
        <v>-510.75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conditionalFormatting sqref="O19">
    <cfRule type="cellIs" priority="4" operator="lessThan">
      <formula>2.5</formula>
    </cfRule>
    <cfRule type="cellIs" priority="5" operator="greaterThan">
      <formula>3</formula>
    </cfRule>
    <cfRule type="cellIs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3" zoomScaleNormal="100" workbookViewId="0">
      <selection activeCell="AM22" sqref="AM22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4">
        <v>2770</v>
      </c>
      <c r="Z6" s="182">
        <v>940</v>
      </c>
      <c r="AA6" s="15">
        <v>1</v>
      </c>
      <c r="AB6" s="58">
        <f>IF('6'!AA11=1,(('6'!Z11*'6'!$AS$6*'6'!$AT$6)/('6'!Y11*0.0036)),IF('6'!AA11=2,(('6'!Z11*'6'!$AS$7*'6'!$AT$7)/('6'!Y11*0.0036))))</f>
        <v>63.557426386855376</v>
      </c>
      <c r="AC6" s="58"/>
      <c r="AD6" s="18">
        <f>(('6'!AC6*'6'!$Q$10*1000000))/('6'!Y6*3600)</f>
        <v>0</v>
      </c>
      <c r="AE6" s="19"/>
      <c r="AF6" s="184">
        <f>('6'!AE6/24)*0.454</f>
        <v>0</v>
      </c>
      <c r="AG6" s="19"/>
      <c r="AH6" s="184">
        <f>('6'!AG6/24)*0.454</f>
        <v>0</v>
      </c>
      <c r="AI6" s="19">
        <v>5000</v>
      </c>
      <c r="AJ6" s="184">
        <f>('6'!AI6/24)*0.454</f>
        <v>94.583333333333343</v>
      </c>
      <c r="AK6" s="23"/>
      <c r="AL6" s="185">
        <f>('6'!AK6/24)*0.454</f>
        <v>0</v>
      </c>
      <c r="AM6" s="21"/>
      <c r="AN6" s="185">
        <f>('6'!AM6/24)*0.454</f>
        <v>0</v>
      </c>
      <c r="AO6" s="23"/>
      <c r="AP6" s="185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2">
        <v>60</v>
      </c>
      <c r="C7" s="186">
        <v>10</v>
      </c>
      <c r="D7" s="186">
        <v>12.5</v>
      </c>
      <c r="E7" s="186">
        <v>2.5</v>
      </c>
      <c r="F7" s="186">
        <v>9</v>
      </c>
      <c r="G7" s="186">
        <v>1.3</v>
      </c>
      <c r="H7" s="186">
        <v>1.6</v>
      </c>
      <c r="I7" s="186">
        <v>0.4</v>
      </c>
      <c r="J7" s="186">
        <v>0.4</v>
      </c>
      <c r="K7" s="186">
        <v>7.3</v>
      </c>
      <c r="L7" s="186">
        <v>6.7</v>
      </c>
      <c r="M7" s="186">
        <v>6.7</v>
      </c>
      <c r="N7" s="186">
        <v>6.4</v>
      </c>
      <c r="O7" s="186">
        <v>3</v>
      </c>
      <c r="P7" s="186"/>
      <c r="Q7" s="188"/>
      <c r="R7" s="37">
        <f>'5'!$Z$29</f>
        <v>940</v>
      </c>
      <c r="S7" s="187">
        <f>'5'!$AB$29</f>
        <v>62.25847575793793</v>
      </c>
      <c r="T7" s="37">
        <f>'5'!$Y$29</f>
        <v>2789</v>
      </c>
      <c r="U7" s="33" t="str">
        <f>IF('6'!AA6=1,'6'!AR6,'6'!AR7)</f>
        <v>S.A.L</v>
      </c>
      <c r="V7" s="1022">
        <f>ESCALA!$B$7</f>
        <v>0</v>
      </c>
      <c r="W7" s="1022"/>
      <c r="X7" s="13">
        <v>8.3333333333333301E-2</v>
      </c>
      <c r="Y7" s="54">
        <v>2743</v>
      </c>
      <c r="Z7" s="182">
        <v>940</v>
      </c>
      <c r="AA7" s="15">
        <v>1</v>
      </c>
      <c r="AB7" s="58">
        <f>IF('6'!AA12=1,(('6'!Z12*'6'!$AS$6*'6'!$AT$6)/('6'!Y12*0.0036)),IF('6'!AA12=2,(('6'!Z12*'6'!$AS$7*'6'!$AT$7)/('6'!Y12*0.0036))))</f>
        <v>63.371857258718585</v>
      </c>
      <c r="AC7" s="58"/>
      <c r="AD7" s="18">
        <f>(('6'!AC7*'6'!$Q$10*1000000))/('6'!Y7*3600)</f>
        <v>0</v>
      </c>
      <c r="AE7" s="19"/>
      <c r="AF7" s="184">
        <f>('6'!AE7/24)*0.454</f>
        <v>0</v>
      </c>
      <c r="AG7" s="19"/>
      <c r="AH7" s="184">
        <f>('6'!AG7/24)*0.454</f>
        <v>0</v>
      </c>
      <c r="AI7" s="19">
        <v>5000</v>
      </c>
      <c r="AJ7" s="184">
        <f>('6'!AI7/24)*0.454</f>
        <v>94.583333333333343</v>
      </c>
      <c r="AK7" s="23"/>
      <c r="AL7" s="185">
        <f>('6'!AK7/24)*0.454</f>
        <v>0</v>
      </c>
      <c r="AM7" s="21"/>
      <c r="AN7" s="185">
        <f>('6'!AM7/24)*0.454</f>
        <v>0</v>
      </c>
      <c r="AO7" s="23"/>
      <c r="AP7" s="185">
        <f>('6'!AO7/24)*0.454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2">
        <v>60</v>
      </c>
      <c r="C8" s="186">
        <v>10</v>
      </c>
      <c r="D8" s="186">
        <v>10</v>
      </c>
      <c r="E8" s="186">
        <v>2.5</v>
      </c>
      <c r="F8" s="186">
        <v>8.8000000000000007</v>
      </c>
      <c r="G8" s="186">
        <v>1.3</v>
      </c>
      <c r="H8" s="186">
        <v>1.5</v>
      </c>
      <c r="I8" s="186">
        <v>0.4</v>
      </c>
      <c r="J8" s="186">
        <v>0.4</v>
      </c>
      <c r="K8" s="186">
        <v>7.3</v>
      </c>
      <c r="L8" s="186">
        <v>6.7</v>
      </c>
      <c r="M8" s="186">
        <v>6.7</v>
      </c>
      <c r="N8" s="186">
        <v>6.4</v>
      </c>
      <c r="O8" s="186">
        <v>3</v>
      </c>
      <c r="P8" s="186"/>
      <c r="Q8" s="188"/>
      <c r="R8" s="35">
        <f>'6'!Z7</f>
        <v>940</v>
      </c>
      <c r="S8" s="36">
        <f>'6'!AB7</f>
        <v>63.371857258718585</v>
      </c>
      <c r="T8" s="37">
        <f>'6'!Y7</f>
        <v>2743</v>
      </c>
      <c r="U8" s="33" t="str">
        <f>IF('6'!AA7=1,'6'!AR6,'6'!AR7)</f>
        <v>S.A.L</v>
      </c>
      <c r="V8" s="1022"/>
      <c r="W8" s="1022"/>
      <c r="X8" s="13">
        <v>0.125</v>
      </c>
      <c r="Y8" s="54">
        <v>2748</v>
      </c>
      <c r="Z8" s="182">
        <v>940</v>
      </c>
      <c r="AA8" s="15">
        <v>1</v>
      </c>
      <c r="AB8" s="58">
        <f>IF('6'!AA13=1,(('6'!Z13*'6'!$AS$6*'6'!$AT$6)/('6'!Y13*0.0036)),IF('6'!AA13=2,(('6'!Z13*'6'!$AS$7*'6'!$AT$7)/('6'!Y13*0.0036))))</f>
        <v>63.603988603988611</v>
      </c>
      <c r="AC8" s="58"/>
      <c r="AD8" s="18">
        <f>(('6'!AC8*'6'!$Q$10*1000000))/('6'!Y8*3600)</f>
        <v>0</v>
      </c>
      <c r="AE8" s="19"/>
      <c r="AF8" s="184">
        <f>('6'!AE8/24)*0.454</f>
        <v>0</v>
      </c>
      <c r="AG8" s="19"/>
      <c r="AH8" s="184">
        <f>('6'!AG8/24)*0.454</f>
        <v>0</v>
      </c>
      <c r="AI8" s="19">
        <v>5000</v>
      </c>
      <c r="AJ8" s="184">
        <f>('6'!AI8/24)*0.454</f>
        <v>94.583333333333343</v>
      </c>
      <c r="AK8" s="23"/>
      <c r="AL8" s="185">
        <f>('6'!AK8/24)*0.454</f>
        <v>0</v>
      </c>
      <c r="AM8" s="21"/>
      <c r="AN8" s="185">
        <f>('6'!AM8/24)*0.454</f>
        <v>0</v>
      </c>
      <c r="AO8" s="23"/>
      <c r="AP8" s="185">
        <f>('6'!AO8/24)*0.454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2">
        <v>60</v>
      </c>
      <c r="C9" s="186">
        <v>10</v>
      </c>
      <c r="D9" s="186">
        <v>10</v>
      </c>
      <c r="E9" s="186">
        <v>2.5</v>
      </c>
      <c r="F9" s="186">
        <v>6.5</v>
      </c>
      <c r="G9" s="186">
        <v>1.2</v>
      </c>
      <c r="H9" s="186">
        <v>1.4</v>
      </c>
      <c r="I9" s="186">
        <v>0.4</v>
      </c>
      <c r="J9" s="186">
        <v>0.4</v>
      </c>
      <c r="K9" s="186">
        <v>7.3</v>
      </c>
      <c r="L9" s="186">
        <v>6.7</v>
      </c>
      <c r="M9" s="186">
        <v>6.7</v>
      </c>
      <c r="N9" s="186">
        <v>6.4</v>
      </c>
      <c r="O9" s="186">
        <v>3</v>
      </c>
      <c r="P9" s="186"/>
      <c r="Q9" s="188"/>
      <c r="R9" s="37">
        <f>'6'!Z9</f>
        <v>940</v>
      </c>
      <c r="S9" s="36">
        <f>'6'!AB9</f>
        <v>63.767495001428166</v>
      </c>
      <c r="T9" s="37">
        <f>'6'!Y9</f>
        <v>2745</v>
      </c>
      <c r="U9" s="33" t="str">
        <f>IF('6'!AA9=1,'6'!AR6,'6'!AR7)</f>
        <v>S.A.L</v>
      </c>
      <c r="V9" s="1022"/>
      <c r="W9" s="1022"/>
      <c r="X9" s="13">
        <v>0.16666666666666699</v>
      </c>
      <c r="Y9" s="54">
        <v>2745</v>
      </c>
      <c r="Z9" s="182">
        <v>940</v>
      </c>
      <c r="AA9" s="15">
        <v>1</v>
      </c>
      <c r="AB9" s="58">
        <f>IF('6'!AA14=1,(('6'!Z14*'6'!$AS$6*'6'!$AT$6)/('6'!Y14*0.0036)),IF('6'!AA14=2,(('6'!Z14*'6'!$AS$7*'6'!$AT$7)/('6'!Y14*0.0036))))</f>
        <v>63.767495001428166</v>
      </c>
      <c r="AC9" s="58"/>
      <c r="AD9" s="18">
        <f>(('6'!AC9*'6'!$Q$10*1000000))/('6'!Y9*3600)</f>
        <v>0</v>
      </c>
      <c r="AE9" s="19"/>
      <c r="AF9" s="184">
        <f>('6'!AE9/24)*0.454</f>
        <v>0</v>
      </c>
      <c r="AG9" s="19"/>
      <c r="AH9" s="184">
        <f>('6'!AG9/24)*0.454</f>
        <v>0</v>
      </c>
      <c r="AI9" s="19">
        <v>5000</v>
      </c>
      <c r="AJ9" s="184">
        <f>('6'!AI9/24)*0.454</f>
        <v>94.583333333333343</v>
      </c>
      <c r="AK9" s="23"/>
      <c r="AL9" s="185">
        <f>('6'!AK9/24)*0.454</f>
        <v>0</v>
      </c>
      <c r="AM9" s="21"/>
      <c r="AN9" s="185">
        <f>('6'!AM9/24)*0.454</f>
        <v>0</v>
      </c>
      <c r="AO9" s="23"/>
      <c r="AP9" s="185">
        <f>('6'!AO9/24)*0.454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2">
        <v>60</v>
      </c>
      <c r="C10" s="186">
        <v>10</v>
      </c>
      <c r="D10" s="186">
        <v>10</v>
      </c>
      <c r="E10" s="186">
        <v>2.5</v>
      </c>
      <c r="F10" s="186">
        <v>8.3000000000000007</v>
      </c>
      <c r="G10" s="186">
        <v>1.2</v>
      </c>
      <c r="H10" s="186">
        <v>1.4</v>
      </c>
      <c r="I10" s="186">
        <v>0.4</v>
      </c>
      <c r="J10" s="186">
        <v>0.4</v>
      </c>
      <c r="K10" s="186">
        <v>7.3</v>
      </c>
      <c r="L10" s="186">
        <v>6.7</v>
      </c>
      <c r="M10" s="186">
        <v>6.7</v>
      </c>
      <c r="N10" s="186">
        <v>6.4</v>
      </c>
      <c r="O10" s="186">
        <v>3</v>
      </c>
      <c r="P10" s="186"/>
      <c r="Q10" s="188"/>
      <c r="R10" s="37">
        <f>'6'!Z11</f>
        <v>940</v>
      </c>
      <c r="S10" s="36">
        <f>'6'!AB11</f>
        <v>63.557426386855376</v>
      </c>
      <c r="T10" s="37">
        <f>'6'!Y11</f>
        <v>2732</v>
      </c>
      <c r="U10" s="33" t="str">
        <f>IF('6'!AA11=1,'6'!AR6,'6'!AR7)</f>
        <v>S.A.L</v>
      </c>
      <c r="V10" s="1022"/>
      <c r="W10" s="1022"/>
      <c r="X10" s="13">
        <v>0.20833333333333301</v>
      </c>
      <c r="Y10" s="54">
        <v>2772</v>
      </c>
      <c r="Z10" s="182">
        <v>940</v>
      </c>
      <c r="AA10" s="15">
        <v>1</v>
      </c>
      <c r="AB10" s="58">
        <f>IF('6'!AA15=1,(('6'!Z15*'6'!$AS$6*'6'!$AT$6)/('6'!Y15*0.0036)),IF('6'!AA15=2,(('6'!Z15*'6'!$AS$7*'6'!$AT$7)/('6'!Y15*0.0036))))</f>
        <v>64.168103802250144</v>
      </c>
      <c r="AC10" s="58"/>
      <c r="AD10" s="18">
        <f>(('6'!AC10*'6'!$Q$10*1000000))/('6'!Y10*3600)</f>
        <v>0</v>
      </c>
      <c r="AE10" s="19"/>
      <c r="AF10" s="184">
        <f>('6'!AE10/24)*0.454</f>
        <v>0</v>
      </c>
      <c r="AG10" s="19"/>
      <c r="AH10" s="184">
        <f>('6'!AG10/24)*0.454</f>
        <v>0</v>
      </c>
      <c r="AI10" s="19">
        <v>5000</v>
      </c>
      <c r="AJ10" s="184">
        <f>('6'!AI10/24)*0.454</f>
        <v>94.583333333333343</v>
      </c>
      <c r="AK10" s="23"/>
      <c r="AL10" s="185">
        <f>('6'!AK10/24)*0.454</f>
        <v>0</v>
      </c>
      <c r="AM10" s="21"/>
      <c r="AN10" s="185">
        <f>('6'!AM10/24)*0.454</f>
        <v>0</v>
      </c>
      <c r="AO10" s="23"/>
      <c r="AP10" s="185">
        <f>('6'!AO10/24)*0.454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2">
        <v>60</v>
      </c>
      <c r="C11" s="186">
        <v>7.5</v>
      </c>
      <c r="D11" s="186">
        <v>10</v>
      </c>
      <c r="E11" s="186">
        <v>2.5</v>
      </c>
      <c r="F11" s="186">
        <v>8.5</v>
      </c>
      <c r="G11" s="186">
        <v>1.2</v>
      </c>
      <c r="H11" s="186">
        <v>1.5</v>
      </c>
      <c r="I11" s="186">
        <v>0.3</v>
      </c>
      <c r="J11" s="186">
        <v>0.4</v>
      </c>
      <c r="K11" s="186">
        <v>7.3</v>
      </c>
      <c r="L11" s="186">
        <v>6.6</v>
      </c>
      <c r="M11" s="186">
        <v>6.7</v>
      </c>
      <c r="N11" s="186">
        <v>6.5</v>
      </c>
      <c r="O11" s="186">
        <v>2.5</v>
      </c>
      <c r="P11" s="186">
        <v>1.4</v>
      </c>
      <c r="Q11" s="188">
        <v>0.4</v>
      </c>
      <c r="R11" s="37">
        <f>'6'!Z13</f>
        <v>940</v>
      </c>
      <c r="S11" s="36">
        <f>'6'!AB13</f>
        <v>63.603988603988611</v>
      </c>
      <c r="T11" s="37">
        <f>'6'!Y13</f>
        <v>2730</v>
      </c>
      <c r="U11" s="33" t="str">
        <f>IF('6'!AA13=1,'6'!AR6,'6'!AR7)</f>
        <v>S.A.L</v>
      </c>
      <c r="V11" s="1022"/>
      <c r="W11" s="1022"/>
      <c r="X11" s="13">
        <v>0.25</v>
      </c>
      <c r="Y11" s="54">
        <v>2732</v>
      </c>
      <c r="Z11" s="182">
        <v>940</v>
      </c>
      <c r="AA11" s="15">
        <v>1</v>
      </c>
      <c r="AB11" s="58">
        <f>IF('6'!AA11=1,(('6'!Z11*'6'!$AS$6*'6'!$AT$6)/('6'!Y11*0.0036)),IF('6'!AA11=2,(('6'!Z11*'6'!$AS$7*'6'!$AT$7)/('6'!Y11*0.0036))))</f>
        <v>63.557426386855376</v>
      </c>
      <c r="AC11" s="58"/>
      <c r="AD11" s="18">
        <f>(('6'!AC11*'6'!$Q$10*1000000))/('6'!Y11*3600)</f>
        <v>0</v>
      </c>
      <c r="AE11" s="19"/>
      <c r="AF11" s="184">
        <f>('6'!AE11/24)*0.454</f>
        <v>0</v>
      </c>
      <c r="AG11" s="19"/>
      <c r="AH11" s="184">
        <f>('6'!AG11/24)*0.454</f>
        <v>0</v>
      </c>
      <c r="AI11" s="19">
        <v>5000</v>
      </c>
      <c r="AJ11" s="184">
        <f>('6'!AI11/24)*0.454</f>
        <v>94.583333333333343</v>
      </c>
      <c r="AK11" s="23"/>
      <c r="AL11" s="185">
        <f>('6'!AK11/24)*0.454</f>
        <v>0</v>
      </c>
      <c r="AM11" s="21"/>
      <c r="AN11" s="185">
        <f>('6'!AM11/24)*0.454</f>
        <v>0</v>
      </c>
      <c r="AO11" s="23"/>
      <c r="AP11" s="185">
        <f>('6'!AO11/24)*0.454</f>
        <v>0</v>
      </c>
    </row>
    <row r="12" spans="1:47" ht="18.75" customHeight="1">
      <c r="A12" s="28">
        <v>0.41666666666666702</v>
      </c>
      <c r="B12" s="182">
        <v>60</v>
      </c>
      <c r="C12" s="186">
        <v>7.5</v>
      </c>
      <c r="D12" s="186">
        <v>10</v>
      </c>
      <c r="E12" s="186">
        <v>2.5</v>
      </c>
      <c r="F12" s="186">
        <v>9.1999999999999993</v>
      </c>
      <c r="G12" s="186">
        <v>1.3</v>
      </c>
      <c r="H12" s="186">
        <v>1.6</v>
      </c>
      <c r="I12" s="186">
        <v>0.4</v>
      </c>
      <c r="J12" s="186">
        <v>0.3</v>
      </c>
      <c r="K12" s="186">
        <v>7.3</v>
      </c>
      <c r="L12" s="186">
        <v>6.6</v>
      </c>
      <c r="M12" s="186">
        <v>6.6</v>
      </c>
      <c r="N12" s="186">
        <v>6.5</v>
      </c>
      <c r="O12" s="186">
        <v>2.5</v>
      </c>
      <c r="P12" s="186">
        <v>1.6</v>
      </c>
      <c r="Q12" s="188">
        <v>2.2000000000000002</v>
      </c>
      <c r="R12" s="37">
        <f>'6'!Z15</f>
        <v>940</v>
      </c>
      <c r="S12" s="36">
        <f>'6'!AB15</f>
        <v>64.168103802250144</v>
      </c>
      <c r="T12" s="37">
        <f>'6'!Y15</f>
        <v>2706</v>
      </c>
      <c r="U12" s="33" t="str">
        <f>IF('6'!AA15=1,'6'!AR6,'6'!AR7)</f>
        <v>S.A.L</v>
      </c>
      <c r="V12" s="944">
        <f>ESCALA!$B$8</f>
        <v>0</v>
      </c>
      <c r="W12" s="944"/>
      <c r="X12" s="13">
        <v>0.29166666666666702</v>
      </c>
      <c r="Y12" s="54">
        <v>2740</v>
      </c>
      <c r="Z12" s="182">
        <v>940</v>
      </c>
      <c r="AA12" s="15">
        <v>1</v>
      </c>
      <c r="AB12" s="58">
        <f>IF('6'!AA12=1,(('6'!Z12*'6'!$AS$6*'6'!$AT$6)/('6'!Y12*0.0036)),IF('6'!AA12=2,(('6'!Z12*'6'!$AS$7*'6'!$AT$7)/('6'!Y12*0.0036))))</f>
        <v>63.371857258718585</v>
      </c>
      <c r="AD12" s="18">
        <f>(('6'!AC15*'6'!$Q$10*1000000))/('6'!Y12*3600)</f>
        <v>0</v>
      </c>
      <c r="AE12" s="19"/>
      <c r="AF12" s="184">
        <f>('6'!AE12/24)*0.454</f>
        <v>0</v>
      </c>
      <c r="AG12" s="19"/>
      <c r="AH12" s="184">
        <f>('6'!AG12/24)*0.454</f>
        <v>0</v>
      </c>
      <c r="AI12" s="19">
        <v>5000</v>
      </c>
      <c r="AJ12" s="184">
        <f>('6'!AI12/24)*0.454</f>
        <v>94.583333333333343</v>
      </c>
      <c r="AK12" s="23"/>
      <c r="AL12" s="185">
        <f>('6'!AK12/24)*0.454</f>
        <v>0</v>
      </c>
      <c r="AM12" s="21"/>
      <c r="AN12" s="185">
        <f>('6'!AM12/24)*0.454</f>
        <v>0</v>
      </c>
      <c r="AO12" s="23"/>
      <c r="AP12" s="185">
        <f>('6'!AO12/24)*0.454</f>
        <v>0</v>
      </c>
    </row>
    <row r="13" spans="1:47" ht="18.75" customHeight="1">
      <c r="A13" s="28">
        <v>0.5</v>
      </c>
      <c r="B13" s="182">
        <v>60</v>
      </c>
      <c r="C13" s="186">
        <v>7.5</v>
      </c>
      <c r="D13" s="186">
        <v>10</v>
      </c>
      <c r="E13" s="186">
        <v>2.5</v>
      </c>
      <c r="F13" s="186">
        <v>8.6999999999999993</v>
      </c>
      <c r="G13" s="186">
        <v>1.4</v>
      </c>
      <c r="H13" s="186">
        <v>1.7</v>
      </c>
      <c r="I13" s="186">
        <v>0.3</v>
      </c>
      <c r="J13" s="186">
        <v>0.3</v>
      </c>
      <c r="K13" s="186">
        <v>7.3</v>
      </c>
      <c r="L13" s="186">
        <v>6.6</v>
      </c>
      <c r="M13" s="186">
        <v>6.6</v>
      </c>
      <c r="N13" s="186">
        <v>6.5</v>
      </c>
      <c r="O13" s="186">
        <v>2.5</v>
      </c>
      <c r="P13" s="186">
        <v>2.2000000000000002</v>
      </c>
      <c r="Q13" s="188">
        <v>1.7</v>
      </c>
      <c r="R13" s="37">
        <f>'6'!Z17</f>
        <v>940</v>
      </c>
      <c r="S13" s="36">
        <f>'6'!AB17</f>
        <v>61.2698972790716</v>
      </c>
      <c r="T13" s="37">
        <f>'6'!Y17</f>
        <v>2834</v>
      </c>
      <c r="U13" s="33" t="str">
        <f>IF('6'!AA17=1,'6'!AR6,'6'!AR7)</f>
        <v>S.A.L</v>
      </c>
      <c r="V13" s="944"/>
      <c r="W13" s="944"/>
      <c r="X13" s="13">
        <v>0.33333333333333298</v>
      </c>
      <c r="Y13" s="54">
        <v>2730</v>
      </c>
      <c r="Z13" s="182">
        <v>940</v>
      </c>
      <c r="AA13" s="15">
        <v>1</v>
      </c>
      <c r="AB13" s="58">
        <f>IF('6'!AA13=1,(('6'!Z13*'6'!$AS$6*'6'!$AT$6)/('6'!Y13*0.0036)),IF('6'!AA13=2,(('6'!Z13*'6'!$AS$7*'6'!$AT$7)/('6'!Y13*0.0036))))</f>
        <v>63.603988603988611</v>
      </c>
      <c r="AD13" s="18">
        <f>(('6'!AC16*'6'!$Q$10*1000000))/('6'!Y13*3600)</f>
        <v>0</v>
      </c>
      <c r="AE13" s="19"/>
      <c r="AF13" s="184">
        <f>('6'!AE13/24)*0.454</f>
        <v>0</v>
      </c>
      <c r="AG13" s="19"/>
      <c r="AH13" s="184">
        <f>('6'!AG13/24)*0.454</f>
        <v>0</v>
      </c>
      <c r="AI13" s="19">
        <v>2000</v>
      </c>
      <c r="AJ13" s="184">
        <f>('6'!AI13/24)*0.454</f>
        <v>37.833333333333336</v>
      </c>
      <c r="AK13" s="23">
        <v>1500</v>
      </c>
      <c r="AL13" s="185">
        <f>('6'!AK13/24)*0.454</f>
        <v>28.375</v>
      </c>
      <c r="AM13" s="21">
        <v>1500</v>
      </c>
      <c r="AN13" s="185">
        <f>('6'!AM13/24)*0.454</f>
        <v>28.375</v>
      </c>
      <c r="AO13" s="23"/>
      <c r="AP13" s="185">
        <f>('6'!AO13/24)*0.454</f>
        <v>0</v>
      </c>
    </row>
    <row r="14" spans="1:47" ht="18.75" customHeight="1">
      <c r="A14" s="28">
        <v>0.58333333333333304</v>
      </c>
      <c r="B14" s="182">
        <v>60</v>
      </c>
      <c r="C14" s="186">
        <v>10</v>
      </c>
      <c r="D14" s="186">
        <v>12.5</v>
      </c>
      <c r="E14" s="186">
        <v>2.5</v>
      </c>
      <c r="F14" s="186">
        <v>8.3000000000000007</v>
      </c>
      <c r="G14" s="186">
        <v>1.5</v>
      </c>
      <c r="H14" s="186">
        <v>1.8</v>
      </c>
      <c r="I14" s="186">
        <v>0.3</v>
      </c>
      <c r="J14" s="186">
        <v>0.3</v>
      </c>
      <c r="K14" s="186">
        <v>7.3</v>
      </c>
      <c r="L14" s="186">
        <v>6.6</v>
      </c>
      <c r="M14" s="186">
        <v>6.6</v>
      </c>
      <c r="N14" s="186">
        <v>6.5</v>
      </c>
      <c r="O14" s="186">
        <v>2.5</v>
      </c>
      <c r="P14" s="186">
        <v>2.5</v>
      </c>
      <c r="Q14" s="188">
        <v>1.2</v>
      </c>
      <c r="R14" s="37">
        <f>'6'!Z19</f>
        <v>940</v>
      </c>
      <c r="S14" s="36">
        <f>'6'!AB19</f>
        <v>63.325634168084939</v>
      </c>
      <c r="T14" s="37">
        <f>'6'!Y19</f>
        <v>2742</v>
      </c>
      <c r="U14" s="33" t="str">
        <f>IF('6'!AA19=1,'6'!AR6,'6'!AR7)</f>
        <v>S.A.L</v>
      </c>
      <c r="V14" s="944"/>
      <c r="W14" s="944"/>
      <c r="X14" s="13">
        <v>0.375</v>
      </c>
      <c r="Y14" s="54">
        <v>2723</v>
      </c>
      <c r="Z14" s="182">
        <v>940</v>
      </c>
      <c r="AA14" s="15">
        <v>1</v>
      </c>
      <c r="AB14" s="58">
        <f>IF('6'!AA14=1,(('6'!Z14*'6'!$AS$6*'6'!$AT$6)/('6'!Y14*0.0036)),IF('6'!AA14=2,(('6'!Z14*'6'!$AS$7*'6'!$AT$7)/('6'!Y14*0.0036))))</f>
        <v>63.767495001428166</v>
      </c>
      <c r="AC14" s="58"/>
      <c r="AD14" s="18">
        <f>(('6'!AC14*'6'!$Q$10*1000000))/('6'!Y14*3600)</f>
        <v>0</v>
      </c>
      <c r="AE14" s="19"/>
      <c r="AF14" s="184">
        <f>('6'!AE14/24)*0.454</f>
        <v>0</v>
      </c>
      <c r="AG14" s="19"/>
      <c r="AH14" s="184">
        <f>('6'!AG14/24)*0.454</f>
        <v>0</v>
      </c>
      <c r="AI14" s="19">
        <v>2500</v>
      </c>
      <c r="AJ14" s="184">
        <f>('6'!AI14/24)*0.454</f>
        <v>47.291666666666671</v>
      </c>
      <c r="AK14" s="23">
        <v>1500</v>
      </c>
      <c r="AL14" s="185">
        <f>('6'!AK14/24)*0.454</f>
        <v>28.375</v>
      </c>
      <c r="AM14" s="21">
        <v>1500</v>
      </c>
      <c r="AN14" s="185">
        <f>('6'!AM14/24)*0.454</f>
        <v>28.375</v>
      </c>
      <c r="AO14" s="23"/>
      <c r="AP14" s="185">
        <f>('6'!AO14/24)*0.454</f>
        <v>0</v>
      </c>
    </row>
    <row r="15" spans="1:47" ht="18.75" customHeight="1">
      <c r="A15" s="28">
        <v>0.66666666666666696</v>
      </c>
      <c r="B15" s="182">
        <v>60</v>
      </c>
      <c r="C15" s="186">
        <v>10</v>
      </c>
      <c r="D15" s="186">
        <v>12.5</v>
      </c>
      <c r="E15" s="186">
        <v>2.5</v>
      </c>
      <c r="F15" s="186">
        <v>8.5</v>
      </c>
      <c r="G15" s="186">
        <v>1.2</v>
      </c>
      <c r="H15" s="186">
        <v>1.7</v>
      </c>
      <c r="I15" s="186">
        <v>0.3</v>
      </c>
      <c r="J15" s="186">
        <v>0.3</v>
      </c>
      <c r="K15" s="186">
        <v>7.3</v>
      </c>
      <c r="L15" s="186">
        <v>6.6</v>
      </c>
      <c r="M15" s="186">
        <v>6.6</v>
      </c>
      <c r="N15" s="186">
        <v>6.5</v>
      </c>
      <c r="O15" s="186">
        <v>2.5</v>
      </c>
      <c r="P15" s="186">
        <v>2.2000000000000002</v>
      </c>
      <c r="Q15" s="188">
        <v>1.4</v>
      </c>
      <c r="R15" s="37">
        <f>'6'!Z21</f>
        <v>940</v>
      </c>
      <c r="S15" s="36">
        <f>'6'!AB21</f>
        <v>61.793198892843023</v>
      </c>
      <c r="T15" s="37">
        <f>'6'!Y21</f>
        <v>2810</v>
      </c>
      <c r="U15" s="33" t="str">
        <f>IF('6'!AA21=1,'6'!AR6,'6'!AR7)</f>
        <v>S.A.L</v>
      </c>
      <c r="V15" s="944"/>
      <c r="W15" s="944"/>
      <c r="X15" s="13">
        <v>0.41666666666666702</v>
      </c>
      <c r="Y15" s="54">
        <v>2706</v>
      </c>
      <c r="Z15" s="182">
        <v>940</v>
      </c>
      <c r="AA15" s="15">
        <v>1</v>
      </c>
      <c r="AB15" s="58">
        <f>IF('6'!AA15=1,(('6'!Z15*'6'!$AS$6*'6'!$AT$6)/('6'!Y15*0.0036)),IF('6'!AA15=2,(('6'!Z15*'6'!$AS$7*'6'!$AT$7)/('6'!Y15*0.0036))))</f>
        <v>64.168103802250144</v>
      </c>
      <c r="AC15" s="58"/>
      <c r="AD15" s="18">
        <f>(('6'!AC15*'6'!$Q$10*1000000))/('6'!Y15*3600)</f>
        <v>0</v>
      </c>
      <c r="AE15" s="19"/>
      <c r="AF15" s="184">
        <f>('6'!AE15/24)*0.454</f>
        <v>0</v>
      </c>
      <c r="AG15" s="19"/>
      <c r="AH15" s="184">
        <f>('6'!AG15/24)*0.454</f>
        <v>0</v>
      </c>
      <c r="AI15" s="19">
        <v>2500</v>
      </c>
      <c r="AJ15" s="184">
        <f>('6'!AI15/24)*0.454</f>
        <v>47.291666666666671</v>
      </c>
      <c r="AK15" s="23">
        <v>1500</v>
      </c>
      <c r="AL15" s="185">
        <f>('6'!AK15/24)*0.454</f>
        <v>28.375</v>
      </c>
      <c r="AM15" s="21">
        <v>1500</v>
      </c>
      <c r="AN15" s="185">
        <f>('6'!AM15/24)*0.454</f>
        <v>28.375</v>
      </c>
      <c r="AO15" s="23"/>
      <c r="AP15" s="185">
        <f>('6'!AO15/24)*0.454</f>
        <v>0</v>
      </c>
    </row>
    <row r="16" spans="1:47" ht="18.75" customHeight="1">
      <c r="A16" s="28">
        <v>0.75</v>
      </c>
      <c r="B16" s="182">
        <v>60</v>
      </c>
      <c r="C16" s="186">
        <v>10</v>
      </c>
      <c r="D16" s="186">
        <v>12.5</v>
      </c>
      <c r="E16" s="186">
        <v>2.5</v>
      </c>
      <c r="F16" s="186">
        <v>8.5</v>
      </c>
      <c r="G16" s="186">
        <v>1.2</v>
      </c>
      <c r="H16" s="186">
        <v>1.7</v>
      </c>
      <c r="I16" s="186">
        <v>0.3</v>
      </c>
      <c r="J16" s="186">
        <v>0.3</v>
      </c>
      <c r="K16" s="186">
        <v>7.3</v>
      </c>
      <c r="L16" s="186">
        <v>6.6</v>
      </c>
      <c r="M16" s="186">
        <v>6.6</v>
      </c>
      <c r="N16" s="186">
        <v>6.5</v>
      </c>
      <c r="O16" s="186">
        <v>2.5</v>
      </c>
      <c r="P16" s="186"/>
      <c r="Q16" s="188"/>
      <c r="R16" s="37">
        <f>'6'!Z23</f>
        <v>940</v>
      </c>
      <c r="S16" s="36">
        <f>'6'!AB23</f>
        <v>62.392701720764961</v>
      </c>
      <c r="T16" s="37">
        <f>'6'!Y23</f>
        <v>2783</v>
      </c>
      <c r="U16" s="33" t="str">
        <f>IF('6'!AA23=1,'6'!AR6,'6'!AR7)</f>
        <v>S.A.L</v>
      </c>
      <c r="V16" s="944"/>
      <c r="W16" s="944"/>
      <c r="X16" s="13">
        <v>0.45833333333333298</v>
      </c>
      <c r="Y16" s="54">
        <v>2783</v>
      </c>
      <c r="Z16" s="182">
        <v>940</v>
      </c>
      <c r="AA16" s="15">
        <v>1</v>
      </c>
      <c r="AB16" s="58">
        <f>IF('6'!AA16=1,(('6'!Z16*'6'!$AS$6*'6'!$AT$6)/('6'!Y16*0.0036)),IF('6'!AA16=2,(('6'!Z16*'6'!$AS$7*'6'!$AT$7)/('6'!Y16*0.0036))))</f>
        <v>62.392701720764961</v>
      </c>
      <c r="AC16" s="58"/>
      <c r="AD16" s="18">
        <f>(('6'!AC16*'6'!$Q$10*1000000))/('6'!Y16*3600)</f>
        <v>0</v>
      </c>
      <c r="AE16" s="19"/>
      <c r="AF16" s="184">
        <f>('6'!AE16/24)*0.454</f>
        <v>0</v>
      </c>
      <c r="AG16" s="19"/>
      <c r="AH16" s="184">
        <f>('6'!AG16/24)*0.454</f>
        <v>0</v>
      </c>
      <c r="AI16" s="19">
        <v>2500</v>
      </c>
      <c r="AJ16" s="184">
        <f>('6'!AI16/24)*0.454</f>
        <v>47.291666666666671</v>
      </c>
      <c r="AK16" s="23">
        <v>1500</v>
      </c>
      <c r="AL16" s="185">
        <f>('6'!AK16/24)*0.454</f>
        <v>28.375</v>
      </c>
      <c r="AM16" s="21">
        <v>1500</v>
      </c>
      <c r="AN16" s="185">
        <f>('6'!AM16/24)*0.454</f>
        <v>28.375</v>
      </c>
      <c r="AO16" s="23"/>
      <c r="AP16" s="185">
        <f>('6'!AO16/24)*0.454</f>
        <v>0</v>
      </c>
    </row>
    <row r="17" spans="1:42" ht="18.75" customHeight="1">
      <c r="A17" s="28">
        <v>0.83333333333333304</v>
      </c>
      <c r="B17" s="182">
        <v>60</v>
      </c>
      <c r="C17" s="186">
        <v>10</v>
      </c>
      <c r="D17" s="186">
        <v>12.5</v>
      </c>
      <c r="E17" s="186">
        <v>2.5</v>
      </c>
      <c r="F17" s="186">
        <v>8.6</v>
      </c>
      <c r="G17" s="186">
        <v>1.3</v>
      </c>
      <c r="H17" s="186">
        <v>1.7</v>
      </c>
      <c r="I17" s="186">
        <v>0.4</v>
      </c>
      <c r="J17" s="186">
        <v>0.4</v>
      </c>
      <c r="K17" s="186">
        <v>7.3</v>
      </c>
      <c r="L17" s="186">
        <v>6.7</v>
      </c>
      <c r="M17" s="186">
        <v>6.7</v>
      </c>
      <c r="N17" s="186">
        <v>6.5</v>
      </c>
      <c r="O17" s="186">
        <v>2.8</v>
      </c>
      <c r="P17" s="186"/>
      <c r="Q17" s="188"/>
      <c r="R17" s="37">
        <f>'6'!Z25</f>
        <v>940</v>
      </c>
      <c r="S17" s="36">
        <f>'6'!AB25</f>
        <v>62.798874824191287</v>
      </c>
      <c r="T17" s="37">
        <f>'6'!Y25</f>
        <v>2765</v>
      </c>
      <c r="U17" s="33" t="str">
        <f>IF('6'!AA24=1,'6'!AR6,'6'!AR7)</f>
        <v>S.A.L</v>
      </c>
      <c r="V17" s="945">
        <f>ESCALA!$C$8</f>
        <v>0</v>
      </c>
      <c r="W17" s="945"/>
      <c r="X17" s="13">
        <v>0.5</v>
      </c>
      <c r="Y17" s="54">
        <v>2834</v>
      </c>
      <c r="Z17" s="182">
        <v>940</v>
      </c>
      <c r="AA17" s="15">
        <v>1</v>
      </c>
      <c r="AB17" s="58">
        <f>IF('6'!AA17=1,(('6'!Z17*'6'!$AS$6*'6'!$AT$6)/('6'!Y17*0.0036)),IF('6'!AA17=2,(('6'!Z17*'6'!$AS$7*'6'!$AT$7)/('6'!Y17*0.0036))))</f>
        <v>61.2698972790716</v>
      </c>
      <c r="AC17" s="58"/>
      <c r="AD17" s="18">
        <f>(('6'!AC17*'6'!$Q$10*1000000))/('6'!Y17*3600)</f>
        <v>0</v>
      </c>
      <c r="AE17" s="19"/>
      <c r="AF17" s="184">
        <f>('6'!AE17/24)*0.454</f>
        <v>0</v>
      </c>
      <c r="AG17" s="19"/>
      <c r="AH17" s="184">
        <f>('6'!AG17/24)*0.454</f>
        <v>0</v>
      </c>
      <c r="AI17" s="19">
        <v>2500</v>
      </c>
      <c r="AJ17" s="184">
        <f>('6'!AI17/24)*0.454</f>
        <v>47.291666666666671</v>
      </c>
      <c r="AK17" s="23">
        <v>1500</v>
      </c>
      <c r="AL17" s="185">
        <f>('6'!AK17/24)*0.454</f>
        <v>28.375</v>
      </c>
      <c r="AM17" s="21">
        <v>1500</v>
      </c>
      <c r="AN17" s="185">
        <f>('6'!AM17/24)*0.454</f>
        <v>28.375</v>
      </c>
      <c r="AO17" s="23"/>
      <c r="AP17" s="185">
        <f>('6'!AO17/24)*0.454</f>
        <v>0</v>
      </c>
    </row>
    <row r="18" spans="1:42" ht="19.5" customHeight="1">
      <c r="A18" s="28">
        <v>0.91666666666666696</v>
      </c>
      <c r="B18" s="182">
        <v>60</v>
      </c>
      <c r="C18" s="186">
        <v>10</v>
      </c>
      <c r="D18" s="186">
        <v>12.5</v>
      </c>
      <c r="E18" s="186">
        <v>2.5</v>
      </c>
      <c r="F18" s="186">
        <v>8.6999999999999993</v>
      </c>
      <c r="G18" s="186">
        <v>1.3</v>
      </c>
      <c r="H18" s="186">
        <v>1.7</v>
      </c>
      <c r="I18" s="186">
        <v>0.4</v>
      </c>
      <c r="J18" s="186">
        <v>0.4</v>
      </c>
      <c r="K18" s="186">
        <v>7.3</v>
      </c>
      <c r="L18" s="186">
        <v>6.7</v>
      </c>
      <c r="M18" s="186">
        <v>6.7</v>
      </c>
      <c r="N18" s="186">
        <v>6.5</v>
      </c>
      <c r="O18" s="186">
        <v>2.8</v>
      </c>
      <c r="P18" s="186"/>
      <c r="Q18" s="188"/>
      <c r="R18" s="37">
        <f>'6'!Z27</f>
        <v>940</v>
      </c>
      <c r="S18" s="36">
        <f>'6'!AB27</f>
        <v>63.58069897066602</v>
      </c>
      <c r="T18" s="37">
        <f>'6'!Y27</f>
        <v>2731</v>
      </c>
      <c r="U18" s="33" t="str">
        <f>IF('6'!AA27=1,'6'!AR6,'6'!AR7)</f>
        <v>S.A.L</v>
      </c>
      <c r="V18" s="945"/>
      <c r="W18" s="945"/>
      <c r="X18" s="13">
        <v>0.54166666666666696</v>
      </c>
      <c r="Y18" s="54">
        <v>2728</v>
      </c>
      <c r="Z18" s="182">
        <v>940</v>
      </c>
      <c r="AA18" s="15">
        <v>1</v>
      </c>
      <c r="AB18" s="58">
        <f>IF('6'!AA18=1,(('6'!Z18*'6'!$AS$6*'6'!$AT$6)/('6'!Y18*0.0036)),IF('6'!AA18=2,(('6'!Z18*'6'!$AS$7*'6'!$AT$7)/('6'!Y18*0.0036))))</f>
        <v>63.650619094167482</v>
      </c>
      <c r="AC18" s="58"/>
      <c r="AD18" s="18">
        <f>(('6'!AC18*'6'!$Q$10*1000000))/('6'!Y17*3600)</f>
        <v>0</v>
      </c>
      <c r="AE18" s="19"/>
      <c r="AF18" s="184">
        <f>('6'!AE18/24)*0.454</f>
        <v>0</v>
      </c>
      <c r="AG18" s="19"/>
      <c r="AH18" s="184">
        <f>('6'!AG18/24)*0.454</f>
        <v>0</v>
      </c>
      <c r="AI18" s="19">
        <v>2500</v>
      </c>
      <c r="AJ18" s="184">
        <f>('6'!AI18/24)*0.454</f>
        <v>47.291666666666671</v>
      </c>
      <c r="AK18" s="23">
        <v>1500</v>
      </c>
      <c r="AL18" s="185">
        <f>('6'!AK18/24)*0.454</f>
        <v>28.375</v>
      </c>
      <c r="AM18" s="21">
        <v>1500</v>
      </c>
      <c r="AN18" s="185">
        <f>('6'!AM18/24)*0.454</f>
        <v>28.375</v>
      </c>
      <c r="AO18" s="23"/>
      <c r="AP18" s="185">
        <f>('6'!AO18/24)*0.454</f>
        <v>0</v>
      </c>
    </row>
    <row r="19" spans="1:42" ht="18.75" customHeight="1">
      <c r="A19" s="10" t="s">
        <v>52</v>
      </c>
      <c r="B19" s="189">
        <f t="array" ref="B19">IF('6'!B7:B18&gt;0.01,AVERAGE('6'!B7:B18),"")</f>
        <v>60</v>
      </c>
      <c r="C19" s="189">
        <f t="array" ref="C19">IF('6'!C7:C18&gt;0.01,AVERAGE('6'!C7:C18),"")</f>
        <v>9.375</v>
      </c>
      <c r="D19" s="189">
        <f t="array" ref="D19">IF('6'!D7:D18&gt;0.01,AVERAGE('6'!D7:D18),"")</f>
        <v>11.25</v>
      </c>
      <c r="E19" s="69">
        <f t="array" ref="E19">IF('6'!E7:E18&gt;0.01,AVERAGE('6'!E7:E18),"")</f>
        <v>2.5</v>
      </c>
      <c r="F19" s="69">
        <f t="array" ref="F19">IF('6'!F7:F18&gt;0.01,AVERAGE('6'!F7:F18),"")</f>
        <v>8.4666666666666668</v>
      </c>
      <c r="G19" s="69">
        <f t="array" ref="G19">IF('6'!G7:G18&gt;0.01,AVERAGE('6'!G7:G18),"")</f>
        <v>1.2833333333333334</v>
      </c>
      <c r="H19" s="69">
        <f t="array" ref="H19">IF('6'!H7:H18&gt;0.01,AVERAGE('6'!H7:H18),"")</f>
        <v>1.6083333333333332</v>
      </c>
      <c r="I19" s="69">
        <f t="array" ref="I19">IF('6'!I7:I18&gt;0.01,AVERAGE('6'!I7:I18),"")</f>
        <v>0.35833333333333334</v>
      </c>
      <c r="J19" s="69">
        <f t="array" ref="J19">IF('6'!J7:J18&gt;0.01,AVERAGE('6'!J7:J18),"")</f>
        <v>0.35833333333333323</v>
      </c>
      <c r="K19" s="69">
        <f t="array" ref="K19">IF('6'!K7:K18&gt;0.01,AVERAGE('6'!K7:K18),"")</f>
        <v>7.299999999999998</v>
      </c>
      <c r="L19" s="69">
        <f t="array" ref="L19">IF('6'!L7:L18&gt;0.01,AVERAGE('6'!L7:L18),"")</f>
        <v>6.6500000000000012</v>
      </c>
      <c r="M19" s="69">
        <f t="array" ref="M19">IF('6'!M7:M18&gt;0.01,AVERAGE('6'!M7:M18),"")</f>
        <v>6.6583333333333341</v>
      </c>
      <c r="N19" s="69">
        <f t="array" ref="N19">IF('6'!N7:N18&gt;0.01,AVERAGE('6'!N7:N18),"")</f>
        <v>6.4666666666666659</v>
      </c>
      <c r="O19" s="69">
        <f t="array" ref="O19">IF('6'!O7:O18&gt;0.01,AVERAGE('6'!O7:O18),"")</f>
        <v>2.7166666666666668</v>
      </c>
      <c r="P19" s="190" t="str">
        <f t="array" ref="P19">IF('6'!P7:P18&gt;0.01,AVERAGE('6'!P7:P18),"")</f>
        <v/>
      </c>
      <c r="Q19" s="191" t="str">
        <f t="array" ref="Q19">IF('6'!Q7:Q18&gt;0.01,AVERAGE('6'!Q7:Q18),"")</f>
        <v/>
      </c>
      <c r="R19" s="191">
        <f t="array" ref="R19">IF('6'!R7:R18&gt;0.01,AVERAGE('6'!R7:R18),"")</f>
        <v>940</v>
      </c>
      <c r="S19" s="191">
        <f t="array" ref="S19">IF('6'!S7:S18&gt;0.01,AVERAGE('6'!S7:S18),"")</f>
        <v>62.99069605556673</v>
      </c>
      <c r="T19" s="946"/>
      <c r="U19" s="946"/>
      <c r="V19" s="49"/>
      <c r="W19" s="50"/>
      <c r="X19" s="13">
        <v>0.58333333333333304</v>
      </c>
      <c r="Y19" s="54">
        <v>2742</v>
      </c>
      <c r="Z19" s="182">
        <v>940</v>
      </c>
      <c r="AA19" s="15">
        <v>1</v>
      </c>
      <c r="AB19" s="58">
        <f>IF('6'!AA19=1,(('6'!Z19*'6'!$AS$6*'6'!$AT$6)/('6'!Y19*0.0036)),IF('6'!AA19=2,(('6'!Z19*'6'!$AS$7*'6'!$AT$7)/('6'!Y19*0.0036))))</f>
        <v>63.325634168084939</v>
      </c>
      <c r="AC19" s="58"/>
      <c r="AD19" s="18">
        <f>(('6'!AC19*'6'!$Q$10*1000000))/('6'!Y19*3600)</f>
        <v>0</v>
      </c>
      <c r="AE19" s="19"/>
      <c r="AF19" s="184">
        <f>('6'!AE19/24)*0.454</f>
        <v>0</v>
      </c>
      <c r="AG19" s="19"/>
      <c r="AH19" s="184">
        <f>('6'!AG19/24)*0.454</f>
        <v>0</v>
      </c>
      <c r="AI19" s="19">
        <v>2500</v>
      </c>
      <c r="AJ19" s="184">
        <f>('6'!AI19/24)*0.454</f>
        <v>47.291666666666671</v>
      </c>
      <c r="AK19" s="23">
        <v>1500</v>
      </c>
      <c r="AL19" s="185">
        <f>('6'!AK19/24)*0.454</f>
        <v>28.375</v>
      </c>
      <c r="AM19" s="21">
        <v>1500</v>
      </c>
      <c r="AN19" s="185">
        <f>('6'!AM19/24)*0.454</f>
        <v>28.375</v>
      </c>
      <c r="AO19" s="23"/>
      <c r="AP19" s="185">
        <f>('6'!AO19/24)*0.454</f>
        <v>0</v>
      </c>
    </row>
    <row r="20" spans="1:42" ht="18.75" customHeight="1">
      <c r="A20" s="10" t="s">
        <v>53</v>
      </c>
      <c r="B20" s="189">
        <f>MAX('6'!B7:B18)</f>
        <v>60</v>
      </c>
      <c r="C20" s="189">
        <f>MAX('6'!C7:C18)</f>
        <v>10</v>
      </c>
      <c r="D20" s="69">
        <f>MAX('6'!D7:D18)</f>
        <v>12.5</v>
      </c>
      <c r="E20" s="69">
        <f>MAX('6'!E7:E18)</f>
        <v>2.5</v>
      </c>
      <c r="F20" s="69">
        <f>MAX('6'!F7:F18)</f>
        <v>9.1999999999999993</v>
      </c>
      <c r="G20" s="69">
        <f>MAX('6'!G7:G18)</f>
        <v>1.5</v>
      </c>
      <c r="H20" s="69">
        <f>MAX('6'!H7:H18)</f>
        <v>1.8</v>
      </c>
      <c r="I20" s="69">
        <f>MAX('6'!I7:I18)</f>
        <v>0.4</v>
      </c>
      <c r="J20" s="69">
        <f>MAX('6'!J7:J18)</f>
        <v>0.4</v>
      </c>
      <c r="K20" s="69">
        <f>MAX('6'!K7:K18)</f>
        <v>7.3</v>
      </c>
      <c r="L20" s="69">
        <f>MAX('6'!L7:L18)</f>
        <v>6.7</v>
      </c>
      <c r="M20" s="69">
        <f>MAX('6'!M7:M18)</f>
        <v>6.7</v>
      </c>
      <c r="N20" s="69">
        <f>MAX('6'!N7:N18)</f>
        <v>6.5</v>
      </c>
      <c r="O20" s="70">
        <f>MAX('6'!O7:O18)</f>
        <v>3</v>
      </c>
      <c r="P20" s="70">
        <f>MAX('6'!P7:P18)</f>
        <v>2.5</v>
      </c>
      <c r="Q20" s="70">
        <f>MAX('6'!Q7:Q18)</f>
        <v>2.2000000000000002</v>
      </c>
      <c r="R20" s="70">
        <f>MAX('6'!R7:R18)</f>
        <v>940</v>
      </c>
      <c r="S20" s="70">
        <f>MAX('6'!S7:S18)</f>
        <v>64.168103802250144</v>
      </c>
      <c r="T20" s="946"/>
      <c r="U20" s="946"/>
      <c r="X20" s="13">
        <v>0.625</v>
      </c>
      <c r="Y20" s="54">
        <v>2809</v>
      </c>
      <c r="Z20" s="182">
        <v>940</v>
      </c>
      <c r="AA20" s="15">
        <v>1</v>
      </c>
      <c r="AB20" s="58">
        <f>IF('6'!AA20=1,(('6'!Z20*'6'!$AS$6*'6'!$AT$6)/('6'!Y20*0.0036)),IF('6'!AA20=2,(('6'!Z20*'6'!$AS$7*'6'!$AT$7)/('6'!Y20*0.0036))))</f>
        <v>61.815197183655719</v>
      </c>
      <c r="AC20" s="58"/>
      <c r="AD20" s="18">
        <f>(('6'!AC20*'6'!$Q$10*1000000))/('6'!Y20*3600)</f>
        <v>0</v>
      </c>
      <c r="AE20" s="19"/>
      <c r="AF20" s="184">
        <f>('6'!AE20/24)*0.454</f>
        <v>0</v>
      </c>
      <c r="AG20" s="19"/>
      <c r="AH20" s="184">
        <f>('6'!AG20/24)*0.454</f>
        <v>0</v>
      </c>
      <c r="AI20" s="19">
        <v>2500</v>
      </c>
      <c r="AJ20" s="184">
        <f>('6'!AI20/24)*0.454</f>
        <v>47.291666666666671</v>
      </c>
      <c r="AK20" s="23">
        <v>1500</v>
      </c>
      <c r="AL20" s="185">
        <f>('6'!AK20/24)*0.454</f>
        <v>28.375</v>
      </c>
      <c r="AM20" s="21">
        <v>1500</v>
      </c>
      <c r="AN20" s="185">
        <f>('6'!AM20/24)*0.454</f>
        <v>28.375</v>
      </c>
      <c r="AO20" s="23"/>
      <c r="AP20" s="185">
        <f>('6'!AO20/24)*0.454</f>
        <v>0</v>
      </c>
    </row>
    <row r="21" spans="1:42" ht="19.5" customHeight="1">
      <c r="A21" s="10" t="s">
        <v>54</v>
      </c>
      <c r="B21" s="189">
        <f>MIN('6'!B7:B18)</f>
        <v>60</v>
      </c>
      <c r="C21" s="69">
        <f>MIN('6'!C7:C18)</f>
        <v>7.5</v>
      </c>
      <c r="D21" s="69">
        <f>MIN('6'!D7:D18)</f>
        <v>10</v>
      </c>
      <c r="E21" s="69">
        <f>MIN('6'!E7:E18)</f>
        <v>2.5</v>
      </c>
      <c r="F21" s="69">
        <f>MIN('6'!F7:F18)</f>
        <v>6.5</v>
      </c>
      <c r="G21" s="192">
        <f>MIN('6'!G7:G18)</f>
        <v>1.2</v>
      </c>
      <c r="H21" s="192">
        <f>MIN('6'!H7:H18)</f>
        <v>1.4</v>
      </c>
      <c r="I21" s="192">
        <f>MIN('6'!I7:I18)</f>
        <v>0.3</v>
      </c>
      <c r="J21" s="192">
        <f>MIN('6'!J7:J18)</f>
        <v>0.3</v>
      </c>
      <c r="K21" s="192">
        <f>MIN('6'!K7:K18)</f>
        <v>7.3</v>
      </c>
      <c r="L21" s="192">
        <f>MIN('6'!L7:L18)</f>
        <v>6.6</v>
      </c>
      <c r="M21" s="192">
        <f>MIN('6'!M7:M18)</f>
        <v>6.6</v>
      </c>
      <c r="N21" s="192">
        <f>MIN('6'!N7:N18)</f>
        <v>6.4</v>
      </c>
      <c r="O21" s="193">
        <f>MIN('6'!O7:O18)</f>
        <v>2.5</v>
      </c>
      <c r="P21" s="193">
        <f>MIN('6'!P7:P18)</f>
        <v>1.4</v>
      </c>
      <c r="Q21" s="193">
        <f>MIN('6'!Q7:Q18)</f>
        <v>0.4</v>
      </c>
      <c r="R21" s="193">
        <f>MIN('6'!R7:R18)</f>
        <v>940</v>
      </c>
      <c r="S21" s="193">
        <f>MIN('6'!S7:S18)</f>
        <v>61.2698972790716</v>
      </c>
      <c r="T21" s="946"/>
      <c r="U21" s="946"/>
      <c r="X21" s="13">
        <v>0.66666666666666696</v>
      </c>
      <c r="Y21" s="54">
        <v>2810</v>
      </c>
      <c r="Z21" s="182">
        <v>940</v>
      </c>
      <c r="AA21" s="15">
        <v>1</v>
      </c>
      <c r="AB21" s="58">
        <f>IF('6'!AA21=1,(('6'!Z21*'6'!$AS$6*'6'!$AT$6)/('6'!Y21*0.0036)),IF('6'!AA21=2,(('6'!Z21*'6'!$AS$7*'6'!$AT$7)/('6'!Y21*0.0036))))</f>
        <v>61.793198892843023</v>
      </c>
      <c r="AC21" s="58"/>
      <c r="AD21" s="18">
        <f>(('6'!AC21*'6'!$Q$10*1000000))/('6'!Y21*3600)</f>
        <v>0</v>
      </c>
      <c r="AE21" s="19"/>
      <c r="AF21" s="184">
        <f>('6'!AE21/24)*0.454</f>
        <v>0</v>
      </c>
      <c r="AG21" s="19"/>
      <c r="AH21" s="184">
        <f>('6'!AG21/24)*0.454</f>
        <v>0</v>
      </c>
      <c r="AI21" s="19">
        <v>2500</v>
      </c>
      <c r="AJ21" s="184">
        <f>('6'!AI21/24)*0.454</f>
        <v>47.291666666666671</v>
      </c>
      <c r="AK21" s="23">
        <v>1500</v>
      </c>
      <c r="AL21" s="185">
        <f>('6'!AK21/24)*0.454</f>
        <v>28.375</v>
      </c>
      <c r="AM21" s="21">
        <v>1500</v>
      </c>
      <c r="AN21" s="185">
        <f>('6'!AM21/24)*0.454</f>
        <v>28.375</v>
      </c>
      <c r="AO21" s="23"/>
      <c r="AP21" s="185">
        <f>('6'!AO21/24)*0.454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54">
        <v>2699</v>
      </c>
      <c r="Z22" s="182">
        <v>940</v>
      </c>
      <c r="AA22" s="15">
        <v>1</v>
      </c>
      <c r="AB22" s="58">
        <f>IF('6'!AA22=1,(('6'!Z22*'6'!$AS$6*'6'!$AT$6)/('6'!Y22*0.0036)),IF('6'!AA22=2,(('6'!Z22*'6'!$AS$7*'6'!$AT$7)/('6'!Y22*0.0036))))</f>
        <v>64.334527191140751</v>
      </c>
      <c r="AC22" s="58"/>
      <c r="AD22" s="18">
        <f>(('6'!AC22*'6'!$Q$10*1000000))/('6'!Y22*3600)</f>
        <v>0</v>
      </c>
      <c r="AE22" s="19"/>
      <c r="AF22" s="184">
        <f>('6'!AE22/24)*0.454</f>
        <v>0</v>
      </c>
      <c r="AG22" s="19"/>
      <c r="AH22" s="184">
        <f>('6'!AG22/24)*0.454</f>
        <v>0</v>
      </c>
      <c r="AI22" s="19">
        <v>2500</v>
      </c>
      <c r="AJ22" s="184">
        <f>('6'!AI22/24)*0.454</f>
        <v>47.291666666666671</v>
      </c>
      <c r="AK22" s="23">
        <v>1500</v>
      </c>
      <c r="AL22" s="185">
        <f>('6'!AK22/24)*0.454</f>
        <v>28.375</v>
      </c>
      <c r="AM22" s="21">
        <v>1500</v>
      </c>
      <c r="AN22" s="185">
        <f>('6'!AM22/24)*0.454</f>
        <v>28.375</v>
      </c>
      <c r="AO22" s="23"/>
      <c r="AP22" s="185">
        <f>('6'!AO22/24)*0.454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54">
        <v>2783</v>
      </c>
      <c r="Z23" s="182">
        <v>940</v>
      </c>
      <c r="AA23" s="15">
        <v>1</v>
      </c>
      <c r="AB23" s="58">
        <f>IF('6'!AA23=1,(('6'!Z23*'6'!$AS$6*'6'!$AT$6)/('6'!Y23*0.0036)),IF('6'!AA23=2,(('6'!Z23*'6'!$AS$7*'6'!$AT$7)/('6'!Y23*0.0036))))</f>
        <v>62.392701720764961</v>
      </c>
      <c r="AC23" s="58"/>
      <c r="AD23" s="18">
        <f>(('6'!AC23*'6'!$Q$10*1000000))/('6'!Y23*3600)</f>
        <v>0</v>
      </c>
      <c r="AE23" s="19"/>
      <c r="AF23" s="184">
        <f>('6'!AE23/24)*0.454</f>
        <v>0</v>
      </c>
      <c r="AG23" s="19"/>
      <c r="AH23" s="184">
        <f>('6'!AG23/24)*0.454</f>
        <v>0</v>
      </c>
      <c r="AI23" s="19">
        <v>5200</v>
      </c>
      <c r="AJ23" s="184">
        <f>('6'!AI23/24)*0.454</f>
        <v>98.36666666666666</v>
      </c>
      <c r="AK23" s="23"/>
      <c r="AL23" s="185">
        <f>('6'!AK23/24)*0.454</f>
        <v>0</v>
      </c>
      <c r="AM23" s="21"/>
      <c r="AN23" s="185">
        <f>('6'!AM23/24)*0.454</f>
        <v>0</v>
      </c>
      <c r="AO23" s="23"/>
      <c r="AP23" s="185">
        <f>('6'!AO23/24)*0.454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54">
        <v>2789</v>
      </c>
      <c r="Z24" s="182">
        <v>940</v>
      </c>
      <c r="AA24" s="15">
        <v>1</v>
      </c>
      <c r="AB24" s="58">
        <f>IF('6'!AA24=1,(('6'!Z24*'6'!$AS$6*'6'!$AT$6)/('6'!Y24*0.0036)),IF('6'!AA24=2,(('6'!Z24*'6'!$AS$7*'6'!$AT$7)/('6'!Y24*0.0036))))</f>
        <v>62.25847575793793</v>
      </c>
      <c r="AC24" s="58"/>
      <c r="AD24" s="18">
        <f>(('6'!AC24*'6'!$Q$10*1000000))/('6'!Y24*3600)</f>
        <v>0</v>
      </c>
      <c r="AE24" s="19"/>
      <c r="AF24" s="184">
        <f>('6'!AE24/24)*0.454</f>
        <v>0</v>
      </c>
      <c r="AG24" s="19"/>
      <c r="AH24" s="184">
        <f>('6'!AG24/24)*0.454</f>
        <v>0</v>
      </c>
      <c r="AI24" s="19">
        <v>5200</v>
      </c>
      <c r="AJ24" s="184">
        <f>('6'!AI24/24)*0.454</f>
        <v>98.36666666666666</v>
      </c>
      <c r="AK24" s="23"/>
      <c r="AL24" s="196">
        <f>('6'!AK24/24)*0.454</f>
        <v>0</v>
      </c>
      <c r="AM24" s="197"/>
      <c r="AN24" s="196">
        <f>('6'!AM24/24)*0.454</f>
        <v>0</v>
      </c>
      <c r="AO24" s="23"/>
      <c r="AP24" s="196">
        <f>('6'!AO24/24)*0.454</f>
        <v>0</v>
      </c>
    </row>
    <row r="25" spans="1:42" ht="19.5" customHeight="1">
      <c r="A25" s="64">
        <v>0.41666666666666702</v>
      </c>
      <c r="B25" s="198"/>
      <c r="C25" s="198">
        <v>0.36</v>
      </c>
      <c r="D25" s="198">
        <v>0.36</v>
      </c>
      <c r="E25" s="198">
        <v>0.41</v>
      </c>
      <c r="F25" s="198">
        <v>0.45</v>
      </c>
      <c r="G25" s="198">
        <v>0.37</v>
      </c>
      <c r="H25" s="198">
        <v>0.37</v>
      </c>
      <c r="I25" s="198">
        <v>0.34</v>
      </c>
      <c r="J25" s="198"/>
      <c r="K25" s="198">
        <v>0.28000000000000003</v>
      </c>
      <c r="L25" s="198">
        <v>0.23</v>
      </c>
      <c r="M25" s="198">
        <v>0.32</v>
      </c>
      <c r="N25" s="198">
        <v>0.3</v>
      </c>
      <c r="O25" s="198">
        <v>0.32</v>
      </c>
      <c r="P25" s="198">
        <v>0.36</v>
      </c>
      <c r="Q25" s="198"/>
      <c r="R25" s="65" t="e">
        <f>#DIV/0!</f>
        <v>#DIV/0!</v>
      </c>
      <c r="S25" s="66"/>
      <c r="T25" s="1023" t="s">
        <v>0</v>
      </c>
      <c r="U25" s="1049">
        <f>ESCALA!$A$8</f>
        <v>43896</v>
      </c>
      <c r="X25" s="13">
        <v>0.83333333333333304</v>
      </c>
      <c r="Y25" s="54">
        <v>2765</v>
      </c>
      <c r="Z25" s="182">
        <v>940</v>
      </c>
      <c r="AA25" s="15">
        <v>1</v>
      </c>
      <c r="AB25" s="58">
        <f>IF('6'!AA25=1,(('6'!Z25*'6'!$AS$6*'6'!$AT$6)/('6'!Y25*0.0036)),IF('6'!AA25=2,(('6'!Z25*'6'!$AS$7*'6'!$AT$7)/('6'!Y25*0.0036))))</f>
        <v>62.798874824191287</v>
      </c>
      <c r="AC25" s="58"/>
      <c r="AD25" s="18">
        <f>(('6'!AC25*'6'!$Q$10*1000000))/('6'!Y25*3600)</f>
        <v>0</v>
      </c>
      <c r="AE25" s="19"/>
      <c r="AF25" s="184">
        <f>('6'!AE25/24)*0.454</f>
        <v>0</v>
      </c>
      <c r="AG25" s="19"/>
      <c r="AH25" s="184">
        <f>('6'!AG25/24)*0.454</f>
        <v>0</v>
      </c>
      <c r="AI25" s="19">
        <v>5200</v>
      </c>
      <c r="AJ25" s="184">
        <f>('6'!AI25/24)*0.454</f>
        <v>98.36666666666666</v>
      </c>
      <c r="AK25" s="23"/>
      <c r="AL25" s="185">
        <f>('6'!AK25/24)*0.454</f>
        <v>0</v>
      </c>
      <c r="AM25" s="21"/>
      <c r="AN25" s="185">
        <f>('6'!AM25/24)*0.454</f>
        <v>0</v>
      </c>
      <c r="AO25" s="23"/>
      <c r="AP25" s="185">
        <f>('6'!AO25/24)*0.454</f>
        <v>0</v>
      </c>
    </row>
    <row r="26" spans="1:42" ht="19.5" customHeight="1">
      <c r="A26" s="64">
        <v>0.66666666666666696</v>
      </c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65" t="e">
        <f>#DIV/0!</f>
        <v>#DIV/0!</v>
      </c>
      <c r="S26" s="67"/>
      <c r="T26" s="1023"/>
      <c r="U26" s="1049"/>
      <c r="X26" s="13">
        <v>0.875</v>
      </c>
      <c r="Y26" s="54">
        <v>2750</v>
      </c>
      <c r="Z26" s="182">
        <v>940</v>
      </c>
      <c r="AA26" s="15">
        <v>1</v>
      </c>
      <c r="AB26" s="58">
        <f>IF('6'!AA26=1,(('6'!Z26*'6'!$AS$6*'6'!$AT$6)/('6'!Y26*0.0036)),IF('6'!AA26=2,(('6'!Z26*'6'!$AS$7*'6'!$AT$7)/('6'!Y26*0.0036))))</f>
        <v>63.141414141414138</v>
      </c>
      <c r="AC26" s="58"/>
      <c r="AD26" s="18">
        <f>(('6'!AC26*'6'!$Q$10*1000000))/('6'!Y26*3600)</f>
        <v>0</v>
      </c>
      <c r="AE26" s="19"/>
      <c r="AF26" s="184">
        <f>('6'!AE26/24)*0.454</f>
        <v>0</v>
      </c>
      <c r="AG26" s="19"/>
      <c r="AH26" s="184">
        <f>('6'!AG26/24)*0.454</f>
        <v>0</v>
      </c>
      <c r="AI26" s="19">
        <v>5200</v>
      </c>
      <c r="AJ26" s="184">
        <f>('6'!AI26/24)*0.454</f>
        <v>98.36666666666666</v>
      </c>
      <c r="AK26" s="23"/>
      <c r="AL26" s="185">
        <f>('6'!AK26/24)*0.454</f>
        <v>0</v>
      </c>
      <c r="AM26" s="21"/>
      <c r="AN26" s="185">
        <f>('6'!AM26/24)*0.454</f>
        <v>0</v>
      </c>
      <c r="AO26" s="23"/>
      <c r="AP26" s="185">
        <f>('6'!AO26/24)*0.454</f>
        <v>0</v>
      </c>
    </row>
    <row r="27" spans="1:42" ht="19.5" customHeight="1">
      <c r="A27" s="68" t="s">
        <v>52</v>
      </c>
      <c r="B27" s="48"/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54">
        <v>2731</v>
      </c>
      <c r="Z27" s="182">
        <v>940</v>
      </c>
      <c r="AA27" s="15">
        <v>1</v>
      </c>
      <c r="AB27" s="58">
        <f>IF('6'!AA27=1,(('6'!Z27*'6'!$AS$6*'6'!$AT$6)/('6'!Y27*0.0036)),IF('6'!AA27=2,(('6'!Z27*'6'!$AS$7*'6'!$AT$7)/('6'!Y27*0.0036))))</f>
        <v>63.58069897066602</v>
      </c>
      <c r="AC27" s="58"/>
      <c r="AD27" s="18">
        <f>(('6'!AC27*'6'!$Q$10*1000000))/('6'!Y27*3600)</f>
        <v>0</v>
      </c>
      <c r="AE27" s="19"/>
      <c r="AF27" s="184">
        <f>('6'!AE27/24)*0.454</f>
        <v>0</v>
      </c>
      <c r="AG27" s="19"/>
      <c r="AH27" s="184">
        <f>('6'!AG27/24)*0.454</f>
        <v>0</v>
      </c>
      <c r="AI27" s="19">
        <v>5200</v>
      </c>
      <c r="AJ27" s="184">
        <f>('6'!AI27/24)*0.454</f>
        <v>98.36666666666666</v>
      </c>
      <c r="AK27" s="23"/>
      <c r="AL27" s="185">
        <f>('6'!AK27/24)*0.454</f>
        <v>0</v>
      </c>
      <c r="AM27" s="21"/>
      <c r="AN27" s="185">
        <f>('6'!AM27/24)*0.454</f>
        <v>0</v>
      </c>
      <c r="AO27" s="23"/>
      <c r="AP27" s="185">
        <f>('6'!AO27/24)*0.454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4">
        <v>2749</v>
      </c>
      <c r="Z28" s="182">
        <v>940</v>
      </c>
      <c r="AA28" s="15">
        <v>1</v>
      </c>
      <c r="AB28" s="58">
        <f>IF('6'!AA28=1,(('6'!Z28*'6'!$AS$6*'6'!$AT$6)/('6'!Y28*0.0036)),IF('6'!AA28=2,(('6'!Z28*'6'!$AS$7*'6'!$AT$7)/('6'!Y28*0.0036))))</f>
        <v>63.164383007962492</v>
      </c>
      <c r="AC28" s="58"/>
      <c r="AD28" s="18">
        <f>(('6'!AC28*'6'!$Q$10*1000000))/('6'!Y28*3600)</f>
        <v>0</v>
      </c>
      <c r="AE28" s="19"/>
      <c r="AF28" s="184">
        <f>('6'!AE28/24)*0.454</f>
        <v>0</v>
      </c>
      <c r="AG28" s="19"/>
      <c r="AH28" s="184">
        <f>('6'!AG28/24)*0.454</f>
        <v>0</v>
      </c>
      <c r="AI28" s="19">
        <v>5200</v>
      </c>
      <c r="AJ28" s="184">
        <f>('6'!AI28/24)*0.454</f>
        <v>98.36666666666666</v>
      </c>
      <c r="AK28" s="23"/>
      <c r="AL28" s="185">
        <f>('6'!AK28/24)*0.454</f>
        <v>0</v>
      </c>
      <c r="AM28" s="21"/>
      <c r="AN28" s="185">
        <f>('6'!AM28/24)*0.454</f>
        <v>0</v>
      </c>
      <c r="AO28" s="23"/>
      <c r="AP28" s="185">
        <f>('6'!AO28/24)*0.454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4">
        <v>2697</v>
      </c>
      <c r="Z29" s="182">
        <v>940</v>
      </c>
      <c r="AA29" s="15">
        <v>1</v>
      </c>
      <c r="AB29" s="58">
        <f>IF('6'!AA29=1,(('6'!Z29*'6'!$AS$6*'6'!$AT$6)/('6'!Y29*0.0036)),IF('6'!AA29=2,(('6'!Z29*'6'!$AS$7*'6'!$AT$7)/('6'!Y29*0.0036))))</f>
        <v>64.382235405594699</v>
      </c>
      <c r="AC29" s="58"/>
      <c r="AD29" s="18">
        <f>(('6'!AC29*'6'!$Q$10*1000000))/('6'!Y29*3600)</f>
        <v>0</v>
      </c>
      <c r="AE29" s="19"/>
      <c r="AF29" s="184">
        <f>('6'!AE29/24)*0.454</f>
        <v>0</v>
      </c>
      <c r="AG29" s="19"/>
      <c r="AH29" s="184">
        <f>('6'!AG29/24)*0.454</f>
        <v>0</v>
      </c>
      <c r="AI29" s="19">
        <v>5200</v>
      </c>
      <c r="AJ29" s="184">
        <f>('6'!AI29/24)*0.454</f>
        <v>98.36666666666666</v>
      </c>
      <c r="AK29" s="23"/>
      <c r="AL29" s="185">
        <f>('6'!AK29/24)*0.454</f>
        <v>0</v>
      </c>
      <c r="AM29" s="21"/>
      <c r="AN29" s="185">
        <f>('6'!AM29/24)*0.454</f>
        <v>0</v>
      </c>
      <c r="AO29" s="23"/>
      <c r="AP29" s="185">
        <f>('6'!AO29/24)*0.454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34">
        <f>SUM('6'!Y6:Y29)*3.6</f>
        <v>237880.80000000002</v>
      </c>
      <c r="Z30" s="82">
        <f>SUM('6'!Z6:Z29)</f>
        <v>22560</v>
      </c>
      <c r="AA30" s="78"/>
      <c r="AB30" s="79"/>
      <c r="AC30" s="78"/>
      <c r="AD30" s="79"/>
      <c r="AE30" s="34"/>
      <c r="AF30" s="184">
        <f>SUM('6'!AF6:AF29)</f>
        <v>0</v>
      </c>
      <c r="AG30" s="34"/>
      <c r="AH30" s="184">
        <f>SUM('6'!AH6:AH29)</f>
        <v>0</v>
      </c>
      <c r="AI30" s="34"/>
      <c r="AJ30" s="184">
        <f>SUM('6'!AJ6:AJ29)</f>
        <v>1814.1083333333327</v>
      </c>
      <c r="AK30" s="80"/>
      <c r="AL30" s="185">
        <f>SUM('6'!AL6:AL29)</f>
        <v>283.75</v>
      </c>
      <c r="AM30" s="80"/>
      <c r="AN30" s="185">
        <f>SUM('6'!AN6:AN29)</f>
        <v>283.75</v>
      </c>
      <c r="AO30" s="80"/>
      <c r="AP30" s="185">
        <f>SUM('6'!AP6:AP29)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SUMIF('6'!AA6:AA29,"=1",'6'!Z6:Z29)</f>
        <v>22560</v>
      </c>
      <c r="AA32" s="82">
        <f>'6'!Z32*'6'!AS6</f>
        <v>30004.800000000003</v>
      </c>
      <c r="AB32" s="83">
        <f>SUMIF('6'!$AA$6:$AA$29,"=1",'6'!$AB$6:$AB$29)/COUNTIF('6'!$AA$6:$AA$29,"=1")</f>
        <v>63.218262561030905</v>
      </c>
      <c r="AC32" s="84">
        <f>SUMIF('6'!AA6:AA29,"=1",'6'!AC6:AC29)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SUMIF('6'!AA6:AA29,"=2",'6'!Z6:Z29)</f>
        <v>0</v>
      </c>
      <c r="AA33" s="82">
        <f>'6'!Z33*'6'!AS7</f>
        <v>0</v>
      </c>
      <c r="AB33" s="83" t="e">
        <f>SUMIF('6'!$AA$6:$AA$29,"=2",'6'!$AB$6:$AB$29)/COUNTIF('6'!$AA$6:$AA$29,"=2")</f>
        <v>#DIV/0!</v>
      </c>
      <c r="AC33" s="89">
        <f>SUMIF('6'!AA6:AA29,"=2",'6'!AC6:AC29)</f>
        <v>0</v>
      </c>
      <c r="AD33" s="89"/>
      <c r="AE33" s="90"/>
      <c r="AF33" s="91"/>
      <c r="AG33" s="90"/>
      <c r="AH33" s="91"/>
      <c r="AI33" s="90"/>
      <c r="AJ33" s="235"/>
      <c r="AK33" s="93"/>
      <c r="AL33" s="93"/>
      <c r="AM33" s="93"/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AVERAGE('6'!Y6:Y29)</f>
        <v>2753.25</v>
      </c>
      <c r="Z34" s="96">
        <f>AVERAGE('6'!Z6:Z29)</f>
        <v>940</v>
      </c>
      <c r="AA34" s="97"/>
      <c r="AB34" s="97"/>
      <c r="AC34" s="98">
        <f>SUM('6'!AC6:AC29)/COUNTIF('6'!AC6:AC29,"&lt;&gt;0")</f>
        <v>0</v>
      </c>
      <c r="AD34" s="99" t="e">
        <f>SUM('6'!AD6:AD29)/COUNTIF('6'!AD6:AD29,"&lt;&gt;0")</f>
        <v>#DIV/0!</v>
      </c>
      <c r="AE34" s="78"/>
      <c r="AF34" s="98">
        <f>AVERAGE('6'!AF6:AF29)</f>
        <v>0</v>
      </c>
      <c r="AG34" s="98"/>
      <c r="AH34" s="98">
        <f>AVERAGE('6'!AH6:AH29)</f>
        <v>0</v>
      </c>
      <c r="AI34" s="98"/>
      <c r="AJ34" s="98">
        <f>'6'!AJ30/24</f>
        <v>75.587847222222194</v>
      </c>
      <c r="AK34" s="98"/>
      <c r="AL34" s="98">
        <f>AVERAGE('6'!AL6:AL29)</f>
        <v>11.822916666666666</v>
      </c>
      <c r="AM34" s="98"/>
      <c r="AN34" s="98">
        <f>AVERAGE('6'!AN6:AN29)</f>
        <v>11.822916666666666</v>
      </c>
      <c r="AO34" s="98"/>
      <c r="AP34" s="98">
        <f>AVERAGE('6'!AP6:AP29)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50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50"/>
      <c r="X36" s="105" t="s">
        <v>73</v>
      </c>
      <c r="Y36" s="106"/>
      <c r="Z36" s="107"/>
      <c r="AA36" s="108" t="s">
        <v>74</v>
      </c>
      <c r="AB36" s="106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80.7</v>
      </c>
      <c r="D37" s="186">
        <v>54.5</v>
      </c>
      <c r="E37" s="186">
        <v>46.4</v>
      </c>
      <c r="F37" s="186">
        <v>1.2</v>
      </c>
      <c r="G37" s="186">
        <v>0.1</v>
      </c>
      <c r="H37" s="186">
        <v>0.1</v>
      </c>
      <c r="I37" s="183">
        <v>0.15</v>
      </c>
      <c r="J37" s="183">
        <v>0.1</v>
      </c>
      <c r="K37" s="183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36">
        <f>'6'!V12</f>
        <v>0</v>
      </c>
      <c r="X37" s="962" t="s">
        <v>75</v>
      </c>
      <c r="Y37" s="962"/>
      <c r="Z37" s="110">
        <f>COUNTA('6'!Z6:Z29)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237"/>
      <c r="X38" s="112"/>
      <c r="Y38" s="112"/>
      <c r="Z38" s="113"/>
      <c r="AA38" s="238"/>
      <c r="AB38" s="111"/>
      <c r="AJ38" s="210" t="s">
        <v>78</v>
      </c>
      <c r="AK38" s="211">
        <f>SUM('6'!AF30+'6'!AH30)</f>
        <v>0</v>
      </c>
      <c r="AL38" s="210" t="s">
        <v>78</v>
      </c>
      <c r="AM38" s="212">
        <f>SUM('6'!AL30+'6'!AN30)</f>
        <v>567.5</v>
      </c>
      <c r="AO38" s="210" t="s">
        <v>78</v>
      </c>
      <c r="AP38" s="211">
        <f>'6'!AJ30</f>
        <v>1814.1083333333327</v>
      </c>
      <c r="AQ38" s="210" t="s">
        <v>78</v>
      </c>
      <c r="AR38" s="212">
        <f>'6'!AP30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('6'!AK38/'6'!Y30)*1000</f>
        <v>0</v>
      </c>
      <c r="AL39" s="215" t="s">
        <v>86</v>
      </c>
      <c r="AM39" s="216">
        <f>('6'!AM38/'6'!Y30)*1000</f>
        <v>2.3856486105646186</v>
      </c>
      <c r="AO39" s="213" t="s">
        <v>86</v>
      </c>
      <c r="AP39" s="214">
        <f>('6'!AP38/'6'!Y30)*1000</f>
        <v>7.6261233917715616</v>
      </c>
      <c r="AQ39" s="215" t="s">
        <v>86</v>
      </c>
      <c r="AR39" s="216">
        <f>('6'!AR38/'6'!Y30)*1000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SUM('6'!AK38,'6'!AM38)</f>
        <v>567.5</v>
      </c>
      <c r="AM40" s="975"/>
      <c r="AO40" s="976" t="s">
        <v>90</v>
      </c>
      <c r="AP40" s="976"/>
      <c r="AQ40" s="977">
        <f>SUM('6'!AP38,'6'!AR38)</f>
        <v>1814.1083333333327</v>
      </c>
      <c r="AR40" s="977"/>
    </row>
    <row r="41" spans="1:44" ht="16.5" customHeight="1">
      <c r="A41" s="133">
        <f>COUNTA('6'!E7:E18)</f>
        <v>12</v>
      </c>
      <c r="B41" s="134">
        <f>COUNTA('6'!I7:I18)</f>
        <v>12</v>
      </c>
      <c r="C41" s="978">
        <f>COUNTA('6'!J7:J18)</f>
        <v>12</v>
      </c>
      <c r="D41" s="978">
        <f>COUNTA('6'!K7:K18)</f>
        <v>12</v>
      </c>
      <c r="E41" s="978">
        <f>COUNTIF('6'!E7:E18,"&gt;15")</f>
        <v>0</v>
      </c>
      <c r="F41" s="978"/>
      <c r="G41" s="978">
        <f>COUNTIF('6'!J7:J18,"&gt;1")</f>
        <v>0</v>
      </c>
      <c r="H41" s="978"/>
      <c r="I41" s="135"/>
      <c r="J41" s="978">
        <f>'6'!A41-'6'!E41</f>
        <v>12</v>
      </c>
      <c r="K41" s="978"/>
      <c r="L41" s="978">
        <f>'6'!C41-'6'!G41</f>
        <v>12</v>
      </c>
      <c r="M41" s="978"/>
      <c r="N41" s="135"/>
      <c r="O41" s="979">
        <f>COUNTIF('6'!J7:J18,"&lt;=0,5")</f>
        <v>12</v>
      </c>
      <c r="P41" s="979"/>
      <c r="Q41" s="979"/>
      <c r="R41" s="969"/>
      <c r="S41" s="980">
        <f>COUNTIF('6'!J7:J18,"&lt;=1,0")</f>
        <v>12</v>
      </c>
      <c r="T41" s="980"/>
      <c r="U41" s="136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SUM(('6'!AK38+'6'!AM38)/'6'!Y30)*1000</f>
        <v>2.3856486105646186</v>
      </c>
      <c r="AM41" s="981"/>
      <c r="AO41" s="976" t="s">
        <v>91</v>
      </c>
      <c r="AP41" s="976"/>
      <c r="AQ41" s="981">
        <f>SUM(('6'!AP38+'6'!AR38)/'6'!Y30)*1000</f>
        <v>7.6261233917715616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/>
      <c r="Z44" s="144" t="s">
        <v>101</v>
      </c>
      <c r="AA44" s="145"/>
      <c r="AB44" s="144" t="s">
        <v>101</v>
      </c>
      <c r="AC44" s="145"/>
      <c r="AD44" s="988"/>
      <c r="AE44" s="988"/>
      <c r="AF44" s="989" t="s">
        <v>102</v>
      </c>
      <c r="AG44" s="990">
        <f>SUM('6'!Y45,'6'!AA45,'6'!AC45,'6'!AE45)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COUNTIF('6'!I7:I18,"&lt;=5,0")</f>
        <v>12</v>
      </c>
      <c r="I45" s="992"/>
      <c r="J45" s="992"/>
      <c r="K45" s="135"/>
      <c r="L45" s="974">
        <f>COUNTA('6'!L37)</f>
        <v>1</v>
      </c>
      <c r="M45" s="974"/>
      <c r="O45" s="146"/>
      <c r="P45" s="147"/>
      <c r="Q45" s="993">
        <f>'6'!S41-'6'!O41</f>
        <v>0</v>
      </c>
      <c r="R45" s="993"/>
      <c r="S45" s="993"/>
      <c r="T45" s="148"/>
      <c r="X45" s="149" t="s">
        <v>104</v>
      </c>
      <c r="Y45" s="150">
        <f>'6'!Y44*275.3</f>
        <v>0</v>
      </c>
      <c r="Z45" s="149" t="s">
        <v>104</v>
      </c>
      <c r="AA45" s="150">
        <f>262.4*'6'!AA44</f>
        <v>0</v>
      </c>
      <c r="AB45" s="149" t="s">
        <v>104</v>
      </c>
      <c r="AC45" s="150">
        <f>'6'!AC44*277.7</f>
        <v>0</v>
      </c>
      <c r="AD45" s="149" t="s">
        <v>104</v>
      </c>
      <c r="AE45" s="151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2"/>
      <c r="X46" s="153" t="s">
        <v>105</v>
      </c>
      <c r="Y46" s="154">
        <f>'6'!AS6</f>
        <v>1.33</v>
      </c>
      <c r="Z46" s="153" t="s">
        <v>105</v>
      </c>
      <c r="AA46" s="155">
        <f>'6'!Y46</f>
        <v>1.33</v>
      </c>
      <c r="AB46" s="153" t="s">
        <v>105</v>
      </c>
      <c r="AC46" s="155">
        <f>'6'!Y46</f>
        <v>1.33</v>
      </c>
      <c r="AD46" s="153" t="s">
        <v>105</v>
      </c>
      <c r="AE46" s="156">
        <f>'6'!Y46</f>
        <v>1.33</v>
      </c>
      <c r="AF46" s="995" t="s">
        <v>106</v>
      </c>
      <c r="AG46" s="996">
        <f>SUM('6'!Y47,'6'!AA47,'6'!AC47,'6'!AE47)</f>
        <v>0</v>
      </c>
      <c r="AI46" s="144" t="s">
        <v>101</v>
      </c>
      <c r="AJ46" s="145"/>
      <c r="AK46" s="144" t="s">
        <v>101</v>
      </c>
      <c r="AL46" s="145"/>
      <c r="AM46" s="144" t="s">
        <v>101</v>
      </c>
      <c r="AN46" s="145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'6'!Y45*'6'!Y46</f>
        <v>0</v>
      </c>
      <c r="Z47" s="149" t="s">
        <v>108</v>
      </c>
      <c r="AA47" s="150">
        <f>'6'!AA45*'6'!AA46</f>
        <v>0</v>
      </c>
      <c r="AB47" s="149" t="s">
        <v>108</v>
      </c>
      <c r="AC47" s="150">
        <f>'6'!AC45*'6'!AC46</f>
        <v>0</v>
      </c>
      <c r="AD47" s="149" t="s">
        <v>108</v>
      </c>
      <c r="AE47" s="150">
        <f>'6'!AE45*'6'!AE46</f>
        <v>0</v>
      </c>
      <c r="AF47" s="995"/>
      <c r="AG47" s="996"/>
      <c r="AI47" s="149" t="s">
        <v>104</v>
      </c>
      <c r="AJ47" s="150">
        <f>'6'!AJ46*275.3</f>
        <v>0</v>
      </c>
      <c r="AK47" s="149" t="s">
        <v>104</v>
      </c>
      <c r="AL47" s="150">
        <f>262.4*'6'!AL46</f>
        <v>0</v>
      </c>
      <c r="AM47" s="149" t="s">
        <v>104</v>
      </c>
      <c r="AN47" s="150">
        <f>'6'!AN46*277.7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'6'!Y46</f>
        <v>1.33</v>
      </c>
      <c r="AK48" s="160" t="s">
        <v>105</v>
      </c>
      <c r="AL48" s="154">
        <f>'6'!AJ48</f>
        <v>1.33</v>
      </c>
      <c r="AM48" s="160" t="s">
        <v>105</v>
      </c>
      <c r="AN48" s="154">
        <f>'6'!AJ48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'6'!AJ47*'6'!AJ48</f>
        <v>0</v>
      </c>
      <c r="AK49" s="149" t="s">
        <v>108</v>
      </c>
      <c r="AL49" s="150">
        <f>'6'!AL47*'6'!AL48</f>
        <v>0</v>
      </c>
      <c r="AM49" s="149" t="s">
        <v>108</v>
      </c>
      <c r="AN49" s="150">
        <f>'6'!AN47*'6'!AN48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COUNTA('6'!O7:O18)</f>
        <v>12</v>
      </c>
      <c r="P51" s="974">
        <f>COUNTA('6'!W17:W28)</f>
        <v>0</v>
      </c>
      <c r="R51" s="992">
        <f>COUNTIF('6'!O7:O18,"&gt;=0,5")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SUM('6'!Y53,'6'!AA53,'6'!AC53,'6'!AE53)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'6'!Y52*275.3</f>
        <v>0</v>
      </c>
      <c r="Z53" s="149" t="s">
        <v>104</v>
      </c>
      <c r="AA53" s="150">
        <f>262.4*'6'!AA52</f>
        <v>0</v>
      </c>
      <c r="AB53" s="149" t="s">
        <v>104</v>
      </c>
      <c r="AC53" s="150">
        <f>'6'!AC52*277.7</f>
        <v>0</v>
      </c>
      <c r="AD53" s="149" t="s">
        <v>104</v>
      </c>
      <c r="AE53" s="239">
        <v>0</v>
      </c>
      <c r="AF53" s="989"/>
      <c r="AG53" s="1002"/>
      <c r="AI53" s="144" t="s">
        <v>101</v>
      </c>
      <c r="AJ53" s="166">
        <v>0</v>
      </c>
      <c r="AK53" s="144" t="s">
        <v>101</v>
      </c>
      <c r="AL53" s="164"/>
      <c r="AM53" s="144" t="s">
        <v>101</v>
      </c>
      <c r="AN53" s="164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'6'!AS7</f>
        <v>1.377</v>
      </c>
      <c r="Z54" s="153" t="s">
        <v>105</v>
      </c>
      <c r="AA54" s="155">
        <f>'6'!Y54</f>
        <v>1.377</v>
      </c>
      <c r="AB54" s="153" t="s">
        <v>105</v>
      </c>
      <c r="AC54" s="155">
        <f>'6'!Y54</f>
        <v>1.377</v>
      </c>
      <c r="AD54" s="153" t="s">
        <v>105</v>
      </c>
      <c r="AE54" s="156">
        <f>'6'!Y54</f>
        <v>1.377</v>
      </c>
      <c r="AF54" s="995" t="s">
        <v>106</v>
      </c>
      <c r="AG54" s="996">
        <f>SUM('6'!Y55,'6'!AA55,'6'!AC55,'6'!AE55)</f>
        <v>0</v>
      </c>
      <c r="AI54" s="149" t="s">
        <v>104</v>
      </c>
      <c r="AJ54" s="150">
        <f>'6'!AJ53*275.3</f>
        <v>0</v>
      </c>
      <c r="AK54" s="149" t="s">
        <v>104</v>
      </c>
      <c r="AL54" s="150">
        <f>262.4*'6'!AL53</f>
        <v>0</v>
      </c>
      <c r="AM54" s="149" t="s">
        <v>104</v>
      </c>
      <c r="AN54" s="167">
        <f>'6'!AN53*277.7</f>
        <v>0</v>
      </c>
      <c r="AO54" s="994"/>
      <c r="AP54" s="994"/>
      <c r="AQ54" s="994"/>
      <c r="AR54" s="994"/>
    </row>
    <row r="55" spans="15:44" ht="18.7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'6'!Y53*'6'!Y54</f>
        <v>0</v>
      </c>
      <c r="Z55" s="149" t="s">
        <v>108</v>
      </c>
      <c r="AA55" s="150">
        <f>'6'!AA53*'6'!AA54</f>
        <v>0</v>
      </c>
      <c r="AB55" s="149" t="s">
        <v>108</v>
      </c>
      <c r="AC55" s="150">
        <f>'6'!AC53*'6'!AC54</f>
        <v>0</v>
      </c>
      <c r="AD55" s="149" t="s">
        <v>108</v>
      </c>
      <c r="AE55" s="150">
        <f>'6'!AE53*'6'!AE54</f>
        <v>0</v>
      </c>
      <c r="AF55" s="995"/>
      <c r="AG55" s="996"/>
      <c r="AI55" s="153" t="s">
        <v>105</v>
      </c>
      <c r="AJ55" s="154">
        <f>'6'!Y54</f>
        <v>1.377</v>
      </c>
      <c r="AK55" s="153" t="s">
        <v>105</v>
      </c>
      <c r="AL55" s="154">
        <f>'6'!AJ55</f>
        <v>1.377</v>
      </c>
      <c r="AM55" s="153" t="s">
        <v>105</v>
      </c>
      <c r="AN55" s="154">
        <f>'6'!AJ55</f>
        <v>1.377</v>
      </c>
      <c r="AO55" s="994"/>
      <c r="AP55" s="994"/>
      <c r="AQ55" s="994"/>
      <c r="AR55" s="994"/>
    </row>
    <row r="56" spans="15:44" ht="16.5" customHeight="1">
      <c r="O56" s="998"/>
      <c r="P56" s="998"/>
      <c r="R56" s="999"/>
      <c r="S56" s="999"/>
      <c r="T56" s="999"/>
      <c r="AI56" s="149" t="s">
        <v>108</v>
      </c>
      <c r="AJ56" s="150">
        <f>'6'!AJ54*'6'!AJ55</f>
        <v>0</v>
      </c>
      <c r="AK56" s="149" t="s">
        <v>108</v>
      </c>
      <c r="AL56" s="150">
        <f>'6'!AL54*'6'!AL55</f>
        <v>0</v>
      </c>
      <c r="AM56" s="149" t="s">
        <v>108</v>
      </c>
      <c r="AN56" s="150">
        <f>'6'!AN54*'6'!AN55</f>
        <v>0</v>
      </c>
      <c r="AO56" s="994"/>
      <c r="AP56" s="994"/>
      <c r="AQ56" s="994"/>
      <c r="AR56" s="994"/>
    </row>
    <row r="57" spans="15:44" ht="15.75" customHeight="1">
      <c r="O57" s="1003">
        <f>COUNTA('6'!N7:N18)</f>
        <v>12</v>
      </c>
      <c r="P57" s="1003"/>
      <c r="R57" s="1004">
        <f>COUNTIF('6'!N7:N18,"&gt;=6")</f>
        <v>12</v>
      </c>
      <c r="S57" s="1004"/>
      <c r="T57" s="1004"/>
      <c r="AE57" s="49"/>
    </row>
    <row r="58" spans="15:44" ht="16.5" customHeight="1">
      <c r="X58" s="1005" t="s">
        <v>116</v>
      </c>
      <c r="Y58" s="1005"/>
      <c r="Z58" s="1005"/>
      <c r="AA58" s="1005"/>
      <c r="AB58" s="1005"/>
      <c r="AC58" s="1005"/>
    </row>
    <row r="59" spans="15:44" ht="16.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6.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6.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'6'!AJ56+'6'!AL56+'6'!AN56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30004.800000000003</v>
      </c>
      <c r="AR62" s="1016"/>
    </row>
    <row r="63" spans="15:44" ht="15" customHeight="1">
      <c r="X63" s="170" t="s">
        <v>124</v>
      </c>
      <c r="Y63" s="171"/>
      <c r="Z63" s="1013"/>
      <c r="AA63" s="1013"/>
      <c r="AB63" s="172" t="s">
        <v>124</v>
      </c>
      <c r="AC63" s="173">
        <v>0</v>
      </c>
      <c r="AE63" s="49"/>
      <c r="AI63" s="1010" t="s">
        <v>125</v>
      </c>
      <c r="AJ63" s="1010"/>
      <c r="AK63" s="1010"/>
      <c r="AL63" s="1011">
        <f>'6'!AL61-'6'!AL62</f>
        <v>0</v>
      </c>
      <c r="AM63" s="1011"/>
      <c r="AN63" s="1010" t="s">
        <v>125</v>
      </c>
      <c r="AO63" s="1010"/>
      <c r="AP63" s="1010"/>
      <c r="AQ63" s="1011">
        <f>AQ61-AQ62</f>
        <v>-30004.800000000003</v>
      </c>
      <c r="AR63" s="1011"/>
    </row>
    <row r="64" spans="15:44" ht="15" customHeight="1">
      <c r="X64" s="170"/>
      <c r="Y64" s="171"/>
      <c r="Z64" s="1013"/>
      <c r="AA64" s="1013"/>
      <c r="AB64" s="240"/>
      <c r="AC64" s="173">
        <v>0</v>
      </c>
    </row>
    <row r="65" spans="24:29" ht="39" customHeight="1">
      <c r="X65" s="174" t="s">
        <v>126</v>
      </c>
      <c r="Y65" s="217">
        <f>'5'!$Y$68</f>
        <v>-11076.313666666665</v>
      </c>
      <c r="Z65" s="1013"/>
      <c r="AA65" s="1013"/>
      <c r="AB65" s="176" t="s">
        <v>126</v>
      </c>
      <c r="AC65" s="241">
        <f>'5'!$AC$68</f>
        <v>-510.75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178">
        <f>SUM('6'!AK38,'6'!AP38)</f>
        <v>1814.1083333333327</v>
      </c>
      <c r="Z67" s="1013"/>
      <c r="AA67" s="1013"/>
      <c r="AB67" s="172" t="s">
        <v>124</v>
      </c>
      <c r="AC67" s="169">
        <f>SUM('6'!AM38,'6'!AR38)</f>
        <v>567.5</v>
      </c>
    </row>
    <row r="68" spans="24:29" ht="15.75" customHeight="1">
      <c r="X68" s="170" t="s">
        <v>128</v>
      </c>
      <c r="Y68" s="179">
        <f>SUM('6'!Y63,'6'!Y65)-'6'!Y67</f>
        <v>-12890.421999999999</v>
      </c>
      <c r="Z68" s="1013"/>
      <c r="AA68" s="1013"/>
      <c r="AB68" s="172" t="s">
        <v>128</v>
      </c>
      <c r="AC68" s="180">
        <f>SUM('6'!AC63,'6'!AC65)-'6'!AC67-'6'!AC64</f>
        <v>-1078.25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conditionalFormatting sqref="O19">
    <cfRule type="cellIs" priority="4" operator="lessThan">
      <formula>2.5</formula>
    </cfRule>
    <cfRule type="cellIs" priority="5" operator="greaterThan">
      <formula>3</formula>
    </cfRule>
    <cfRule type="cellIs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O19" zoomScaleNormal="100" workbookViewId="0">
      <selection activeCell="K13" sqref="K13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51" t="s">
        <v>5</v>
      </c>
      <c r="E2" s="1051"/>
      <c r="F2" s="1051"/>
      <c r="G2" s="1051"/>
      <c r="H2" s="1051"/>
      <c r="I2" s="1051"/>
      <c r="J2" s="1051"/>
      <c r="K2" s="1051"/>
      <c r="L2" s="1051"/>
      <c r="M2" s="1051"/>
      <c r="N2" s="1051"/>
      <c r="O2" s="1051"/>
      <c r="P2" s="1051"/>
      <c r="Q2" s="1051"/>
      <c r="R2" s="1051"/>
      <c r="S2" s="1051"/>
      <c r="T2" s="1051"/>
      <c r="U2" s="1051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51"/>
      <c r="E3" s="1051"/>
      <c r="F3" s="1051"/>
      <c r="G3" s="1051"/>
      <c r="H3" s="1051"/>
      <c r="I3" s="1051"/>
      <c r="J3" s="1051"/>
      <c r="K3" s="1051"/>
      <c r="L3" s="1051"/>
      <c r="M3" s="1051"/>
      <c r="N3" s="1051"/>
      <c r="O3" s="1051"/>
      <c r="P3" s="1051"/>
      <c r="Q3" s="1051"/>
      <c r="R3" s="1051"/>
      <c r="S3" s="1051"/>
      <c r="T3" s="1051"/>
      <c r="U3" s="1051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52" t="s">
        <v>13</v>
      </c>
      <c r="U4" s="102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52"/>
      <c r="U5" s="102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3.9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8"/>
      <c r="V6" s="932"/>
      <c r="W6" s="932"/>
      <c r="X6" s="13">
        <v>4.1666666666666699E-2</v>
      </c>
      <c r="Y6" s="54">
        <v>2735</v>
      </c>
      <c r="Z6" s="182">
        <v>940</v>
      </c>
      <c r="AA6" s="15">
        <v>1</v>
      </c>
      <c r="AB6" s="58">
        <f>IF('6'!AA11=1,(('6'!Z11*'6'!$AS$6*'6'!$AT$6)/('6'!Y11*0.0036)),IF('6'!AA11=2,(('6'!Z11*'6'!$AS$7*'6'!$AT$7)/('6'!Y11*0.0036))))</f>
        <v>63.557426386855376</v>
      </c>
      <c r="AC6" s="58"/>
      <c r="AD6" s="18"/>
      <c r="AE6" s="183"/>
      <c r="AF6" s="184">
        <f>('7'!AE6/24)*0.454</f>
        <v>0</v>
      </c>
      <c r="AG6" s="19"/>
      <c r="AH6" s="184">
        <f>('7'!AG6/24)*0.454</f>
        <v>0</v>
      </c>
      <c r="AI6" s="19">
        <v>5200</v>
      </c>
      <c r="AJ6" s="184">
        <f>('7'!AI6/24)*0.454</f>
        <v>98.36666666666666</v>
      </c>
      <c r="AK6" s="21"/>
      <c r="AL6" s="185">
        <f>('7'!AK6/24)*0.454</f>
        <v>0</v>
      </c>
      <c r="AM6" s="21"/>
      <c r="AN6" s="185">
        <f>('7'!AM6/24)*0.454</f>
        <v>0</v>
      </c>
      <c r="AO6" s="21"/>
      <c r="AP6" s="185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6">
        <v>60</v>
      </c>
      <c r="C7" s="186">
        <v>10</v>
      </c>
      <c r="D7" s="186">
        <v>12.5</v>
      </c>
      <c r="E7" s="186">
        <v>2.5</v>
      </c>
      <c r="F7" s="186">
        <v>8.8000000000000007</v>
      </c>
      <c r="G7" s="186">
        <v>1.3</v>
      </c>
      <c r="H7" s="186">
        <v>1.7</v>
      </c>
      <c r="I7" s="186">
        <v>0.4</v>
      </c>
      <c r="J7" s="186">
        <v>0.4</v>
      </c>
      <c r="K7" s="186">
        <v>7.3</v>
      </c>
      <c r="L7" s="186">
        <v>6.7</v>
      </c>
      <c r="M7" s="186">
        <v>6.7</v>
      </c>
      <c r="N7" s="186">
        <v>6.5</v>
      </c>
      <c r="O7" s="186">
        <v>3</v>
      </c>
      <c r="P7" s="186"/>
      <c r="Q7" s="188"/>
      <c r="R7" s="37">
        <f>'6'!$Z$29</f>
        <v>940</v>
      </c>
      <c r="S7" s="187">
        <f>'6'!$AB$29</f>
        <v>64.382235405594699</v>
      </c>
      <c r="T7" s="37">
        <f>'6'!$Y$29</f>
        <v>2697</v>
      </c>
      <c r="U7" s="33" t="str">
        <f>IF('7'!AA6=1,'7'!AR6,'7'!AR7)</f>
        <v>S.A.L</v>
      </c>
      <c r="V7" s="945">
        <f>ESCALA!$C$8</f>
        <v>0</v>
      </c>
      <c r="W7" s="945"/>
      <c r="X7" s="13">
        <v>8.3333333333333301E-2</v>
      </c>
      <c r="Y7" s="54">
        <v>2703</v>
      </c>
      <c r="Z7" s="182">
        <v>940</v>
      </c>
      <c r="AA7" s="15">
        <v>1</v>
      </c>
      <c r="AB7" s="58">
        <f>IF('6'!AA12=1,(('6'!Z12*'6'!$AS$6*'6'!$AT$6)/('6'!Y12*0.0036)),IF('6'!AA12=2,(('6'!Z12*'6'!$AS$7*'6'!$AT$7)/('6'!Y12*0.0036))))</f>
        <v>63.371857258718585</v>
      </c>
      <c r="AC7" s="58"/>
      <c r="AD7" s="18"/>
      <c r="AE7" s="183"/>
      <c r="AF7" s="184">
        <f>('7'!AE7/24)*0.454</f>
        <v>0</v>
      </c>
      <c r="AG7" s="19"/>
      <c r="AH7" s="184">
        <f>('7'!AG7/24)*0.454</f>
        <v>0</v>
      </c>
      <c r="AI7" s="19">
        <v>5200</v>
      </c>
      <c r="AJ7" s="184">
        <f>('7'!AI7/24)*0.454</f>
        <v>98.36666666666666</v>
      </c>
      <c r="AK7" s="21"/>
      <c r="AL7" s="185">
        <f>('7'!AK7/24)*0.454</f>
        <v>0</v>
      </c>
      <c r="AM7" s="21"/>
      <c r="AN7" s="185">
        <f>('7'!AM7/24)*0.454</f>
        <v>0</v>
      </c>
      <c r="AO7" s="21"/>
      <c r="AP7" s="185">
        <f>('7'!AO7/24)*0.454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5" customHeight="1">
      <c r="A8" s="28">
        <v>8.3333333333333301E-2</v>
      </c>
      <c r="B8" s="186">
        <v>60</v>
      </c>
      <c r="C8" s="186">
        <v>10</v>
      </c>
      <c r="D8" s="186">
        <v>12.5</v>
      </c>
      <c r="E8" s="186">
        <v>2.5</v>
      </c>
      <c r="F8" s="186">
        <v>9</v>
      </c>
      <c r="G8" s="186">
        <v>1.4</v>
      </c>
      <c r="H8" s="186">
        <v>1.7</v>
      </c>
      <c r="I8" s="186">
        <v>0.4</v>
      </c>
      <c r="J8" s="186">
        <v>0.4</v>
      </c>
      <c r="K8" s="186">
        <v>7.3</v>
      </c>
      <c r="L8" s="186">
        <v>6.7</v>
      </c>
      <c r="M8" s="186">
        <v>6.7</v>
      </c>
      <c r="N8" s="186">
        <v>6.5</v>
      </c>
      <c r="O8" s="186">
        <v>3</v>
      </c>
      <c r="P8" s="186"/>
      <c r="Q8" s="188"/>
      <c r="R8" s="35">
        <f>Z7</f>
        <v>940</v>
      </c>
      <c r="S8" s="36">
        <f>AB7</f>
        <v>63.371857258718585</v>
      </c>
      <c r="T8" s="37">
        <f>Y7</f>
        <v>2703</v>
      </c>
      <c r="U8" s="33" t="str">
        <f>IF('7'!AA7=1,'7'!AR6,'7'!AR7)</f>
        <v>S.A.L</v>
      </c>
      <c r="V8" s="945"/>
      <c r="W8" s="945"/>
      <c r="X8" s="13">
        <v>0.125</v>
      </c>
      <c r="Y8" s="54">
        <v>2694</v>
      </c>
      <c r="Z8" s="182">
        <v>940</v>
      </c>
      <c r="AA8" s="15">
        <v>1</v>
      </c>
      <c r="AB8" s="58">
        <f>IF('6'!AA13=1,(('6'!Z13*'6'!$AS$6*'6'!$AT$6)/('6'!Y13*0.0036)),IF('6'!AA13=2,(('6'!Z13*'6'!$AS$7*'6'!$AT$7)/('6'!Y13*0.0036))))</f>
        <v>63.603988603988611</v>
      </c>
      <c r="AC8" s="58"/>
      <c r="AD8" s="18"/>
      <c r="AE8" s="183"/>
      <c r="AF8" s="184">
        <f>('7'!AE8/24)*0.454</f>
        <v>0</v>
      </c>
      <c r="AG8" s="19"/>
      <c r="AH8" s="184">
        <f>('7'!AG8/24)*0.454</f>
        <v>0</v>
      </c>
      <c r="AI8" s="19">
        <v>5200</v>
      </c>
      <c r="AJ8" s="184">
        <f>('7'!AI8/24)*0.454</f>
        <v>98.36666666666666</v>
      </c>
      <c r="AK8" s="21"/>
      <c r="AL8" s="185">
        <f>('7'!AK8/24)*0.454</f>
        <v>0</v>
      </c>
      <c r="AM8" s="21"/>
      <c r="AN8" s="185">
        <f>('7'!AM8/24)*0.454</f>
        <v>0</v>
      </c>
      <c r="AO8" s="21"/>
      <c r="AP8" s="185">
        <f>('7'!AO8/24)*0.454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60</v>
      </c>
      <c r="C9" s="186">
        <v>10</v>
      </c>
      <c r="D9" s="186">
        <v>12.5</v>
      </c>
      <c r="E9" s="186">
        <v>2.5</v>
      </c>
      <c r="F9" s="186">
        <v>9.1</v>
      </c>
      <c r="G9" s="186">
        <v>1.4</v>
      </c>
      <c r="H9" s="186">
        <v>1.6</v>
      </c>
      <c r="I9" s="186">
        <v>0.4</v>
      </c>
      <c r="J9" s="186">
        <v>0.5</v>
      </c>
      <c r="K9" s="186">
        <v>7.3</v>
      </c>
      <c r="L9" s="186">
        <v>6.7</v>
      </c>
      <c r="M9" s="186">
        <v>6.7</v>
      </c>
      <c r="N9" s="186">
        <v>6.5</v>
      </c>
      <c r="O9" s="186">
        <v>3.2</v>
      </c>
      <c r="P9" s="186"/>
      <c r="Q9" s="188"/>
      <c r="R9" s="37">
        <f>Z9</f>
        <v>940</v>
      </c>
      <c r="S9" s="36">
        <f>AB9</f>
        <v>63.767495001428166</v>
      </c>
      <c r="T9" s="37">
        <f>Y9</f>
        <v>2698</v>
      </c>
      <c r="U9" s="33" t="str">
        <f>IF('7'!AA9=1,'7'!AR6,'7'!AR7)</f>
        <v>S.A.L</v>
      </c>
      <c r="V9" s="945"/>
      <c r="W9" s="945"/>
      <c r="X9" s="13">
        <v>0.16666666666666699</v>
      </c>
      <c r="Y9" s="54">
        <v>2698</v>
      </c>
      <c r="Z9" s="182">
        <v>940</v>
      </c>
      <c r="AA9" s="15">
        <v>1</v>
      </c>
      <c r="AB9" s="58">
        <f>IF('6'!AA14=1,(('6'!Z14*'6'!$AS$6*'6'!$AT$6)/('6'!Y14*0.0036)),IF('6'!AA14=2,(('6'!Z14*'6'!$AS$7*'6'!$AT$7)/('6'!Y14*0.0036))))</f>
        <v>63.767495001428166</v>
      </c>
      <c r="AC9" s="58"/>
      <c r="AD9" s="18"/>
      <c r="AE9" s="183"/>
      <c r="AF9" s="184">
        <f>('7'!AE9/24)*0.454</f>
        <v>0</v>
      </c>
      <c r="AG9" s="19"/>
      <c r="AH9" s="184">
        <f>('7'!AG9/24)*0.454</f>
        <v>0</v>
      </c>
      <c r="AI9" s="19">
        <v>5200</v>
      </c>
      <c r="AJ9" s="184">
        <f>('7'!AI9/24)*0.454</f>
        <v>98.36666666666666</v>
      </c>
      <c r="AK9" s="21"/>
      <c r="AL9" s="185">
        <f>('7'!AK9/24)*0.454</f>
        <v>0</v>
      </c>
      <c r="AM9" s="21"/>
      <c r="AN9" s="185">
        <f>('7'!AM9/24)*0.454</f>
        <v>0</v>
      </c>
      <c r="AO9" s="21"/>
      <c r="AP9" s="185">
        <f>('7'!AO9/24)*0.454</f>
        <v>0</v>
      </c>
      <c r="AQ9" s="942" t="s">
        <v>37</v>
      </c>
      <c r="AR9" s="942"/>
      <c r="AS9" s="942"/>
      <c r="AT9" s="38" t="s">
        <v>39</v>
      </c>
    </row>
    <row r="10" spans="1:47" ht="15" customHeight="1">
      <c r="A10" s="28">
        <v>0.25</v>
      </c>
      <c r="B10" s="186">
        <v>60</v>
      </c>
      <c r="C10" s="186">
        <v>10</v>
      </c>
      <c r="D10" s="186">
        <v>12.5</v>
      </c>
      <c r="E10" s="186">
        <v>2.5</v>
      </c>
      <c r="F10" s="186">
        <v>9.1</v>
      </c>
      <c r="G10" s="186">
        <v>1.5</v>
      </c>
      <c r="H10" s="186">
        <v>1.6</v>
      </c>
      <c r="I10" s="186">
        <v>0.4</v>
      </c>
      <c r="J10" s="186">
        <v>0.5</v>
      </c>
      <c r="K10" s="186">
        <v>7.3</v>
      </c>
      <c r="L10" s="186">
        <v>6.7</v>
      </c>
      <c r="M10" s="186">
        <v>6.7</v>
      </c>
      <c r="N10" s="186">
        <v>6.5</v>
      </c>
      <c r="O10" s="186">
        <v>3.2</v>
      </c>
      <c r="P10" s="186"/>
      <c r="Q10" s="188"/>
      <c r="R10" s="37">
        <f>Z11</f>
        <v>940</v>
      </c>
      <c r="S10" s="36">
        <f>AB11</f>
        <v>63.557426386855376</v>
      </c>
      <c r="T10" s="37">
        <f>Y11</f>
        <v>2701</v>
      </c>
      <c r="U10" s="33" t="str">
        <f>IF('7'!AA11=1,'7'!AR6,'7'!AR7)</f>
        <v>S.A.L</v>
      </c>
      <c r="V10" s="945"/>
      <c r="W10" s="945"/>
      <c r="X10" s="13">
        <v>0.20833333333333301</v>
      </c>
      <c r="Y10" s="54">
        <v>2683</v>
      </c>
      <c r="Z10" s="182">
        <v>940</v>
      </c>
      <c r="AA10" s="15">
        <v>1</v>
      </c>
      <c r="AB10" s="58">
        <f>IF('6'!AA15=1,(('6'!Z15*'6'!$AS$6*'6'!$AT$6)/('6'!Y15*0.0036)),IF('6'!AA15=2,(('6'!Z15*'6'!$AS$7*'6'!$AT$7)/('6'!Y15*0.0036))))</f>
        <v>64.168103802250144</v>
      </c>
      <c r="AC10" s="58"/>
      <c r="AD10" s="18"/>
      <c r="AE10" s="183"/>
      <c r="AF10" s="184">
        <f>('7'!AE10/24)*0.454</f>
        <v>0</v>
      </c>
      <c r="AG10" s="19"/>
      <c r="AH10" s="184">
        <f>('7'!AG10/24)*0.454</f>
        <v>0</v>
      </c>
      <c r="AI10" s="19">
        <v>5200</v>
      </c>
      <c r="AJ10" s="184">
        <f>('7'!AI10/24)*0.454</f>
        <v>98.36666666666666</v>
      </c>
      <c r="AK10" s="21"/>
      <c r="AL10" s="185">
        <f>('7'!AK10/24)*0.454</f>
        <v>0</v>
      </c>
      <c r="AM10" s="21"/>
      <c r="AN10" s="185">
        <f>('7'!AM10/24)*0.454</f>
        <v>0</v>
      </c>
      <c r="AO10" s="21"/>
      <c r="AP10" s="185">
        <f>('7'!AO10/24)*0.454</f>
        <v>0</v>
      </c>
      <c r="AQ10" s="943" t="s">
        <v>51</v>
      </c>
      <c r="AR10" s="943"/>
      <c r="AS10" s="943"/>
      <c r="AT10" s="41">
        <v>2E-3</v>
      </c>
    </row>
    <row r="11" spans="1:47" ht="15" customHeight="1">
      <c r="A11" s="28">
        <v>0.33333333333333298</v>
      </c>
      <c r="B11" s="186">
        <v>60</v>
      </c>
      <c r="C11" s="186">
        <v>10</v>
      </c>
      <c r="D11" s="186">
        <v>12.5</v>
      </c>
      <c r="E11" s="186">
        <v>2.5</v>
      </c>
      <c r="F11" s="186">
        <v>8.8000000000000007</v>
      </c>
      <c r="G11" s="186">
        <v>1.5</v>
      </c>
      <c r="H11" s="186">
        <v>1.7</v>
      </c>
      <c r="I11" s="186">
        <v>0.4</v>
      </c>
      <c r="J11" s="186">
        <v>0.5</v>
      </c>
      <c r="K11" s="186">
        <v>7.3</v>
      </c>
      <c r="L11" s="186">
        <v>6.7</v>
      </c>
      <c r="M11" s="186">
        <v>6.7</v>
      </c>
      <c r="N11" s="186">
        <v>6.5</v>
      </c>
      <c r="O11" s="186">
        <v>3.2</v>
      </c>
      <c r="P11" s="186"/>
      <c r="Q11" s="188"/>
      <c r="R11" s="37">
        <f>Z13</f>
        <v>940</v>
      </c>
      <c r="S11" s="36">
        <f>AB13</f>
        <v>63.603988603988611</v>
      </c>
      <c r="T11" s="37">
        <f>Y13</f>
        <v>2733</v>
      </c>
      <c r="U11" s="33" t="str">
        <f>IF('7'!AA13=1,'7'!AR6,'7'!AR7)</f>
        <v>S.A.L</v>
      </c>
      <c r="V11" s="945"/>
      <c r="W11" s="945"/>
      <c r="X11" s="13">
        <v>0.25</v>
      </c>
      <c r="Y11" s="54">
        <v>2701</v>
      </c>
      <c r="Z11" s="182">
        <v>940</v>
      </c>
      <c r="AA11" s="15">
        <v>1</v>
      </c>
      <c r="AB11" s="58">
        <f>IF('6'!AA11=1,(('6'!Z11*'6'!$AS$6*'6'!$AT$6)/('6'!Y11*0.0036)),IF('6'!AA11=2,(('6'!Z11*'6'!$AS$7*'6'!$AT$7)/('6'!Y11*0.0036))))</f>
        <v>63.557426386855376</v>
      </c>
      <c r="AC11" s="58"/>
      <c r="AD11" s="18"/>
      <c r="AE11" s="183"/>
      <c r="AF11" s="184">
        <f>('7'!AE11/24)*0.454</f>
        <v>0</v>
      </c>
      <c r="AG11" s="19"/>
      <c r="AH11" s="184">
        <f>('7'!AG11/24)*0.454</f>
        <v>0</v>
      </c>
      <c r="AI11" s="19">
        <v>5200</v>
      </c>
      <c r="AJ11" s="184">
        <f>('7'!AI11/24)*0.454</f>
        <v>98.36666666666666</v>
      </c>
      <c r="AK11" s="21"/>
      <c r="AL11" s="185">
        <f>('7'!AK11/24)*0.454</f>
        <v>0</v>
      </c>
      <c r="AM11" s="21"/>
      <c r="AN11" s="185">
        <f>('7'!AM11/24)*0.454</f>
        <v>0</v>
      </c>
      <c r="AO11" s="21"/>
      <c r="AP11" s="185">
        <f>('7'!AO11/24)*0.454</f>
        <v>0</v>
      </c>
    </row>
    <row r="12" spans="1:47" ht="15" customHeight="1">
      <c r="A12" s="28">
        <v>0.41666666666666702</v>
      </c>
      <c r="B12" s="186">
        <v>60</v>
      </c>
      <c r="C12" s="186">
        <v>10</v>
      </c>
      <c r="D12" s="186">
        <v>12.5</v>
      </c>
      <c r="E12" s="186">
        <v>2.5</v>
      </c>
      <c r="F12" s="186">
        <v>8.6</v>
      </c>
      <c r="G12" s="186">
        <v>1.6</v>
      </c>
      <c r="H12" s="186">
        <v>1.8</v>
      </c>
      <c r="I12" s="186">
        <v>0.4</v>
      </c>
      <c r="J12" s="186">
        <v>0.5</v>
      </c>
      <c r="K12" s="186">
        <v>7.3</v>
      </c>
      <c r="L12" s="186">
        <v>6.7</v>
      </c>
      <c r="M12" s="186">
        <v>6.7</v>
      </c>
      <c r="N12" s="186">
        <v>6.5</v>
      </c>
      <c r="O12" s="186">
        <v>3.5</v>
      </c>
      <c r="P12" s="186"/>
      <c r="Q12" s="188"/>
      <c r="R12" s="37">
        <f>Z15</f>
        <v>940</v>
      </c>
      <c r="S12" s="36">
        <f>AB15</f>
        <v>64.168103802250144</v>
      </c>
      <c r="T12" s="37">
        <f>Y15</f>
        <v>2765</v>
      </c>
      <c r="U12" s="33" t="str">
        <f>IF('7'!AA15=1,'7'!AR6,'7'!AR7)</f>
        <v>S.A.L</v>
      </c>
      <c r="V12" s="945">
        <f>ESCALA!$B$9</f>
        <v>0</v>
      </c>
      <c r="W12" s="945"/>
      <c r="X12" s="13">
        <v>0.29166666666666702</v>
      </c>
      <c r="Y12" s="54">
        <v>2710</v>
      </c>
      <c r="Z12" s="182">
        <v>940</v>
      </c>
      <c r="AA12" s="15">
        <v>1</v>
      </c>
      <c r="AB12" s="58">
        <f>IF('6'!AA12=1,(('6'!Z12*'6'!$AS$6*'6'!$AT$6)/('6'!Y12*0.0036)),IF('6'!AA12=2,(('6'!Z12*'6'!$AS$7*'6'!$AT$7)/('6'!Y12*0.0036))))</f>
        <v>63.371857258718585</v>
      </c>
      <c r="AC12" s="58"/>
      <c r="AD12" s="18"/>
      <c r="AE12" s="183"/>
      <c r="AF12" s="184">
        <f>('7'!AE12/24)*0.454</f>
        <v>0</v>
      </c>
      <c r="AG12" s="19"/>
      <c r="AH12" s="184">
        <f>('7'!AG12/24)*0.454</f>
        <v>0</v>
      </c>
      <c r="AI12" s="19">
        <v>5200</v>
      </c>
      <c r="AJ12" s="184">
        <f>('7'!AI12/24)*0.454</f>
        <v>98.36666666666666</v>
      </c>
      <c r="AK12" s="21"/>
      <c r="AL12" s="185">
        <f>('7'!AK12/24)*0.454</f>
        <v>0</v>
      </c>
      <c r="AM12" s="21"/>
      <c r="AN12" s="185">
        <f>('7'!AM12/24)*0.454</f>
        <v>0</v>
      </c>
      <c r="AO12" s="21"/>
      <c r="AP12" s="185">
        <f>('7'!AO12/24)*0.454</f>
        <v>0</v>
      </c>
    </row>
    <row r="13" spans="1:47" ht="15" customHeight="1">
      <c r="A13" s="28">
        <v>0.5</v>
      </c>
      <c r="B13" s="186">
        <v>60</v>
      </c>
      <c r="C13" s="186">
        <v>10</v>
      </c>
      <c r="D13" s="186">
        <v>12.5</v>
      </c>
      <c r="E13" s="186">
        <v>2.5</v>
      </c>
      <c r="F13" s="186">
        <v>8.3000000000000007</v>
      </c>
      <c r="G13" s="186">
        <v>1.6</v>
      </c>
      <c r="H13" s="186">
        <v>1.7</v>
      </c>
      <c r="I13" s="186">
        <v>0.4</v>
      </c>
      <c r="J13" s="186">
        <v>0.5</v>
      </c>
      <c r="K13" s="186">
        <v>7.3</v>
      </c>
      <c r="L13" s="186">
        <v>6.74</v>
      </c>
      <c r="M13" s="186">
        <v>6.7</v>
      </c>
      <c r="N13" s="186">
        <v>6.5</v>
      </c>
      <c r="O13" s="186">
        <v>3.5</v>
      </c>
      <c r="P13" s="186"/>
      <c r="Q13" s="188"/>
      <c r="R13" s="37">
        <f>Z17</f>
        <v>940</v>
      </c>
      <c r="S13" s="36">
        <f>AB17</f>
        <v>61.2698972790716</v>
      </c>
      <c r="T13" s="37">
        <f>Y17</f>
        <v>2770</v>
      </c>
      <c r="U13" s="33" t="str">
        <f>IF('7'!AA17=1,'7'!AR6,'7'!AR7)</f>
        <v>S.A.L</v>
      </c>
      <c r="V13" s="945"/>
      <c r="W13" s="945"/>
      <c r="X13" s="13">
        <v>0.33333333333333298</v>
      </c>
      <c r="Y13" s="54">
        <v>2733</v>
      </c>
      <c r="Z13" s="182">
        <v>940</v>
      </c>
      <c r="AA13" s="15">
        <v>1</v>
      </c>
      <c r="AB13" s="58">
        <f>IF('6'!AA13=1,(('6'!Z13*'6'!$AS$6*'6'!$AT$6)/('6'!Y13*0.0036)),IF('6'!AA13=2,(('6'!Z13*'6'!$AS$7*'6'!$AT$7)/('6'!Y13*0.0036))))</f>
        <v>63.603988603988611</v>
      </c>
      <c r="AC13" s="58"/>
      <c r="AD13" s="18"/>
      <c r="AE13" s="183"/>
      <c r="AF13" s="184">
        <f>('7'!AE13/24)*0.454</f>
        <v>0</v>
      </c>
      <c r="AG13" s="19"/>
      <c r="AH13" s="184">
        <f>('7'!AG13/24)*0.454</f>
        <v>0</v>
      </c>
      <c r="AI13" s="19">
        <v>5200</v>
      </c>
      <c r="AJ13" s="184">
        <f>('7'!AI13/24)*0.454</f>
        <v>98.36666666666666</v>
      </c>
      <c r="AK13" s="21"/>
      <c r="AL13" s="185">
        <f>('7'!AK13/24)*0.454</f>
        <v>0</v>
      </c>
      <c r="AM13" s="21"/>
      <c r="AN13" s="185">
        <f>('7'!AM13/24)*0.454</f>
        <v>0</v>
      </c>
      <c r="AO13" s="21"/>
      <c r="AP13" s="185">
        <f>('7'!AO13/24)*0.454</f>
        <v>0</v>
      </c>
    </row>
    <row r="14" spans="1:47" ht="15" customHeight="1">
      <c r="A14" s="28">
        <v>0.58333333333333304</v>
      </c>
      <c r="B14" s="186">
        <v>60</v>
      </c>
      <c r="C14" s="186">
        <v>10</v>
      </c>
      <c r="D14" s="186">
        <v>12.5</v>
      </c>
      <c r="E14" s="186">
        <v>2.5</v>
      </c>
      <c r="F14" s="186">
        <v>8.6</v>
      </c>
      <c r="G14" s="186">
        <v>1.6</v>
      </c>
      <c r="H14" s="186">
        <v>1.8</v>
      </c>
      <c r="I14" s="186">
        <v>0.4</v>
      </c>
      <c r="J14" s="186">
        <v>0.5</v>
      </c>
      <c r="K14" s="186">
        <v>7.3</v>
      </c>
      <c r="L14" s="186">
        <v>6.7</v>
      </c>
      <c r="M14" s="186">
        <v>6.7</v>
      </c>
      <c r="N14" s="186">
        <v>6.5</v>
      </c>
      <c r="O14" s="186">
        <v>3.5</v>
      </c>
      <c r="P14" s="186"/>
      <c r="Q14" s="188"/>
      <c r="R14" s="37">
        <f>Z19</f>
        <v>940</v>
      </c>
      <c r="S14" s="36">
        <f>AB19</f>
        <v>63.325634168084939</v>
      </c>
      <c r="T14" s="37">
        <f>Y19</f>
        <v>2702</v>
      </c>
      <c r="U14" s="33" t="str">
        <f>IF('7'!AA19=1,'7'!AR6,'7'!AR7)</f>
        <v>S.A.L</v>
      </c>
      <c r="V14" s="945"/>
      <c r="W14" s="945"/>
      <c r="X14" s="13">
        <v>0.375</v>
      </c>
      <c r="Y14" s="183">
        <v>2759</v>
      </c>
      <c r="Z14" s="182">
        <v>940</v>
      </c>
      <c r="AA14" s="15">
        <v>1</v>
      </c>
      <c r="AB14" s="58">
        <f>IF('6'!AA14=1,(('6'!Z14*'6'!$AS$6*'6'!$AT$6)/('6'!Y14*0.0036)),IF('6'!AA14=2,(('6'!Z14*'6'!$AS$7*'6'!$AT$7)/('6'!Y14*0.0036))))</f>
        <v>63.767495001428166</v>
      </c>
      <c r="AC14" s="58"/>
      <c r="AD14" s="18"/>
      <c r="AE14" s="183"/>
      <c r="AF14" s="184">
        <f>('7'!AE14/24)*0.454</f>
        <v>0</v>
      </c>
      <c r="AG14" s="19"/>
      <c r="AH14" s="184">
        <f>('7'!AG14/24)*0.454</f>
        <v>0</v>
      </c>
      <c r="AI14" s="19">
        <v>5200</v>
      </c>
      <c r="AJ14" s="184">
        <f>('7'!AI14/24)*0.454</f>
        <v>98.36666666666666</v>
      </c>
      <c r="AK14" s="21"/>
      <c r="AL14" s="185">
        <f>('7'!AK14/24)*0.454</f>
        <v>0</v>
      </c>
      <c r="AM14" s="21"/>
      <c r="AN14" s="185">
        <f>('7'!AM14/24)*0.454</f>
        <v>0</v>
      </c>
      <c r="AO14" s="21"/>
      <c r="AP14" s="185">
        <f>('7'!AO14/24)*0.454</f>
        <v>0</v>
      </c>
    </row>
    <row r="15" spans="1:47" ht="15" customHeight="1">
      <c r="A15" s="28">
        <v>0.66666666666666696</v>
      </c>
      <c r="B15" s="186">
        <v>60</v>
      </c>
      <c r="C15" s="186">
        <v>10</v>
      </c>
      <c r="D15" s="186">
        <v>12.5</v>
      </c>
      <c r="E15" s="186">
        <v>2.5</v>
      </c>
      <c r="F15" s="186">
        <v>8.4</v>
      </c>
      <c r="G15" s="186">
        <v>1.5</v>
      </c>
      <c r="H15" s="186">
        <v>1.6</v>
      </c>
      <c r="I15" s="186">
        <v>0.4</v>
      </c>
      <c r="J15" s="186">
        <v>0.5</v>
      </c>
      <c r="K15" s="186">
        <v>7.3</v>
      </c>
      <c r="L15" s="186">
        <v>6.7</v>
      </c>
      <c r="M15" s="186">
        <v>6.7</v>
      </c>
      <c r="N15" s="186">
        <v>6.5</v>
      </c>
      <c r="O15" s="186">
        <v>3.5</v>
      </c>
      <c r="P15" s="186"/>
      <c r="Q15" s="188"/>
      <c r="R15" s="37">
        <f>Z21</f>
        <v>940</v>
      </c>
      <c r="S15" s="36">
        <f>AB21</f>
        <v>61.793198892843023</v>
      </c>
      <c r="T15" s="37">
        <f>Y21</f>
        <v>2715</v>
      </c>
      <c r="U15" s="33" t="str">
        <f>IF('7'!AA21=1,'7'!AR6,'7'!AR7)</f>
        <v>S.A.L</v>
      </c>
      <c r="V15" s="945"/>
      <c r="W15" s="945"/>
      <c r="X15" s="13">
        <v>0.41666666666666702</v>
      </c>
      <c r="Y15" s="54">
        <v>2765</v>
      </c>
      <c r="Z15" s="182">
        <v>940</v>
      </c>
      <c r="AA15" s="15">
        <v>1</v>
      </c>
      <c r="AB15" s="58">
        <f>IF('6'!AA15=1,(('6'!Z15*'6'!$AS$6*'6'!$AT$6)/('6'!Y15*0.0036)),IF('6'!AA15=2,(('6'!Z15*'6'!$AS$7*'6'!$AT$7)/('6'!Y15*0.0036))))</f>
        <v>64.168103802250144</v>
      </c>
      <c r="AC15" s="58"/>
      <c r="AD15" s="18"/>
      <c r="AE15" s="183"/>
      <c r="AF15" s="184">
        <f>('7'!AE15/24)*0.454</f>
        <v>0</v>
      </c>
      <c r="AG15" s="19"/>
      <c r="AH15" s="184">
        <f>('7'!AG15/24)*0.454</f>
        <v>0</v>
      </c>
      <c r="AI15" s="19">
        <v>5200</v>
      </c>
      <c r="AJ15" s="184">
        <f>('7'!AI15/24)*0.454</f>
        <v>98.36666666666666</v>
      </c>
      <c r="AK15" s="21"/>
      <c r="AL15" s="185">
        <f>('7'!AK15/24)*0.454</f>
        <v>0</v>
      </c>
      <c r="AM15" s="21"/>
      <c r="AN15" s="185">
        <f>('7'!AM15/24)*0.454</f>
        <v>0</v>
      </c>
      <c r="AO15" s="21"/>
      <c r="AP15" s="185">
        <f>('7'!AO15/24)*0.454</f>
        <v>0</v>
      </c>
    </row>
    <row r="16" spans="1:47" ht="15" customHeight="1">
      <c r="A16" s="28">
        <v>0.75</v>
      </c>
      <c r="B16" s="186">
        <v>60</v>
      </c>
      <c r="C16" s="186">
        <v>10</v>
      </c>
      <c r="D16" s="186">
        <v>12.5</v>
      </c>
      <c r="E16" s="186">
        <v>2.5</v>
      </c>
      <c r="F16" s="186">
        <v>8.6</v>
      </c>
      <c r="G16" s="186">
        <v>1.4</v>
      </c>
      <c r="H16" s="186">
        <v>1.5</v>
      </c>
      <c r="I16" s="186">
        <v>0.4</v>
      </c>
      <c r="J16" s="186">
        <v>0.5</v>
      </c>
      <c r="K16" s="186">
        <v>7.3</v>
      </c>
      <c r="L16" s="186">
        <v>6.7</v>
      </c>
      <c r="M16" s="186">
        <v>6.7</v>
      </c>
      <c r="N16" s="186">
        <v>6.5</v>
      </c>
      <c r="O16" s="186">
        <v>3.5</v>
      </c>
      <c r="P16" s="186"/>
      <c r="Q16" s="188"/>
      <c r="R16" s="37">
        <f>Z23</f>
        <v>940</v>
      </c>
      <c r="S16" s="36">
        <f>AB23</f>
        <v>62.392701720764961</v>
      </c>
      <c r="T16" s="37">
        <f>Y23</f>
        <v>2715</v>
      </c>
      <c r="U16" s="33" t="str">
        <f>IF('7'!AA23=1,'7'!AR6,'7'!AR7)</f>
        <v>S.A.L</v>
      </c>
      <c r="V16" s="945"/>
      <c r="W16" s="945"/>
      <c r="X16" s="13">
        <v>0.45833333333333298</v>
      </c>
      <c r="Y16" s="54">
        <v>2555</v>
      </c>
      <c r="Z16" s="182">
        <v>940</v>
      </c>
      <c r="AA16" s="15">
        <v>1</v>
      </c>
      <c r="AB16" s="58">
        <f>IF('6'!AA16=1,(('6'!Z16*'6'!$AS$6*'6'!$AT$6)/('6'!Y16*0.0036)),IF('6'!AA16=2,(('6'!Z16*'6'!$AS$7*'6'!$AT$7)/('6'!Y16*0.0036))))</f>
        <v>62.392701720764961</v>
      </c>
      <c r="AC16" s="58"/>
      <c r="AD16" s="18"/>
      <c r="AE16" s="183"/>
      <c r="AF16" s="184">
        <f>('7'!AE16/24)*0.454</f>
        <v>0</v>
      </c>
      <c r="AG16" s="19"/>
      <c r="AH16" s="184">
        <f>('7'!AG16/24)*0.454</f>
        <v>0</v>
      </c>
      <c r="AI16" s="19">
        <v>5200</v>
      </c>
      <c r="AJ16" s="184">
        <f>('7'!AI16/24)*0.454</f>
        <v>98.36666666666666</v>
      </c>
      <c r="AK16" s="21"/>
      <c r="AL16" s="185">
        <f>('7'!AK16/24)*0.454</f>
        <v>0</v>
      </c>
      <c r="AM16" s="21"/>
      <c r="AN16" s="185">
        <f>('7'!AM16/24)*0.454</f>
        <v>0</v>
      </c>
      <c r="AO16" s="21"/>
      <c r="AP16" s="185">
        <f>('7'!AO16/24)*0.454</f>
        <v>0</v>
      </c>
    </row>
    <row r="17" spans="1:42" ht="15" customHeight="1">
      <c r="A17" s="28">
        <v>0.83333333333333304</v>
      </c>
      <c r="B17" s="186">
        <v>60</v>
      </c>
      <c r="C17" s="186">
        <v>10</v>
      </c>
      <c r="D17" s="186">
        <v>10</v>
      </c>
      <c r="E17" s="186">
        <v>2.5</v>
      </c>
      <c r="F17" s="186">
        <v>7.5</v>
      </c>
      <c r="G17" s="186">
        <v>1.3</v>
      </c>
      <c r="H17" s="186">
        <v>1.3</v>
      </c>
      <c r="I17" s="186">
        <v>0.4</v>
      </c>
      <c r="J17" s="186">
        <v>0.4</v>
      </c>
      <c r="K17" s="186">
        <v>7.3</v>
      </c>
      <c r="L17" s="186">
        <v>6.6</v>
      </c>
      <c r="M17" s="186">
        <v>6.6</v>
      </c>
      <c r="N17" s="186">
        <v>6.3</v>
      </c>
      <c r="O17" s="186">
        <v>3.5</v>
      </c>
      <c r="P17" s="186"/>
      <c r="Q17" s="188"/>
      <c r="R17" s="37">
        <f>Z25</f>
        <v>940</v>
      </c>
      <c r="S17" s="36">
        <f>AB25</f>
        <v>62.798874824191287</v>
      </c>
      <c r="T17" s="37">
        <f>Y25</f>
        <v>2749</v>
      </c>
      <c r="U17" s="33" t="str">
        <f>IF('7'!AA25=1,'7'!AR6,'7'!AR7)</f>
        <v>S.A.L</v>
      </c>
      <c r="V17" s="945">
        <f>ESCALA!$C$9</f>
        <v>0</v>
      </c>
      <c r="W17" s="945"/>
      <c r="X17" s="13">
        <v>0.5</v>
      </c>
      <c r="Y17" s="54">
        <v>2770</v>
      </c>
      <c r="Z17" s="182">
        <v>940</v>
      </c>
      <c r="AA17" s="15">
        <v>1</v>
      </c>
      <c r="AB17" s="58">
        <f>IF('6'!AA17=1,(('6'!Z17*'6'!$AS$6*'6'!$AT$6)/('6'!Y17*0.0036)),IF('6'!AA17=2,(('6'!Z17*'6'!$AS$7*'6'!$AT$7)/('6'!Y17*0.0036))))</f>
        <v>61.2698972790716</v>
      </c>
      <c r="AC17" s="58"/>
      <c r="AD17" s="18"/>
      <c r="AE17" s="183"/>
      <c r="AF17" s="184">
        <f>('7'!AE17/24)*0.454</f>
        <v>0</v>
      </c>
      <c r="AG17" s="19"/>
      <c r="AH17" s="184">
        <f>('7'!AG17/24)*0.454</f>
        <v>0</v>
      </c>
      <c r="AI17" s="19">
        <v>5200</v>
      </c>
      <c r="AJ17" s="184">
        <f>('7'!AI17/24)*0.454</f>
        <v>98.36666666666666</v>
      </c>
      <c r="AK17" s="21"/>
      <c r="AL17" s="185">
        <f>('7'!AK17/24)*0.454</f>
        <v>0</v>
      </c>
      <c r="AM17" s="21"/>
      <c r="AN17" s="185">
        <f>('7'!AM17/24)*0.454</f>
        <v>0</v>
      </c>
      <c r="AO17" s="21"/>
      <c r="AP17" s="185">
        <f>('7'!AO17/24)*0.454</f>
        <v>0</v>
      </c>
    </row>
    <row r="18" spans="1:42" ht="15" customHeight="1">
      <c r="A18" s="28">
        <v>0.91666666666666696</v>
      </c>
      <c r="B18" s="186">
        <v>60</v>
      </c>
      <c r="C18" s="186">
        <v>10</v>
      </c>
      <c r="D18" s="186">
        <v>10</v>
      </c>
      <c r="E18" s="186">
        <v>2.5</v>
      </c>
      <c r="F18" s="186">
        <v>7.5</v>
      </c>
      <c r="G18" s="186">
        <v>1.3</v>
      </c>
      <c r="H18" s="186">
        <v>1.3</v>
      </c>
      <c r="I18" s="186">
        <v>0.4</v>
      </c>
      <c r="J18" s="186">
        <v>0.4</v>
      </c>
      <c r="K18" s="186">
        <v>7.3</v>
      </c>
      <c r="L18" s="186">
        <v>6.6</v>
      </c>
      <c r="M18" s="186">
        <v>6.6</v>
      </c>
      <c r="N18" s="186">
        <v>6.3</v>
      </c>
      <c r="O18" s="186">
        <v>3.3</v>
      </c>
      <c r="P18" s="186"/>
      <c r="Q18" s="188"/>
      <c r="R18" s="37">
        <f>Z27</f>
        <v>940</v>
      </c>
      <c r="S18" s="36">
        <f>AB27</f>
        <v>63.58069897066602</v>
      </c>
      <c r="T18" s="37">
        <f>Y27</f>
        <v>2725</v>
      </c>
      <c r="U18" s="33" t="str">
        <f>IF('7'!AA27=1,'7'!AR6,'7'!AR7)</f>
        <v>S.A.L</v>
      </c>
      <c r="V18" s="945"/>
      <c r="W18" s="945"/>
      <c r="X18" s="13">
        <v>0.54166666666666696</v>
      </c>
      <c r="Y18" s="54">
        <v>2771</v>
      </c>
      <c r="Z18" s="182">
        <v>940</v>
      </c>
      <c r="AA18" s="15">
        <v>1</v>
      </c>
      <c r="AB18" s="58">
        <f>IF('6'!AA18=1,(('6'!Z18*'6'!$AS$6*'6'!$AT$6)/('6'!Y18*0.0036)),IF('6'!AA18=2,(('6'!Z18*'6'!$AS$7*'6'!$AT$7)/('6'!Y18*0.0036))))</f>
        <v>63.650619094167482</v>
      </c>
      <c r="AC18" s="58"/>
      <c r="AD18" s="18"/>
      <c r="AE18" s="183"/>
      <c r="AF18" s="184">
        <f>('7'!AE18/24)*0.454</f>
        <v>0</v>
      </c>
      <c r="AG18" s="19"/>
      <c r="AH18" s="184">
        <f>('7'!AG18/24)*0.454</f>
        <v>0</v>
      </c>
      <c r="AI18" s="19">
        <v>5200</v>
      </c>
      <c r="AJ18" s="184">
        <f>('7'!AI18/24)*0.454</f>
        <v>98.36666666666666</v>
      </c>
      <c r="AK18" s="21"/>
      <c r="AL18" s="185">
        <f>('7'!AK18/24)*0.454</f>
        <v>0</v>
      </c>
      <c r="AM18" s="21"/>
      <c r="AN18" s="185">
        <f>('7'!AM18/24)*0.454</f>
        <v>0</v>
      </c>
      <c r="AO18" s="21"/>
      <c r="AP18" s="185">
        <f>('7'!AO18/24)*0.454</f>
        <v>0</v>
      </c>
    </row>
    <row r="19" spans="1:42" ht="13.9" customHeight="1">
      <c r="A19" s="10" t="s">
        <v>52</v>
      </c>
      <c r="B19" s="69">
        <f t="array" ref="B19">IF('7'!B7:B18&gt;0.01,AVERAGE('7'!B7:B18),"")</f>
        <v>60</v>
      </c>
      <c r="C19" s="69">
        <f t="array" ref="C19">IF('7'!C7:C18&gt;0.01,AVERAGE('7'!C7:C18),"")</f>
        <v>10</v>
      </c>
      <c r="D19" s="69">
        <f t="array" ref="D19">IF('7'!D7:D18&gt;0.01,AVERAGE('7'!D7:D18),"")</f>
        <v>12.083333333333334</v>
      </c>
      <c r="E19" s="69">
        <f t="array" ref="E19">IF('7'!E7:E18&gt;0.01,AVERAGE('7'!E7:E18),"")</f>
        <v>2.5</v>
      </c>
      <c r="F19" s="69">
        <f t="array" ref="F19">IF('7'!F7:F18&gt;0.01,AVERAGE('7'!F7:F18),"")</f>
        <v>8.5250000000000004</v>
      </c>
      <c r="G19" s="69">
        <f t="array" ref="G19">IF('7'!G7:G18&gt;0.01,AVERAGE('7'!G7:G18),"")</f>
        <v>1.45</v>
      </c>
      <c r="H19" s="69">
        <f t="array" ref="H19">IF('7'!H7:H18&gt;0.01,AVERAGE('7'!H7:H18),"")</f>
        <v>1.6083333333333334</v>
      </c>
      <c r="I19" s="69">
        <f t="array" ref="I19">IF('7'!I7:I18&gt;0.01,AVERAGE('7'!I7:I18),"")</f>
        <v>0.39999999999999997</v>
      </c>
      <c r="J19" s="69">
        <f t="array" ref="J19">IF('7'!J7:J18&gt;0.01,AVERAGE('7'!J7:J18),"")</f>
        <v>0.46666666666666673</v>
      </c>
      <c r="K19" s="69">
        <f t="array" ref="K19">IF('7'!K7:K18&gt;0.01,AVERAGE('7'!K7:K18),"")</f>
        <v>7.299999999999998</v>
      </c>
      <c r="L19" s="69">
        <f t="array" ref="L19">IF('7'!L7:L18&gt;0.01,AVERAGE('7'!L7:L18),"")</f>
        <v>6.6866666666666665</v>
      </c>
      <c r="M19" s="69">
        <f t="array" ref="M19">IF('7'!M7:M18&gt;0.01,AVERAGE('7'!M7:M18),"")</f>
        <v>6.6833333333333336</v>
      </c>
      <c r="N19" s="69">
        <f t="array" ref="N19">IF('7'!N7:N18&gt;0.01,AVERAGE('7'!N7:N18),"")</f>
        <v>6.4666666666666659</v>
      </c>
      <c r="O19" s="69">
        <f t="array" ref="O19">IF('7'!O7:O18&gt;0.01,AVERAGE('7'!O7:O18),"")</f>
        <v>3.3249999999999993</v>
      </c>
      <c r="P19" s="69" t="str">
        <f t="array" ref="P19">IF('7'!P7:P18&gt;0.01,AVERAGE('7'!P7:P18),"")</f>
        <v/>
      </c>
      <c r="Q19" s="69" t="str">
        <f t="array" ref="Q19">IF('7'!Q7:Q18&gt;0.01,AVERAGE('7'!Q7:Q18),"")</f>
        <v/>
      </c>
      <c r="R19" s="69">
        <f t="array" ref="R19">IF('7'!R7:R18&gt;0.01,AVERAGE('7'!R7:R18),"")</f>
        <v>940</v>
      </c>
      <c r="S19" s="69">
        <f t="array" ref="S19">IF('7'!S7:S18&gt;0.01,AVERAGE('7'!S7:S18),"")</f>
        <v>63.167676026204788</v>
      </c>
      <c r="T19" s="946"/>
      <c r="U19" s="946"/>
      <c r="V19" s="49"/>
      <c r="W19" s="50"/>
      <c r="X19" s="13">
        <v>0.58333333333333304</v>
      </c>
      <c r="Y19" s="54">
        <v>2702</v>
      </c>
      <c r="Z19" s="182">
        <v>940</v>
      </c>
      <c r="AA19" s="15">
        <v>1</v>
      </c>
      <c r="AB19" s="58">
        <f>IF('6'!AA19=1,(('6'!Z19*'6'!$AS$6*'6'!$AT$6)/('6'!Y19*0.0036)),IF('6'!AA19=2,(('6'!Z19*'6'!$AS$7*'6'!$AT$7)/('6'!Y19*0.0036))))</f>
        <v>63.325634168084939</v>
      </c>
      <c r="AC19" s="58"/>
      <c r="AD19" s="18"/>
      <c r="AE19" s="183"/>
      <c r="AF19" s="184">
        <f>('7'!AE19/24)*0.454</f>
        <v>0</v>
      </c>
      <c r="AG19" s="19"/>
      <c r="AH19" s="184">
        <f>('7'!AG19/24)*0.454</f>
        <v>0</v>
      </c>
      <c r="AI19" s="19">
        <v>5200</v>
      </c>
      <c r="AJ19" s="184">
        <f>('7'!AI19/24)*0.454</f>
        <v>98.36666666666666</v>
      </c>
      <c r="AK19" s="21"/>
      <c r="AL19" s="185">
        <f>('7'!AK19/24)*0.454</f>
        <v>0</v>
      </c>
      <c r="AM19" s="21"/>
      <c r="AN19" s="185">
        <f>('7'!AM19/24)*0.454</f>
        <v>0</v>
      </c>
      <c r="AO19" s="21"/>
      <c r="AP19" s="185">
        <f>('7'!AO19/24)*0.454</f>
        <v>0</v>
      </c>
    </row>
    <row r="20" spans="1:42" ht="14.85" customHeight="1">
      <c r="A20" s="10" t="s">
        <v>53</v>
      </c>
      <c r="B20" s="189">
        <f>MAX('7'!B7:B18)</f>
        <v>60</v>
      </c>
      <c r="C20" s="69">
        <f>MAX('7'!C7:C18)</f>
        <v>10</v>
      </c>
      <c r="D20" s="69">
        <f>MAX('7'!D7:D18)</f>
        <v>12.5</v>
      </c>
      <c r="E20" s="69">
        <f>MAX('7'!E7:E18)</f>
        <v>2.5</v>
      </c>
      <c r="F20" s="69">
        <f>MAX('7'!F7:F18)</f>
        <v>9.1</v>
      </c>
      <c r="G20" s="69">
        <f>MAX('7'!G7:G18)</f>
        <v>1.6</v>
      </c>
      <c r="H20" s="69">
        <f>MAX('7'!H7:H18)</f>
        <v>1.8</v>
      </c>
      <c r="I20" s="69">
        <f>MAX('7'!I7:I18)</f>
        <v>0.4</v>
      </c>
      <c r="J20" s="69">
        <f>MAX('7'!J7:J18)</f>
        <v>0.5</v>
      </c>
      <c r="K20" s="69">
        <f>MAX('7'!K7:K18)</f>
        <v>7.3</v>
      </c>
      <c r="L20" s="69">
        <f>MAX('7'!L7:L18)</f>
        <v>6.74</v>
      </c>
      <c r="M20" s="69">
        <f>MAX('7'!M7:M18)</f>
        <v>6.7</v>
      </c>
      <c r="N20" s="69">
        <f>MAX('7'!N7:N18)</f>
        <v>6.5</v>
      </c>
      <c r="O20" s="70">
        <f>MAX('7'!O7:O18)</f>
        <v>3.5</v>
      </c>
      <c r="P20" s="70">
        <f>MAX('7'!P7:P18)</f>
        <v>0</v>
      </c>
      <c r="Q20" s="70">
        <f>MAX('7'!Q7:Q18)</f>
        <v>0</v>
      </c>
      <c r="R20" s="70">
        <f>MAX('7'!R7:R18)</f>
        <v>940</v>
      </c>
      <c r="S20" s="70">
        <f>MAX('7'!S7:S18)</f>
        <v>64.382235405594699</v>
      </c>
      <c r="T20" s="946"/>
      <c r="U20" s="946"/>
      <c r="X20" s="13">
        <v>0.625</v>
      </c>
      <c r="Y20" s="54">
        <v>2761</v>
      </c>
      <c r="Z20" s="182">
        <v>940</v>
      </c>
      <c r="AA20" s="15">
        <v>1</v>
      </c>
      <c r="AB20" s="58">
        <f>IF('6'!AA20=1,(('6'!Z20*'6'!$AS$6*'6'!$AT$6)/('6'!Y20*0.0036)),IF('6'!AA20=2,(('6'!Z20*'6'!$AS$7*'6'!$AT$7)/('6'!Y20*0.0036))))</f>
        <v>61.815197183655719</v>
      </c>
      <c r="AC20" s="58"/>
      <c r="AD20" s="18"/>
      <c r="AE20" s="183"/>
      <c r="AF20" s="184">
        <f>('7'!AE20/24)*0.454</f>
        <v>0</v>
      </c>
      <c r="AG20" s="19"/>
      <c r="AH20" s="184">
        <f>('7'!AG20/24)*0.454</f>
        <v>0</v>
      </c>
      <c r="AI20" s="19">
        <v>5200</v>
      </c>
      <c r="AJ20" s="184">
        <f>('7'!AI20/24)*0.454</f>
        <v>98.36666666666666</v>
      </c>
      <c r="AK20" s="21"/>
      <c r="AL20" s="185">
        <f>('7'!AK20/24)*0.454</f>
        <v>0</v>
      </c>
      <c r="AM20" s="21"/>
      <c r="AN20" s="185">
        <f>('7'!AM20/24)*0.454</f>
        <v>0</v>
      </c>
      <c r="AO20" s="21"/>
      <c r="AP20" s="185">
        <f>('7'!AO20/24)*0.454</f>
        <v>0</v>
      </c>
    </row>
    <row r="21" spans="1:42" ht="14.85" customHeight="1">
      <c r="A21" s="10" t="s">
        <v>54</v>
      </c>
      <c r="B21" s="189">
        <f>MIN('7'!B7:B18)</f>
        <v>60</v>
      </c>
      <c r="C21" s="69">
        <f>MIN('7'!C7:C18)</f>
        <v>10</v>
      </c>
      <c r="D21" s="69">
        <f>MIN('7'!D7:D18)</f>
        <v>10</v>
      </c>
      <c r="E21" s="69">
        <f>MIN('7'!E7:E18)</f>
        <v>2.5</v>
      </c>
      <c r="F21" s="69">
        <f>MIN('7'!F7:F18)</f>
        <v>7.5</v>
      </c>
      <c r="G21" s="192">
        <f>MIN('7'!G7:G18)</f>
        <v>1.3</v>
      </c>
      <c r="H21" s="192">
        <f>MIN('7'!H7:H18)</f>
        <v>1.3</v>
      </c>
      <c r="I21" s="192">
        <f>MIN('7'!I7:I18)</f>
        <v>0.4</v>
      </c>
      <c r="J21" s="192">
        <f>MIN('7'!J7:J18)</f>
        <v>0.4</v>
      </c>
      <c r="K21" s="192">
        <f>MIN('7'!K7:K18)</f>
        <v>7.3</v>
      </c>
      <c r="L21" s="192">
        <f>MIN('7'!L7:L18)</f>
        <v>6.6</v>
      </c>
      <c r="M21" s="192">
        <f>MIN('7'!M7:M18)</f>
        <v>6.6</v>
      </c>
      <c r="N21" s="192">
        <f>MIN('7'!N7:N18)</f>
        <v>6.3</v>
      </c>
      <c r="O21" s="193">
        <f>MIN('7'!O7:O18)</f>
        <v>3</v>
      </c>
      <c r="P21" s="193">
        <f>MIN('7'!P7:P18)</f>
        <v>0</v>
      </c>
      <c r="Q21" s="193">
        <f>MIN('7'!Q7:Q18)</f>
        <v>0</v>
      </c>
      <c r="R21" s="193">
        <f>MIN('7'!R7:R18)</f>
        <v>940</v>
      </c>
      <c r="S21" s="193">
        <f>MIN('7'!S7:S18)</f>
        <v>61.2698972790716</v>
      </c>
      <c r="T21" s="946"/>
      <c r="U21" s="946"/>
      <c r="X21" s="13">
        <v>0.66666666666666696</v>
      </c>
      <c r="Y21" s="54">
        <v>2715</v>
      </c>
      <c r="Z21" s="182">
        <v>940</v>
      </c>
      <c r="AA21" s="15">
        <v>1</v>
      </c>
      <c r="AB21" s="58">
        <f>IF('6'!AA21=1,(('6'!Z21*'6'!$AS$6*'6'!$AT$6)/('6'!Y21*0.0036)),IF('6'!AA21=2,(('6'!Z21*'6'!$AS$7*'6'!$AT$7)/('6'!Y21*0.0036))))</f>
        <v>61.793198892843023</v>
      </c>
      <c r="AC21" s="58"/>
      <c r="AD21" s="18"/>
      <c r="AE21" s="183"/>
      <c r="AF21" s="184">
        <f>('7'!AE21/24)*0.454</f>
        <v>0</v>
      </c>
      <c r="AG21" s="19"/>
      <c r="AH21" s="184">
        <f>('7'!AG21/24)*0.454</f>
        <v>0</v>
      </c>
      <c r="AI21" s="19">
        <v>5200</v>
      </c>
      <c r="AJ21" s="184">
        <f>('7'!AI21/24)*0.454</f>
        <v>98.36666666666666</v>
      </c>
      <c r="AK21" s="21"/>
      <c r="AL21" s="185">
        <f>('7'!AK21/24)*0.454</f>
        <v>0</v>
      </c>
      <c r="AM21" s="21"/>
      <c r="AN21" s="185">
        <f>('7'!AM21/24)*0.454</f>
        <v>0</v>
      </c>
      <c r="AO21" s="21"/>
      <c r="AP21" s="185">
        <f>('7'!AO21/24)*0.454</f>
        <v>0</v>
      </c>
    </row>
    <row r="22" spans="1:42" ht="13.9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54">
        <v>2718</v>
      </c>
      <c r="Z22" s="182">
        <v>940</v>
      </c>
      <c r="AA22" s="15">
        <v>1</v>
      </c>
      <c r="AB22" s="58">
        <f>IF('6'!AA22=1,(('6'!Z22*'6'!$AS$6*'6'!$AT$6)/('6'!Y22*0.0036)),IF('6'!AA22=2,(('6'!Z22*'6'!$AS$7*'6'!$AT$7)/('6'!Y22*0.0036))))</f>
        <v>64.334527191140751</v>
      </c>
      <c r="AC22" s="58"/>
      <c r="AD22" s="18"/>
      <c r="AE22" s="183"/>
      <c r="AF22" s="184">
        <f>('7'!AE22/24)*0.454</f>
        <v>0</v>
      </c>
      <c r="AG22" s="19"/>
      <c r="AH22" s="184">
        <f>('7'!AG22/24)*0.454</f>
        <v>0</v>
      </c>
      <c r="AI22" s="19">
        <v>5200</v>
      </c>
      <c r="AJ22" s="184">
        <f>('7'!AI22/24)*0.454</f>
        <v>98.36666666666666</v>
      </c>
      <c r="AK22" s="21"/>
      <c r="AL22" s="185">
        <f>('7'!AK22/24)*0.454</f>
        <v>0</v>
      </c>
      <c r="AM22" s="21"/>
      <c r="AN22" s="185">
        <f>('7'!AM22/24)*0.454</f>
        <v>0</v>
      </c>
      <c r="AO22" s="21"/>
      <c r="AP22" s="185">
        <f>('7'!AO22/24)*0.454</f>
        <v>0</v>
      </c>
    </row>
    <row r="23" spans="1:42" ht="13.9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/>
      <c r="S23" s="60" t="s">
        <v>57</v>
      </c>
      <c r="T23" s="946"/>
      <c r="U23" s="946"/>
      <c r="X23" s="13">
        <v>0.75</v>
      </c>
      <c r="Y23" s="54">
        <v>2715</v>
      </c>
      <c r="Z23" s="182">
        <v>940</v>
      </c>
      <c r="AA23" s="15">
        <v>1</v>
      </c>
      <c r="AB23" s="58">
        <f>IF('6'!AA23=1,(('6'!Z23*'6'!$AS$6*'6'!$AT$6)/('6'!Y23*0.0036)),IF('6'!AA23=2,(('6'!Z23*'6'!$AS$7*'6'!$AT$7)/('6'!Y23*0.0036))))</f>
        <v>62.392701720764961</v>
      </c>
      <c r="AC23" s="58"/>
      <c r="AD23" s="18"/>
      <c r="AE23" s="183"/>
      <c r="AF23" s="184">
        <f>('7'!AE23/24)*0.454</f>
        <v>0</v>
      </c>
      <c r="AG23" s="19"/>
      <c r="AH23" s="184">
        <f>('7'!AG23/24)*0.454</f>
        <v>0</v>
      </c>
      <c r="AI23" s="19">
        <v>5200</v>
      </c>
      <c r="AJ23" s="184">
        <f>('7'!AI23/24)*0.454</f>
        <v>98.36666666666666</v>
      </c>
      <c r="AK23" s="21"/>
      <c r="AL23" s="185">
        <f>('7'!AK23/24)*0.454</f>
        <v>0</v>
      </c>
      <c r="AM23" s="21"/>
      <c r="AN23" s="185">
        <f>('7'!AM23/24)*0.454</f>
        <v>0</v>
      </c>
      <c r="AO23" s="21"/>
      <c r="AP23" s="185">
        <f>('7'!AO23/24)*0.454</f>
        <v>0</v>
      </c>
    </row>
    <row r="24" spans="1:42" ht="13.9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54">
        <v>2800</v>
      </c>
      <c r="Z24" s="182">
        <v>940</v>
      </c>
      <c r="AA24" s="15">
        <v>1</v>
      </c>
      <c r="AB24" s="58">
        <f>IF('6'!AA24=1,(('6'!Z24*'6'!$AS$6*'6'!$AT$6)/('6'!Y24*0.0036)),IF('6'!AA24=2,(('6'!Z24*'6'!$AS$7*'6'!$AT$7)/('6'!Y24*0.0036))))</f>
        <v>62.25847575793793</v>
      </c>
      <c r="AC24" s="58"/>
      <c r="AD24" s="18"/>
      <c r="AE24" s="183"/>
      <c r="AF24" s="195">
        <f>('7'!AE24/24)*0.454</f>
        <v>0</v>
      </c>
      <c r="AG24" s="173"/>
      <c r="AH24" s="195">
        <f>('7'!AG24/24)*0.454</f>
        <v>0</v>
      </c>
      <c r="AI24" s="19">
        <v>5200</v>
      </c>
      <c r="AJ24" s="195">
        <f>('7'!AI24/24)*0.454</f>
        <v>98.36666666666666</v>
      </c>
      <c r="AK24" s="21"/>
      <c r="AL24" s="196">
        <f>('7'!AK24/24)*0.454</f>
        <v>0</v>
      </c>
      <c r="AM24" s="197"/>
      <c r="AN24" s="196">
        <f>('7'!AM24/24)*0.454</f>
        <v>0</v>
      </c>
      <c r="AO24" s="21"/>
      <c r="AP24" s="196">
        <f>('7'!AO24/24)*0.454</f>
        <v>0</v>
      </c>
    </row>
    <row r="25" spans="1:42" ht="19.5" customHeight="1">
      <c r="A25" s="64">
        <v>0.41666666666666702</v>
      </c>
      <c r="B25" s="198" t="s">
        <v>131</v>
      </c>
      <c r="C25" s="198">
        <v>0.42</v>
      </c>
      <c r="D25" s="198">
        <v>0.44</v>
      </c>
      <c r="E25" s="199">
        <v>0.38</v>
      </c>
      <c r="F25" s="199">
        <v>0.47</v>
      </c>
      <c r="G25" s="199">
        <v>0.4</v>
      </c>
      <c r="H25" s="199">
        <v>0.42</v>
      </c>
      <c r="I25" s="199">
        <v>0.4</v>
      </c>
      <c r="J25" s="199" t="s">
        <v>131</v>
      </c>
      <c r="K25" s="199">
        <v>0.33</v>
      </c>
      <c r="L25" s="199">
        <v>0.36</v>
      </c>
      <c r="M25" s="199">
        <v>0.31</v>
      </c>
      <c r="N25" s="199">
        <v>0.28000000000000003</v>
      </c>
      <c r="O25" s="199">
        <v>0.27</v>
      </c>
      <c r="P25" s="199">
        <v>0.28999999999999998</v>
      </c>
      <c r="Q25" s="199" t="s">
        <v>131</v>
      </c>
      <c r="R25" s="65"/>
      <c r="S25" s="66"/>
      <c r="T25" s="1023" t="s">
        <v>0</v>
      </c>
      <c r="U25" s="1053">
        <f>ESCALA!$A$10</f>
        <v>43898</v>
      </c>
      <c r="X25" s="13">
        <v>0.83333333333333304</v>
      </c>
      <c r="Y25" s="54">
        <v>2749</v>
      </c>
      <c r="Z25" s="182">
        <v>940</v>
      </c>
      <c r="AA25" s="15">
        <v>1</v>
      </c>
      <c r="AB25" s="58">
        <f>IF('6'!AA25=1,(('6'!Z25*'6'!$AS$6*'6'!$AT$6)/('6'!Y25*0.0036)),IF('6'!AA25=2,(('6'!Z25*'6'!$AS$7*'6'!$AT$7)/('6'!Y25*0.0036))))</f>
        <v>62.798874824191287</v>
      </c>
      <c r="AC25" s="58"/>
      <c r="AD25" s="18"/>
      <c r="AE25" s="183"/>
      <c r="AF25" s="184">
        <f>('7'!AE25/24)*0.454</f>
        <v>0</v>
      </c>
      <c r="AG25" s="19"/>
      <c r="AH25" s="184">
        <f>('7'!AG25/24)*0.454</f>
        <v>0</v>
      </c>
      <c r="AI25" s="19">
        <v>3000</v>
      </c>
      <c r="AJ25" s="184">
        <f>('7'!AI25/24)*0.454</f>
        <v>56.75</v>
      </c>
      <c r="AK25" s="21">
        <v>1250</v>
      </c>
      <c r="AL25" s="185">
        <f>('7'!AK25/24)*0.454</f>
        <v>23.645833333333336</v>
      </c>
      <c r="AM25" s="21">
        <v>1250</v>
      </c>
      <c r="AN25" s="185">
        <f>('7'!AM25/24)*0.454</f>
        <v>23.645833333333336</v>
      </c>
      <c r="AO25" s="21"/>
      <c r="AP25" s="185">
        <f>('7'!AO25/24)*0.454</f>
        <v>0</v>
      </c>
    </row>
    <row r="26" spans="1:42" ht="19.5" customHeight="1">
      <c r="A26" s="64">
        <v>0.66666666666666696</v>
      </c>
      <c r="B26" s="198"/>
      <c r="C26" s="198"/>
      <c r="D26" s="198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65"/>
      <c r="S26" s="67"/>
      <c r="T26" s="1023"/>
      <c r="U26" s="1053"/>
      <c r="X26" s="13">
        <v>0.875</v>
      </c>
      <c r="Y26" s="54">
        <v>2724</v>
      </c>
      <c r="Z26" s="182">
        <v>940</v>
      </c>
      <c r="AA26" s="15">
        <v>1</v>
      </c>
      <c r="AB26" s="58">
        <f>IF('6'!AA26=1,(('6'!Z26*'6'!$AS$6*'6'!$AT$6)/('6'!Y26*0.0036)),IF('6'!AA26=2,(('6'!Z26*'6'!$AS$7*'6'!$AT$7)/('6'!Y26*0.0036))))</f>
        <v>63.141414141414138</v>
      </c>
      <c r="AC26" s="58"/>
      <c r="AD26" s="18"/>
      <c r="AE26" s="183"/>
      <c r="AF26" s="184">
        <f>('7'!AE26/24)*0.454</f>
        <v>0</v>
      </c>
      <c r="AG26" s="19"/>
      <c r="AH26" s="184">
        <f>('7'!AG26/24)*0.454</f>
        <v>0</v>
      </c>
      <c r="AI26" s="19">
        <v>3000</v>
      </c>
      <c r="AJ26" s="184">
        <f>('7'!AI26/24)*0.454</f>
        <v>56.75</v>
      </c>
      <c r="AK26" s="21">
        <v>1250</v>
      </c>
      <c r="AL26" s="185">
        <f>('7'!AK26/24)*0.454</f>
        <v>23.645833333333336</v>
      </c>
      <c r="AM26" s="21">
        <v>1250</v>
      </c>
      <c r="AN26" s="185">
        <f>('7'!AM26/24)*0.454</f>
        <v>23.645833333333336</v>
      </c>
      <c r="AO26" s="21"/>
      <c r="AP26" s="185">
        <f>('7'!AO26/24)*0.454</f>
        <v>0</v>
      </c>
    </row>
    <row r="27" spans="1:42" ht="13.9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54">
        <v>2725</v>
      </c>
      <c r="Z27" s="182">
        <v>940</v>
      </c>
      <c r="AA27" s="15">
        <v>1</v>
      </c>
      <c r="AB27" s="58">
        <f>IF('6'!AA27=1,(('6'!Z27*'6'!$AS$6*'6'!$AT$6)/('6'!Y27*0.0036)),IF('6'!AA27=2,(('6'!Z27*'6'!$AS$7*'6'!$AT$7)/('6'!Y27*0.0036))))</f>
        <v>63.58069897066602</v>
      </c>
      <c r="AC27" s="58"/>
      <c r="AD27" s="18"/>
      <c r="AE27" s="183"/>
      <c r="AF27" s="184">
        <f>('7'!AE27/24)*0.454</f>
        <v>0</v>
      </c>
      <c r="AG27" s="19"/>
      <c r="AH27" s="184">
        <f>('7'!AG27/24)*0.454</f>
        <v>0</v>
      </c>
      <c r="AI27" s="19">
        <v>3000</v>
      </c>
      <c r="AJ27" s="184">
        <f>('7'!AI27/24)*0.454</f>
        <v>56.75</v>
      </c>
      <c r="AK27" s="21">
        <v>1250</v>
      </c>
      <c r="AL27" s="185">
        <f>('7'!AK27/24)*0.454</f>
        <v>23.645833333333336</v>
      </c>
      <c r="AM27" s="21">
        <v>1250</v>
      </c>
      <c r="AN27" s="185">
        <f>('7'!AM27/24)*0.454</f>
        <v>23.645833333333336</v>
      </c>
      <c r="AO27" s="21"/>
      <c r="AP27" s="185">
        <f>('7'!AO27/24)*0.454</f>
        <v>0</v>
      </c>
    </row>
    <row r="28" spans="1:42" ht="17.4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4">
        <v>2746</v>
      </c>
      <c r="Z28" s="182">
        <v>940</v>
      </c>
      <c r="AA28" s="15">
        <v>1</v>
      </c>
      <c r="AB28" s="58">
        <f>IF('6'!AA28=1,(('6'!Z28*'6'!$AS$6*'6'!$AT$6)/('6'!Y28*0.0036)),IF('6'!AA28=2,(('6'!Z28*'6'!$AS$7*'6'!$AT$7)/('6'!Y28*0.0036))))</f>
        <v>63.164383007962492</v>
      </c>
      <c r="AC28" s="58"/>
      <c r="AD28" s="18"/>
      <c r="AE28" s="183"/>
      <c r="AF28" s="184">
        <f>('7'!AE28/24)*0.454</f>
        <v>0</v>
      </c>
      <c r="AG28" s="19"/>
      <c r="AH28" s="184">
        <f>('7'!AG28/24)*0.454</f>
        <v>0</v>
      </c>
      <c r="AI28" s="19">
        <v>3000</v>
      </c>
      <c r="AJ28" s="184">
        <f>('7'!AI28/24)*0.454</f>
        <v>56.75</v>
      </c>
      <c r="AK28" s="21">
        <v>1250</v>
      </c>
      <c r="AL28" s="185">
        <f>('7'!AK28/24)*0.454</f>
        <v>23.645833333333336</v>
      </c>
      <c r="AM28" s="21">
        <v>1250</v>
      </c>
      <c r="AN28" s="185">
        <f>('7'!AM28/24)*0.454</f>
        <v>23.645833333333336</v>
      </c>
      <c r="AO28" s="21"/>
      <c r="AP28" s="185">
        <f>('7'!AO28/24)*0.454</f>
        <v>0</v>
      </c>
    </row>
    <row r="29" spans="1:42" ht="13.9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4">
        <v>2702</v>
      </c>
      <c r="Z29" s="182">
        <v>940</v>
      </c>
      <c r="AA29" s="15">
        <v>1</v>
      </c>
      <c r="AB29" s="58">
        <f>IF('6'!AA29=1,(('6'!Z29*'6'!$AS$6*'6'!$AT$6)/('6'!Y29*0.0036)),IF('6'!AA29=2,(('6'!Z29*'6'!$AS$7*'6'!$AT$7)/('6'!Y29*0.0036))))</f>
        <v>64.382235405594699</v>
      </c>
      <c r="AC29" s="58"/>
      <c r="AD29" s="18"/>
      <c r="AE29" s="183"/>
      <c r="AF29" s="184">
        <f>('7'!AE29/24)*0.454</f>
        <v>0</v>
      </c>
      <c r="AG29" s="19"/>
      <c r="AH29" s="184">
        <f>('7'!AG29/24)*0.454</f>
        <v>0</v>
      </c>
      <c r="AI29" s="19">
        <v>3000</v>
      </c>
      <c r="AJ29" s="184">
        <f>('7'!AI29/24)*0.454</f>
        <v>56.75</v>
      </c>
      <c r="AK29" s="21">
        <v>1250</v>
      </c>
      <c r="AL29" s="185">
        <f>('7'!AK29/24)*0.454</f>
        <v>23.645833333333336</v>
      </c>
      <c r="AM29" s="21">
        <v>1250</v>
      </c>
      <c r="AN29" s="185">
        <f>('7'!AM29/24)*0.454</f>
        <v>23.645833333333336</v>
      </c>
      <c r="AO29" s="21"/>
      <c r="AP29" s="185">
        <f>('7'!AO29/24)*0.454</f>
        <v>0</v>
      </c>
    </row>
    <row r="30" spans="1:42" ht="13.9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SUM('7'!Y6:Y29)*3.6</f>
        <v>235202.4</v>
      </c>
      <c r="Z30" s="82">
        <f>SUM('7'!Z6:Z29)</f>
        <v>22560</v>
      </c>
      <c r="AA30" s="78"/>
      <c r="AB30" s="79"/>
      <c r="AC30" s="78"/>
      <c r="AD30" s="79"/>
      <c r="AE30" s="34"/>
      <c r="AF30" s="184">
        <f>SUM('7'!AF6:AF29)</f>
        <v>0</v>
      </c>
      <c r="AG30" s="34"/>
      <c r="AH30" s="184">
        <f>SUM('7'!AH6:AH29)</f>
        <v>0</v>
      </c>
      <c r="AI30" s="34"/>
      <c r="AJ30" s="184">
        <f>SUM('7'!AJ6:AJ29)</f>
        <v>2152.7166666666658</v>
      </c>
      <c r="AK30" s="80"/>
      <c r="AL30" s="185">
        <f>SUM('7'!AL6:AL29)</f>
        <v>118.22916666666669</v>
      </c>
      <c r="AM30" s="80"/>
      <c r="AN30" s="185">
        <f>SUM('7'!AN6:AN29)</f>
        <v>118.22916666666669</v>
      </c>
      <c r="AO30" s="21"/>
      <c r="AP30" s="185">
        <f>SUM('7'!AP6:AP29)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SUMIF('7'!AA6:AA29,"=1",'7'!Z6:Z29)</f>
        <v>22560</v>
      </c>
      <c r="AA32" s="82">
        <f>'7'!Z32*'7'!AS6</f>
        <v>30004.800000000003</v>
      </c>
      <c r="AB32" s="83">
        <f>SUMIF('7'!$AA$6:$AA$29,"=1",'7'!$AB$6:$AB$29)/COUNTIF('7'!$AA$6:$AA$29,"=1")</f>
        <v>63.218262561030905</v>
      </c>
      <c r="AC32" s="84">
        <f>SUMIF('7'!AA6:AA29,"=1",'7'!AC6:AC29)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SUMIF('7'!AA6:AA29,"=2",'7'!Z6:Z29)</f>
        <v>0</v>
      </c>
      <c r="AA33" s="82">
        <f>'7'!Z33*'7'!AS7</f>
        <v>0</v>
      </c>
      <c r="AB33" s="83" t="e">
        <f>SUMIF('7'!$AA$6:$AA$29,"=2",'7'!$AB$6:$AB$29)/COUNTIF('7'!$AA$6:$AA$29,"=2")</f>
        <v>#DIV/0!</v>
      </c>
      <c r="AC33" s="84">
        <f>SUMIF('7'!AA6:AA29,"=2",'7'!AC6:AC29)</f>
        <v>0</v>
      </c>
      <c r="AD33" s="84"/>
      <c r="AE33" s="85"/>
      <c r="AF33" s="91"/>
      <c r="AG33" s="90"/>
      <c r="AH33" s="91"/>
      <c r="AI33" s="90"/>
      <c r="AJ33" s="235"/>
      <c r="AK33" s="93"/>
      <c r="AL33" s="93"/>
      <c r="AM33" s="93"/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AVERAGE('7'!Y6:Y29)</f>
        <v>2722.25</v>
      </c>
      <c r="Z34" s="96">
        <f>AVERAGE('7'!Z6:Z29)</f>
        <v>940</v>
      </c>
      <c r="AA34" s="97"/>
      <c r="AB34" s="97"/>
      <c r="AC34" s="242">
        <f>SUM('7'!AC6:AC29)/COUNTIF('7'!AC6:AC29,"&lt;&gt;0")</f>
        <v>0</v>
      </c>
      <c r="AD34" s="243">
        <f>SUM('7'!AD6:AD29)/COUNTIF('7'!AD6:AD29,"&lt;&gt;0")</f>
        <v>0</v>
      </c>
      <c r="AE34" s="244"/>
      <c r="AF34" s="100">
        <f>AVERAGE('7'!AF6:AF29)</f>
        <v>0</v>
      </c>
      <c r="AG34" s="100"/>
      <c r="AH34" s="98">
        <f>AVERAGE('7'!AH6:AH29)</f>
        <v>0</v>
      </c>
      <c r="AI34" s="98"/>
      <c r="AJ34" s="98">
        <f>'7'!AJ30/24</f>
        <v>89.696527777777746</v>
      </c>
      <c r="AK34" s="98"/>
      <c r="AL34" s="98">
        <f>AVERAGE('7'!AL6:AL29)</f>
        <v>4.9262152777777786</v>
      </c>
      <c r="AM34" s="98"/>
      <c r="AN34" s="98">
        <f>AVERAGE('7'!AN6:AN29)</f>
        <v>4.9262152777777786</v>
      </c>
      <c r="AO34" s="98"/>
      <c r="AP34" s="98">
        <f>AVERAGE('7'!AP6:AP29)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48" t="s">
        <v>15</v>
      </c>
      <c r="X35" s="958" t="s">
        <v>66</v>
      </c>
      <c r="Y35" s="958"/>
      <c r="Z35" s="103"/>
      <c r="AA35" s="1054" t="s">
        <v>67</v>
      </c>
      <c r="AB35" s="1054"/>
      <c r="AC35" s="245"/>
      <c r="AD35" s="246"/>
      <c r="AE35" s="247"/>
      <c r="AF35" s="248"/>
      <c r="AG35" s="249"/>
      <c r="AH35" s="250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48"/>
      <c r="X36" s="105" t="s">
        <v>74</v>
      </c>
      <c r="Y36" s="106">
        <v>1</v>
      </c>
      <c r="Z36" s="107"/>
      <c r="AA36" s="108" t="s">
        <v>74</v>
      </c>
      <c r="AB36" s="106">
        <v>7</v>
      </c>
      <c r="AC36" s="251"/>
      <c r="AD36" s="251"/>
      <c r="AE36" s="251"/>
      <c r="AF36" s="252"/>
      <c r="AG36" s="252"/>
      <c r="AH36" s="253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233">
        <v>82.7</v>
      </c>
      <c r="D37" s="233">
        <v>54.5</v>
      </c>
      <c r="E37" s="233">
        <v>48.4</v>
      </c>
      <c r="F37" s="186">
        <v>0.8</v>
      </c>
      <c r="G37" s="183">
        <v>0.2</v>
      </c>
      <c r="H37" s="183">
        <v>0</v>
      </c>
      <c r="I37" s="183">
        <v>0.1</v>
      </c>
      <c r="J37" s="183">
        <v>0.06</v>
      </c>
      <c r="K37" s="183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36">
        <f>'7'!V12</f>
        <v>0</v>
      </c>
      <c r="X37" s="1031" t="s">
        <v>75</v>
      </c>
      <c r="Y37" s="1031"/>
      <c r="Z37" s="110">
        <f>COUNTA('7'!Z6:Z29)</f>
        <v>24</v>
      </c>
      <c r="AA37" s="111"/>
      <c r="AB37" s="111"/>
      <c r="AC37" s="251"/>
      <c r="AD37" s="251"/>
      <c r="AE37" s="251"/>
      <c r="AF37" s="123"/>
      <c r="AG37" s="123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4.1" customHeight="1">
      <c r="A38" s="101"/>
      <c r="B38" s="28">
        <v>0.66666666666666696</v>
      </c>
      <c r="C38" s="254"/>
      <c r="D38" s="254"/>
      <c r="E38" s="255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C38" s="111"/>
      <c r="AD38" s="111"/>
      <c r="AE38" s="111"/>
      <c r="AF38" s="123"/>
      <c r="AG38" s="123"/>
      <c r="AJ38" s="210" t="s">
        <v>78</v>
      </c>
      <c r="AK38" s="211">
        <f>SUM('7'!AF30+'7'!AH30)</f>
        <v>0</v>
      </c>
      <c r="AL38" s="210" t="s">
        <v>78</v>
      </c>
      <c r="AM38" s="212">
        <f>SUM('7'!AL30+'7'!AN30)</f>
        <v>236.45833333333337</v>
      </c>
      <c r="AO38" s="210" t="s">
        <v>78</v>
      </c>
      <c r="AP38" s="211">
        <f>'7'!AJ30</f>
        <v>2152.7166666666658</v>
      </c>
      <c r="AQ38" s="210" t="s">
        <v>78</v>
      </c>
      <c r="AR38" s="212">
        <f>'7'!AP30</f>
        <v>0</v>
      </c>
    </row>
    <row r="39" spans="1:44" ht="21.6" customHeight="1">
      <c r="A39" s="965" t="s">
        <v>79</v>
      </c>
      <c r="B39" s="965"/>
      <c r="C39" s="965" t="s">
        <v>80</v>
      </c>
      <c r="D39" s="965"/>
      <c r="E39" s="1055" t="s">
        <v>81</v>
      </c>
      <c r="F39" s="1055"/>
      <c r="G39" s="1055"/>
      <c r="H39" s="1055"/>
      <c r="J39" s="1056" t="s">
        <v>82</v>
      </c>
      <c r="K39" s="1056"/>
      <c r="L39" s="1056"/>
      <c r="M39" s="1056"/>
      <c r="O39" s="1057" t="s">
        <v>83</v>
      </c>
      <c r="P39" s="1057"/>
      <c r="Q39" s="1057"/>
      <c r="R39" s="1058" t="s">
        <v>84</v>
      </c>
      <c r="S39" s="1059" t="s">
        <v>85</v>
      </c>
      <c r="T39" s="1059"/>
      <c r="U39" s="121"/>
      <c r="V39" s="122"/>
      <c r="X39" s="112"/>
      <c r="Y39" s="112"/>
      <c r="Z39" s="113"/>
      <c r="AA39" s="111"/>
      <c r="AB39" s="111"/>
      <c r="AC39" s="111"/>
      <c r="AD39" s="111"/>
      <c r="AE39" s="111"/>
      <c r="AF39" s="123"/>
      <c r="AG39" s="123"/>
      <c r="AJ39" s="213" t="s">
        <v>86</v>
      </c>
      <c r="AK39" s="214">
        <f>('7'!AK38/'7'!Y30)*1000</f>
        <v>0</v>
      </c>
      <c r="AL39" s="215" t="s">
        <v>86</v>
      </c>
      <c r="AM39" s="216">
        <f>('7'!AM38/'7'!Y30)*1000</f>
        <v>1.0053397981199741</v>
      </c>
      <c r="AO39" s="213" t="s">
        <v>86</v>
      </c>
      <c r="AP39" s="214">
        <f>('7'!AP38/'7'!Y30)*1000</f>
        <v>9.1526135220842395</v>
      </c>
      <c r="AQ39" s="215" t="s">
        <v>86</v>
      </c>
      <c r="AR39" s="216">
        <f>('7'!AR38/'7'!Y30)*1000</f>
        <v>0</v>
      </c>
    </row>
    <row r="40" spans="1:44" ht="20.100000000000001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1057"/>
      <c r="P40" s="1057"/>
      <c r="Q40" s="1057"/>
      <c r="R40" s="1058"/>
      <c r="S40" s="1059"/>
      <c r="T40" s="1059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SUM('7'!AK38,'7'!AM38)</f>
        <v>236.45833333333337</v>
      </c>
      <c r="AM40" s="975"/>
      <c r="AO40" s="976" t="s">
        <v>90</v>
      </c>
      <c r="AP40" s="976"/>
      <c r="AQ40" s="977">
        <f>SUM('7'!AP38,'7'!AR38)</f>
        <v>2152.7166666666658</v>
      </c>
      <c r="AR40" s="977"/>
    </row>
    <row r="41" spans="1:44" ht="15.75" customHeight="1">
      <c r="A41" s="133">
        <f>COUNTA('7'!E7:E18)</f>
        <v>12</v>
      </c>
      <c r="B41" s="134">
        <f>COUNTA('7'!I7:I18)</f>
        <v>12</v>
      </c>
      <c r="C41" s="978">
        <f>COUNTA('7'!J7:J18)</f>
        <v>12</v>
      </c>
      <c r="D41" s="978">
        <f>COUNTA('7'!K7:K18)</f>
        <v>12</v>
      </c>
      <c r="E41" s="978">
        <f>COUNTIF('7'!E7:E18,"&gt;15")</f>
        <v>0</v>
      </c>
      <c r="F41" s="978"/>
      <c r="G41" s="978">
        <f>COUNTIF('7'!J7:J18,"&gt;1")</f>
        <v>0</v>
      </c>
      <c r="H41" s="978"/>
      <c r="I41" s="135"/>
      <c r="J41" s="978">
        <f>'7'!A41-'7'!E41</f>
        <v>12</v>
      </c>
      <c r="K41" s="978"/>
      <c r="L41" s="978">
        <f>'7'!C41-'7'!G41</f>
        <v>12</v>
      </c>
      <c r="M41" s="978"/>
      <c r="N41" s="135"/>
      <c r="O41" s="979">
        <f>COUNTIF('7'!J7:J18,"&lt;=0,5")</f>
        <v>12</v>
      </c>
      <c r="P41" s="979"/>
      <c r="Q41" s="979"/>
      <c r="R41" s="1058"/>
      <c r="S41" s="980">
        <f>COUNTIF('7'!J7:J18,"&lt;=1,0")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SUM(('7'!AK38+'7'!AM38)/'7'!Y30)*1000</f>
        <v>1.0053397981199741</v>
      </c>
      <c r="AM41" s="981"/>
      <c r="AO41" s="976" t="s">
        <v>91</v>
      </c>
      <c r="AP41" s="976"/>
      <c r="AQ41" s="981">
        <f>SUM(('7'!AP38+'7'!AR38)/'7'!Y30)*1000</f>
        <v>9.1526135220842395</v>
      </c>
      <c r="AR41" s="981"/>
    </row>
    <row r="42" spans="1:44" ht="18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99" t="s">
        <v>94</v>
      </c>
      <c r="I43" s="999"/>
      <c r="J43" s="999"/>
      <c r="L43" s="999" t="s">
        <v>95</v>
      </c>
      <c r="M43" s="999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99"/>
      <c r="I44" s="999"/>
      <c r="J44" s="999"/>
      <c r="L44" s="999"/>
      <c r="M44" s="999"/>
      <c r="N44" s="138"/>
      <c r="O44" s="139"/>
      <c r="P44" s="140"/>
      <c r="Q44" s="986"/>
      <c r="R44" s="986"/>
      <c r="S44" s="986"/>
      <c r="T44" s="141"/>
      <c r="X44" s="144" t="s">
        <v>101</v>
      </c>
      <c r="Y44" s="145">
        <v>140</v>
      </c>
      <c r="Z44" s="144" t="s">
        <v>101</v>
      </c>
      <c r="AA44" s="145"/>
      <c r="AB44" s="144" t="s">
        <v>101</v>
      </c>
      <c r="AC44" s="145">
        <v>140</v>
      </c>
      <c r="AD44" s="988"/>
      <c r="AE44" s="988"/>
      <c r="AF44" s="989" t="s">
        <v>102</v>
      </c>
      <c r="AG44" s="990">
        <f>SUM('7'!Y45,'7'!AA45,'7'!AC45,'7'!AE45)</f>
        <v>197420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COUNTIF('7'!I7:I18,"&lt;=5,0")</f>
        <v>12</v>
      </c>
      <c r="I45" s="992"/>
      <c r="J45" s="992"/>
      <c r="K45" s="135"/>
      <c r="L45" s="974">
        <f>COUNTA('7'!L37)</f>
        <v>1</v>
      </c>
      <c r="M45" s="974"/>
      <c r="O45" s="146"/>
      <c r="P45" s="147"/>
      <c r="Q45" s="993">
        <f>'7'!S41-'7'!O41</f>
        <v>0</v>
      </c>
      <c r="R45" s="993"/>
      <c r="S45" s="993"/>
      <c r="T45" s="148"/>
      <c r="X45" s="149" t="s">
        <v>104</v>
      </c>
      <c r="Y45" s="150">
        <f>'7'!Y44*275.3</f>
        <v>38542</v>
      </c>
      <c r="Z45" s="149" t="s">
        <v>104</v>
      </c>
      <c r="AA45" s="150">
        <f>262.4*'7'!AA44</f>
        <v>0</v>
      </c>
      <c r="AB45" s="149" t="s">
        <v>104</v>
      </c>
      <c r="AC45" s="150">
        <f>'7'!AC44*277.7</f>
        <v>38878</v>
      </c>
      <c r="AD45" s="149" t="s">
        <v>104</v>
      </c>
      <c r="AE45" s="151">
        <v>120000</v>
      </c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60"/>
      <c r="AP45" s="1060"/>
      <c r="AQ45" s="1060"/>
      <c r="AR45" s="1060"/>
    </row>
    <row r="46" spans="1:44" ht="15.75" customHeight="1">
      <c r="F46" s="152"/>
      <c r="X46" s="153" t="s">
        <v>105</v>
      </c>
      <c r="Y46" s="154">
        <f>'7'!AS6</f>
        <v>1.33</v>
      </c>
      <c r="Z46" s="153" t="s">
        <v>105</v>
      </c>
      <c r="AA46" s="154">
        <v>0.1</v>
      </c>
      <c r="AB46" s="153" t="s">
        <v>105</v>
      </c>
      <c r="AC46" s="154">
        <f>'7'!Y46</f>
        <v>1.33</v>
      </c>
      <c r="AD46" s="153" t="s">
        <v>105</v>
      </c>
      <c r="AE46" s="256">
        <f>'7'!Y46</f>
        <v>1.33</v>
      </c>
      <c r="AF46" s="995" t="s">
        <v>106</v>
      </c>
      <c r="AG46" s="996">
        <f>SUM('7'!Y47,'7'!AA47,'7'!AC47,'7'!AE47)</f>
        <v>262568.59999999998</v>
      </c>
      <c r="AI46" s="144" t="s">
        <v>101</v>
      </c>
      <c r="AJ46" s="145">
        <v>31</v>
      </c>
      <c r="AK46" s="144" t="s">
        <v>101</v>
      </c>
      <c r="AL46" s="145"/>
      <c r="AM46" s="144" t="s">
        <v>101</v>
      </c>
      <c r="AN46" s="145">
        <v>49</v>
      </c>
      <c r="AO46" s="1060"/>
      <c r="AP46" s="1060"/>
      <c r="AQ46" s="1060"/>
      <c r="AR46" s="1060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'7'!Y45*'7'!Y46</f>
        <v>51260.86</v>
      </c>
      <c r="Z47" s="149" t="s">
        <v>108</v>
      </c>
      <c r="AA47" s="150">
        <f>'7'!AA45*'7'!AA46</f>
        <v>0</v>
      </c>
      <c r="AB47" s="149" t="s">
        <v>108</v>
      </c>
      <c r="AC47" s="150">
        <f>'7'!AC45*'7'!AC46</f>
        <v>51707.740000000005</v>
      </c>
      <c r="AD47" s="149" t="s">
        <v>108</v>
      </c>
      <c r="AE47" s="150">
        <f>'7'!AE45*'7'!AE46</f>
        <v>159600</v>
      </c>
      <c r="AF47" s="995"/>
      <c r="AG47" s="996"/>
      <c r="AI47" s="149" t="s">
        <v>104</v>
      </c>
      <c r="AJ47" s="150">
        <f>'7'!AJ46*275.3</f>
        <v>8534.3000000000011</v>
      </c>
      <c r="AK47" s="149" t="s">
        <v>104</v>
      </c>
      <c r="AL47" s="150">
        <f>262.4*'7'!AL46</f>
        <v>0</v>
      </c>
      <c r="AM47" s="149" t="s">
        <v>104</v>
      </c>
      <c r="AN47" s="150">
        <f>'7'!AN46*277.7</f>
        <v>13607.3</v>
      </c>
      <c r="AO47" s="1060"/>
      <c r="AP47" s="1060"/>
      <c r="AQ47" s="1060"/>
      <c r="AR47" s="1060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'7'!Y46</f>
        <v>1.33</v>
      </c>
      <c r="AK48" s="160" t="s">
        <v>105</v>
      </c>
      <c r="AL48" s="154">
        <f>'7'!AJ48</f>
        <v>1.33</v>
      </c>
      <c r="AM48" s="160" t="s">
        <v>105</v>
      </c>
      <c r="AN48" s="154">
        <f>'7'!AJ48</f>
        <v>1.33</v>
      </c>
      <c r="AO48" s="1060"/>
      <c r="AP48" s="1060"/>
      <c r="AQ48" s="1060"/>
      <c r="AR48" s="1060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'7'!AJ47*'7'!AJ48</f>
        <v>11350.619000000002</v>
      </c>
      <c r="AK49" s="149" t="s">
        <v>108</v>
      </c>
      <c r="AL49" s="150">
        <f>'7'!AL47*'7'!AL48</f>
        <v>0</v>
      </c>
      <c r="AM49" s="149" t="s">
        <v>108</v>
      </c>
      <c r="AN49" s="150">
        <f>'7'!AN47*'7'!AN48</f>
        <v>18097.708999999999</v>
      </c>
      <c r="AO49" s="1060"/>
      <c r="AP49" s="1060"/>
      <c r="AQ49" s="1060"/>
      <c r="AR49" s="1060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COUNTA('7'!O7:O18)</f>
        <v>12</v>
      </c>
      <c r="P51" s="974">
        <f>COUNTA('7'!W17:W28)</f>
        <v>0</v>
      </c>
      <c r="R51" s="992">
        <f>COUNTIF('7'!O7:O18,"&gt;=0,5")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SUM('7'!Y53,'7'!AA53,'7'!AC53,'7'!AE53)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60"/>
      <c r="AP52" s="1060"/>
      <c r="AQ52" s="1060"/>
      <c r="AR52" s="1060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'7'!Y52*275.3</f>
        <v>0</v>
      </c>
      <c r="Z53" s="149" t="s">
        <v>104</v>
      </c>
      <c r="AA53" s="150">
        <f>262.4*'7'!AA52</f>
        <v>0</v>
      </c>
      <c r="AB53" s="149" t="s">
        <v>104</v>
      </c>
      <c r="AC53" s="167">
        <f>'7'!AC52*277.7</f>
        <v>0</v>
      </c>
      <c r="AD53" s="149" t="s">
        <v>104</v>
      </c>
      <c r="AE53" s="230">
        <v>0</v>
      </c>
      <c r="AF53" s="989"/>
      <c r="AG53" s="1002"/>
      <c r="AI53" s="144" t="s">
        <v>101</v>
      </c>
      <c r="AJ53" s="166"/>
      <c r="AK53" s="144" t="s">
        <v>101</v>
      </c>
      <c r="AL53" s="164"/>
      <c r="AM53" s="144" t="s">
        <v>101</v>
      </c>
      <c r="AN53" s="164">
        <v>85</v>
      </c>
      <c r="AO53" s="1060"/>
      <c r="AP53" s="1060"/>
      <c r="AQ53" s="1060"/>
      <c r="AR53" s="1060"/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'7'!AS7</f>
        <v>1.377</v>
      </c>
      <c r="Z54" s="153" t="s">
        <v>105</v>
      </c>
      <c r="AA54" s="154">
        <f>'7'!Y54</f>
        <v>1.377</v>
      </c>
      <c r="AB54" s="153" t="s">
        <v>105</v>
      </c>
      <c r="AC54" s="154">
        <f>'7'!Y54</f>
        <v>1.377</v>
      </c>
      <c r="AD54" s="153" t="s">
        <v>105</v>
      </c>
      <c r="AE54" s="256">
        <f>'7'!Y54</f>
        <v>1.377</v>
      </c>
      <c r="AF54" s="995" t="s">
        <v>106</v>
      </c>
      <c r="AG54" s="996">
        <f>SUM('7'!Y55,'7'!AA55,'7'!AC55,'7'!AE55)</f>
        <v>0</v>
      </c>
      <c r="AI54" s="149" t="s">
        <v>104</v>
      </c>
      <c r="AJ54" s="150">
        <f>'7'!AJ53*275.3</f>
        <v>0</v>
      </c>
      <c r="AK54" s="149" t="s">
        <v>104</v>
      </c>
      <c r="AL54" s="150">
        <f>262.4*'7'!AL53</f>
        <v>0</v>
      </c>
      <c r="AM54" s="149" t="s">
        <v>104</v>
      </c>
      <c r="AN54" s="167">
        <f>'7'!AN53*277.7</f>
        <v>23604.5</v>
      </c>
      <c r="AO54" s="1060"/>
      <c r="AP54" s="1060"/>
      <c r="AQ54" s="1060"/>
      <c r="AR54" s="1060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'7'!Y53*'7'!Y54</f>
        <v>0</v>
      </c>
      <c r="Z55" s="149" t="s">
        <v>108</v>
      </c>
      <c r="AA55" s="150">
        <f>'7'!AA53*'7'!AA54</f>
        <v>0</v>
      </c>
      <c r="AB55" s="149" t="s">
        <v>108</v>
      </c>
      <c r="AC55" s="150">
        <f>'7'!AC53*'7'!AC54</f>
        <v>0</v>
      </c>
      <c r="AD55" s="149" t="s">
        <v>108</v>
      </c>
      <c r="AE55" s="150">
        <f>'7'!AE53*'7'!AE54</f>
        <v>0</v>
      </c>
      <c r="AF55" s="995"/>
      <c r="AG55" s="996"/>
      <c r="AI55" s="153" t="s">
        <v>105</v>
      </c>
      <c r="AJ55" s="154">
        <f>'7'!Y54</f>
        <v>1.377</v>
      </c>
      <c r="AK55" s="153" t="s">
        <v>105</v>
      </c>
      <c r="AL55" s="154">
        <f>'7'!AJ55</f>
        <v>1.377</v>
      </c>
      <c r="AM55" s="153" t="s">
        <v>105</v>
      </c>
      <c r="AN55" s="154">
        <f>'7'!AJ55</f>
        <v>1.377</v>
      </c>
      <c r="AO55" s="1060"/>
      <c r="AP55" s="1060"/>
      <c r="AQ55" s="1060"/>
      <c r="AR55" s="1060"/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'7'!AJ54*'7'!AJ55</f>
        <v>0</v>
      </c>
      <c r="AK56" s="149" t="s">
        <v>108</v>
      </c>
      <c r="AL56" s="150">
        <f>'7'!AL54*'7'!AL55</f>
        <v>0</v>
      </c>
      <c r="AM56" s="149" t="s">
        <v>108</v>
      </c>
      <c r="AN56" s="150">
        <f>'7'!AN54*'7'!AN55</f>
        <v>32503.396499999999</v>
      </c>
      <c r="AO56" s="1060"/>
      <c r="AP56" s="1060"/>
      <c r="AQ56" s="1060"/>
      <c r="AR56" s="1060"/>
    </row>
    <row r="57" spans="15:44" ht="15.75" customHeight="1">
      <c r="O57" s="1003">
        <f>COUNTA('7'!N7:N18)</f>
        <v>12</v>
      </c>
      <c r="P57" s="1003"/>
      <c r="R57" s="1004">
        <f>COUNTIF('7'!N7:N18,"&gt;=6")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61" t="s">
        <v>119</v>
      </c>
      <c r="AC60" s="1061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'7'!AJ56+'7'!AL56+'7'!AN56</f>
        <v>32503.396499999999</v>
      </c>
      <c r="AM61" s="1011"/>
      <c r="AN61" s="1010" t="s">
        <v>121</v>
      </c>
      <c r="AO61" s="1010"/>
      <c r="AP61" s="1010"/>
      <c r="AQ61" s="1011">
        <f>'7'!AJ49+'7'!AL49+'7'!AN49</f>
        <v>29448.328000000001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'7'!AA32</f>
        <v>30004.800000000003</v>
      </c>
      <c r="AR62" s="1016"/>
    </row>
    <row r="63" spans="15:44" ht="15" customHeight="1">
      <c r="X63" s="170" t="s">
        <v>124</v>
      </c>
      <c r="Y63" s="171"/>
      <c r="Z63" s="1013"/>
      <c r="AA63" s="1013"/>
      <c r="AB63" s="172" t="s">
        <v>124</v>
      </c>
      <c r="AC63" s="173"/>
      <c r="AE63" s="49"/>
      <c r="AI63" s="1010" t="s">
        <v>125</v>
      </c>
      <c r="AJ63" s="1010"/>
      <c r="AK63" s="1010"/>
      <c r="AL63" s="1011">
        <f>'7'!AL61-'7'!AL62</f>
        <v>32503.396499999999</v>
      </c>
      <c r="AM63" s="1011"/>
      <c r="AN63" s="1010" t="s">
        <v>125</v>
      </c>
      <c r="AO63" s="1010"/>
      <c r="AP63" s="1010"/>
      <c r="AQ63" s="1011">
        <f>'7'!AQ61-'7'!AQ62</f>
        <v>-556.47200000000157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/>
      <c r="Z65" s="1013"/>
      <c r="AA65" s="1013"/>
      <c r="AB65" s="176" t="s">
        <v>126</v>
      </c>
      <c r="AC65" s="241"/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178"/>
      <c r="Z67" s="1013"/>
      <c r="AA67" s="1013"/>
      <c r="AB67" s="172" t="s">
        <v>124</v>
      </c>
      <c r="AC67" s="169">
        <f>SUM('7'!AM38,'7'!AR38)</f>
        <v>236.45833333333337</v>
      </c>
    </row>
    <row r="68" spans="24:29" ht="15.75" customHeight="1">
      <c r="X68" s="170" t="s">
        <v>128</v>
      </c>
      <c r="Y68" s="179">
        <f>SUM('7'!Y63,'7'!Y65)-'7'!Y67</f>
        <v>0</v>
      </c>
      <c r="Z68" s="1013"/>
      <c r="AA68" s="1013"/>
      <c r="AB68" s="172" t="s">
        <v>128</v>
      </c>
      <c r="AC68" s="180">
        <f>SUM('7'!AC63,'7'!AC65)-'7'!AC67</f>
        <v>-236.45833333333337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N1" zoomScaleNormal="100" workbookViewId="0">
      <selection activeCell="Y29" sqref="Y29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4">
        <v>2753</v>
      </c>
      <c r="Z6" s="257">
        <v>940</v>
      </c>
      <c r="AA6" s="257">
        <v>1</v>
      </c>
      <c r="AB6" s="58">
        <f>IF('8'!AA6=1,(('8'!Z6*'8'!$AS$6*'8'!$AT$6)/('8'!Y6*0.0036)),IF('8'!AA6=2,(('8'!Z6*'8'!$AS$7*'8'!$AT$7)/('8'!Y6*0.0036))))</f>
        <v>63.072607660330149</v>
      </c>
      <c r="AC6" s="58"/>
      <c r="AD6" s="18">
        <f>(('8'!AC6*'8'!$Q$10*1000000))/('8'!Y6*3600)</f>
        <v>0</v>
      </c>
      <c r="AE6" s="183"/>
      <c r="AF6" s="184">
        <f>('8'!AE6/24)*0.454</f>
        <v>0</v>
      </c>
      <c r="AG6" s="19"/>
      <c r="AH6" s="184">
        <f>('8'!AG6/24)*0.454</f>
        <v>0</v>
      </c>
      <c r="AI6" s="19">
        <v>3000</v>
      </c>
      <c r="AJ6" s="184">
        <f>('8'!AI6/24)*0.454</f>
        <v>56.75</v>
      </c>
      <c r="AK6" s="21">
        <v>1250</v>
      </c>
      <c r="AL6" s="185">
        <f>('8'!AK6/24)*0.454</f>
        <v>23.645833333333336</v>
      </c>
      <c r="AM6" s="21">
        <v>1250</v>
      </c>
      <c r="AN6" s="185">
        <f>('8'!AM6/24)*0.454</f>
        <v>23.645833333333336</v>
      </c>
      <c r="AO6" s="21"/>
      <c r="AP6" s="185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6">
        <v>60</v>
      </c>
      <c r="C7" s="186">
        <v>10</v>
      </c>
      <c r="D7" s="186">
        <v>10</v>
      </c>
      <c r="E7" s="186">
        <v>2.5</v>
      </c>
      <c r="F7" s="186">
        <v>7.5</v>
      </c>
      <c r="G7" s="186">
        <v>1.2</v>
      </c>
      <c r="H7" s="186">
        <v>1.3</v>
      </c>
      <c r="I7" s="186">
        <v>0.4</v>
      </c>
      <c r="J7" s="186">
        <v>0.4</v>
      </c>
      <c r="K7" s="186">
        <v>7.2</v>
      </c>
      <c r="L7" s="186">
        <v>6.5</v>
      </c>
      <c r="M7" s="186">
        <v>6.5</v>
      </c>
      <c r="N7" s="186">
        <v>6.3</v>
      </c>
      <c r="O7" s="186">
        <v>3.3</v>
      </c>
      <c r="P7" s="186"/>
      <c r="Q7" s="188"/>
      <c r="R7" s="37">
        <f>'7'!$Z$29</f>
        <v>940</v>
      </c>
      <c r="S7" s="187">
        <f>'7'!AB29</f>
        <v>64.382235405594699</v>
      </c>
      <c r="T7" s="37">
        <f>'7'!Y29</f>
        <v>2702</v>
      </c>
      <c r="U7" s="33" t="str">
        <f>IF('8'!AA6=1,'8'!AR6,'8'!AR7)</f>
        <v>S.A.L</v>
      </c>
      <c r="V7" s="1022">
        <f>ESCALA!$C$9</f>
        <v>0</v>
      </c>
      <c r="W7" s="1022"/>
      <c r="X7" s="13">
        <v>8.3333333333333301E-2</v>
      </c>
      <c r="Y7" s="54">
        <v>2771</v>
      </c>
      <c r="Z7" s="257">
        <v>940</v>
      </c>
      <c r="AA7" s="257">
        <v>1</v>
      </c>
      <c r="AB7" s="58">
        <f>IF('8'!AA7=1,(('8'!Z7*'8'!$AS$6*'8'!$AT$6)/('8'!Y7*0.0036)),IF('8'!AA7=2,(('8'!Z7*'8'!$AS$7*'8'!$AT$7)/('8'!Y7*0.0036))))</f>
        <v>62.662897469826376</v>
      </c>
      <c r="AC7" s="58"/>
      <c r="AD7" s="18">
        <f>(('8'!AC7*'8'!$Q$10*1000000))/('8'!Y7*3600)</f>
        <v>0</v>
      </c>
      <c r="AE7" s="183"/>
      <c r="AF7" s="184">
        <f>('8'!AE7/24)*0.454</f>
        <v>0</v>
      </c>
      <c r="AG7" s="19"/>
      <c r="AH7" s="184">
        <f>('8'!AG7/24)*0.454</f>
        <v>0</v>
      </c>
      <c r="AI7" s="19">
        <v>3000</v>
      </c>
      <c r="AJ7" s="184">
        <f>('8'!AI7/24)*0.454</f>
        <v>56.75</v>
      </c>
      <c r="AK7" s="21">
        <v>1250</v>
      </c>
      <c r="AL7" s="185">
        <f>('8'!AK7/24)*0.454</f>
        <v>23.645833333333336</v>
      </c>
      <c r="AM7" s="21">
        <v>1250</v>
      </c>
      <c r="AN7" s="185">
        <f>('8'!AM7/24)*0.454</f>
        <v>23.645833333333336</v>
      </c>
      <c r="AO7" s="21"/>
      <c r="AP7" s="185">
        <f>('8'!AO7/24)*0.454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6">
        <v>60</v>
      </c>
      <c r="C8" s="186">
        <v>10</v>
      </c>
      <c r="D8" s="186">
        <v>10</v>
      </c>
      <c r="E8" s="186">
        <v>2.5</v>
      </c>
      <c r="F8" s="186">
        <v>7.5</v>
      </c>
      <c r="G8" s="186">
        <v>1.2</v>
      </c>
      <c r="H8" s="186">
        <v>1.2</v>
      </c>
      <c r="I8" s="186">
        <v>0.4</v>
      </c>
      <c r="J8" s="186">
        <v>0.3</v>
      </c>
      <c r="K8" s="186">
        <v>7.2</v>
      </c>
      <c r="L8" s="186">
        <v>6.5</v>
      </c>
      <c r="M8" s="186">
        <v>6.5</v>
      </c>
      <c r="N8" s="186">
        <v>6.3</v>
      </c>
      <c r="O8" s="186">
        <v>3.2</v>
      </c>
      <c r="P8" s="186"/>
      <c r="Q8" s="188"/>
      <c r="R8" s="35">
        <f>'8'!Z7</f>
        <v>940</v>
      </c>
      <c r="S8" s="36">
        <f>'8'!AB7</f>
        <v>62.662897469826376</v>
      </c>
      <c r="T8" s="37">
        <f>'8'!Y7</f>
        <v>2771</v>
      </c>
      <c r="U8" s="33" t="str">
        <f>IF('8'!AA7=1,'8'!AR6,'8'!AR7)</f>
        <v>S.A.L</v>
      </c>
      <c r="V8" s="1022"/>
      <c r="W8" s="1022"/>
      <c r="X8" s="13">
        <v>0.125</v>
      </c>
      <c r="Y8" s="54">
        <v>2792</v>
      </c>
      <c r="Z8" s="257">
        <v>940</v>
      </c>
      <c r="AA8" s="257">
        <v>1</v>
      </c>
      <c r="AB8" s="58">
        <f>IF('8'!AA8=1,(('8'!Z8*'8'!$AS$6*'8'!$AT$6)/('8'!Y8*0.0036)),IF('8'!AA8=2,(('8'!Z8*'8'!$AS$7*'8'!$AT$7)/('8'!Y8*0.0036))))</f>
        <v>62.191579114931557</v>
      </c>
      <c r="AC8" s="58"/>
      <c r="AD8" s="18">
        <f>(('8'!AC8*'8'!$Q$10*1000000))/('8'!Y8*3600)</f>
        <v>0</v>
      </c>
      <c r="AE8" s="183"/>
      <c r="AF8" s="184">
        <f>('8'!AE8/24)*0.454</f>
        <v>0</v>
      </c>
      <c r="AG8" s="19"/>
      <c r="AH8" s="184">
        <f>('8'!AG8/24)*0.454</f>
        <v>0</v>
      </c>
      <c r="AI8" s="19">
        <v>3000</v>
      </c>
      <c r="AJ8" s="184">
        <f>('8'!AI8/24)*0.454</f>
        <v>56.75</v>
      </c>
      <c r="AK8" s="21">
        <v>1250</v>
      </c>
      <c r="AL8" s="185">
        <f>('8'!AK8/24)*0.454</f>
        <v>23.645833333333336</v>
      </c>
      <c r="AM8" s="21">
        <v>1250</v>
      </c>
      <c r="AN8" s="185">
        <f>('8'!AM8/24)*0.454</f>
        <v>23.645833333333336</v>
      </c>
      <c r="AO8" s="21"/>
      <c r="AP8" s="185">
        <f>('8'!AO8/24)*0.454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60</v>
      </c>
      <c r="C9" s="186">
        <v>10</v>
      </c>
      <c r="D9" s="186">
        <v>10</v>
      </c>
      <c r="E9" s="186">
        <v>2.5</v>
      </c>
      <c r="F9" s="186">
        <v>7.7</v>
      </c>
      <c r="G9" s="186">
        <v>1.2</v>
      </c>
      <c r="H9" s="186">
        <v>1.2</v>
      </c>
      <c r="I9" s="186">
        <v>0.3</v>
      </c>
      <c r="J9" s="186">
        <v>0.3</v>
      </c>
      <c r="K9" s="186">
        <v>7.2</v>
      </c>
      <c r="L9" s="186">
        <v>6.5</v>
      </c>
      <c r="M9" s="186">
        <v>6.5</v>
      </c>
      <c r="N9" s="186">
        <v>6.3</v>
      </c>
      <c r="O9" s="186">
        <v>3.2</v>
      </c>
      <c r="P9" s="186"/>
      <c r="Q9" s="188"/>
      <c r="R9" s="37">
        <f>'8'!Z9</f>
        <v>940</v>
      </c>
      <c r="S9" s="36">
        <f>'8'!AB9</f>
        <v>63.884800915705995</v>
      </c>
      <c r="T9" s="37">
        <f>'8'!Y9</f>
        <v>2718</v>
      </c>
      <c r="U9" s="33" t="str">
        <f>IF('8'!AA9=1,'8'!AR6,'8'!AR7)</f>
        <v>S.A.L</v>
      </c>
      <c r="V9" s="1022"/>
      <c r="W9" s="1022"/>
      <c r="X9" s="13">
        <v>0.16666666666666699</v>
      </c>
      <c r="Y9" s="54">
        <v>2718</v>
      </c>
      <c r="Z9" s="257">
        <v>940</v>
      </c>
      <c r="AA9" s="257">
        <v>1</v>
      </c>
      <c r="AB9" s="58">
        <f>IF('8'!AA9=1,(('8'!Z9*'8'!$AS$6*'8'!$AT$6)/('8'!Y9*0.0036)),IF('8'!AA9=2,(('8'!Z9*'8'!$AS$7*'8'!$AT$7)/('8'!Y9*0.0036))))</f>
        <v>63.884800915705995</v>
      </c>
      <c r="AC9" s="58"/>
      <c r="AD9" s="18">
        <f>(('8'!AC9*'8'!$Q$10*1000000))/('8'!Y9*3600)</f>
        <v>0</v>
      </c>
      <c r="AE9" s="183"/>
      <c r="AF9" s="184">
        <f>('8'!AE9/24)*0.454</f>
        <v>0</v>
      </c>
      <c r="AG9" s="19"/>
      <c r="AH9" s="184">
        <f>('8'!AG9/24)*0.454</f>
        <v>0</v>
      </c>
      <c r="AI9" s="19">
        <v>3000</v>
      </c>
      <c r="AJ9" s="184">
        <f>('8'!AI9/24)*0.454</f>
        <v>56.75</v>
      </c>
      <c r="AK9" s="21">
        <v>1250</v>
      </c>
      <c r="AL9" s="185">
        <f>('8'!AK9/24)*0.454</f>
        <v>23.645833333333336</v>
      </c>
      <c r="AM9" s="21">
        <v>1250</v>
      </c>
      <c r="AN9" s="185">
        <f>('8'!AM9/24)*0.454</f>
        <v>23.645833333333336</v>
      </c>
      <c r="AO9" s="21"/>
      <c r="AP9" s="185">
        <f>('8'!AO9/24)*0.454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60</v>
      </c>
      <c r="C10" s="186">
        <v>10</v>
      </c>
      <c r="D10" s="186">
        <v>10</v>
      </c>
      <c r="E10" s="186">
        <v>2.5</v>
      </c>
      <c r="F10" s="186">
        <v>7.8</v>
      </c>
      <c r="G10" s="186">
        <v>1.2</v>
      </c>
      <c r="H10" s="186">
        <v>1.2</v>
      </c>
      <c r="I10" s="186">
        <v>0.3</v>
      </c>
      <c r="J10" s="186">
        <v>0.3</v>
      </c>
      <c r="K10" s="186">
        <v>7.2</v>
      </c>
      <c r="L10" s="186">
        <v>6.5</v>
      </c>
      <c r="M10" s="186">
        <v>6.5</v>
      </c>
      <c r="N10" s="186">
        <v>6.3</v>
      </c>
      <c r="O10" s="186">
        <v>3</v>
      </c>
      <c r="P10" s="186"/>
      <c r="Q10" s="188"/>
      <c r="R10" s="37">
        <f>'8'!Z11</f>
        <v>940</v>
      </c>
      <c r="S10" s="36">
        <f>'8'!AB11</f>
        <v>64.66997723980964</v>
      </c>
      <c r="T10" s="37">
        <f>'8'!Y11</f>
        <v>2685</v>
      </c>
      <c r="U10" s="33" t="str">
        <f>IF('8'!AA11=1,'8'!AR6,'8'!AR7)</f>
        <v>S.A.L</v>
      </c>
      <c r="V10" s="1022"/>
      <c r="W10" s="1022"/>
      <c r="X10" s="13">
        <v>0.20833333333333301</v>
      </c>
      <c r="Y10" s="54">
        <v>2752</v>
      </c>
      <c r="Z10" s="257">
        <v>940</v>
      </c>
      <c r="AA10" s="257">
        <v>1</v>
      </c>
      <c r="AB10" s="58">
        <f>IF('8'!AA10=1,(('8'!Z10*'8'!$AS$6*'8'!$AT$6)/('8'!Y10*0.0036)),IF('8'!AA10=2,(('8'!Z10*'8'!$AS$7*'8'!$AT$7)/('8'!Y10*0.0036))))</f>
        <v>63.09552648578812</v>
      </c>
      <c r="AC10" s="58"/>
      <c r="AD10" s="18">
        <f>(('8'!AC10*'8'!$Q$10*1000000))/('8'!Y10*3600)</f>
        <v>0</v>
      </c>
      <c r="AE10" s="183"/>
      <c r="AF10" s="184">
        <f>('8'!AE10/24)*0.454</f>
        <v>0</v>
      </c>
      <c r="AG10" s="19"/>
      <c r="AH10" s="184">
        <f>('8'!AG10/24)*0.454</f>
        <v>0</v>
      </c>
      <c r="AI10" s="19">
        <v>3000</v>
      </c>
      <c r="AJ10" s="184">
        <f>('8'!AI10/24)*0.454</f>
        <v>56.75</v>
      </c>
      <c r="AK10" s="21">
        <v>1250</v>
      </c>
      <c r="AL10" s="185">
        <f>('8'!AK10/24)*0.454</f>
        <v>23.645833333333336</v>
      </c>
      <c r="AM10" s="21">
        <v>1250</v>
      </c>
      <c r="AN10" s="185">
        <f>('8'!AM10/24)*0.454</f>
        <v>23.645833333333336</v>
      </c>
      <c r="AO10" s="21"/>
      <c r="AP10" s="185">
        <f>('8'!AO10/24)*0.454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6">
        <v>60</v>
      </c>
      <c r="C11" s="186">
        <v>10</v>
      </c>
      <c r="D11" s="186">
        <v>10</v>
      </c>
      <c r="E11" s="186">
        <v>2.5</v>
      </c>
      <c r="F11" s="186">
        <v>8</v>
      </c>
      <c r="G11" s="186">
        <v>1.1000000000000001</v>
      </c>
      <c r="H11" s="186">
        <v>1.1000000000000001</v>
      </c>
      <c r="I11" s="186">
        <v>0.3</v>
      </c>
      <c r="J11" s="186">
        <v>0.3</v>
      </c>
      <c r="K11" s="186">
        <v>7</v>
      </c>
      <c r="L11" s="186">
        <v>6.7</v>
      </c>
      <c r="M11" s="186">
        <v>6.7</v>
      </c>
      <c r="N11" s="186">
        <v>6.3</v>
      </c>
      <c r="O11" s="186">
        <v>3</v>
      </c>
      <c r="P11" s="186"/>
      <c r="Q11" s="188"/>
      <c r="R11" s="37">
        <f>'8'!Z13</f>
        <v>940</v>
      </c>
      <c r="S11" s="36">
        <f>'8'!AB13</f>
        <v>63.814365633549755</v>
      </c>
      <c r="T11" s="37">
        <f>'8'!Y13</f>
        <v>2721</v>
      </c>
      <c r="U11" s="33" t="str">
        <f>IF('8'!AA13=1,'8'!AR6,'8'!AR7)</f>
        <v>S.A.L</v>
      </c>
      <c r="V11" s="1022"/>
      <c r="W11" s="1022"/>
      <c r="X11" s="13">
        <v>0.25</v>
      </c>
      <c r="Y11" s="54">
        <v>2685</v>
      </c>
      <c r="Z11" s="257">
        <v>940</v>
      </c>
      <c r="AA11" s="257">
        <v>1</v>
      </c>
      <c r="AB11" s="58">
        <f>IF('8'!AA11=1,(('8'!Z11*'8'!$AS$6*'8'!$AT$6)/('8'!Y11*0.0036)),IF('8'!AA11=2,(('8'!Z11*'8'!$AS$7*'8'!$AT$7)/('8'!Y11*0.0036))))</f>
        <v>64.66997723980964</v>
      </c>
      <c r="AC11" s="58"/>
      <c r="AD11" s="18">
        <f>(('8'!AC11*'8'!$Q$10*1000000))/('8'!Y11*3600)</f>
        <v>0</v>
      </c>
      <c r="AE11" s="183"/>
      <c r="AF11" s="184">
        <f>('8'!AE11/24)*0.454</f>
        <v>0</v>
      </c>
      <c r="AG11" s="19"/>
      <c r="AH11" s="184">
        <f>('8'!AG11/24)*0.454</f>
        <v>0</v>
      </c>
      <c r="AI11" s="19">
        <v>3000</v>
      </c>
      <c r="AJ11" s="184">
        <f>('8'!AI11/24)*0.454</f>
        <v>56.75</v>
      </c>
      <c r="AK11" s="21">
        <v>1250</v>
      </c>
      <c r="AL11" s="185">
        <f>('8'!AK11/24)*0.454</f>
        <v>23.645833333333336</v>
      </c>
      <c r="AM11" s="21">
        <v>1250</v>
      </c>
      <c r="AN11" s="185">
        <f>('8'!AM11/24)*0.454</f>
        <v>23.645833333333336</v>
      </c>
      <c r="AO11" s="21"/>
      <c r="AP11" s="185">
        <f>('8'!AO11/24)*0.454</f>
        <v>0</v>
      </c>
    </row>
    <row r="12" spans="1:47" ht="18.75" customHeight="1">
      <c r="A12" s="28">
        <v>0.41666666666666702</v>
      </c>
      <c r="B12" s="186">
        <v>60</v>
      </c>
      <c r="C12" s="186">
        <v>10</v>
      </c>
      <c r="D12" s="186">
        <v>10</v>
      </c>
      <c r="E12" s="186">
        <v>2.5</v>
      </c>
      <c r="F12" s="186">
        <v>8.6999999999999993</v>
      </c>
      <c r="G12" s="186">
        <v>1.5</v>
      </c>
      <c r="H12" s="186">
        <v>1.2</v>
      </c>
      <c r="I12" s="186">
        <v>0.3</v>
      </c>
      <c r="J12" s="186">
        <v>0.4</v>
      </c>
      <c r="K12" s="186">
        <v>7.3</v>
      </c>
      <c r="L12" s="186">
        <v>6.7</v>
      </c>
      <c r="M12" s="186">
        <v>6.7</v>
      </c>
      <c r="N12" s="186">
        <v>6.3</v>
      </c>
      <c r="O12" s="186">
        <v>2.8</v>
      </c>
      <c r="P12" s="186"/>
      <c r="Q12" s="188"/>
      <c r="R12" s="37">
        <f>'8'!Z15</f>
        <v>940</v>
      </c>
      <c r="S12" s="36">
        <f>'8'!AB15</f>
        <v>64.766463591528861</v>
      </c>
      <c r="T12" s="37">
        <f>'8'!Y15</f>
        <v>2681</v>
      </c>
      <c r="U12" s="33" t="str">
        <f>IF('8'!AA15=1,'8'!AR6,'8'!AR7)</f>
        <v>S.A.L</v>
      </c>
      <c r="V12" s="944">
        <f>ESCALA!$B$10</f>
        <v>0</v>
      </c>
      <c r="W12" s="944"/>
      <c r="X12" s="13">
        <v>0.29166666666666702</v>
      </c>
      <c r="Y12" s="54">
        <v>2685</v>
      </c>
      <c r="Z12" s="257">
        <v>940</v>
      </c>
      <c r="AA12" s="257">
        <v>1</v>
      </c>
      <c r="AB12" s="58">
        <f>IF('8'!AA12=1,(('8'!Z12*'8'!$AS$6*'8'!$AT$6)/('8'!Y12*0.0036)),IF('8'!AA12=2,(('8'!Z12*'8'!$AS$7*'8'!$AT$7)/('8'!Y12*0.0036))))</f>
        <v>64.66997723980964</v>
      </c>
      <c r="AC12" s="58"/>
      <c r="AD12" s="18">
        <f>(('8'!AC12*'8'!$Q$10*1000000))/('8'!Y12*3600)</f>
        <v>0</v>
      </c>
      <c r="AE12" s="183"/>
      <c r="AF12" s="184">
        <f>('8'!AE12/24)*0.454</f>
        <v>0</v>
      </c>
      <c r="AG12" s="19"/>
      <c r="AH12" s="184">
        <f>('8'!AG12/24)*0.454</f>
        <v>0</v>
      </c>
      <c r="AI12" s="19">
        <v>5200</v>
      </c>
      <c r="AJ12" s="184">
        <f>('8'!AI12/24)*0.454</f>
        <v>98.36666666666666</v>
      </c>
      <c r="AK12" s="21"/>
      <c r="AL12" s="185">
        <f>('8'!AK12/24)*0.454</f>
        <v>0</v>
      </c>
      <c r="AM12" s="21"/>
      <c r="AN12" s="185">
        <f>('8'!AM12/24)*0.454</f>
        <v>0</v>
      </c>
      <c r="AO12" s="21"/>
      <c r="AP12" s="185">
        <f>('8'!AO12/24)*0.454</f>
        <v>0</v>
      </c>
    </row>
    <row r="13" spans="1:47" ht="18.75" customHeight="1">
      <c r="A13" s="28">
        <v>0.5</v>
      </c>
      <c r="B13" s="186">
        <v>60</v>
      </c>
      <c r="C13" s="186">
        <v>10</v>
      </c>
      <c r="D13" s="186">
        <v>10</v>
      </c>
      <c r="E13" s="186">
        <v>2.5</v>
      </c>
      <c r="F13" s="186">
        <v>8.8000000000000007</v>
      </c>
      <c r="G13" s="186">
        <v>1.5</v>
      </c>
      <c r="H13" s="186">
        <v>1.3</v>
      </c>
      <c r="I13" s="186">
        <v>0.3</v>
      </c>
      <c r="J13" s="186">
        <v>0.4</v>
      </c>
      <c r="K13" s="186">
        <v>7.3</v>
      </c>
      <c r="L13" s="186">
        <v>6.7</v>
      </c>
      <c r="M13" s="186">
        <v>6.7</v>
      </c>
      <c r="N13" s="186">
        <v>6.3</v>
      </c>
      <c r="O13" s="186">
        <v>2.8</v>
      </c>
      <c r="P13" s="186"/>
      <c r="Q13" s="188"/>
      <c r="R13" s="37">
        <f>'8'!Z17</f>
        <v>940</v>
      </c>
      <c r="S13" s="36">
        <f>'8'!AB17</f>
        <v>64.120712292795019</v>
      </c>
      <c r="T13" s="37">
        <f>'8'!Y17</f>
        <v>2708</v>
      </c>
      <c r="U13" s="33" t="str">
        <f>IF('8'!AA17=1,'8'!AR6,'8'!AR7)</f>
        <v>S.A.L</v>
      </c>
      <c r="V13" s="944"/>
      <c r="W13" s="944"/>
      <c r="X13" s="13">
        <v>0.33333333333333298</v>
      </c>
      <c r="Y13" s="54">
        <v>2721</v>
      </c>
      <c r="Z13" s="257">
        <v>940</v>
      </c>
      <c r="AA13" s="257">
        <v>1</v>
      </c>
      <c r="AB13" s="58">
        <f>IF('8'!AA13=1,(('8'!Z13*'8'!$AS$6*'8'!$AT$6)/('8'!Y13*0.0036)),IF('8'!AA13=2,(('8'!Z13*'8'!$AS$7*'8'!$AT$7)/('8'!Y13*0.0036))))</f>
        <v>63.814365633549755</v>
      </c>
      <c r="AC13" s="58"/>
      <c r="AD13" s="18">
        <f>(('8'!AC13*'8'!$Q$10*1000000))/('8'!Y13*3600)</f>
        <v>0</v>
      </c>
      <c r="AE13" s="183"/>
      <c r="AF13" s="184">
        <f>('8'!AE13/24)*0.454</f>
        <v>0</v>
      </c>
      <c r="AG13" s="19"/>
      <c r="AH13" s="184">
        <f>('8'!AG13/24)*0.454</f>
        <v>0</v>
      </c>
      <c r="AI13" s="19">
        <v>5200</v>
      </c>
      <c r="AJ13" s="184">
        <f>('8'!AI13/24)*0.454</f>
        <v>98.36666666666666</v>
      </c>
      <c r="AK13" s="21"/>
      <c r="AL13" s="185">
        <f>('8'!AK13/24)*0.454</f>
        <v>0</v>
      </c>
      <c r="AM13" s="21"/>
      <c r="AN13" s="185">
        <f>('8'!AM13/24)*0.454</f>
        <v>0</v>
      </c>
      <c r="AO13" s="21"/>
      <c r="AP13" s="185">
        <f>('8'!AO13/24)*0.454</f>
        <v>0</v>
      </c>
    </row>
    <row r="14" spans="1:47" ht="18.75" customHeight="1">
      <c r="A14" s="28">
        <v>0.58333333333333304</v>
      </c>
      <c r="B14" s="186">
        <v>60</v>
      </c>
      <c r="C14" s="186">
        <v>12.5</v>
      </c>
      <c r="D14" s="186">
        <v>10</v>
      </c>
      <c r="E14" s="186">
        <v>2.5</v>
      </c>
      <c r="F14" s="186">
        <v>8.8000000000000007</v>
      </c>
      <c r="G14" s="186">
        <v>1.6</v>
      </c>
      <c r="H14" s="186">
        <v>1.3</v>
      </c>
      <c r="I14" s="186">
        <v>0.3</v>
      </c>
      <c r="J14" s="186">
        <v>0.4</v>
      </c>
      <c r="K14" s="186">
        <v>7.3</v>
      </c>
      <c r="L14" s="186">
        <v>6.7</v>
      </c>
      <c r="M14" s="186">
        <v>6.7</v>
      </c>
      <c r="N14" s="186">
        <v>6.3</v>
      </c>
      <c r="O14" s="186">
        <v>2.8</v>
      </c>
      <c r="P14" s="186"/>
      <c r="Q14" s="188"/>
      <c r="R14" s="37">
        <f>'8'!Z19</f>
        <v>940</v>
      </c>
      <c r="S14" s="36">
        <f>'8'!AB19</f>
        <v>61.443343555870094</v>
      </c>
      <c r="T14" s="37">
        <f>'8'!Y19</f>
        <v>2826</v>
      </c>
      <c r="U14" s="33" t="str">
        <f>IF('8'!AA19=1,'8'!AR6,'8'!AR7)</f>
        <v>S.A.L</v>
      </c>
      <c r="V14" s="944"/>
      <c r="W14" s="944"/>
      <c r="X14" s="13">
        <v>0.375</v>
      </c>
      <c r="Y14" s="54">
        <v>2758</v>
      </c>
      <c r="Z14" s="257">
        <v>940</v>
      </c>
      <c r="AA14" s="257">
        <v>1</v>
      </c>
      <c r="AB14" s="58">
        <f>IF('8'!AA14=1,(('8'!Z14*'8'!$AS$6*'8'!$AT$6)/('8'!Y14*0.0036)),IF('8'!AA14=2,(('8'!Z14*'8'!$AS$7*'8'!$AT$7)/('8'!Y14*0.0036))))</f>
        <v>62.958262831359285</v>
      </c>
      <c r="AC14" s="58"/>
      <c r="AD14" s="18">
        <f>(('8'!AC14*'8'!$Q$10*1000000))/('8'!Y14*3600)</f>
        <v>0</v>
      </c>
      <c r="AE14" s="183"/>
      <c r="AF14" s="184">
        <f>('8'!AE14/24)*0.454</f>
        <v>0</v>
      </c>
      <c r="AG14" s="19"/>
      <c r="AH14" s="184">
        <f>('8'!AG14/24)*0.454</f>
        <v>0</v>
      </c>
      <c r="AI14" s="19">
        <v>5200</v>
      </c>
      <c r="AJ14" s="184">
        <f>('8'!AI14/24)*0.454</f>
        <v>98.36666666666666</v>
      </c>
      <c r="AK14" s="21"/>
      <c r="AL14" s="185">
        <f>('8'!AK14/24)*0.454</f>
        <v>0</v>
      </c>
      <c r="AM14" s="21"/>
      <c r="AN14" s="185">
        <f>('8'!AM14/24)*0.454</f>
        <v>0</v>
      </c>
      <c r="AO14" s="21"/>
      <c r="AP14" s="185">
        <f>('8'!AO14/24)*0.454</f>
        <v>0</v>
      </c>
    </row>
    <row r="15" spans="1:47" ht="18.75" customHeight="1">
      <c r="A15" s="28">
        <v>0.66666666666666696</v>
      </c>
      <c r="B15" s="186">
        <v>60</v>
      </c>
      <c r="C15" s="186">
        <v>12.5</v>
      </c>
      <c r="D15" s="186">
        <v>10</v>
      </c>
      <c r="E15" s="186">
        <v>2.5</v>
      </c>
      <c r="F15" s="186">
        <v>8.8000000000000007</v>
      </c>
      <c r="G15" s="186">
        <v>1.7</v>
      </c>
      <c r="H15" s="186">
        <v>1.3</v>
      </c>
      <c r="I15" s="186">
        <v>0.4</v>
      </c>
      <c r="J15" s="186">
        <v>0.5</v>
      </c>
      <c r="K15" s="186">
        <v>7.3</v>
      </c>
      <c r="L15" s="186">
        <v>6.7</v>
      </c>
      <c r="M15" s="186">
        <v>6.7</v>
      </c>
      <c r="N15" s="186">
        <v>6.3</v>
      </c>
      <c r="O15" s="186">
        <v>2.8</v>
      </c>
      <c r="P15" s="186"/>
      <c r="Q15" s="188"/>
      <c r="R15" s="37">
        <f>'8'!Z21</f>
        <v>940</v>
      </c>
      <c r="S15" s="36">
        <f>'8'!AB21</f>
        <v>63.534170833841536</v>
      </c>
      <c r="T15" s="37">
        <f>'8'!Y21</f>
        <v>2733</v>
      </c>
      <c r="U15" s="33" t="str">
        <f>IF('8'!AA21=1,'8'!AR6,'8'!AR7)</f>
        <v>S.A.L</v>
      </c>
      <c r="V15" s="944"/>
      <c r="W15" s="944"/>
      <c r="X15" s="13">
        <v>0.41666666666666702</v>
      </c>
      <c r="Y15" s="54">
        <v>2681</v>
      </c>
      <c r="Z15" s="257">
        <v>940</v>
      </c>
      <c r="AA15" s="257">
        <v>1</v>
      </c>
      <c r="AB15" s="58">
        <f>IF('8'!AA15=1,(('8'!Z15*'8'!$AS$6*'8'!$AT$6)/('8'!Y15*0.0036)),IF('8'!AA15=2,(('8'!Z15*'8'!$AS$7*'8'!$AT$7)/('8'!Y15*0.0036))))</f>
        <v>64.766463591528861</v>
      </c>
      <c r="AC15" s="58"/>
      <c r="AD15" s="18">
        <f>(('8'!AC15*'8'!$Q$10*1000000))/('8'!Y15*3600)</f>
        <v>0</v>
      </c>
      <c r="AE15" s="183"/>
      <c r="AF15" s="184">
        <f>('8'!AE15/24)*0.454</f>
        <v>0</v>
      </c>
      <c r="AG15" s="19"/>
      <c r="AH15" s="184">
        <f>('8'!AG15/24)*0.454</f>
        <v>0</v>
      </c>
      <c r="AI15" s="19">
        <v>5200</v>
      </c>
      <c r="AJ15" s="184">
        <f>('8'!AI15/24)*0.454</f>
        <v>98.36666666666666</v>
      </c>
      <c r="AK15" s="21"/>
      <c r="AL15" s="185">
        <f>('8'!AK15/24)*0.454</f>
        <v>0</v>
      </c>
      <c r="AM15" s="21"/>
      <c r="AN15" s="185">
        <f>('8'!AM15/24)*0.454</f>
        <v>0</v>
      </c>
      <c r="AO15" s="21"/>
      <c r="AP15" s="185">
        <f>('8'!AO15/24)*0.454</f>
        <v>0</v>
      </c>
    </row>
    <row r="16" spans="1:47" ht="18.75" customHeight="1">
      <c r="A16" s="28">
        <v>0.75</v>
      </c>
      <c r="B16" s="186">
        <v>60</v>
      </c>
      <c r="C16" s="186">
        <v>10</v>
      </c>
      <c r="D16" s="186">
        <v>10</v>
      </c>
      <c r="E16" s="186">
        <v>2.5</v>
      </c>
      <c r="F16" s="186">
        <v>8.8000000000000007</v>
      </c>
      <c r="G16" s="186">
        <v>1.5</v>
      </c>
      <c r="H16" s="186">
        <v>1.3</v>
      </c>
      <c r="I16" s="186">
        <v>0.4</v>
      </c>
      <c r="J16" s="186">
        <v>0.5</v>
      </c>
      <c r="K16" s="186">
        <v>7.3</v>
      </c>
      <c r="L16" s="186">
        <v>6.7</v>
      </c>
      <c r="M16" s="186">
        <v>6.7</v>
      </c>
      <c r="N16" s="186">
        <v>6.3</v>
      </c>
      <c r="O16" s="186">
        <v>2.8</v>
      </c>
      <c r="P16" s="186"/>
      <c r="Q16" s="188"/>
      <c r="R16" s="37">
        <f>'8'!Z23</f>
        <v>940</v>
      </c>
      <c r="S16" s="36">
        <f>'8'!AB23</f>
        <v>65.747402078337331</v>
      </c>
      <c r="T16" s="37">
        <f>'8'!Y23</f>
        <v>2641</v>
      </c>
      <c r="U16" s="33" t="str">
        <f>IF('8'!AA23=1,'8'!AR6,'8'!AR7)</f>
        <v>S.A.L</v>
      </c>
      <c r="V16" s="944"/>
      <c r="W16" s="944"/>
      <c r="X16" s="13">
        <v>0.45833333333333298</v>
      </c>
      <c r="Y16" s="54">
        <v>2723</v>
      </c>
      <c r="Z16" s="257">
        <v>940</v>
      </c>
      <c r="AA16" s="257">
        <v>1</v>
      </c>
      <c r="AB16" s="58">
        <f>IF('8'!AA16=1,(('8'!Z16*'8'!$AS$6*'8'!$AT$6)/('8'!Y16*0.0036)),IF('8'!AA16=2,(('8'!Z16*'8'!$AS$7*'8'!$AT$7)/('8'!Y16*0.0036))))</f>
        <v>63.767495001428166</v>
      </c>
      <c r="AC16" s="58"/>
      <c r="AD16" s="18">
        <f>(('8'!AC16*'8'!$Q$10*1000000))/('8'!Y16*3600)</f>
        <v>0</v>
      </c>
      <c r="AE16" s="183"/>
      <c r="AF16" s="184">
        <f>('8'!AE16/24)*0.454</f>
        <v>0</v>
      </c>
      <c r="AG16" s="19"/>
      <c r="AH16" s="184">
        <f>('8'!AG16/24)*0.454</f>
        <v>0</v>
      </c>
      <c r="AI16" s="19">
        <v>5200</v>
      </c>
      <c r="AJ16" s="184">
        <f>('8'!AI16/24)*0.454</f>
        <v>98.36666666666666</v>
      </c>
      <c r="AK16" s="21"/>
      <c r="AL16" s="185">
        <f>('8'!AK16/24)*0.454</f>
        <v>0</v>
      </c>
      <c r="AM16" s="21"/>
      <c r="AN16" s="185">
        <f>('8'!AM16/24)*0.454</f>
        <v>0</v>
      </c>
      <c r="AO16" s="21"/>
      <c r="AP16" s="185">
        <f>('8'!AO16/24)*0.454</f>
        <v>0</v>
      </c>
    </row>
    <row r="17" spans="1:42" ht="18.75" customHeight="1">
      <c r="A17" s="28">
        <v>0.83333333333333304</v>
      </c>
      <c r="B17" s="186">
        <v>60</v>
      </c>
      <c r="C17" s="186">
        <v>12.5</v>
      </c>
      <c r="D17" s="186">
        <v>10</v>
      </c>
      <c r="E17" s="186">
        <v>2.5</v>
      </c>
      <c r="F17" s="186">
        <v>8.1</v>
      </c>
      <c r="G17" s="186">
        <v>1.8</v>
      </c>
      <c r="H17" s="186">
        <v>1.3</v>
      </c>
      <c r="I17" s="186">
        <v>0.4</v>
      </c>
      <c r="J17" s="186">
        <v>0.5</v>
      </c>
      <c r="K17" s="186">
        <v>7.3</v>
      </c>
      <c r="L17" s="186">
        <v>6.7</v>
      </c>
      <c r="M17" s="186">
        <v>6.7</v>
      </c>
      <c r="N17" s="186">
        <v>6.4</v>
      </c>
      <c r="O17" s="186">
        <v>3</v>
      </c>
      <c r="P17" s="186"/>
      <c r="Q17" s="188"/>
      <c r="R17" s="37">
        <f>'8'!Z25</f>
        <v>940</v>
      </c>
      <c r="S17" s="36">
        <f>'8'!AB25</f>
        <v>63.072607660330149</v>
      </c>
      <c r="T17" s="37">
        <f>'8'!Y25</f>
        <v>2753</v>
      </c>
      <c r="U17" s="33" t="str">
        <f>IF('8'!AA25=1,'8'!AR6,'8'!AR7)</f>
        <v>S.A.L</v>
      </c>
      <c r="V17" s="945">
        <f>ESCALA!$C$10</f>
        <v>0</v>
      </c>
      <c r="W17" s="945"/>
      <c r="X17" s="13">
        <v>0.5</v>
      </c>
      <c r="Y17" s="54">
        <v>2708</v>
      </c>
      <c r="Z17" s="257">
        <v>940</v>
      </c>
      <c r="AA17" s="257">
        <v>1</v>
      </c>
      <c r="AB17" s="58">
        <f>IF('8'!AA17=1,(('8'!Z17*'8'!$AS$6*'8'!$AT$6)/('8'!Y17*0.0036)),IF('8'!AA17=2,(('8'!Z17*'8'!$AS$7*'8'!$AT$7)/('8'!Y17*0.0036))))</f>
        <v>64.120712292795019</v>
      </c>
      <c r="AC17" s="58"/>
      <c r="AD17" s="18">
        <f>(('8'!AC17*'8'!$Q$10*1000000))/('8'!Y17*3600)</f>
        <v>0</v>
      </c>
      <c r="AE17" s="183"/>
      <c r="AF17" s="184">
        <f>('8'!AE17/24)*0.454</f>
        <v>0</v>
      </c>
      <c r="AG17" s="19"/>
      <c r="AH17" s="184">
        <f>('8'!AG17/24)*0.454</f>
        <v>0</v>
      </c>
      <c r="AI17" s="19">
        <v>5200</v>
      </c>
      <c r="AJ17" s="184">
        <f>('8'!AI17/24)*0.454</f>
        <v>98.36666666666666</v>
      </c>
      <c r="AK17" s="21"/>
      <c r="AL17" s="185">
        <f>('8'!AK17/24)*0.454</f>
        <v>0</v>
      </c>
      <c r="AM17" s="21"/>
      <c r="AN17" s="185">
        <f>('8'!AM17/24)*0.454</f>
        <v>0</v>
      </c>
      <c r="AO17" s="21"/>
      <c r="AP17" s="185">
        <f>('8'!AO17/24)*0.454</f>
        <v>0</v>
      </c>
    </row>
    <row r="18" spans="1:42" ht="19.5" customHeight="1">
      <c r="A18" s="28">
        <v>0.91666666666666696</v>
      </c>
      <c r="B18" s="186">
        <v>60</v>
      </c>
      <c r="C18" s="186">
        <v>12.5</v>
      </c>
      <c r="D18" s="186">
        <v>10</v>
      </c>
      <c r="E18" s="186">
        <v>2.5</v>
      </c>
      <c r="F18" s="186">
        <v>8.1999999999999993</v>
      </c>
      <c r="G18" s="186">
        <v>1.8</v>
      </c>
      <c r="H18" s="186">
        <v>1.3</v>
      </c>
      <c r="I18" s="186">
        <v>0.4</v>
      </c>
      <c r="J18" s="186">
        <v>0.5</v>
      </c>
      <c r="K18" s="186">
        <v>7.3</v>
      </c>
      <c r="L18" s="186">
        <v>6.7</v>
      </c>
      <c r="M18" s="186">
        <v>6.7</v>
      </c>
      <c r="N18" s="186">
        <v>6.4</v>
      </c>
      <c r="O18" s="186">
        <v>3</v>
      </c>
      <c r="P18" s="186"/>
      <c r="Q18" s="188"/>
      <c r="R18" s="37">
        <f>'8'!Z27</f>
        <v>940</v>
      </c>
      <c r="S18" s="36">
        <f>'8'!AB27</f>
        <v>64.936009307737052</v>
      </c>
      <c r="T18" s="37">
        <f>'8'!Y27</f>
        <v>2674</v>
      </c>
      <c r="U18" s="33" t="str">
        <f>IF('8'!AA27=1,'8'!AR6,'8'!AR7)</f>
        <v>S.A.L</v>
      </c>
      <c r="V18" s="945"/>
      <c r="W18" s="945"/>
      <c r="X18" s="13">
        <v>0.54166666666666696</v>
      </c>
      <c r="Y18" s="54">
        <v>2671</v>
      </c>
      <c r="Z18" s="257">
        <v>940</v>
      </c>
      <c r="AA18" s="257">
        <v>1</v>
      </c>
      <c r="AB18" s="58">
        <f>IF('8'!AA18=1,(('8'!Z18*'8'!$AS$6*'8'!$AT$6)/('8'!Y18*0.0036)),IF('8'!AA18=2,(('8'!Z18*'8'!$AS$7*'8'!$AT$7)/('8'!Y18*0.0036))))</f>
        <v>65.00894379965888</v>
      </c>
      <c r="AC18" s="58"/>
      <c r="AD18" s="18">
        <f>(('8'!AC18*'8'!$Q$10*1000000))/('8'!Y18*3600)</f>
        <v>0</v>
      </c>
      <c r="AE18" s="183"/>
      <c r="AF18" s="184">
        <f>('8'!AE18/24)*0.454</f>
        <v>0</v>
      </c>
      <c r="AG18" s="19"/>
      <c r="AH18" s="184">
        <f>('8'!AG18/24)*0.454</f>
        <v>0</v>
      </c>
      <c r="AI18" s="19">
        <v>5200</v>
      </c>
      <c r="AJ18" s="184">
        <f>('8'!AI18/24)*0.454</f>
        <v>98.36666666666666</v>
      </c>
      <c r="AK18" s="21"/>
      <c r="AL18" s="185">
        <f>('8'!AK18/24)*0.454</f>
        <v>0</v>
      </c>
      <c r="AM18" s="21"/>
      <c r="AN18" s="185">
        <f>('8'!AM18/24)*0.454</f>
        <v>0</v>
      </c>
      <c r="AO18" s="21"/>
      <c r="AP18" s="185">
        <f>('8'!AO18/24)*0.454</f>
        <v>0</v>
      </c>
    </row>
    <row r="19" spans="1:42" ht="18.75" customHeight="1">
      <c r="A19" s="10" t="s">
        <v>52</v>
      </c>
      <c r="B19" s="69">
        <f t="array" ref="B19">IF('8'!B7:B18&gt;0.01,AVERAGE('8'!B7:B18),"")</f>
        <v>60</v>
      </c>
      <c r="C19" s="69">
        <f t="array" ref="C19">IF('8'!C7:C18&gt;0.01,AVERAGE('8'!C7:C18),"")</f>
        <v>10.833333333333334</v>
      </c>
      <c r="D19" s="69">
        <f t="array" ref="D19">IF('8'!D7:D18&gt;0.01,AVERAGE('8'!D7:D18),"")</f>
        <v>10</v>
      </c>
      <c r="E19" s="69">
        <f t="array" ref="E19">IF('8'!E7:E18&gt;0.01,AVERAGE('8'!E7:E18),"")</f>
        <v>2.5</v>
      </c>
      <c r="F19" s="69">
        <f t="array" ref="F19">IF('8'!F7:F18&gt;0.01,AVERAGE('8'!F7:F18),"")</f>
        <v>8.2249999999999996</v>
      </c>
      <c r="G19" s="69">
        <f t="array" ref="G19">IF('8'!G7:G18&gt;0.01,AVERAGE('8'!G7:G18),"")</f>
        <v>1.4416666666666667</v>
      </c>
      <c r="H19" s="69">
        <f t="array" ref="H19">IF('8'!H7:H18&gt;0.01,AVERAGE('8'!H7:H18),"")</f>
        <v>1.2500000000000002</v>
      </c>
      <c r="I19" s="69">
        <f t="array" ref="I19">IF('8'!I7:I18&gt;0.01,AVERAGE('8'!I7:I18),"")</f>
        <v>0.34999999999999992</v>
      </c>
      <c r="J19" s="69">
        <f t="array" ref="J19">IF('8'!J7:J18&gt;0.01,AVERAGE('8'!J7:J18),"")</f>
        <v>0.39999999999999997</v>
      </c>
      <c r="K19" s="69">
        <f t="array" ref="K19">IF('8'!K7:K18&gt;0.01,AVERAGE('8'!K7:K18),"")</f>
        <v>7.2416666666666645</v>
      </c>
      <c r="L19" s="69">
        <f t="array" ref="L19">IF('8'!L7:L18&gt;0.01,AVERAGE('8'!L7:L18),"")</f>
        <v>6.6333333333333355</v>
      </c>
      <c r="M19" s="69">
        <f t="array" ref="M19">IF('8'!M7:M18&gt;0.01,AVERAGE('8'!M7:M18),"")</f>
        <v>6.6333333333333355</v>
      </c>
      <c r="N19" s="69">
        <f t="array" ref="N19">IF('8'!N7:N18&gt;0.01,AVERAGE('8'!N7:N18),"")</f>
        <v>6.3166666666666664</v>
      </c>
      <c r="O19" s="69">
        <f t="array" ref="O19">IF('8'!O7:O18&gt;0.01,AVERAGE('8'!O7:O18),"")</f>
        <v>2.9750000000000001</v>
      </c>
      <c r="P19" s="69" t="str">
        <f t="array" ref="P19">IF('8'!P7:P18&gt;0.01,AVERAGE('8'!P7:P18),"")</f>
        <v/>
      </c>
      <c r="Q19" s="69" t="str">
        <f t="array" ref="Q19">IF('8'!Q7:Q18&gt;0.01,AVERAGE('8'!Q7:Q18),"")</f>
        <v/>
      </c>
      <c r="R19" s="69">
        <f t="array" ref="R19">IF('8'!R7:R18&gt;0.01,AVERAGE('8'!R7:R18),"")</f>
        <v>940</v>
      </c>
      <c r="S19" s="191">
        <f>AVERAGE('8'!S7:S18)</f>
        <v>63.919582165410553</v>
      </c>
      <c r="T19" s="946"/>
      <c r="U19" s="946"/>
      <c r="V19" s="49"/>
      <c r="W19" s="50"/>
      <c r="X19" s="13">
        <v>0.58333333333333304</v>
      </c>
      <c r="Y19" s="54">
        <v>2826</v>
      </c>
      <c r="Z19" s="257">
        <v>940</v>
      </c>
      <c r="AA19" s="257">
        <v>1</v>
      </c>
      <c r="AB19" s="58">
        <f>IF('8'!AA19=1,(('8'!Z19*'8'!$AS$6*'8'!$AT$6)/('8'!Y19*0.0036)),IF('8'!AA19=2,(('8'!Z19*'8'!$AS$7*'8'!$AT$7)/('8'!Y19*0.0036))))</f>
        <v>61.443343555870094</v>
      </c>
      <c r="AC19" s="58"/>
      <c r="AD19" s="18">
        <f>(('8'!AC19*'8'!$Q$10*1000000))/('8'!Y19*3600)</f>
        <v>0</v>
      </c>
      <c r="AE19" s="183"/>
      <c r="AF19" s="184">
        <f>('8'!AE19/24)*0.454</f>
        <v>0</v>
      </c>
      <c r="AG19" s="19"/>
      <c r="AH19" s="184">
        <f>('8'!AG19/24)*0.454</f>
        <v>0</v>
      </c>
      <c r="AI19" s="19">
        <v>5200</v>
      </c>
      <c r="AJ19" s="184">
        <f>('8'!AI19/24)*0.454</f>
        <v>98.36666666666666</v>
      </c>
      <c r="AK19" s="21"/>
      <c r="AL19" s="185">
        <f>('8'!AK19/24)*0.454</f>
        <v>0</v>
      </c>
      <c r="AM19" s="21"/>
      <c r="AN19" s="185">
        <f>('8'!AM19/24)*0.454</f>
        <v>0</v>
      </c>
      <c r="AO19" s="21"/>
      <c r="AP19" s="185">
        <f>('8'!AO19/24)*0.454</f>
        <v>0</v>
      </c>
    </row>
    <row r="20" spans="1:42" ht="18.75" customHeight="1">
      <c r="A20" s="10" t="s">
        <v>53</v>
      </c>
      <c r="B20" s="189">
        <f>MAX('8'!B7:B18)</f>
        <v>60</v>
      </c>
      <c r="C20" s="69">
        <f>MAX('8'!C7:C18)</f>
        <v>12.5</v>
      </c>
      <c r="D20" s="69">
        <f>MAX('8'!D7:D18)</f>
        <v>10</v>
      </c>
      <c r="E20" s="69">
        <f>MAX('8'!E7:E18)</f>
        <v>2.5</v>
      </c>
      <c r="F20" s="69">
        <f>MAX('8'!F7:F18)</f>
        <v>8.8000000000000007</v>
      </c>
      <c r="G20" s="69">
        <f>MAX('8'!G7:G18)</f>
        <v>1.8</v>
      </c>
      <c r="H20" s="69">
        <f>MAX('8'!H7:H18)</f>
        <v>1.3</v>
      </c>
      <c r="I20" s="69">
        <f>MAX('8'!I7:I18)</f>
        <v>0.4</v>
      </c>
      <c r="J20" s="69">
        <f>MAX('8'!J7:J18)</f>
        <v>0.5</v>
      </c>
      <c r="K20" s="69">
        <f>MAX('8'!K7:K18)</f>
        <v>7.3</v>
      </c>
      <c r="L20" s="69">
        <f>MAX('8'!L7:L18)</f>
        <v>6.7</v>
      </c>
      <c r="M20" s="69">
        <f>MAX('8'!M7:M18)</f>
        <v>6.7</v>
      </c>
      <c r="N20" s="69">
        <f>MAX('8'!N7:N18)</f>
        <v>6.4</v>
      </c>
      <c r="O20" s="70">
        <f>MAX('8'!O7:O18)</f>
        <v>3.3</v>
      </c>
      <c r="P20" s="70">
        <f>MAX('8'!P7:P18)</f>
        <v>0</v>
      </c>
      <c r="Q20" s="70">
        <f>MAX('8'!Q7:Q18)</f>
        <v>0</v>
      </c>
      <c r="R20" s="70">
        <f>MAX('8'!R7:R18)</f>
        <v>940</v>
      </c>
      <c r="S20" s="70">
        <f>MAX('8'!S7:S18)</f>
        <v>65.747402078337331</v>
      </c>
      <c r="T20" s="946"/>
      <c r="U20" s="946"/>
      <c r="X20" s="13">
        <v>0.625</v>
      </c>
      <c r="Y20" s="54">
        <v>2678</v>
      </c>
      <c r="Z20" s="257">
        <v>940</v>
      </c>
      <c r="AA20" s="257">
        <v>1</v>
      </c>
      <c r="AB20" s="58">
        <f>IF('8'!AA20=1,(('8'!Z20*'8'!$AS$6*'8'!$AT$6)/('8'!Y20*0.0036)),IF('8'!AA20=2,(('8'!Z20*'8'!$AS$7*'8'!$AT$7)/('8'!Y20*0.0036))))</f>
        <v>64.839017508920421</v>
      </c>
      <c r="AC20" s="58"/>
      <c r="AD20" s="18">
        <f>(('8'!AC20*'8'!$Q$10*1000000))/('8'!Y20*3600)</f>
        <v>0</v>
      </c>
      <c r="AE20" s="183"/>
      <c r="AF20" s="184">
        <f>('8'!AE20/24)*0.454</f>
        <v>0</v>
      </c>
      <c r="AG20" s="19"/>
      <c r="AH20" s="184">
        <f>('8'!AG20/24)*0.454</f>
        <v>0</v>
      </c>
      <c r="AI20" s="19">
        <v>5200</v>
      </c>
      <c r="AJ20" s="184">
        <f>('8'!AI20/24)*0.454</f>
        <v>98.36666666666666</v>
      </c>
      <c r="AK20" s="21"/>
      <c r="AL20" s="185">
        <f>('8'!AK20/24)*0.454</f>
        <v>0</v>
      </c>
      <c r="AM20" s="21"/>
      <c r="AN20" s="185">
        <f>('8'!AM20/24)*0.454</f>
        <v>0</v>
      </c>
      <c r="AO20" s="21"/>
      <c r="AP20" s="185">
        <f>('8'!AO20/24)*0.454</f>
        <v>0</v>
      </c>
    </row>
    <row r="21" spans="1:42" ht="19.5" customHeight="1">
      <c r="A21" s="10" t="s">
        <v>54</v>
      </c>
      <c r="B21" s="189">
        <f>MIN('8'!B7:B18)</f>
        <v>60</v>
      </c>
      <c r="C21" s="69">
        <f>MIN('8'!C7:C18)</f>
        <v>10</v>
      </c>
      <c r="D21" s="69">
        <f>MIN('8'!D7:D18)</f>
        <v>10</v>
      </c>
      <c r="E21" s="69">
        <f>MIN('8'!E7:E18)</f>
        <v>2.5</v>
      </c>
      <c r="F21" s="69">
        <f>MIN('8'!F7:F18)</f>
        <v>7.5</v>
      </c>
      <c r="G21" s="192">
        <f>MIN('8'!G7:G18)</f>
        <v>1.1000000000000001</v>
      </c>
      <c r="H21" s="192">
        <f>MIN('8'!H7:H18)</f>
        <v>1.1000000000000001</v>
      </c>
      <c r="I21" s="192">
        <f>MIN('8'!I7:I18)</f>
        <v>0.3</v>
      </c>
      <c r="J21" s="192">
        <f>MIN('8'!J7:J18)</f>
        <v>0.3</v>
      </c>
      <c r="K21" s="192">
        <f>MIN('8'!K7:K18)</f>
        <v>7</v>
      </c>
      <c r="L21" s="192">
        <f>MIN('8'!L7:L18)</f>
        <v>6.5</v>
      </c>
      <c r="M21" s="192">
        <f>MIN('8'!M7:M18)</f>
        <v>6.5</v>
      </c>
      <c r="N21" s="192">
        <f>MIN('8'!N7:N18)</f>
        <v>6.3</v>
      </c>
      <c r="O21" s="193">
        <f>MIN('8'!O7:O18)</f>
        <v>2.8</v>
      </c>
      <c r="P21" s="193">
        <f>MIN('8'!P7:P18)</f>
        <v>0</v>
      </c>
      <c r="Q21" s="193">
        <f>MIN('8'!Q7:Q18)</f>
        <v>0</v>
      </c>
      <c r="R21" s="193">
        <f>MIN('8'!R7:R18)</f>
        <v>940</v>
      </c>
      <c r="S21" s="193">
        <f>MIN('8'!S7:S18)</f>
        <v>61.443343555870094</v>
      </c>
      <c r="T21" s="946"/>
      <c r="U21" s="946"/>
      <c r="X21" s="13">
        <v>0.66666666666666696</v>
      </c>
      <c r="Y21" s="54">
        <v>2733</v>
      </c>
      <c r="Z21" s="257">
        <v>940</v>
      </c>
      <c r="AA21" s="257">
        <v>1</v>
      </c>
      <c r="AB21" s="58">
        <f>IF('8'!AA21=1,(('8'!Z21*'8'!$AS$6*'8'!$AT$6)/('8'!Y21*0.0036)),IF('8'!AA21=2,(('8'!Z21*'8'!$AS$7*'8'!$AT$7)/('8'!Y21*0.0036))))</f>
        <v>63.534170833841536</v>
      </c>
      <c r="AC21" s="58"/>
      <c r="AD21" s="18">
        <f>(('8'!AC21*'8'!$Q$10*1000000))/('8'!Y21*3600)</f>
        <v>0</v>
      </c>
      <c r="AE21" s="183"/>
      <c r="AF21" s="184">
        <f>('8'!AE21/24)*0.454</f>
        <v>0</v>
      </c>
      <c r="AG21" s="19"/>
      <c r="AH21" s="184">
        <f>('8'!AG21/24)*0.454</f>
        <v>0</v>
      </c>
      <c r="AI21" s="19">
        <v>5200</v>
      </c>
      <c r="AJ21" s="184">
        <f>('8'!AI21/24)*0.454</f>
        <v>98.36666666666666</v>
      </c>
      <c r="AK21" s="21"/>
      <c r="AL21" s="185">
        <f>('8'!AK21/24)*0.454</f>
        <v>0</v>
      </c>
      <c r="AM21" s="21"/>
      <c r="AN21" s="185">
        <f>('8'!AM21/24)*0.454</f>
        <v>0</v>
      </c>
      <c r="AO21" s="21"/>
      <c r="AP21" s="185">
        <f>('8'!AO21/24)*0.454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54">
        <v>2915</v>
      </c>
      <c r="Z22" s="257">
        <v>940</v>
      </c>
      <c r="AA22" s="257">
        <v>1</v>
      </c>
      <c r="AB22" s="58">
        <f>IF('8'!AA22=1,(('8'!Z22*'8'!$AS$6*'8'!$AT$6)/('8'!Y22*0.0036)),IF('8'!AA22=2,(('8'!Z22*'8'!$AS$7*'8'!$AT$7)/('8'!Y22*0.0036))))</f>
        <v>59.567371831522777</v>
      </c>
      <c r="AC22" s="58"/>
      <c r="AD22" s="18">
        <f>(('8'!AC22*'8'!$Q$10*1000000))/('8'!Y22*3600)</f>
        <v>0</v>
      </c>
      <c r="AE22" s="183"/>
      <c r="AF22" s="184">
        <f>('8'!AE22/24)*0.454</f>
        <v>0</v>
      </c>
      <c r="AG22" s="19"/>
      <c r="AH22" s="184">
        <f>('8'!AG22/24)*0.454</f>
        <v>0</v>
      </c>
      <c r="AI22" s="19">
        <v>5200</v>
      </c>
      <c r="AJ22" s="184">
        <f>('8'!AI22/24)*0.454</f>
        <v>98.36666666666666</v>
      </c>
      <c r="AK22" s="21"/>
      <c r="AL22" s="185">
        <f>('8'!AK22/24)*0.454</f>
        <v>0</v>
      </c>
      <c r="AM22" s="21"/>
      <c r="AN22" s="185">
        <f>('8'!AM22/24)*0.454</f>
        <v>0</v>
      </c>
      <c r="AO22" s="21"/>
      <c r="AP22" s="185">
        <f>('8'!AO22/24)*0.454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54">
        <v>2641</v>
      </c>
      <c r="Z23" s="257">
        <v>940</v>
      </c>
      <c r="AA23" s="257">
        <v>1</v>
      </c>
      <c r="AB23" s="58">
        <f>IF('8'!AA23=1,(('8'!Z23*'8'!$AS$6*'8'!$AT$6)/('8'!Y23*0.0036)),IF('8'!AA23=2,(('8'!Z23*'8'!$AS$7*'8'!$AT$7)/('8'!Y23*0.0036))))</f>
        <v>65.747402078337331</v>
      </c>
      <c r="AC23" s="58"/>
      <c r="AD23" s="18">
        <f>(('8'!AC23*'8'!$Q$10*1000000))/('8'!Y23*3600)</f>
        <v>0</v>
      </c>
      <c r="AE23" s="183"/>
      <c r="AF23" s="184">
        <f>('8'!AE23/24)*0.454</f>
        <v>0</v>
      </c>
      <c r="AG23" s="19"/>
      <c r="AH23" s="184">
        <f>('8'!AG23/24)*0.454</f>
        <v>0</v>
      </c>
      <c r="AI23" s="19">
        <v>5200</v>
      </c>
      <c r="AJ23" s="184">
        <f>('8'!AI23/24)*0.454</f>
        <v>98.36666666666666</v>
      </c>
      <c r="AK23" s="21"/>
      <c r="AL23" s="185">
        <f>('8'!AK23/24)*0.454</f>
        <v>0</v>
      </c>
      <c r="AM23" s="21"/>
      <c r="AN23" s="185">
        <f>('8'!AM23/24)*0.454</f>
        <v>0</v>
      </c>
      <c r="AO23" s="21"/>
      <c r="AP23" s="185">
        <f>('8'!AO23/24)*0.454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54">
        <v>2741</v>
      </c>
      <c r="Z24" s="257">
        <v>940</v>
      </c>
      <c r="AA24" s="257">
        <v>1</v>
      </c>
      <c r="AB24" s="16">
        <f>IF('8'!AA24=1,(('8'!Z24*'8'!$AS$6*'8'!$AT$6)/('8'!Y24*0.0036)),IF('8'!AA24=2,(('8'!Z24*'8'!$AS$7*'8'!$AT$7)/('8'!Y24*0.0036))))</f>
        <v>63.3487372816085</v>
      </c>
      <c r="AC24" s="58"/>
      <c r="AD24" s="18">
        <f>(('8'!AC24*'8'!$Q$10*1000000))/('8'!Y24*3600)</f>
        <v>0</v>
      </c>
      <c r="AE24" s="183"/>
      <c r="AF24" s="195">
        <f>('8'!AE24/24)*0.454</f>
        <v>0</v>
      </c>
      <c r="AG24" s="173"/>
      <c r="AH24" s="195">
        <f>('8'!AG24/24)*0.454</f>
        <v>0</v>
      </c>
      <c r="AI24" s="19">
        <v>5200</v>
      </c>
      <c r="AJ24" s="195">
        <f>('8'!AI24/24)*0.454</f>
        <v>98.36666666666666</v>
      </c>
      <c r="AK24" s="21"/>
      <c r="AL24" s="196">
        <f>('8'!AK24/24)*0.454</f>
        <v>0</v>
      </c>
      <c r="AM24" s="197"/>
      <c r="AN24" s="196">
        <f>('8'!AM24/24)*0.454</f>
        <v>0</v>
      </c>
      <c r="AO24" s="21"/>
      <c r="AP24" s="196">
        <f>('8'!AO24/24)*0.454</f>
        <v>0</v>
      </c>
    </row>
    <row r="25" spans="1:42" ht="19.5" customHeight="1">
      <c r="A25" s="64">
        <v>0.41666666666666702</v>
      </c>
      <c r="B25" s="198">
        <v>1.03</v>
      </c>
      <c r="C25" s="198">
        <v>0.33</v>
      </c>
      <c r="D25" s="198">
        <v>0.45</v>
      </c>
      <c r="E25" s="199">
        <v>0.42</v>
      </c>
      <c r="F25" s="199">
        <v>0.47</v>
      </c>
      <c r="G25" s="199">
        <v>0.45</v>
      </c>
      <c r="H25" s="199">
        <v>0.22</v>
      </c>
      <c r="I25" s="199">
        <v>0.4</v>
      </c>
      <c r="J25" s="199">
        <v>0.83</v>
      </c>
      <c r="K25" s="199">
        <v>0.55000000000000004</v>
      </c>
      <c r="L25" s="199">
        <v>6</v>
      </c>
      <c r="M25" s="199">
        <v>0.42</v>
      </c>
      <c r="N25" s="199">
        <v>0.38</v>
      </c>
      <c r="O25" s="199">
        <v>0.32</v>
      </c>
      <c r="P25" s="199">
        <v>0.52</v>
      </c>
      <c r="Q25" s="199">
        <v>0.28000000000000003</v>
      </c>
      <c r="R25" s="65" t="e">
        <f>#DIV/0!</f>
        <v>#DIV/0!</v>
      </c>
      <c r="S25" s="66"/>
      <c r="T25" s="1023" t="s">
        <v>0</v>
      </c>
      <c r="U25" s="1049">
        <f>ESCALA!$A$10</f>
        <v>43898</v>
      </c>
      <c r="X25" s="13">
        <v>0.83333333333333304</v>
      </c>
      <c r="Y25" s="54">
        <v>2753</v>
      </c>
      <c r="Z25" s="257">
        <v>940</v>
      </c>
      <c r="AA25" s="257">
        <v>1</v>
      </c>
      <c r="AB25" s="58">
        <f>IF('8'!AA25=1,(('8'!Z25*'8'!$AS$6*'8'!$AT$6)/('8'!Y25*0.0036)),IF('8'!AA25=2,(('8'!Z25*'8'!$AS$7*'8'!$AT$7)/('8'!Y25*0.0036))))</f>
        <v>63.072607660330149</v>
      </c>
      <c r="AC25" s="58"/>
      <c r="AD25" s="18">
        <f>(('8'!AC25*'8'!$Q$10*1000000))/('8'!Y25*3600)</f>
        <v>0</v>
      </c>
      <c r="AE25" s="183"/>
      <c r="AF25" s="184">
        <f>('8'!AE25/24)*0.454</f>
        <v>0</v>
      </c>
      <c r="AG25" s="19"/>
      <c r="AH25" s="184">
        <f>('8'!AG25/24)*0.454</f>
        <v>0</v>
      </c>
      <c r="AI25" s="19">
        <v>5200</v>
      </c>
      <c r="AJ25" s="184">
        <f>('8'!AI25/24)*0.454</f>
        <v>98.36666666666666</v>
      </c>
      <c r="AK25" s="21"/>
      <c r="AL25" s="185">
        <f>('8'!AK25/24)*0.454</f>
        <v>0</v>
      </c>
      <c r="AM25" s="21"/>
      <c r="AN25" s="185">
        <f>('8'!AM25/24)*0.454</f>
        <v>0</v>
      </c>
      <c r="AO25" s="21"/>
      <c r="AP25" s="185">
        <f>('8'!AO25/24)*0.454</f>
        <v>0</v>
      </c>
    </row>
    <row r="26" spans="1:42" ht="19.5" customHeight="1">
      <c r="A26" s="64">
        <v>0.66666666666666696</v>
      </c>
      <c r="B26" s="198"/>
      <c r="C26" s="198"/>
      <c r="D26" s="198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65" t="e">
        <f>#DIV/0!</f>
        <v>#DIV/0!</v>
      </c>
      <c r="S26" s="67"/>
      <c r="T26" s="1023"/>
      <c r="U26" s="1049"/>
      <c r="X26" s="13">
        <v>0.875</v>
      </c>
      <c r="Y26" s="54">
        <v>2709</v>
      </c>
      <c r="Z26" s="257">
        <v>940</v>
      </c>
      <c r="AA26" s="257">
        <v>1</v>
      </c>
      <c r="AB26" s="58">
        <f>IF('8'!AA26=1,(('8'!Z26*'8'!$AS$6*'8'!$AT$6)/('8'!Y26*0.0036)),IF('8'!AA26=2,(('8'!Z26*'8'!$AS$7*'8'!$AT$7)/('8'!Y26*0.0036))))</f>
        <v>64.097042779213325</v>
      </c>
      <c r="AC26" s="58"/>
      <c r="AD26" s="18">
        <f>(('8'!AC26*'8'!$Q$10*1000000))/('8'!Y26*3600)</f>
        <v>0</v>
      </c>
      <c r="AE26" s="183"/>
      <c r="AF26" s="184">
        <f>('8'!AE26/24)*0.454</f>
        <v>0</v>
      </c>
      <c r="AG26" s="19"/>
      <c r="AH26" s="184">
        <f>('8'!AG26/24)*0.454</f>
        <v>0</v>
      </c>
      <c r="AI26" s="19">
        <v>5200</v>
      </c>
      <c r="AJ26" s="184">
        <f>('8'!AI26/24)*0.454</f>
        <v>98.36666666666666</v>
      </c>
      <c r="AK26" s="21"/>
      <c r="AL26" s="185">
        <f>('8'!AK26/24)*0.454</f>
        <v>0</v>
      </c>
      <c r="AM26" s="21"/>
      <c r="AN26" s="185">
        <f>('8'!AM26/24)*0.454</f>
        <v>0</v>
      </c>
      <c r="AO26" s="21"/>
      <c r="AP26" s="185">
        <f>('8'!AO26/24)*0.454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54">
        <v>2674</v>
      </c>
      <c r="Z27" s="257">
        <v>940</v>
      </c>
      <c r="AA27" s="257">
        <v>1</v>
      </c>
      <c r="AB27" s="58">
        <f>IF('8'!AA27=1,(('8'!Z27*'8'!$AS$6*'8'!$AT$6)/('8'!Y27*0.0036)),IF('8'!AA27=2,(('8'!Z27*'8'!$AS$7*'8'!$AT$7)/('8'!Y27*0.0036))))</f>
        <v>64.936009307737052</v>
      </c>
      <c r="AC27" s="58"/>
      <c r="AD27" s="18">
        <f>(('8'!AC27*'8'!$Q$10*1000000))/('8'!Y27*3600)</f>
        <v>0</v>
      </c>
      <c r="AE27" s="183"/>
      <c r="AF27" s="184">
        <f>('8'!AE27/24)*0.454</f>
        <v>0</v>
      </c>
      <c r="AG27" s="19"/>
      <c r="AH27" s="184">
        <f>('8'!AG27/24)*0.454</f>
        <v>0</v>
      </c>
      <c r="AI27" s="19">
        <v>5200</v>
      </c>
      <c r="AJ27" s="184">
        <f>('8'!AI27/24)*0.454</f>
        <v>98.36666666666666</v>
      </c>
      <c r="AK27" s="21"/>
      <c r="AL27" s="185">
        <f>('8'!AK27/24)*0.454</f>
        <v>0</v>
      </c>
      <c r="AM27" s="21"/>
      <c r="AN27" s="185">
        <f>('8'!AM27/24)*0.454</f>
        <v>0</v>
      </c>
      <c r="AO27" s="21"/>
      <c r="AP27" s="185">
        <f>('8'!AO27/24)*0.454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4">
        <v>2712</v>
      </c>
      <c r="Z28" s="257">
        <v>940</v>
      </c>
      <c r="AA28" s="257">
        <v>1</v>
      </c>
      <c r="AB28" s="58">
        <f>IF('8'!AA28=1,(('8'!Z28*'8'!$AS$6*'8'!$AT$6)/('8'!Y28*0.0036)),IF('8'!AA28=2,(('8'!Z28*'8'!$AS$7*'8'!$AT$7)/('8'!Y28*0.0036))))</f>
        <v>64.026138970829237</v>
      </c>
      <c r="AC28" s="58"/>
      <c r="AD28" s="18">
        <f>(('8'!AC28*'8'!$Q$10*1000000))/('8'!Y28*3600)</f>
        <v>0</v>
      </c>
      <c r="AE28" s="183"/>
      <c r="AF28" s="184">
        <f>('8'!AE28/24)*0.454</f>
        <v>0</v>
      </c>
      <c r="AG28" s="19"/>
      <c r="AH28" s="184">
        <f>('8'!AG28/24)*0.454</f>
        <v>0</v>
      </c>
      <c r="AI28" s="19">
        <v>5200</v>
      </c>
      <c r="AJ28" s="184">
        <f>('8'!AI28/24)*0.454</f>
        <v>98.36666666666666</v>
      </c>
      <c r="AK28" s="21"/>
      <c r="AL28" s="185">
        <f>('8'!AK28/24)*0.454</f>
        <v>0</v>
      </c>
      <c r="AM28" s="21"/>
      <c r="AN28" s="185">
        <f>('8'!AM28/24)*0.454</f>
        <v>0</v>
      </c>
      <c r="AO28" s="21"/>
      <c r="AP28" s="185">
        <f>('8'!AO28/24)*0.454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4">
        <v>2667</v>
      </c>
      <c r="Z29" s="257">
        <v>940</v>
      </c>
      <c r="AA29" s="257">
        <v>1</v>
      </c>
      <c r="AB29" s="58">
        <f>IF('8'!AA29=1,(('8'!Z29*'8'!$AS$6*'8'!$AT$6)/('8'!Y29*0.0036)),IF('8'!AA29=2,(('8'!Z29*'8'!$AS$7*'8'!$AT$7)/('8'!Y29*0.0036))))</f>
        <v>65.106445027704865</v>
      </c>
      <c r="AC29" s="58"/>
      <c r="AD29" s="18">
        <f>(('8'!AC29*'8'!$Q$10*1000000))/('8'!Y29*3600)</f>
        <v>0</v>
      </c>
      <c r="AE29" s="183"/>
      <c r="AF29" s="184">
        <f>('8'!AE29/24)*0.454</f>
        <v>0</v>
      </c>
      <c r="AG29" s="19"/>
      <c r="AH29" s="184">
        <f>('8'!AG29/24)*0.454</f>
        <v>0</v>
      </c>
      <c r="AI29" s="19">
        <v>5200</v>
      </c>
      <c r="AJ29" s="184">
        <f>('8'!AI29/24)*0.454</f>
        <v>98.36666666666666</v>
      </c>
      <c r="AK29" s="21"/>
      <c r="AL29" s="185">
        <f>('8'!AK29/24)*0.454</f>
        <v>0</v>
      </c>
      <c r="AM29" s="21"/>
      <c r="AN29" s="185">
        <f>('8'!AM29/24)*0.454</f>
        <v>0</v>
      </c>
      <c r="AO29" s="21"/>
      <c r="AP29" s="185">
        <f>('8'!AO29/24)*0.454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SUM('8'!Y6:Y29)*3.6</f>
        <v>235681.2</v>
      </c>
      <c r="Z30" s="82">
        <f>SUM('8'!Z6:Z29)</f>
        <v>22560</v>
      </c>
      <c r="AA30" s="78"/>
      <c r="AB30" s="79"/>
      <c r="AC30" s="78"/>
      <c r="AD30" s="79"/>
      <c r="AE30" s="34"/>
      <c r="AF30" s="184">
        <f>SUM('8'!AF6:AF29)</f>
        <v>0</v>
      </c>
      <c r="AG30" s="34"/>
      <c r="AH30" s="184">
        <f>SUM('8'!AH6:AH29)</f>
        <v>0</v>
      </c>
      <c r="AI30" s="34"/>
      <c r="AJ30" s="184">
        <f>SUM('8'!AJ6:AJ29)</f>
        <v>2111.099999999999</v>
      </c>
      <c r="AK30" s="80"/>
      <c r="AL30" s="185">
        <f>SUM('8'!AL6:AL29)</f>
        <v>141.87500000000003</v>
      </c>
      <c r="AM30" s="80"/>
      <c r="AN30" s="185">
        <f>SUM('8'!AN6:AN29)</f>
        <v>141.87500000000003</v>
      </c>
      <c r="AO30" s="80"/>
      <c r="AP30" s="185">
        <f>SUM('8'!AP6:AP29)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SUMIF('8'!AA6:AA29,"=1",'8'!Z6:Z29)</f>
        <v>22560</v>
      </c>
      <c r="AA32" s="82">
        <f>'8'!Z32*'8'!AS6</f>
        <v>30004.800000000003</v>
      </c>
      <c r="AB32" s="83">
        <f>SUMIF('8'!$AA$6:$AA$29,"=1",'8'!$AB$6:$AB$29)/COUNTIF('8'!$AA$6:$AA$29,"=1")</f>
        <v>63.683412338018194</v>
      </c>
      <c r="AC32" s="84">
        <f>SUMIF('8'!AA6:AA29,"=1",'8'!AC6:AC29)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SUMIF('8'!AA6:AA29,"=2",'8'!Z6:Z29)</f>
        <v>0</v>
      </c>
      <c r="AA33" s="82">
        <f>'8'!Z33*'8'!AS7</f>
        <v>0</v>
      </c>
      <c r="AB33" s="83" t="e">
        <f>SUMIF('8'!$AA$6:$AA$29,"=2",'8'!$AB$6:$AB$29)/COUNTIF('8'!$AA$6:$AA$29,"=2")</f>
        <v>#DIV/0!</v>
      </c>
      <c r="AC33" s="84">
        <f>SUMIF('8'!AA6:AA29,"=2",'8'!AC6:AC29)</f>
        <v>0</v>
      </c>
      <c r="AD33" s="84"/>
      <c r="AE33" s="85"/>
      <c r="AF33" s="91"/>
      <c r="AG33" s="90"/>
      <c r="AH33" s="91"/>
      <c r="AI33" s="90"/>
      <c r="AJ33" s="235"/>
      <c r="AK33" s="93"/>
      <c r="AL33" s="93"/>
      <c r="AM33" s="93"/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AVERAGE('8'!Y6:Y29)</f>
        <v>2727.7916666666665</v>
      </c>
      <c r="Z34" s="96">
        <f>AVERAGE('8'!Z6:Z29)</f>
        <v>940</v>
      </c>
      <c r="AA34" s="97"/>
      <c r="AB34" s="97"/>
      <c r="AC34" s="242">
        <f>SUM('8'!AC6:AC29)/COUNTIF('8'!AC6:AC29,"&lt;&gt;0")</f>
        <v>0</v>
      </c>
      <c r="AD34" s="243" t="e">
        <f>SUM('8'!AD6:AD29)/COUNTIF('8'!AD6:AD29,"&lt;&gt;0")</f>
        <v>#DIV/0!</v>
      </c>
      <c r="AE34" s="244"/>
      <c r="AF34" s="100">
        <f>AVERAGE('8'!AF6:AF29)</f>
        <v>0</v>
      </c>
      <c r="AG34" s="100"/>
      <c r="AH34" s="98">
        <f>AVERAGE('8'!AH6:AH29)</f>
        <v>0</v>
      </c>
      <c r="AI34" s="98"/>
      <c r="AJ34" s="98">
        <f>'8'!AJ30/24</f>
        <v>87.962499999999963</v>
      </c>
      <c r="AK34" s="98"/>
      <c r="AL34" s="98">
        <f>AVERAGE('8'!AL6:AL29)</f>
        <v>5.9114583333333348</v>
      </c>
      <c r="AM34" s="98"/>
      <c r="AN34" s="98">
        <f>AVERAGE('8'!AN6:AN29)</f>
        <v>5.9114583333333348</v>
      </c>
      <c r="AO34" s="98"/>
      <c r="AP34" s="98">
        <f>AVERAGE('8'!AP6:AP29)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957" t="s">
        <v>15</v>
      </c>
      <c r="X35" s="958" t="s">
        <v>66</v>
      </c>
      <c r="Y35" s="958"/>
      <c r="Z35" s="103"/>
      <c r="AA35" s="1054" t="s">
        <v>67</v>
      </c>
      <c r="AB35" s="1054"/>
      <c r="AC35" s="245"/>
      <c r="AD35" s="246"/>
      <c r="AE35" s="247"/>
      <c r="AF35" s="248"/>
      <c r="AG35" s="249"/>
      <c r="AH35" s="250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957"/>
      <c r="X36" s="108" t="s">
        <v>74</v>
      </c>
      <c r="Y36" s="106"/>
      <c r="Z36" s="107"/>
      <c r="AA36" s="108" t="s">
        <v>74</v>
      </c>
      <c r="AB36" s="106"/>
      <c r="AC36" s="251"/>
      <c r="AD36" s="251"/>
      <c r="AE36" s="251"/>
      <c r="AF36" s="252"/>
      <c r="AG36" s="252"/>
      <c r="AH36" s="253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233">
        <v>80.7</v>
      </c>
      <c r="D37" s="233">
        <v>55.5</v>
      </c>
      <c r="E37" s="233">
        <v>45.4</v>
      </c>
      <c r="F37" s="186">
        <v>0.6</v>
      </c>
      <c r="G37" s="183">
        <v>0</v>
      </c>
      <c r="H37" s="183">
        <v>0</v>
      </c>
      <c r="I37" s="183">
        <v>0.1</v>
      </c>
      <c r="J37" s="183">
        <v>0.08</v>
      </c>
      <c r="K37" s="183">
        <v>0.03</v>
      </c>
      <c r="L37" s="1026">
        <v>0</v>
      </c>
      <c r="M37" s="1026"/>
      <c r="N37" s="1026"/>
      <c r="O37" s="10"/>
      <c r="P37" s="10"/>
      <c r="Q37" s="10"/>
      <c r="R37" s="10"/>
      <c r="S37" s="10"/>
      <c r="T37" s="10"/>
      <c r="U37" s="258">
        <f>'8'!V12</f>
        <v>0</v>
      </c>
      <c r="X37" s="1062" t="s">
        <v>75</v>
      </c>
      <c r="Y37" s="1062"/>
      <c r="Z37" s="110">
        <f>COUNTA('8'!Z6:Z29)</f>
        <v>24</v>
      </c>
      <c r="AA37" s="111"/>
      <c r="AB37" s="111"/>
      <c r="AC37" s="251"/>
      <c r="AD37" s="251"/>
      <c r="AE37" s="251"/>
      <c r="AF37" s="123"/>
      <c r="AG37" s="123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54"/>
      <c r="D38" s="254"/>
      <c r="E38" s="255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C38" s="111"/>
      <c r="AD38" s="111"/>
      <c r="AE38" s="111"/>
      <c r="AF38" s="123"/>
      <c r="AG38" s="123"/>
      <c r="AJ38" s="210" t="s">
        <v>78</v>
      </c>
      <c r="AK38" s="211">
        <f>SUM('8'!AF30+'8'!AH30)</f>
        <v>0</v>
      </c>
      <c r="AL38" s="210" t="s">
        <v>78</v>
      </c>
      <c r="AM38" s="212">
        <f>SUM('8'!AL30+'8'!AN30)</f>
        <v>283.75000000000006</v>
      </c>
      <c r="AO38" s="210" t="s">
        <v>78</v>
      </c>
      <c r="AP38" s="211">
        <f>'8'!AJ30</f>
        <v>2111.099999999999</v>
      </c>
      <c r="AQ38" s="210" t="s">
        <v>78</v>
      </c>
      <c r="AR38" s="212">
        <f>'8'!AP30</f>
        <v>0</v>
      </c>
    </row>
    <row r="39" spans="1:44" ht="23.8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C39" s="111"/>
      <c r="AD39" s="111"/>
      <c r="AE39" s="111"/>
      <c r="AF39" s="123"/>
      <c r="AG39" s="123"/>
      <c r="AJ39" s="213" t="s">
        <v>86</v>
      </c>
      <c r="AK39" s="214">
        <f>('8'!AK38/'8'!Y30)*1000</f>
        <v>0</v>
      </c>
      <c r="AL39" s="215" t="s">
        <v>86</v>
      </c>
      <c r="AM39" s="216">
        <f>('8'!AM38/'8'!Y30)*1000</f>
        <v>1.2039568705522545</v>
      </c>
      <c r="AO39" s="213" t="s">
        <v>86</v>
      </c>
      <c r="AP39" s="214">
        <f>('8'!AP38/'8'!Y30)*1000</f>
        <v>8.9574391169087679</v>
      </c>
      <c r="AQ39" s="215" t="s">
        <v>86</v>
      </c>
      <c r="AR39" s="216">
        <f>('8'!AR38/'8'!Y30)*1000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SUM('8'!AK38,'8'!AM38)</f>
        <v>283.75000000000006</v>
      </c>
      <c r="AM40" s="975"/>
      <c r="AO40" s="976" t="s">
        <v>90</v>
      </c>
      <c r="AP40" s="976"/>
      <c r="AQ40" s="977">
        <f>SUM('8'!AP38,'8'!AR38)</f>
        <v>2111.099999999999</v>
      </c>
      <c r="AR40" s="977"/>
    </row>
    <row r="41" spans="1:44" ht="15.75" customHeight="1">
      <c r="A41" s="133">
        <f>COUNTA('8'!E7:E18)</f>
        <v>12</v>
      </c>
      <c r="B41" s="134">
        <f>COUNTA('8'!I7:I18)</f>
        <v>12</v>
      </c>
      <c r="C41" s="978">
        <f>COUNTA('8'!J7:J18)</f>
        <v>12</v>
      </c>
      <c r="D41" s="978">
        <f>COUNTA('8'!K7:K18)</f>
        <v>12</v>
      </c>
      <c r="E41" s="978">
        <f>COUNTIF('8'!E7:E18,"&gt;15")</f>
        <v>0</v>
      </c>
      <c r="F41" s="978"/>
      <c r="G41" s="978">
        <f>COUNTIF('8'!J7:J18,"&gt;1")</f>
        <v>0</v>
      </c>
      <c r="H41" s="978"/>
      <c r="I41" s="135"/>
      <c r="J41" s="978">
        <f>'8'!A41-'8'!E41</f>
        <v>12</v>
      </c>
      <c r="K41" s="978"/>
      <c r="L41" s="978">
        <f>'8'!C41-'8'!G41</f>
        <v>12</v>
      </c>
      <c r="M41" s="978"/>
      <c r="N41" s="135"/>
      <c r="O41" s="979">
        <f>COUNTIF('8'!J7:J18,"&lt;=0,5")</f>
        <v>12</v>
      </c>
      <c r="P41" s="979"/>
      <c r="Q41" s="979"/>
      <c r="R41" s="969"/>
      <c r="S41" s="980">
        <f>COUNTIF('8'!J7:J18,"&lt;=1,0")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SUM(('8'!AK38+'8'!AM38)/'8'!Y30)*1000</f>
        <v>1.2039568705522545</v>
      </c>
      <c r="AM41" s="981"/>
      <c r="AO41" s="976" t="s">
        <v>91</v>
      </c>
      <c r="AP41" s="976"/>
      <c r="AQ41" s="981">
        <f>SUM(('8'!AP38+'8'!AR38)/'8'!Y30)*1000</f>
        <v>8.9574391169087679</v>
      </c>
      <c r="AR41" s="981"/>
    </row>
    <row r="42" spans="1:44" ht="18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1063" t="s">
        <v>94</v>
      </c>
      <c r="I43" s="1063"/>
      <c r="J43" s="1063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21.6" customHeight="1">
      <c r="A44" s="137"/>
      <c r="B44" s="137"/>
      <c r="C44" s="137"/>
      <c r="H44" s="1063"/>
      <c r="I44" s="1063"/>
      <c r="J44" s="1063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/>
      <c r="Z44" s="144" t="s">
        <v>101</v>
      </c>
      <c r="AA44" s="145"/>
      <c r="AB44" s="144" t="s">
        <v>101</v>
      </c>
      <c r="AC44" s="145"/>
      <c r="AD44" s="988"/>
      <c r="AE44" s="988"/>
      <c r="AF44" s="989" t="s">
        <v>102</v>
      </c>
      <c r="AG44" s="990">
        <f>SUM('8'!Y45,'8'!AA45,'8'!AC45,'8'!AE45)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COUNTIF('8'!I7:I18,"&lt;=5,0")</f>
        <v>12</v>
      </c>
      <c r="I45" s="992"/>
      <c r="J45" s="992"/>
      <c r="K45" s="135"/>
      <c r="L45" s="974">
        <f>COUNTA('8'!L37)</f>
        <v>1</v>
      </c>
      <c r="M45" s="974"/>
      <c r="O45" s="146"/>
      <c r="P45" s="147"/>
      <c r="Q45" s="993">
        <f>'8'!S41-'8'!O41</f>
        <v>0</v>
      </c>
      <c r="R45" s="993"/>
      <c r="S45" s="993"/>
      <c r="T45" s="148"/>
      <c r="X45" s="149" t="s">
        <v>104</v>
      </c>
      <c r="Y45" s="150">
        <f>'8'!Y44*275.3</f>
        <v>0</v>
      </c>
      <c r="Z45" s="149" t="s">
        <v>104</v>
      </c>
      <c r="AA45" s="150">
        <f>262.4*'8'!AA44</f>
        <v>0</v>
      </c>
      <c r="AB45" s="149" t="s">
        <v>104</v>
      </c>
      <c r="AC45" s="150">
        <f>'8'!AC44*277.7</f>
        <v>0</v>
      </c>
      <c r="AD45" s="149" t="s">
        <v>104</v>
      </c>
      <c r="AE45" s="151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2"/>
      <c r="X46" s="153" t="s">
        <v>105</v>
      </c>
      <c r="Y46" s="154">
        <f>'8'!AS6</f>
        <v>1.33</v>
      </c>
      <c r="Z46" s="153" t="s">
        <v>105</v>
      </c>
      <c r="AA46" s="155">
        <f>'8'!Y46</f>
        <v>1.33</v>
      </c>
      <c r="AB46" s="153" t="s">
        <v>105</v>
      </c>
      <c r="AC46" s="155">
        <f>'8'!Y46</f>
        <v>1.33</v>
      </c>
      <c r="AD46" s="153" t="s">
        <v>105</v>
      </c>
      <c r="AE46" s="156">
        <f>'8'!Y46</f>
        <v>1.33</v>
      </c>
      <c r="AF46" s="995" t="s">
        <v>106</v>
      </c>
      <c r="AG46" s="996">
        <f>SUM('8'!Y47,'8'!AA47,'8'!AC47,'8'!AE47)</f>
        <v>0</v>
      </c>
      <c r="AI46" s="144" t="s">
        <v>101</v>
      </c>
      <c r="AJ46" s="145"/>
      <c r="AK46" s="144" t="s">
        <v>101</v>
      </c>
      <c r="AL46" s="145"/>
      <c r="AM46" s="144" t="s">
        <v>101</v>
      </c>
      <c r="AN46" s="145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'8'!Y45*'8'!Y46</f>
        <v>0</v>
      </c>
      <c r="Z47" s="149" t="s">
        <v>108</v>
      </c>
      <c r="AA47" s="150">
        <f>'8'!AA45*'8'!AA46</f>
        <v>0</v>
      </c>
      <c r="AB47" s="149" t="s">
        <v>108</v>
      </c>
      <c r="AC47" s="150">
        <f>'8'!AC45*'8'!AC46</f>
        <v>0</v>
      </c>
      <c r="AD47" s="149" t="s">
        <v>108</v>
      </c>
      <c r="AE47" s="150">
        <f>'8'!AE45*'8'!AE46</f>
        <v>0</v>
      </c>
      <c r="AF47" s="995"/>
      <c r="AG47" s="996"/>
      <c r="AI47" s="149" t="s">
        <v>104</v>
      </c>
      <c r="AJ47" s="150">
        <f>'8'!AJ46*275.3</f>
        <v>0</v>
      </c>
      <c r="AK47" s="149" t="s">
        <v>104</v>
      </c>
      <c r="AL47" s="150">
        <f>262.4*'8'!AL46</f>
        <v>0</v>
      </c>
      <c r="AM47" s="149" t="s">
        <v>104</v>
      </c>
      <c r="AN47" s="150">
        <f>'8'!AN46*277.7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'8'!Y46</f>
        <v>1.33</v>
      </c>
      <c r="AK48" s="160" t="s">
        <v>105</v>
      </c>
      <c r="AL48" s="154">
        <f>'8'!AJ48</f>
        <v>1.33</v>
      </c>
      <c r="AM48" s="160" t="s">
        <v>105</v>
      </c>
      <c r="AN48" s="154">
        <f>'8'!AJ48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'8'!AJ47*'8'!AJ48</f>
        <v>0</v>
      </c>
      <c r="AK49" s="149" t="s">
        <v>108</v>
      </c>
      <c r="AL49" s="150">
        <f>'8'!AL47*'8'!AL48</f>
        <v>0</v>
      </c>
      <c r="AM49" s="149" t="s">
        <v>108</v>
      </c>
      <c r="AN49" s="150">
        <f>'8'!AN47*'8'!AN48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COUNTA('8'!O7:O18)</f>
        <v>12</v>
      </c>
      <c r="P51" s="974">
        <f>COUNTA('8'!W17:W28)</f>
        <v>0</v>
      </c>
      <c r="R51" s="992">
        <f>COUNTIF('8'!O7:O18,"&gt;=0,5")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SUM('8'!Y53,'8'!AA53,'8'!AC53,'8'!AE53)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'8'!Y52*275.3</f>
        <v>0</v>
      </c>
      <c r="Z53" s="149" t="s">
        <v>104</v>
      </c>
      <c r="AA53" s="150">
        <f>262.4*'8'!AA52</f>
        <v>0</v>
      </c>
      <c r="AB53" s="149" t="s">
        <v>104</v>
      </c>
      <c r="AC53" s="167">
        <f>'8'!AC52*277.7</f>
        <v>0</v>
      </c>
      <c r="AD53" s="149" t="s">
        <v>104</v>
      </c>
      <c r="AE53" s="230"/>
      <c r="AF53" s="989"/>
      <c r="AG53" s="1002"/>
      <c r="AI53" s="144" t="s">
        <v>101</v>
      </c>
      <c r="AJ53" s="166">
        <v>0</v>
      </c>
      <c r="AK53" s="144" t="s">
        <v>101</v>
      </c>
      <c r="AL53" s="164"/>
      <c r="AM53" s="144" t="s">
        <v>101</v>
      </c>
      <c r="AN53" s="164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'8'!AS7</f>
        <v>1.377</v>
      </c>
      <c r="Z54" s="153" t="s">
        <v>105</v>
      </c>
      <c r="AA54" s="155">
        <f>'8'!Y54</f>
        <v>1.377</v>
      </c>
      <c r="AB54" s="153" t="s">
        <v>105</v>
      </c>
      <c r="AC54" s="155">
        <f>'8'!Y54</f>
        <v>1.377</v>
      </c>
      <c r="AD54" s="153" t="s">
        <v>105</v>
      </c>
      <c r="AE54" s="156">
        <f>'8'!Y54</f>
        <v>1.377</v>
      </c>
      <c r="AF54" s="995" t="s">
        <v>106</v>
      </c>
      <c r="AG54" s="996">
        <f>SUM('8'!Y55,'8'!AA55,'8'!AC55,'8'!AE55)</f>
        <v>0</v>
      </c>
      <c r="AI54" s="149" t="s">
        <v>104</v>
      </c>
      <c r="AJ54" s="150">
        <f>'8'!AJ53*275.3</f>
        <v>0</v>
      </c>
      <c r="AK54" s="149" t="s">
        <v>104</v>
      </c>
      <c r="AL54" s="150">
        <f>262.4*'8'!AL53</f>
        <v>0</v>
      </c>
      <c r="AM54" s="149" t="s">
        <v>104</v>
      </c>
      <c r="AN54" s="167">
        <f>'8'!AN53*277.7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'8'!Y53*'8'!Y54</f>
        <v>0</v>
      </c>
      <c r="Z55" s="149" t="s">
        <v>108</v>
      </c>
      <c r="AA55" s="150">
        <f>'8'!AA53*'8'!AA54</f>
        <v>0</v>
      </c>
      <c r="AB55" s="149" t="s">
        <v>108</v>
      </c>
      <c r="AC55" s="150">
        <f>'8'!AC53*'8'!AC54</f>
        <v>0</v>
      </c>
      <c r="AD55" s="149" t="s">
        <v>108</v>
      </c>
      <c r="AE55" s="150">
        <f>'8'!AE53*'8'!AE54</f>
        <v>0</v>
      </c>
      <c r="AF55" s="995"/>
      <c r="AG55" s="996"/>
      <c r="AI55" s="153" t="s">
        <v>105</v>
      </c>
      <c r="AJ55" s="154">
        <f>'8'!Y54</f>
        <v>1.377</v>
      </c>
      <c r="AK55" s="153" t="s">
        <v>105</v>
      </c>
      <c r="AL55" s="154">
        <f>'8'!AJ55</f>
        <v>1.377</v>
      </c>
      <c r="AM55" s="153" t="s">
        <v>105</v>
      </c>
      <c r="AN55" s="154">
        <f>'8'!AJ55</f>
        <v>1.377</v>
      </c>
      <c r="AO55" s="994"/>
      <c r="AP55" s="994"/>
      <c r="AQ55" s="994"/>
      <c r="AR55" s="994"/>
    </row>
    <row r="56" spans="15:44" ht="13.9" customHeight="1">
      <c r="O56" s="998"/>
      <c r="P56" s="998"/>
      <c r="R56" s="999"/>
      <c r="S56" s="999"/>
      <c r="T56" s="999"/>
      <c r="AI56" s="149" t="s">
        <v>108</v>
      </c>
      <c r="AJ56" s="150">
        <f>'8'!AJ54*'8'!AJ55</f>
        <v>0</v>
      </c>
      <c r="AK56" s="149" t="s">
        <v>108</v>
      </c>
      <c r="AL56" s="150">
        <f>'8'!AL54*'8'!AL55</f>
        <v>0</v>
      </c>
      <c r="AM56" s="149" t="s">
        <v>108</v>
      </c>
      <c r="AN56" s="150">
        <f>'8'!AN54*'8'!AN55</f>
        <v>0</v>
      </c>
      <c r="AO56" s="994"/>
      <c r="AP56" s="994"/>
      <c r="AQ56" s="994"/>
      <c r="AR56" s="994"/>
    </row>
    <row r="57" spans="15:44" ht="15.75" customHeight="1">
      <c r="O57" s="1003">
        <f>COUNTA('8'!N7:N18)</f>
        <v>12</v>
      </c>
      <c r="P57" s="1003"/>
      <c r="R57" s="1004">
        <f>COUNTIF('8'!N7:N18,"&gt;=6")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61" t="s">
        <v>119</v>
      </c>
      <c r="AC60" s="1061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'8'!AJ56+'8'!AL56+'8'!AN56</f>
        <v>0</v>
      </c>
      <c r="AM61" s="1011"/>
      <c r="AN61" s="1010" t="s">
        <v>121</v>
      </c>
      <c r="AO61" s="1010"/>
      <c r="AP61" s="1010"/>
      <c r="AQ61" s="1011">
        <f>'8'!AJ49+'8'!AL49+'8'!AN49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'8'!AA32</f>
        <v>30004.800000000003</v>
      </c>
      <c r="AR62" s="1016"/>
    </row>
    <row r="63" spans="15:44" ht="15" customHeight="1">
      <c r="X63" s="170" t="s">
        <v>124</v>
      </c>
      <c r="Y63" s="171"/>
      <c r="Z63" s="1013"/>
      <c r="AA63" s="1013"/>
      <c r="AB63" s="172" t="s">
        <v>124</v>
      </c>
      <c r="AC63" s="173"/>
      <c r="AE63" s="49"/>
      <c r="AI63" s="1010" t="s">
        <v>125</v>
      </c>
      <c r="AJ63" s="1010"/>
      <c r="AK63" s="1010"/>
      <c r="AL63" s="1011">
        <f>'8'!AL61-'8'!AL62</f>
        <v>0</v>
      </c>
      <c r="AM63" s="1011"/>
      <c r="AN63" s="1010" t="s">
        <v>125</v>
      </c>
      <c r="AO63" s="1010"/>
      <c r="AP63" s="1010"/>
      <c r="AQ63" s="1011">
        <f>'8'!AQ61-'8'!AQ62</f>
        <v>-30004.800000000003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>
        <f>'7'!Y65</f>
        <v>0</v>
      </c>
      <c r="Z65" s="1013"/>
      <c r="AA65" s="1013"/>
      <c r="AB65" s="176" t="s">
        <v>126</v>
      </c>
      <c r="AC65" s="241">
        <f>'7'!AC65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178">
        <f>SUM('8'!AK38,'8'!AP38)</f>
        <v>2111.099999999999</v>
      </c>
      <c r="Z67" s="1013"/>
      <c r="AA67" s="1013"/>
      <c r="AB67" s="172" t="s">
        <v>124</v>
      </c>
      <c r="AC67" s="169">
        <f>SUM('8'!AM38,'8'!AR38)</f>
        <v>283.75000000000006</v>
      </c>
    </row>
    <row r="68" spans="24:29" ht="15.75" customHeight="1">
      <c r="X68" s="170" t="s">
        <v>128</v>
      </c>
      <c r="Y68" s="179">
        <f>SUM('8'!Y63,'8'!Y65)-'8'!Y67</f>
        <v>-2111.099999999999</v>
      </c>
      <c r="Z68" s="1013"/>
      <c r="AA68" s="1013"/>
      <c r="AB68" s="172" t="s">
        <v>128</v>
      </c>
      <c r="AC68" s="180">
        <f>SUM('8'!AC63,'8'!AC65)-'8'!AC67</f>
        <v>-283.75000000000006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1" zoomScaleNormal="100" workbookViewId="0">
      <selection activeCell="AI16" sqref="AI16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173">
        <v>2680</v>
      </c>
      <c r="Z6" s="257">
        <v>940</v>
      </c>
      <c r="AA6" s="15">
        <v>1</v>
      </c>
      <c r="AB6" s="58">
        <f>IF('9'!AA6=1,(('9'!Z6*'9'!$AS$6*'9'!$AT$6)/('9'!Y6*0.0036)),IF('9'!AA6=2,(('9'!Z6*'9'!$AS$7*'9'!$AT$7)/('9'!Y6*0.0036))))</f>
        <v>64.790630182421225</v>
      </c>
      <c r="AC6" s="58"/>
      <c r="AD6" s="18">
        <f>(('9'!AC6*'9'!$Q$10*1000000))/('9'!Y6*3600)</f>
        <v>0</v>
      </c>
      <c r="AE6" s="183"/>
      <c r="AF6" s="184">
        <f>('9'!AE6/24)*0.454</f>
        <v>0</v>
      </c>
      <c r="AG6" s="19"/>
      <c r="AH6" s="184">
        <f>('9'!AG6/24)*0.454</f>
        <v>0</v>
      </c>
      <c r="AI6" s="257">
        <v>5200</v>
      </c>
      <c r="AJ6" s="184">
        <f>('9'!AI6/24)*0.454</f>
        <v>98.36666666666666</v>
      </c>
      <c r="AK6" s="21"/>
      <c r="AL6" s="185">
        <f>('9'!AK6/24)*0.454</f>
        <v>0</v>
      </c>
      <c r="AM6" s="21"/>
      <c r="AN6" s="185">
        <f>('9'!AM6/24)*0.454</f>
        <v>0</v>
      </c>
      <c r="AO6" s="23"/>
      <c r="AP6" s="185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6">
        <v>60</v>
      </c>
      <c r="C7" s="186">
        <v>12.5</v>
      </c>
      <c r="D7" s="186">
        <v>10</v>
      </c>
      <c r="E7" s="186">
        <v>2.5</v>
      </c>
      <c r="F7" s="186">
        <v>8.8000000000000007</v>
      </c>
      <c r="G7" s="186">
        <v>1.8</v>
      </c>
      <c r="H7" s="186">
        <v>1.3</v>
      </c>
      <c r="I7" s="186">
        <v>0.4</v>
      </c>
      <c r="J7" s="186">
        <v>0.6</v>
      </c>
      <c r="K7" s="186">
        <v>7.3</v>
      </c>
      <c r="L7" s="186">
        <v>6.7</v>
      </c>
      <c r="M7" s="186">
        <v>6.7</v>
      </c>
      <c r="N7" s="186">
        <v>6.4</v>
      </c>
      <c r="O7" s="186">
        <v>3</v>
      </c>
      <c r="P7" s="186"/>
      <c r="Q7" s="188"/>
      <c r="R7" s="37">
        <f>'8'!$Z$29</f>
        <v>940</v>
      </c>
      <c r="S7" s="187">
        <f>'8'!$AB$29</f>
        <v>65.106445027704865</v>
      </c>
      <c r="T7" s="37">
        <f>'8'!$Y$29</f>
        <v>2667</v>
      </c>
      <c r="U7" s="33" t="str">
        <f>IF('9'!AA6=1,'9'!AR6,'9'!AR7)</f>
        <v>S.A.L</v>
      </c>
      <c r="V7" s="1064">
        <f>ESCALA!$B$10</f>
        <v>0</v>
      </c>
      <c r="W7" s="1064"/>
      <c r="X7" s="13">
        <v>8.3333333333333301E-2</v>
      </c>
      <c r="Y7" s="173">
        <v>2698</v>
      </c>
      <c r="Z7" s="257">
        <v>940</v>
      </c>
      <c r="AA7" s="15">
        <v>1</v>
      </c>
      <c r="AB7" s="58">
        <f>IF('9'!AA7=1,(('9'!Z7*'9'!$AS$6*'9'!$AT$6)/('9'!Y7*0.0036)),IF('9'!AA7=2,(('9'!Z7*'9'!$AS$7*'9'!$AT$7)/('9'!Y7*0.0036))))</f>
        <v>64.358372456964005</v>
      </c>
      <c r="AC7" s="58"/>
      <c r="AD7" s="18">
        <f>(('9'!AC7*'9'!$Q$10*1000000))/('9'!Y7*3600)</f>
        <v>0</v>
      </c>
      <c r="AE7" s="183"/>
      <c r="AF7" s="184">
        <f>('9'!AE7/24)*0.454</f>
        <v>0</v>
      </c>
      <c r="AG7" s="19"/>
      <c r="AH7" s="184">
        <f>('9'!AG7/24)*0.454</f>
        <v>0</v>
      </c>
      <c r="AI7" s="257">
        <v>5200</v>
      </c>
      <c r="AJ7" s="184">
        <f>('9'!AI7/24)*0.454</f>
        <v>98.36666666666666</v>
      </c>
      <c r="AK7" s="21"/>
      <c r="AL7" s="185">
        <f>('9'!AK7/24)*0.454</f>
        <v>0</v>
      </c>
      <c r="AM7" s="21"/>
      <c r="AN7" s="185">
        <f>('9'!AM7/24)*0.454</f>
        <v>0</v>
      </c>
      <c r="AO7" s="23"/>
      <c r="AP7" s="185">
        <f>('9'!AO7/24)*0.454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6">
        <v>60</v>
      </c>
      <c r="C8" s="186">
        <v>12.5</v>
      </c>
      <c r="D8" s="186">
        <v>10</v>
      </c>
      <c r="E8" s="186">
        <v>2.5</v>
      </c>
      <c r="F8" s="186">
        <v>9</v>
      </c>
      <c r="G8" s="186">
        <v>1.9</v>
      </c>
      <c r="H8" s="186">
        <v>1.5</v>
      </c>
      <c r="I8" s="186">
        <v>0.4</v>
      </c>
      <c r="J8" s="186">
        <v>0.6</v>
      </c>
      <c r="K8" s="186">
        <v>7.3</v>
      </c>
      <c r="L8" s="186">
        <v>6.7</v>
      </c>
      <c r="M8" s="186">
        <v>6.7</v>
      </c>
      <c r="N8" s="186">
        <v>6.4</v>
      </c>
      <c r="O8" s="186">
        <v>2.8</v>
      </c>
      <c r="P8" s="186"/>
      <c r="Q8" s="188"/>
      <c r="R8" s="35">
        <f>'9'!Z7</f>
        <v>940</v>
      </c>
      <c r="S8" s="36">
        <f>'9'!AB7</f>
        <v>64.358372456964005</v>
      </c>
      <c r="T8" s="37">
        <f>'9'!Y7</f>
        <v>2698</v>
      </c>
      <c r="U8" s="33" t="str">
        <f>IF('9'!AA7=1,'9'!AR6,'9'!AR7)</f>
        <v>S.A.L</v>
      </c>
      <c r="V8" s="1064"/>
      <c r="W8" s="1064"/>
      <c r="X8" s="13">
        <v>0.125</v>
      </c>
      <c r="Y8" s="173">
        <v>2633</v>
      </c>
      <c r="Z8" s="257">
        <v>940</v>
      </c>
      <c r="AA8" s="15">
        <v>1</v>
      </c>
      <c r="AB8" s="58">
        <f>IF('9'!AA8=1,(('9'!Z8*'9'!$AS$6*'9'!$AT$6)/('9'!Y8*0.0036)),IF('9'!AA8=2,(('9'!Z8*'9'!$AS$7*'9'!$AT$7)/('9'!Y8*0.0036))))</f>
        <v>65.947166307971472</v>
      </c>
      <c r="AC8" s="58"/>
      <c r="AD8" s="18">
        <f>(('9'!AC8*'9'!$Q$10*1000000))/('9'!Y8*3600)</f>
        <v>0</v>
      </c>
      <c r="AE8" s="183"/>
      <c r="AF8" s="184">
        <f>('9'!AE8/24)*0.454</f>
        <v>0</v>
      </c>
      <c r="AG8" s="19"/>
      <c r="AH8" s="184">
        <f>('9'!AG8/24)*0.454</f>
        <v>0</v>
      </c>
      <c r="AI8" s="257">
        <v>5200</v>
      </c>
      <c r="AJ8" s="184">
        <f>('9'!AI8/24)*0.454</f>
        <v>98.36666666666666</v>
      </c>
      <c r="AK8" s="21"/>
      <c r="AL8" s="185">
        <f>('9'!AK8/24)*0.454</f>
        <v>0</v>
      </c>
      <c r="AM8" s="21"/>
      <c r="AN8" s="185">
        <f>('9'!AM8/24)*0.454</f>
        <v>0</v>
      </c>
      <c r="AO8" s="23"/>
      <c r="AP8" s="185">
        <f>('9'!AO8/24)*0.454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60</v>
      </c>
      <c r="C9" s="186">
        <v>12.5</v>
      </c>
      <c r="D9" s="186">
        <v>10</v>
      </c>
      <c r="E9" s="186">
        <v>2.5</v>
      </c>
      <c r="F9" s="186">
        <v>9.1999999999999993</v>
      </c>
      <c r="G9" s="186">
        <v>1.7</v>
      </c>
      <c r="H9" s="186">
        <v>1.4</v>
      </c>
      <c r="I9" s="186">
        <v>0.4</v>
      </c>
      <c r="J9" s="186">
        <v>0.5</v>
      </c>
      <c r="K9" s="186">
        <v>7.3</v>
      </c>
      <c r="L9" s="186">
        <v>6.7</v>
      </c>
      <c r="M9" s="186">
        <v>6.7</v>
      </c>
      <c r="N9" s="186">
        <v>6.4</v>
      </c>
      <c r="O9" s="186">
        <v>2.5</v>
      </c>
      <c r="P9" s="186"/>
      <c r="Q9" s="188"/>
      <c r="R9" s="37">
        <f>'9'!Z9</f>
        <v>940</v>
      </c>
      <c r="S9" s="36">
        <f>'9'!AB9</f>
        <v>65.376087684069617</v>
      </c>
      <c r="T9" s="37">
        <f>'9'!Y9</f>
        <v>2656</v>
      </c>
      <c r="U9" s="33" t="str">
        <f>IF('9'!AA9=1,'9'!AR6,'9'!AR7)</f>
        <v>S.A.L</v>
      </c>
      <c r="V9" s="1064"/>
      <c r="W9" s="1064"/>
      <c r="X9" s="13">
        <v>0.16666666666666699</v>
      </c>
      <c r="Y9" s="173">
        <v>2656</v>
      </c>
      <c r="Z9" s="257">
        <v>940</v>
      </c>
      <c r="AA9" s="15">
        <v>1</v>
      </c>
      <c r="AB9" s="58">
        <f>IF('9'!AA9=1,(('9'!Z9*'9'!$AS$6*'9'!$AT$6)/('9'!Y9*0.0036)),IF('9'!AA9=2,(('9'!Z9*'9'!$AS$7*'9'!$AT$7)/('9'!Y9*0.0036))))</f>
        <v>65.376087684069617</v>
      </c>
      <c r="AC9" s="58"/>
      <c r="AD9" s="18">
        <f>(('9'!AC9*'9'!$Q$10*1000000))/('9'!Y9*3600)</f>
        <v>0</v>
      </c>
      <c r="AE9" s="183"/>
      <c r="AF9" s="184">
        <f>('9'!AE9/24)*0.454</f>
        <v>0</v>
      </c>
      <c r="AG9" s="19"/>
      <c r="AH9" s="184">
        <f>('9'!AG9/24)*0.454</f>
        <v>0</v>
      </c>
      <c r="AI9" s="257">
        <v>5200</v>
      </c>
      <c r="AJ9" s="184">
        <f>('9'!AI9/24)*0.454</f>
        <v>98.36666666666666</v>
      </c>
      <c r="AK9" s="21"/>
      <c r="AL9" s="185">
        <f>('9'!AK9/24)*0.454</f>
        <v>0</v>
      </c>
      <c r="AM9" s="21"/>
      <c r="AN9" s="185">
        <f>('9'!AM9/24)*0.454</f>
        <v>0</v>
      </c>
      <c r="AO9" s="23"/>
      <c r="AP9" s="185">
        <f>('9'!AO9/24)*0.454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60</v>
      </c>
      <c r="C10" s="186">
        <v>12.5</v>
      </c>
      <c r="D10" s="186">
        <v>10</v>
      </c>
      <c r="E10" s="186">
        <v>2.5</v>
      </c>
      <c r="F10" s="186">
        <v>8.9</v>
      </c>
      <c r="G10" s="186">
        <v>1.7</v>
      </c>
      <c r="H10" s="186">
        <v>1.5</v>
      </c>
      <c r="I10" s="186">
        <v>0.4</v>
      </c>
      <c r="J10" s="186">
        <v>0.5</v>
      </c>
      <c r="K10" s="186">
        <v>7.3</v>
      </c>
      <c r="L10" s="186">
        <v>6.7</v>
      </c>
      <c r="M10" s="186">
        <v>6.7</v>
      </c>
      <c r="N10" s="186">
        <v>6.4</v>
      </c>
      <c r="O10" s="186">
        <v>2.5</v>
      </c>
      <c r="P10" s="186"/>
      <c r="Q10" s="188"/>
      <c r="R10" s="37">
        <f>'9'!Z11</f>
        <v>940</v>
      </c>
      <c r="S10" s="36">
        <f>'9'!AB11</f>
        <v>64.742315021957083</v>
      </c>
      <c r="T10" s="37">
        <f>'9'!Y11</f>
        <v>2682</v>
      </c>
      <c r="U10" s="33" t="str">
        <f>IF('9'!AA11=1,'9'!AR6,'9'!AR7)</f>
        <v>S.A.L</v>
      </c>
      <c r="V10" s="1064"/>
      <c r="W10" s="1064"/>
      <c r="X10" s="13">
        <v>0.20833333333333301</v>
      </c>
      <c r="Y10" s="173">
        <v>2672</v>
      </c>
      <c r="Z10" s="257">
        <v>940</v>
      </c>
      <c r="AA10" s="15">
        <v>1</v>
      </c>
      <c r="AB10" s="58">
        <f>IF('9'!AA10=1,(('9'!Z10*'9'!$AS$6*'9'!$AT$6)/('9'!Y10*0.0036)),IF('9'!AA10=2,(('9'!Z10*'9'!$AS$7*'9'!$AT$7)/('9'!Y10*0.0036))))</f>
        <v>64.9846141051231</v>
      </c>
      <c r="AC10" s="58"/>
      <c r="AD10" s="18">
        <f>(('9'!AC10*'9'!$Q$10*1000000))/('9'!Y10*3600)</f>
        <v>0</v>
      </c>
      <c r="AE10" s="183"/>
      <c r="AF10" s="184">
        <f>('9'!AE10/24)*0.454</f>
        <v>0</v>
      </c>
      <c r="AG10" s="19"/>
      <c r="AH10" s="184">
        <f>('9'!AG10/24)*0.454</f>
        <v>0</v>
      </c>
      <c r="AI10" s="257">
        <v>5200</v>
      </c>
      <c r="AJ10" s="184">
        <f>('9'!AI10/24)*0.454</f>
        <v>98.36666666666666</v>
      </c>
      <c r="AK10" s="21"/>
      <c r="AL10" s="185">
        <f>('9'!AK10/24)*0.454</f>
        <v>0</v>
      </c>
      <c r="AM10" s="21"/>
      <c r="AN10" s="185">
        <f>('9'!AM10/24)*0.454</f>
        <v>0</v>
      </c>
      <c r="AO10" s="23"/>
      <c r="AP10" s="185">
        <f>('9'!AO10/24)*0.454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6">
        <v>60</v>
      </c>
      <c r="C11" s="186">
        <v>12.5</v>
      </c>
      <c r="D11" s="186">
        <v>10</v>
      </c>
      <c r="E11" s="186">
        <v>2.5</v>
      </c>
      <c r="F11" s="186">
        <v>8.1999999999999993</v>
      </c>
      <c r="G11" s="186">
        <v>1.4</v>
      </c>
      <c r="H11" s="186">
        <v>1.2</v>
      </c>
      <c r="I11" s="186">
        <v>0.4</v>
      </c>
      <c r="J11" s="186">
        <v>0.4</v>
      </c>
      <c r="K11" s="186">
        <v>7.3</v>
      </c>
      <c r="L11" s="186">
        <v>6.7</v>
      </c>
      <c r="M11" s="186">
        <v>6.7</v>
      </c>
      <c r="N11" s="186">
        <v>6.5</v>
      </c>
      <c r="O11" s="186">
        <v>2.8</v>
      </c>
      <c r="P11" s="186"/>
      <c r="Q11" s="188"/>
      <c r="R11" s="37">
        <f>'9'!Z13</f>
        <v>940</v>
      </c>
      <c r="S11" s="36">
        <f>'9'!AB13</f>
        <v>65.106445027704865</v>
      </c>
      <c r="T11" s="37">
        <f>'9'!Y13</f>
        <v>2667</v>
      </c>
      <c r="U11" s="33" t="str">
        <f>IF('9'!AA13=1,'9'!AR6,'9'!AR7)</f>
        <v>S.A.L</v>
      </c>
      <c r="V11" s="1064"/>
      <c r="W11" s="1064"/>
      <c r="X11" s="13">
        <v>0.25</v>
      </c>
      <c r="Y11" s="173">
        <v>2682</v>
      </c>
      <c r="Z11" s="257">
        <v>940</v>
      </c>
      <c r="AA11" s="15">
        <v>1</v>
      </c>
      <c r="AB11" s="58">
        <f>IF('9'!AA11=1,(('9'!Z11*'9'!$AS$6*'9'!$AT$6)/('9'!Y11*0.0036)),IF('9'!AA11=2,(('9'!Z11*'9'!$AS$7*'9'!$AT$7)/('9'!Y11*0.0036))))</f>
        <v>64.742315021957083</v>
      </c>
      <c r="AC11" s="58"/>
      <c r="AD11" s="18">
        <f>(('9'!AC11*'9'!$Q$10*1000000))/('9'!Y11*3600)</f>
        <v>0</v>
      </c>
      <c r="AE11" s="183"/>
      <c r="AF11" s="184">
        <f>('9'!AE11/24)*0.454</f>
        <v>0</v>
      </c>
      <c r="AG11" s="19"/>
      <c r="AH11" s="184">
        <f>('9'!AG11/24)*0.454</f>
        <v>0</v>
      </c>
      <c r="AI11" s="257">
        <v>5200</v>
      </c>
      <c r="AJ11" s="184">
        <f>('9'!AI11/24)*0.454</f>
        <v>98.36666666666666</v>
      </c>
      <c r="AK11" s="21"/>
      <c r="AL11" s="185">
        <f>('9'!AK11/24)*0.454</f>
        <v>0</v>
      </c>
      <c r="AM11" s="21"/>
      <c r="AN11" s="185">
        <f>('9'!AM11/24)*0.454</f>
        <v>0</v>
      </c>
      <c r="AO11" s="23"/>
      <c r="AP11" s="185">
        <f>('9'!AO11/24)*0.454</f>
        <v>0</v>
      </c>
    </row>
    <row r="12" spans="1:47" ht="18.75" customHeight="1">
      <c r="A12" s="28">
        <v>0.41666666666666702</v>
      </c>
      <c r="B12" s="186">
        <v>60</v>
      </c>
      <c r="C12" s="186">
        <v>12.5</v>
      </c>
      <c r="D12" s="186">
        <v>10</v>
      </c>
      <c r="E12" s="186">
        <v>2.5</v>
      </c>
      <c r="F12" s="186">
        <v>8.5</v>
      </c>
      <c r="G12" s="186">
        <v>1.4</v>
      </c>
      <c r="H12" s="186">
        <v>1.3</v>
      </c>
      <c r="I12" s="186">
        <v>0.4</v>
      </c>
      <c r="J12" s="186">
        <v>0.4</v>
      </c>
      <c r="K12" s="186">
        <v>7.3</v>
      </c>
      <c r="L12" s="186">
        <v>6.7</v>
      </c>
      <c r="M12" s="186">
        <v>6.7</v>
      </c>
      <c r="N12" s="186">
        <v>6.5</v>
      </c>
      <c r="O12" s="186">
        <v>2.8</v>
      </c>
      <c r="P12" s="186"/>
      <c r="Q12" s="188"/>
      <c r="R12" s="37">
        <f>'9'!Z15</f>
        <v>940</v>
      </c>
      <c r="S12" s="36">
        <f>'9'!AB15</f>
        <v>64.144399294011407</v>
      </c>
      <c r="T12" s="37">
        <f>'9'!Y15</f>
        <v>2707</v>
      </c>
      <c r="U12" s="33" t="str">
        <f>IF('9'!AA15=1,'9'!AR6,'9'!AR7)</f>
        <v>S.A.L</v>
      </c>
      <c r="V12" s="945">
        <f>ESCALA!$B$11</f>
        <v>0</v>
      </c>
      <c r="W12" s="945"/>
      <c r="X12" s="13">
        <v>0.29166666666666702</v>
      </c>
      <c r="Y12" s="173">
        <v>2660</v>
      </c>
      <c r="Z12" s="257">
        <v>940</v>
      </c>
      <c r="AA12" s="15">
        <v>1</v>
      </c>
      <c r="AB12" s="58">
        <f>IF('9'!AA12=1,(('9'!Z12*'9'!$AS$6*'9'!$AT$6)/('9'!Y12*0.0036)),IF('9'!AA12=2,(('9'!Z12*'9'!$AS$7*'9'!$AT$7)/('9'!Y12*0.0036))))</f>
        <v>65.277777777777771</v>
      </c>
      <c r="AC12" s="58"/>
      <c r="AD12" s="18">
        <f>(('9'!AC12*'9'!$Q$10*1000000))/('9'!Y12*3600)</f>
        <v>0</v>
      </c>
      <c r="AE12" s="183"/>
      <c r="AF12" s="184">
        <f>('9'!AE12/24)*0.454</f>
        <v>0</v>
      </c>
      <c r="AG12" s="19"/>
      <c r="AH12" s="184">
        <f>('9'!AG12/24)*0.454</f>
        <v>0</v>
      </c>
      <c r="AI12" s="257">
        <v>5200</v>
      </c>
      <c r="AJ12" s="184">
        <f>('9'!AI12/24)*0.454</f>
        <v>98.36666666666666</v>
      </c>
      <c r="AK12" s="21"/>
      <c r="AL12" s="185">
        <f>('9'!AK12/24)*0.454</f>
        <v>0</v>
      </c>
      <c r="AM12" s="21"/>
      <c r="AN12" s="185">
        <f>('9'!AM12/24)*0.454</f>
        <v>0</v>
      </c>
      <c r="AO12" s="23"/>
      <c r="AP12" s="185">
        <f>('9'!AO12/24)*0.454</f>
        <v>0</v>
      </c>
    </row>
    <row r="13" spans="1:47" ht="18.75" customHeight="1">
      <c r="A13" s="28">
        <v>0.5</v>
      </c>
      <c r="B13" s="186">
        <v>60</v>
      </c>
      <c r="C13" s="186">
        <v>12.5</v>
      </c>
      <c r="D13" s="186">
        <v>10</v>
      </c>
      <c r="E13" s="186">
        <v>2.5</v>
      </c>
      <c r="F13" s="186">
        <v>8.6999999999999993</v>
      </c>
      <c r="G13" s="186">
        <v>1.5</v>
      </c>
      <c r="H13" s="186">
        <v>1.4</v>
      </c>
      <c r="I13" s="186">
        <v>0.4</v>
      </c>
      <c r="J13" s="186">
        <v>0.4</v>
      </c>
      <c r="K13" s="186">
        <v>7.3</v>
      </c>
      <c r="L13" s="186">
        <v>6.7</v>
      </c>
      <c r="M13" s="186">
        <v>6.7</v>
      </c>
      <c r="N13" s="186">
        <v>6.5</v>
      </c>
      <c r="O13" s="186">
        <v>2.8</v>
      </c>
      <c r="P13" s="186"/>
      <c r="Q13" s="188"/>
      <c r="R13" s="37">
        <f>'9'!Z17</f>
        <v>940</v>
      </c>
      <c r="S13" s="36">
        <f>'9'!AB17</f>
        <v>67.380244039149744</v>
      </c>
      <c r="T13" s="37">
        <f>'9'!Y17</f>
        <v>2577</v>
      </c>
      <c r="U13" s="33" t="str">
        <f>IF('9'!AA17=1,'9'!AR6,'9'!AR7)</f>
        <v>S.A.L</v>
      </c>
      <c r="V13" s="945"/>
      <c r="W13" s="945"/>
      <c r="X13" s="13">
        <v>0.33333333333333298</v>
      </c>
      <c r="Y13" s="173">
        <v>2667</v>
      </c>
      <c r="Z13" s="257">
        <v>940</v>
      </c>
      <c r="AA13" s="15">
        <v>1</v>
      </c>
      <c r="AB13" s="58">
        <f>IF('9'!AA13=1,(('9'!Z13*'9'!$AS$6*'9'!$AT$6)/('9'!Y13*0.0036)),IF('9'!AA13=2,(('9'!Z13*'9'!$AS$7*'9'!$AT$7)/('9'!Y13*0.0036))))</f>
        <v>65.106445027704865</v>
      </c>
      <c r="AC13" s="58"/>
      <c r="AD13" s="18">
        <f>(('9'!AC13*'9'!$Q$10*1000000))/('9'!Y13*3600)</f>
        <v>0</v>
      </c>
      <c r="AE13" s="183"/>
      <c r="AF13" s="184">
        <f>('9'!AE13/24)*0.454</f>
        <v>0</v>
      </c>
      <c r="AG13" s="19"/>
      <c r="AH13" s="184">
        <f>('9'!AG13/24)*0.454</f>
        <v>0</v>
      </c>
      <c r="AI13" s="257">
        <v>5200</v>
      </c>
      <c r="AJ13" s="184">
        <f>('9'!AI13/24)*0.454</f>
        <v>98.36666666666666</v>
      </c>
      <c r="AK13" s="21"/>
      <c r="AL13" s="185">
        <f>('9'!AK13/24)*0.454</f>
        <v>0</v>
      </c>
      <c r="AM13" s="21"/>
      <c r="AN13" s="185">
        <f>('9'!AM13/24)*0.454</f>
        <v>0</v>
      </c>
      <c r="AO13" s="23"/>
      <c r="AP13" s="185">
        <f>('9'!AO13/24)*0.454</f>
        <v>0</v>
      </c>
    </row>
    <row r="14" spans="1:47" ht="18.75" customHeight="1">
      <c r="A14" s="28">
        <v>0.58333333333333304</v>
      </c>
      <c r="B14" s="186">
        <v>60</v>
      </c>
      <c r="C14" s="186">
        <v>12.5</v>
      </c>
      <c r="D14" s="186">
        <v>10</v>
      </c>
      <c r="E14" s="186">
        <v>2.5</v>
      </c>
      <c r="F14" s="186">
        <v>8.4</v>
      </c>
      <c r="G14" s="186">
        <v>1.6</v>
      </c>
      <c r="H14" s="186">
        <v>1.2</v>
      </c>
      <c r="I14" s="186">
        <v>0.4</v>
      </c>
      <c r="J14" s="186">
        <v>0.5</v>
      </c>
      <c r="K14" s="186">
        <v>7.3</v>
      </c>
      <c r="L14" s="186">
        <v>6.7</v>
      </c>
      <c r="M14" s="186">
        <v>6.7</v>
      </c>
      <c r="N14" s="186">
        <v>6.5</v>
      </c>
      <c r="O14" s="186">
        <v>2.6</v>
      </c>
      <c r="P14" s="186"/>
      <c r="Q14" s="188"/>
      <c r="R14" s="37">
        <f>'9'!Z19</f>
        <v>940</v>
      </c>
      <c r="S14" s="36">
        <f>'9'!AB19</f>
        <v>61.118933083030242</v>
      </c>
      <c r="T14" s="37">
        <f>'9'!Y19</f>
        <v>2841</v>
      </c>
      <c r="U14" s="33" t="str">
        <f>IF('9'!AA19=1,'9'!AR6,'9'!AR7)</f>
        <v>S.A.L</v>
      </c>
      <c r="V14" s="945"/>
      <c r="W14" s="945"/>
      <c r="X14" s="13">
        <v>0.375</v>
      </c>
      <c r="Y14" s="173">
        <v>2650</v>
      </c>
      <c r="Z14" s="257">
        <v>940</v>
      </c>
      <c r="AA14" s="15">
        <v>1</v>
      </c>
      <c r="AB14" s="58">
        <f>IF('9'!AA14=1,(('9'!Z14*'9'!$AS$6*'9'!$AT$6)/('9'!Y14*0.0036)),IF('9'!AA14=2,(('9'!Z14*'9'!$AS$7*'9'!$AT$7)/('9'!Y14*0.0036))))</f>
        <v>65.524109014675062</v>
      </c>
      <c r="AC14" s="58"/>
      <c r="AD14" s="18">
        <f>(('9'!AC14*'9'!$Q$10*1000000))/('9'!Y14*3600)</f>
        <v>0</v>
      </c>
      <c r="AE14" s="183"/>
      <c r="AF14" s="184">
        <f>('9'!AE14/24)*0.454</f>
        <v>0</v>
      </c>
      <c r="AG14" s="19"/>
      <c r="AH14" s="184">
        <f>('9'!AG14/24)*0.454</f>
        <v>0</v>
      </c>
      <c r="AI14" s="257">
        <v>5200</v>
      </c>
      <c r="AJ14" s="184">
        <f>('9'!AI14/24)*0.454</f>
        <v>98.36666666666666</v>
      </c>
      <c r="AK14" s="21"/>
      <c r="AL14" s="185">
        <f>('9'!AK14/24)*0.454</f>
        <v>0</v>
      </c>
      <c r="AM14" s="21"/>
      <c r="AN14" s="185">
        <f>('9'!AM14/24)*0.454</f>
        <v>0</v>
      </c>
      <c r="AO14" s="23"/>
      <c r="AP14" s="185">
        <f>('9'!AO14/24)*0.454</f>
        <v>0</v>
      </c>
    </row>
    <row r="15" spans="1:47" ht="18.75" customHeight="1">
      <c r="A15" s="28">
        <v>0.66666666666666696</v>
      </c>
      <c r="B15" s="186">
        <v>60</v>
      </c>
      <c r="C15" s="186">
        <v>12.5</v>
      </c>
      <c r="D15" s="186">
        <v>10</v>
      </c>
      <c r="E15" s="186">
        <v>2.5</v>
      </c>
      <c r="F15" s="186">
        <v>8.3000000000000007</v>
      </c>
      <c r="G15" s="186">
        <v>1.6</v>
      </c>
      <c r="H15" s="186">
        <v>1</v>
      </c>
      <c r="I15" s="186">
        <v>0.4</v>
      </c>
      <c r="J15" s="186">
        <v>0.5</v>
      </c>
      <c r="K15" s="186">
        <v>7.3</v>
      </c>
      <c r="L15" s="186">
        <v>6.7</v>
      </c>
      <c r="M15" s="186">
        <v>6.7</v>
      </c>
      <c r="N15" s="186">
        <v>6.5</v>
      </c>
      <c r="O15" s="186">
        <v>2.6</v>
      </c>
      <c r="P15" s="186"/>
      <c r="Q15" s="188"/>
      <c r="R15" s="37">
        <f>'9'!Z21</f>
        <v>940</v>
      </c>
      <c r="S15" s="36">
        <f>'9'!AB21</f>
        <v>61.903347197464853</v>
      </c>
      <c r="T15" s="37">
        <f>'9'!Y21</f>
        <v>2805</v>
      </c>
      <c r="U15" s="33" t="str">
        <f>IF('9'!AA21=1,'9'!AR6,'9'!AR7)</f>
        <v>S.A.L</v>
      </c>
      <c r="V15" s="945"/>
      <c r="W15" s="945"/>
      <c r="X15" s="13">
        <v>0.41666666666666702</v>
      </c>
      <c r="Y15" s="173">
        <v>2707</v>
      </c>
      <c r="Z15" s="257">
        <v>940</v>
      </c>
      <c r="AA15" s="15">
        <v>1</v>
      </c>
      <c r="AB15" s="58">
        <f>IF('9'!AA15=1,(('9'!Z15*'9'!$AS$6*'9'!$AT$6)/('9'!Y15*0.0036)),IF('9'!AA15=2,(('9'!Z15*'9'!$AS$7*'9'!$AT$7)/('9'!Y15*0.0036))))</f>
        <v>64.144399294011407</v>
      </c>
      <c r="AC15" s="58"/>
      <c r="AD15" s="18">
        <f>(('9'!AC15*'9'!$Q$10*1000000))/('9'!Y15*3600)</f>
        <v>0</v>
      </c>
      <c r="AE15" s="183"/>
      <c r="AF15" s="184">
        <f>('9'!AE15/24)*0.454</f>
        <v>0</v>
      </c>
      <c r="AG15" s="19"/>
      <c r="AH15" s="184">
        <f>('9'!AG15/24)*0.454</f>
        <v>0</v>
      </c>
      <c r="AI15" s="257">
        <v>5200</v>
      </c>
      <c r="AJ15" s="184">
        <f>('9'!AI15/24)*0.454</f>
        <v>98.36666666666666</v>
      </c>
      <c r="AK15" s="21"/>
      <c r="AL15" s="185">
        <f>('9'!AK15/24)*0.454</f>
        <v>0</v>
      </c>
      <c r="AM15" s="21"/>
      <c r="AN15" s="185">
        <f>('9'!AM15/24)*0.454</f>
        <v>0</v>
      </c>
      <c r="AO15" s="23"/>
      <c r="AP15" s="185">
        <f>('9'!AO15/24)*0.454</f>
        <v>0</v>
      </c>
    </row>
    <row r="16" spans="1:47" ht="18.75" customHeight="1">
      <c r="A16" s="28">
        <v>0.75</v>
      </c>
      <c r="B16" s="186">
        <v>60</v>
      </c>
      <c r="C16" s="186">
        <v>12.5</v>
      </c>
      <c r="D16" s="186">
        <v>10</v>
      </c>
      <c r="E16" s="186">
        <v>2.5</v>
      </c>
      <c r="F16" s="186">
        <v>8.4</v>
      </c>
      <c r="G16" s="186">
        <v>1.6</v>
      </c>
      <c r="H16" s="186">
        <v>1.2</v>
      </c>
      <c r="I16" s="186">
        <v>0.4</v>
      </c>
      <c r="J16" s="186">
        <v>0.4</v>
      </c>
      <c r="K16" s="186">
        <v>7.3</v>
      </c>
      <c r="L16" s="186">
        <v>6.7</v>
      </c>
      <c r="M16" s="186">
        <v>6.7</v>
      </c>
      <c r="N16" s="186">
        <v>6.5</v>
      </c>
      <c r="O16" s="186">
        <v>2.7</v>
      </c>
      <c r="P16" s="186"/>
      <c r="Q16" s="188"/>
      <c r="R16" s="37">
        <f>'9'!Z23</f>
        <v>940</v>
      </c>
      <c r="S16" s="36">
        <f>'9'!AB23</f>
        <v>65.872112628561794</v>
      </c>
      <c r="T16" s="37">
        <f>'9'!Y23</f>
        <v>2636</v>
      </c>
      <c r="U16" s="33" t="str">
        <f>IF('9'!AA23=1,'9'!AR6,'9'!AR7)</f>
        <v>S.A.L</v>
      </c>
      <c r="V16" s="945"/>
      <c r="W16" s="945"/>
      <c r="X16" s="13">
        <v>0.45833333333333298</v>
      </c>
      <c r="Y16" s="173">
        <v>2558</v>
      </c>
      <c r="Z16" s="257">
        <v>940</v>
      </c>
      <c r="AA16" s="15">
        <v>1</v>
      </c>
      <c r="AB16" s="58">
        <f>IF('9'!AA16=1,(('9'!Z16*'9'!$AS$6*'9'!$AT$6)/('9'!Y16*0.0036)),IF('9'!AA16=2,(('9'!Z16*'9'!$AS$7*'9'!$AT$7)/('9'!Y16*0.0036))))</f>
        <v>67.880722786899483</v>
      </c>
      <c r="AC16" s="58"/>
      <c r="AD16" s="18">
        <f>(('9'!AC16*'9'!$Q$10*1000000))/('9'!Y16*3600)</f>
        <v>0</v>
      </c>
      <c r="AE16" s="183"/>
      <c r="AF16" s="184">
        <f>('9'!AE16/24)*0.454</f>
        <v>0</v>
      </c>
      <c r="AG16" s="19"/>
      <c r="AH16" s="184">
        <f>('9'!AG16/24)*0.454</f>
        <v>0</v>
      </c>
      <c r="AI16" s="257">
        <v>3000</v>
      </c>
      <c r="AJ16" s="184">
        <f>('9'!AI16/24)*0.454</f>
        <v>56.75</v>
      </c>
      <c r="AK16" s="21">
        <v>2500</v>
      </c>
      <c r="AL16" s="185">
        <f>('9'!AK16/24)*0.454</f>
        <v>47.291666666666671</v>
      </c>
      <c r="AM16" s="21">
        <v>2500</v>
      </c>
      <c r="AN16" s="185">
        <f>('9'!AM16/24)*0.454</f>
        <v>47.291666666666671</v>
      </c>
      <c r="AO16" s="23"/>
      <c r="AP16" s="185">
        <f>('9'!AO16/24)*0.454</f>
        <v>0</v>
      </c>
    </row>
    <row r="17" spans="1:42" ht="18.75" customHeight="1">
      <c r="A17" s="28">
        <v>0.83333333333333304</v>
      </c>
      <c r="B17" s="186">
        <v>60</v>
      </c>
      <c r="C17" s="186">
        <v>12.5</v>
      </c>
      <c r="D17" s="186">
        <v>10</v>
      </c>
      <c r="E17" s="186">
        <v>2.5</v>
      </c>
      <c r="F17" s="186">
        <v>8.5</v>
      </c>
      <c r="G17" s="186">
        <v>1.5</v>
      </c>
      <c r="H17" s="186">
        <v>1.5</v>
      </c>
      <c r="I17" s="186">
        <v>0.4</v>
      </c>
      <c r="J17" s="186">
        <v>0.4</v>
      </c>
      <c r="K17" s="186">
        <v>7.3</v>
      </c>
      <c r="L17" s="186">
        <v>6.7</v>
      </c>
      <c r="M17" s="186">
        <v>6.7</v>
      </c>
      <c r="N17" s="186">
        <v>6.5</v>
      </c>
      <c r="O17" s="186">
        <v>2.9</v>
      </c>
      <c r="P17" s="186"/>
      <c r="Q17" s="188"/>
      <c r="R17" s="37">
        <f>'9'!Z25</f>
        <v>940</v>
      </c>
      <c r="S17" s="36">
        <f>'9'!AB25</f>
        <v>62.935443598727403</v>
      </c>
      <c r="T17" s="37">
        <f>'9'!Y25</f>
        <v>2759</v>
      </c>
      <c r="U17" s="33" t="str">
        <f>IF('9'!AA25=1,'9'!AR6,'9'!AR7)</f>
        <v>S.A.L</v>
      </c>
      <c r="V17" s="945">
        <f>ESCALA!$C$11</f>
        <v>0</v>
      </c>
      <c r="W17" s="945"/>
      <c r="X17" s="13">
        <v>0.5</v>
      </c>
      <c r="Y17" s="173">
        <v>2577</v>
      </c>
      <c r="Z17" s="257">
        <v>940</v>
      </c>
      <c r="AA17" s="15">
        <v>1</v>
      </c>
      <c r="AB17" s="58">
        <f>IF('9'!AA17=1,(('9'!Z17*'9'!$AS$6*'9'!$AT$6)/('9'!Y17*0.0036)),IF('9'!AA17=2,(('9'!Z17*'9'!$AS$7*'9'!$AT$7)/('9'!Y17*0.0036))))</f>
        <v>67.380244039149744</v>
      </c>
      <c r="AC17" s="58"/>
      <c r="AD17" s="18">
        <f>(('9'!AC17*'9'!$Q$10*1000000))/('9'!Y17*3600)</f>
        <v>0</v>
      </c>
      <c r="AE17" s="183"/>
      <c r="AF17" s="184">
        <f>('9'!AE17/24)*0.454</f>
        <v>0</v>
      </c>
      <c r="AG17" s="19"/>
      <c r="AH17" s="184">
        <f>('9'!AG17/24)*0.454</f>
        <v>0</v>
      </c>
      <c r="AI17" s="257">
        <v>3000</v>
      </c>
      <c r="AJ17" s="184">
        <f>('9'!AI17/24)*0.454</f>
        <v>56.75</v>
      </c>
      <c r="AK17" s="21">
        <v>2500</v>
      </c>
      <c r="AL17" s="185">
        <f>('9'!AK17/24)*0.454</f>
        <v>47.291666666666671</v>
      </c>
      <c r="AM17" s="21">
        <v>2500</v>
      </c>
      <c r="AN17" s="185">
        <f>('9'!AM17/24)*0.454</f>
        <v>47.291666666666671</v>
      </c>
      <c r="AO17" s="23"/>
      <c r="AP17" s="185">
        <f>('9'!AO17/24)*0.454</f>
        <v>0</v>
      </c>
    </row>
    <row r="18" spans="1:42" ht="19.5" customHeight="1">
      <c r="A18" s="28">
        <v>0.91666666666666696</v>
      </c>
      <c r="B18" s="186">
        <v>60</v>
      </c>
      <c r="C18" s="186">
        <v>12.5</v>
      </c>
      <c r="D18" s="186">
        <v>10</v>
      </c>
      <c r="E18" s="186">
        <v>2.5</v>
      </c>
      <c r="F18" s="186">
        <v>8.6999999999999993</v>
      </c>
      <c r="G18" s="186">
        <v>1.4</v>
      </c>
      <c r="H18" s="186">
        <v>1.6</v>
      </c>
      <c r="I18" s="186">
        <v>0.4</v>
      </c>
      <c r="J18" s="186">
        <v>0.4</v>
      </c>
      <c r="K18" s="186">
        <v>7.3</v>
      </c>
      <c r="L18" s="186">
        <v>6.7</v>
      </c>
      <c r="M18" s="186">
        <v>6.7</v>
      </c>
      <c r="N18" s="186">
        <v>6.5</v>
      </c>
      <c r="O18" s="186">
        <v>3.3</v>
      </c>
      <c r="P18" s="186"/>
      <c r="Q18" s="188"/>
      <c r="R18" s="37">
        <f>'9'!Z27</f>
        <v>940</v>
      </c>
      <c r="S18" s="36">
        <f>'9'!AB27</f>
        <v>64.477864422164473</v>
      </c>
      <c r="T18" s="37">
        <f>'9'!Y27</f>
        <v>2693</v>
      </c>
      <c r="U18" s="33" t="str">
        <f>IF('9'!AA27=1,'9'!AR6,'9'!AR7)</f>
        <v>S.A.L</v>
      </c>
      <c r="V18" s="945"/>
      <c r="W18" s="945"/>
      <c r="X18" s="13">
        <v>0.54166666666666696</v>
      </c>
      <c r="Y18" s="173">
        <v>2637</v>
      </c>
      <c r="Z18" s="257">
        <v>940</v>
      </c>
      <c r="AA18" s="15">
        <v>1</v>
      </c>
      <c r="AB18" s="58">
        <f>IF('9'!AA18=1,(('9'!Z18*'9'!$AS$6*'9'!$AT$6)/('9'!Y18*0.0036)),IF('9'!AA18=2,(('9'!Z18*'9'!$AS$7*'9'!$AT$7)/('9'!Y18*0.0036))))</f>
        <v>65.847132684447814</v>
      </c>
      <c r="AC18" s="58"/>
      <c r="AD18" s="18">
        <f>(('9'!AC18*'9'!$Q$10*1000000))/('9'!Y18*3600)</f>
        <v>0</v>
      </c>
      <c r="AE18" s="183"/>
      <c r="AF18" s="184">
        <f>('9'!AE18/24)*0.454</f>
        <v>0</v>
      </c>
      <c r="AG18" s="19"/>
      <c r="AH18" s="184">
        <f>('9'!AG18/24)*0.454</f>
        <v>0</v>
      </c>
      <c r="AI18" s="257">
        <v>3000</v>
      </c>
      <c r="AJ18" s="184">
        <f>('9'!AI18/24)*0.454</f>
        <v>56.75</v>
      </c>
      <c r="AK18" s="21">
        <v>2500</v>
      </c>
      <c r="AL18" s="185">
        <f>('9'!AK18/24)*0.454</f>
        <v>47.291666666666671</v>
      </c>
      <c r="AM18" s="21">
        <v>2500</v>
      </c>
      <c r="AN18" s="185">
        <f>('9'!AM18/24)*0.454</f>
        <v>47.291666666666671</v>
      </c>
      <c r="AO18" s="23"/>
      <c r="AP18" s="185">
        <f>('9'!AO18/24)*0.454</f>
        <v>0</v>
      </c>
    </row>
    <row r="19" spans="1:42" ht="18.75" customHeight="1">
      <c r="A19" s="10" t="s">
        <v>52</v>
      </c>
      <c r="B19" s="189">
        <f t="array" ref="B19">IF('9'!B7:B18&gt;0.01,AVERAGE('9'!B7:B18),"")</f>
        <v>60</v>
      </c>
      <c r="C19" s="69">
        <f t="array" ref="C19">IF('9'!C7:C18&gt;0.01,AVERAGE('9'!C7:C18),"")</f>
        <v>12.5</v>
      </c>
      <c r="D19" s="69">
        <f t="array" ref="D19">IF('9'!D7:D18&gt;0.01,AVERAGE('9'!D7:D18),"")</f>
        <v>10</v>
      </c>
      <c r="E19" s="69">
        <f t="array" ref="E19">IF('9'!E7:E18&gt;0.01,AVERAGE('9'!E7:E18),"")</f>
        <v>2.5</v>
      </c>
      <c r="F19" s="69">
        <f t="array" ref="F19">IF('9'!F7:F18&gt;0.01,AVERAGE('9'!F7:F18),"")</f>
        <v>8.6333333333333346</v>
      </c>
      <c r="G19" s="69">
        <f t="array" ref="G19">IF('9'!G7:G18&gt;0.01,AVERAGE('9'!G7:G18),"")</f>
        <v>1.5916666666666666</v>
      </c>
      <c r="H19" s="69">
        <f t="array" ref="H19">IF('9'!H7:H18&gt;0.01,AVERAGE('9'!H7:H18),"")</f>
        <v>1.3416666666666666</v>
      </c>
      <c r="I19" s="69">
        <f t="array" ref="I19">IF('9'!I7:I18&gt;0.01,AVERAGE('9'!I7:I18),"")</f>
        <v>0.39999999999999997</v>
      </c>
      <c r="J19" s="69">
        <f t="array" ref="J19">IF('9'!J7:J18&gt;0.01,AVERAGE('9'!J7:J18),"")</f>
        <v>0.46666666666666679</v>
      </c>
      <c r="K19" s="69">
        <f t="array" ref="K19">IF('9'!K7:K18&gt;0.01,AVERAGE('9'!K7:K18),"")</f>
        <v>7.299999999999998</v>
      </c>
      <c r="L19" s="69">
        <f t="array" ref="L19">IF('9'!L7:L18&gt;0.01,AVERAGE('9'!L7:L18),"")</f>
        <v>6.700000000000002</v>
      </c>
      <c r="M19" s="69">
        <f t="array" ref="M19">IF('9'!M7:M18&gt;0.01,AVERAGE('9'!M7:M18),"")</f>
        <v>6.700000000000002</v>
      </c>
      <c r="N19" s="69">
        <f t="array" ref="N19">IF('9'!N7:N18&gt;0.01,AVERAGE('9'!N7:N18),"")</f>
        <v>6.4666666666666659</v>
      </c>
      <c r="O19" s="69">
        <f t="array" ref="O19">IF('9'!O7:O18&gt;0.01,AVERAGE('9'!O7:O18),"")</f>
        <v>2.7750000000000004</v>
      </c>
      <c r="P19" s="69" t="str">
        <f t="array" ref="P19">IF('9'!P7:P18&gt;0.01,AVERAGE('9'!P7:P18),"")</f>
        <v/>
      </c>
      <c r="Q19" s="69" t="str">
        <f t="array" ref="Q19">IF('9'!Q7:Q18&gt;0.01,AVERAGE('9'!Q7:Q18),"")</f>
        <v/>
      </c>
      <c r="R19" s="69">
        <f t="array" ref="R19">IF('9'!R7:R18&gt;0.01,AVERAGE('9'!R7:R18),"")</f>
        <v>940</v>
      </c>
      <c r="S19" s="191">
        <f t="array" ref="S19">IF('9'!S7:S18&gt;0.01,AVERAGE('9'!S7:S18),"")</f>
        <v>64.37683412345919</v>
      </c>
      <c r="T19" s="946"/>
      <c r="U19" s="946"/>
      <c r="V19" s="49"/>
      <c r="W19" s="50"/>
      <c r="X19" s="13">
        <v>0.58333333333333304</v>
      </c>
      <c r="Y19" s="173">
        <v>2841</v>
      </c>
      <c r="Z19" s="257">
        <v>940</v>
      </c>
      <c r="AA19" s="15">
        <v>1</v>
      </c>
      <c r="AB19" s="58">
        <f>IF('9'!AA19=1,(('9'!Z19*'9'!$AS$6*'9'!$AT$6)/('9'!Y19*0.0036)),IF('9'!AA19=2,(('9'!Z19*'9'!$AS$7*'9'!$AT$7)/('9'!Y19*0.0036))))</f>
        <v>61.118933083030242</v>
      </c>
      <c r="AC19" s="58"/>
      <c r="AD19" s="18">
        <f>(('9'!AC19*'9'!$Q$10*1000000))/('9'!Y19*3600)</f>
        <v>0</v>
      </c>
      <c r="AE19" s="183"/>
      <c r="AF19" s="184">
        <f>('9'!AE19/24)*0.454</f>
        <v>0</v>
      </c>
      <c r="AG19" s="19"/>
      <c r="AH19" s="184">
        <f>('9'!AG19/24)*0.454</f>
        <v>0</v>
      </c>
      <c r="AI19" s="257">
        <v>3000</v>
      </c>
      <c r="AJ19" s="184">
        <f>('9'!AI19/24)*0.454</f>
        <v>56.75</v>
      </c>
      <c r="AK19" s="21">
        <v>2500</v>
      </c>
      <c r="AL19" s="185">
        <f>('9'!AK19/24)*0.454</f>
        <v>47.291666666666671</v>
      </c>
      <c r="AM19" s="21">
        <v>2500</v>
      </c>
      <c r="AN19" s="185">
        <f>('9'!AM19/24)*0.454</f>
        <v>47.291666666666671</v>
      </c>
      <c r="AO19" s="23"/>
      <c r="AP19" s="185">
        <f>('9'!AO19/24)*0.454</f>
        <v>0</v>
      </c>
    </row>
    <row r="20" spans="1:42" ht="18.75" customHeight="1">
      <c r="A20" s="10" t="s">
        <v>53</v>
      </c>
      <c r="B20" s="189">
        <f>MAX('9'!B7:B18)</f>
        <v>60</v>
      </c>
      <c r="C20" s="69">
        <f>MAX('9'!C7:C18)</f>
        <v>12.5</v>
      </c>
      <c r="D20" s="69">
        <f>MAX('9'!D7:D18)</f>
        <v>10</v>
      </c>
      <c r="E20" s="69">
        <f>MAX('9'!E7:E18)</f>
        <v>2.5</v>
      </c>
      <c r="F20" s="69">
        <f>MAX('9'!F7:F18)</f>
        <v>9.1999999999999993</v>
      </c>
      <c r="G20" s="69">
        <f>MAX('9'!G7:G18)</f>
        <v>1.9</v>
      </c>
      <c r="H20" s="69">
        <f>MAX('9'!H7:H18)</f>
        <v>1.6</v>
      </c>
      <c r="I20" s="69">
        <f>MAX('9'!I7:I18)</f>
        <v>0.4</v>
      </c>
      <c r="J20" s="69">
        <f>MAX('9'!J7:J18)</f>
        <v>0.6</v>
      </c>
      <c r="K20" s="69">
        <f>MAX('9'!K8:K18)</f>
        <v>7.3</v>
      </c>
      <c r="L20" s="69">
        <f>MAX('9'!L8:L18)</f>
        <v>6.7</v>
      </c>
      <c r="M20" s="69">
        <f>MAX('9'!M8:M18)</f>
        <v>6.7</v>
      </c>
      <c r="N20" s="69">
        <f>MAX('9'!N8:N18)</f>
        <v>6.5</v>
      </c>
      <c r="O20" s="70">
        <f>MAX('9'!O7:O18)</f>
        <v>3.3</v>
      </c>
      <c r="P20" s="70">
        <f>MAX('9'!P7:P18)</f>
        <v>0</v>
      </c>
      <c r="Q20" s="70">
        <f>MAX('9'!Q7:Q18)</f>
        <v>0</v>
      </c>
      <c r="R20" s="70">
        <f>MAX('9'!R7:R18)</f>
        <v>940</v>
      </c>
      <c r="S20" s="70">
        <f>MAX('9'!S7:S18)</f>
        <v>67.380244039149744</v>
      </c>
      <c r="T20" s="946"/>
      <c r="U20" s="946"/>
      <c r="X20" s="13">
        <v>0.625</v>
      </c>
      <c r="Y20" s="173">
        <v>2827</v>
      </c>
      <c r="Z20" s="257">
        <v>940</v>
      </c>
      <c r="AA20" s="15">
        <v>1</v>
      </c>
      <c r="AB20" s="58">
        <f>IF('9'!AA20=1,(('9'!Z20*'9'!$AS$6*'9'!$AT$6)/('9'!Y20*0.0036)),IF('9'!AA20=2,(('9'!Z20*'9'!$AS$7*'9'!$AT$7)/('9'!Y20*0.0036))))</f>
        <v>61.421609086978741</v>
      </c>
      <c r="AC20" s="58"/>
      <c r="AD20" s="18">
        <f>(('9'!AC20*'9'!$Q$10*1000000))/('9'!Y20*3600)</f>
        <v>0</v>
      </c>
      <c r="AE20" s="183"/>
      <c r="AF20" s="184">
        <f>('9'!AE20/24)*0.454</f>
        <v>0</v>
      </c>
      <c r="AG20" s="19"/>
      <c r="AH20" s="184">
        <f>('9'!AG20/24)*0.454</f>
        <v>0</v>
      </c>
      <c r="AI20" s="257">
        <v>4000</v>
      </c>
      <c r="AJ20" s="184">
        <f>('9'!AI20/24)*0.454</f>
        <v>75.666666666666671</v>
      </c>
      <c r="AK20" s="21">
        <v>2500</v>
      </c>
      <c r="AL20" s="185">
        <f>('9'!AK20/24)*0.454</f>
        <v>47.291666666666671</v>
      </c>
      <c r="AM20" s="21">
        <v>2500</v>
      </c>
      <c r="AN20" s="185">
        <f>('9'!AM20/24)*0.454</f>
        <v>47.291666666666671</v>
      </c>
      <c r="AO20" s="23"/>
      <c r="AP20" s="185">
        <f>('9'!AO20/24)*0.454</f>
        <v>0</v>
      </c>
    </row>
    <row r="21" spans="1:42" ht="19.5" customHeight="1">
      <c r="A21" s="10" t="s">
        <v>54</v>
      </c>
      <c r="B21" s="189">
        <f>MIN('9'!B7:B18)</f>
        <v>60</v>
      </c>
      <c r="C21" s="69">
        <f>MIN('9'!C7:C18)</f>
        <v>12.5</v>
      </c>
      <c r="D21" s="69">
        <f>MIN('9'!D7:D18)</f>
        <v>10</v>
      </c>
      <c r="E21" s="69">
        <f>MIN('9'!E7:E18)</f>
        <v>2.5</v>
      </c>
      <c r="F21" s="69">
        <f>MIN('9'!F7:F18)</f>
        <v>8.1999999999999993</v>
      </c>
      <c r="G21" s="192">
        <f>MIN('9'!G7:G18)</f>
        <v>1.4</v>
      </c>
      <c r="H21" s="192">
        <f>MIN('9'!H7:H18)</f>
        <v>1</v>
      </c>
      <c r="I21" s="192">
        <f>MIN('9'!I7:I18)</f>
        <v>0.4</v>
      </c>
      <c r="J21" s="192">
        <f>MIN('9'!J7:J18)</f>
        <v>0.4</v>
      </c>
      <c r="K21" s="192">
        <f>MIN('9'!K8:K18)</f>
        <v>7.3</v>
      </c>
      <c r="L21" s="192">
        <f>MIN('9'!L8:L18)</f>
        <v>6.7</v>
      </c>
      <c r="M21" s="192">
        <f>MIN('9'!M8:M18)</f>
        <v>6.7</v>
      </c>
      <c r="N21" s="192">
        <f>MIN('9'!N8:N18)</f>
        <v>6.4</v>
      </c>
      <c r="O21" s="193">
        <f>MIN('9'!O7:O18)</f>
        <v>2.5</v>
      </c>
      <c r="P21" s="193">
        <f>MIN('9'!P7:P18)</f>
        <v>0</v>
      </c>
      <c r="Q21" s="193">
        <f>MIN('9'!Q7:Q18)</f>
        <v>0</v>
      </c>
      <c r="R21" s="193">
        <f>MIN('9'!R7:R18)</f>
        <v>940</v>
      </c>
      <c r="S21" s="193">
        <f>MIN('9'!S7:S18)</f>
        <v>61.118933083030242</v>
      </c>
      <c r="T21" s="946"/>
      <c r="U21" s="946"/>
      <c r="X21" s="13">
        <v>0.66666666666666696</v>
      </c>
      <c r="Y21" s="173">
        <v>2805</v>
      </c>
      <c r="Z21" s="257">
        <v>940</v>
      </c>
      <c r="AA21" s="15">
        <v>1</v>
      </c>
      <c r="AB21" s="58">
        <f>IF('9'!AA21=1,(('9'!Z21*'9'!$AS$6*'9'!$AT$6)/('9'!Y21*0.0036)),IF('9'!AA21=2,(('9'!Z21*'9'!$AS$7*'9'!$AT$7)/('9'!Y21*0.0036))))</f>
        <v>61.903347197464853</v>
      </c>
      <c r="AC21" s="58"/>
      <c r="AD21" s="18">
        <f>(('9'!AC21*'9'!$Q$10*1000000))/('9'!Y21*3600)</f>
        <v>0</v>
      </c>
      <c r="AE21" s="183"/>
      <c r="AF21" s="184">
        <f>('9'!AE21/24)*0.454</f>
        <v>0</v>
      </c>
      <c r="AG21" s="19"/>
      <c r="AH21" s="184">
        <f>('9'!AG21/24)*0.454</f>
        <v>0</v>
      </c>
      <c r="AI21" s="257">
        <v>4000</v>
      </c>
      <c r="AJ21" s="184">
        <f>('9'!AI21/24)*0.454</f>
        <v>75.666666666666671</v>
      </c>
      <c r="AK21" s="21">
        <v>2500</v>
      </c>
      <c r="AL21" s="185">
        <f>('9'!AK21/24)*0.454</f>
        <v>47.291666666666671</v>
      </c>
      <c r="AM21" s="21">
        <v>2500</v>
      </c>
      <c r="AN21" s="185">
        <f>('9'!AM21/24)*0.454</f>
        <v>47.291666666666671</v>
      </c>
      <c r="AO21" s="23"/>
      <c r="AP21" s="185">
        <f>('9'!AO21/24)*0.454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173">
        <v>2899</v>
      </c>
      <c r="Z22" s="257">
        <v>940</v>
      </c>
      <c r="AA22" s="15">
        <v>1</v>
      </c>
      <c r="AB22" s="58">
        <f>IF('9'!AA22=1,(('9'!Z22*'9'!$AS$6*'9'!$AT$6)/('9'!Y22*0.0036)),IF('9'!AA22=2,(('9'!Z22*'9'!$AS$7*'9'!$AT$7)/('9'!Y22*0.0036))))</f>
        <v>59.896132766087931</v>
      </c>
      <c r="AC22" s="58"/>
      <c r="AD22" s="18">
        <f>(('9'!AC22*'9'!$Q$10*1000000))/('9'!Y22*3600)</f>
        <v>0</v>
      </c>
      <c r="AE22" s="183"/>
      <c r="AF22" s="184">
        <f>('9'!AE22/24)*0.454</f>
        <v>0</v>
      </c>
      <c r="AG22" s="19"/>
      <c r="AH22" s="184">
        <f>('9'!AG22/24)*0.454</f>
        <v>0</v>
      </c>
      <c r="AI22" s="257">
        <v>4000</v>
      </c>
      <c r="AJ22" s="184">
        <f>('9'!AI22/24)*0.454</f>
        <v>75.666666666666671</v>
      </c>
      <c r="AK22" s="21">
        <v>2500</v>
      </c>
      <c r="AL22" s="185">
        <f>('9'!AK22/24)*0.454</f>
        <v>47.291666666666671</v>
      </c>
      <c r="AM22" s="21">
        <v>2500</v>
      </c>
      <c r="AN22" s="185">
        <f>('9'!AM22/24)*0.454</f>
        <v>47.291666666666671</v>
      </c>
      <c r="AO22" s="23"/>
      <c r="AP22" s="185">
        <f>('9'!AO22/24)*0.454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/>
      <c r="S23" s="60" t="s">
        <v>57</v>
      </c>
      <c r="T23" s="946"/>
      <c r="U23" s="946"/>
      <c r="X23" s="13">
        <v>0.75</v>
      </c>
      <c r="Y23" s="173">
        <v>2636</v>
      </c>
      <c r="Z23" s="257">
        <v>940</v>
      </c>
      <c r="AA23" s="15">
        <v>1</v>
      </c>
      <c r="AB23" s="58">
        <f>IF('9'!AA23=1,(('9'!Z23*'9'!$AS$6*'9'!$AT$6)/('9'!Y23*0.0036)),IF('9'!AA23=2,(('9'!Z23*'9'!$AS$7*'9'!$AT$7)/('9'!Y23*0.0036))))</f>
        <v>65.872112628561794</v>
      </c>
      <c r="AC23" s="58"/>
      <c r="AD23" s="18">
        <f>(('9'!AC23*'9'!$Q$10*1000000))/('9'!Y23*3600)</f>
        <v>0</v>
      </c>
      <c r="AE23" s="183"/>
      <c r="AF23" s="184">
        <f>('9'!AE23/24)*0.454</f>
        <v>0</v>
      </c>
      <c r="AG23" s="19"/>
      <c r="AH23" s="184">
        <f>('9'!AG23/24)*0.454</f>
        <v>0</v>
      </c>
      <c r="AI23" s="257">
        <v>5200</v>
      </c>
      <c r="AJ23" s="184">
        <f>('9'!AI23/24)*0.454</f>
        <v>98.36666666666666</v>
      </c>
      <c r="AK23" s="21"/>
      <c r="AL23" s="185">
        <f>('9'!AK23/24)*0.454</f>
        <v>0</v>
      </c>
      <c r="AM23" s="21"/>
      <c r="AN23" s="185">
        <f>('9'!AM23/24)*0.454</f>
        <v>0</v>
      </c>
      <c r="AO23" s="23"/>
      <c r="AP23" s="185">
        <f>('9'!AO23/24)*0.454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173">
        <v>2725</v>
      </c>
      <c r="Z24" s="257">
        <v>940</v>
      </c>
      <c r="AA24" s="15">
        <v>1</v>
      </c>
      <c r="AB24" s="16">
        <f>IF('9'!AA24=1,(('9'!Z24*'9'!$AS$6*'9'!$AT$6)/('9'!Y24*0.0036)),IF('9'!AA24=2,(('9'!Z24*'9'!$AS$7*'9'!$AT$7)/('9'!Y24*0.0036))))</f>
        <v>63.720693170234455</v>
      </c>
      <c r="AC24" s="16"/>
      <c r="AD24" s="194">
        <f>(('9'!AC24*'9'!$Q$10*1000000))/('9'!Y24*3600)</f>
        <v>0</v>
      </c>
      <c r="AE24" s="183"/>
      <c r="AF24" s="195">
        <f>('9'!AE24/24)*0.454</f>
        <v>0</v>
      </c>
      <c r="AG24" s="173"/>
      <c r="AH24" s="195">
        <f>('9'!AG24/24)*0.454</f>
        <v>0</v>
      </c>
      <c r="AI24" s="257">
        <v>5200</v>
      </c>
      <c r="AJ24" s="195">
        <f>('9'!AI24/24)*0.454</f>
        <v>98.36666666666666</v>
      </c>
      <c r="AK24" s="21"/>
      <c r="AL24" s="196">
        <f>('9'!AK24/24)*0.454</f>
        <v>0</v>
      </c>
      <c r="AM24" s="197"/>
      <c r="AN24" s="196">
        <f>('9'!AM24/24)*0.454</f>
        <v>0</v>
      </c>
      <c r="AO24" s="23"/>
      <c r="AP24" s="196">
        <f>('9'!AO24/24)*0.454</f>
        <v>0</v>
      </c>
    </row>
    <row r="25" spans="1:42" ht="19.5" customHeight="1">
      <c r="A25" s="64">
        <v>0.41666666666666702</v>
      </c>
      <c r="B25" s="259"/>
      <c r="C25" s="259"/>
      <c r="D25" s="259"/>
      <c r="E25" s="259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65" t="e">
        <f>#DIV/0!</f>
        <v>#DIV/0!</v>
      </c>
      <c r="S25" s="66"/>
      <c r="T25" s="1065" t="s">
        <v>0</v>
      </c>
      <c r="U25" s="1049">
        <f>ESCALA!$A$11</f>
        <v>43899</v>
      </c>
      <c r="X25" s="13">
        <v>0.83333333333333304</v>
      </c>
      <c r="Y25" s="173">
        <v>2759</v>
      </c>
      <c r="Z25" s="257">
        <v>940</v>
      </c>
      <c r="AA25" s="15">
        <v>1</v>
      </c>
      <c r="AB25" s="58">
        <f>IF('9'!AA25=1,(('9'!Z25*'9'!$AS$6*'9'!$AT$6)/('9'!Y25*0.0036)),IF('9'!AA25=2,(('9'!Z25*'9'!$AS$7*'9'!$AT$7)/('9'!Y25*0.0036))))</f>
        <v>62.935443598727403</v>
      </c>
      <c r="AC25" s="58"/>
      <c r="AD25" s="18">
        <f>(('9'!AC25*'9'!$Q$10*1000000))/('9'!Y25*3600)</f>
        <v>0</v>
      </c>
      <c r="AE25" s="183"/>
      <c r="AF25" s="184">
        <f>('9'!AE25/24)*0.454</f>
        <v>0</v>
      </c>
      <c r="AG25" s="19"/>
      <c r="AH25" s="184">
        <f>('9'!AG25/24)*0.454</f>
        <v>0</v>
      </c>
      <c r="AI25" s="257">
        <v>5200</v>
      </c>
      <c r="AJ25" s="184">
        <f>('9'!AI25/24)*0.454</f>
        <v>98.36666666666666</v>
      </c>
      <c r="AK25" s="21"/>
      <c r="AL25" s="185">
        <f>('9'!AK25/24)*0.454</f>
        <v>0</v>
      </c>
      <c r="AM25" s="21"/>
      <c r="AN25" s="185">
        <f>('9'!AM25/24)*0.454</f>
        <v>0</v>
      </c>
      <c r="AO25" s="23"/>
      <c r="AP25" s="185">
        <f>('9'!AO25/24)*0.454</f>
        <v>0</v>
      </c>
    </row>
    <row r="26" spans="1:42" ht="19.5" customHeight="1">
      <c r="A26" s="64">
        <v>0.66666666666666696</v>
      </c>
      <c r="B26" s="261"/>
      <c r="C26" s="261">
        <v>0.38</v>
      </c>
      <c r="D26" s="261">
        <v>0.45</v>
      </c>
      <c r="E26" s="262">
        <v>0.36</v>
      </c>
      <c r="F26" s="262">
        <v>0.39</v>
      </c>
      <c r="G26" s="262">
        <v>0.41</v>
      </c>
      <c r="H26" s="262">
        <v>0.35</v>
      </c>
      <c r="I26" s="262">
        <v>0.42</v>
      </c>
      <c r="J26" s="262"/>
      <c r="K26" s="262">
        <v>0.39</v>
      </c>
      <c r="L26" s="262">
        <v>0.41</v>
      </c>
      <c r="M26" s="262">
        <v>0.44</v>
      </c>
      <c r="N26" s="262">
        <v>0.38</v>
      </c>
      <c r="O26" s="262">
        <v>0.41</v>
      </c>
      <c r="P26" s="262">
        <v>0.39</v>
      </c>
      <c r="Q26" s="262"/>
      <c r="R26" s="65" t="e">
        <f>#DIV/0!</f>
        <v>#DIV/0!</v>
      </c>
      <c r="S26" s="67"/>
      <c r="T26" s="1065"/>
      <c r="U26" s="1049"/>
      <c r="X26" s="13">
        <v>0.875</v>
      </c>
      <c r="Y26" s="173">
        <v>2727</v>
      </c>
      <c r="Z26" s="257">
        <v>940</v>
      </c>
      <c r="AA26" s="15">
        <v>1</v>
      </c>
      <c r="AB26" s="58">
        <f>IF('9'!AA26=1,(('9'!Z26*'9'!$AS$6*'9'!$AT$6)/('9'!Y26*0.0036)),IF('9'!AA26=2,(('9'!Z26*'9'!$AS$7*'9'!$AT$7)/('9'!Y26*0.0036))))</f>
        <v>63.673959988591456</v>
      </c>
      <c r="AC26" s="58"/>
      <c r="AD26" s="18">
        <f>(('9'!AC26*'9'!$Q$10*1000000))/('9'!Y26*3600)</f>
        <v>0</v>
      </c>
      <c r="AE26" s="183"/>
      <c r="AF26" s="184">
        <f>('9'!AE26/24)*0.454</f>
        <v>0</v>
      </c>
      <c r="AG26" s="19"/>
      <c r="AH26" s="184">
        <f>('9'!AG26/24)*0.454</f>
        <v>0</v>
      </c>
      <c r="AI26" s="257">
        <v>5200</v>
      </c>
      <c r="AJ26" s="184">
        <f>('9'!AI26/24)*0.454</f>
        <v>98.36666666666666</v>
      </c>
      <c r="AK26" s="21"/>
      <c r="AL26" s="185">
        <f>('9'!AK26/24)*0.454</f>
        <v>0</v>
      </c>
      <c r="AM26" s="21"/>
      <c r="AN26" s="185">
        <f>('9'!AM26/24)*0.454</f>
        <v>0</v>
      </c>
      <c r="AO26" s="23"/>
      <c r="AP26" s="185">
        <f>('9'!AO26/24)*0.454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173">
        <v>2693</v>
      </c>
      <c r="Z27" s="257">
        <v>940</v>
      </c>
      <c r="AA27" s="15">
        <v>1</v>
      </c>
      <c r="AB27" s="58">
        <f>IF('9'!AA27=1,(('9'!Z27*'9'!$AS$6*'9'!$AT$6)/('9'!Y27*0.0036)),IF('9'!AA27=2,(('9'!Z27*'9'!$AS$7*'9'!$AT$7)/('9'!Y27*0.0036))))</f>
        <v>64.477864422164473</v>
      </c>
      <c r="AC27" s="58"/>
      <c r="AD27" s="18">
        <f>(('9'!AC27*'9'!$Q$10*1000000))/('9'!Y27*3600)</f>
        <v>0</v>
      </c>
      <c r="AE27" s="183"/>
      <c r="AF27" s="184">
        <f>('9'!AE27/24)*0.454</f>
        <v>0</v>
      </c>
      <c r="AG27" s="19"/>
      <c r="AH27" s="184">
        <f>('9'!AG27/24)*0.454</f>
        <v>0</v>
      </c>
      <c r="AI27" s="257">
        <v>5200</v>
      </c>
      <c r="AJ27" s="184">
        <f>('9'!AI27/24)*0.454</f>
        <v>98.36666666666666</v>
      </c>
      <c r="AK27" s="21"/>
      <c r="AL27" s="185">
        <f>('9'!AK27/24)*0.454</f>
        <v>0</v>
      </c>
      <c r="AM27" s="21"/>
      <c r="AN27" s="185">
        <f>('9'!AM27/24)*0.454</f>
        <v>0</v>
      </c>
      <c r="AO27" s="23"/>
      <c r="AP27" s="185">
        <f>('9'!AO27/24)*0.454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3">
        <v>2655</v>
      </c>
      <c r="Z28" s="257">
        <v>940</v>
      </c>
      <c r="AA28" s="15">
        <v>1</v>
      </c>
      <c r="AB28" s="58">
        <f>IF('9'!AA28=1,(('9'!Z28*'9'!$AS$6*'9'!$AT$6)/('9'!Y28*0.0036)),IF('9'!AA28=2,(('9'!Z28*'9'!$AS$7*'9'!$AT$7)/('9'!Y28*0.0036))))</f>
        <v>65.400711445909195</v>
      </c>
      <c r="AC28" s="58"/>
      <c r="AD28" s="18">
        <f>(('9'!AC28*'9'!$Q$10*1000000))/('9'!Y28*3600)</f>
        <v>0</v>
      </c>
      <c r="AE28" s="183"/>
      <c r="AF28" s="184">
        <f>('9'!AE28/24)*0.454</f>
        <v>0</v>
      </c>
      <c r="AG28" s="19"/>
      <c r="AH28" s="184">
        <f>('9'!AG28/24)*0.454</f>
        <v>0</v>
      </c>
      <c r="AI28" s="257">
        <v>5200</v>
      </c>
      <c r="AJ28" s="184">
        <f>('9'!AI28/24)*0.454</f>
        <v>98.36666666666666</v>
      </c>
      <c r="AK28" s="21"/>
      <c r="AL28" s="185">
        <f>('9'!AK28/24)*0.454</f>
        <v>0</v>
      </c>
      <c r="AM28" s="21"/>
      <c r="AN28" s="185">
        <f>('9'!AM28/24)*0.454</f>
        <v>0</v>
      </c>
      <c r="AO28" s="23"/>
      <c r="AP28" s="185">
        <f>('9'!AO28/24)*0.454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3">
        <v>2635</v>
      </c>
      <c r="Z29" s="257">
        <v>940</v>
      </c>
      <c r="AA29" s="15">
        <v>1</v>
      </c>
      <c r="AB29" s="58">
        <f>IF('9'!AA29=1,(('9'!Z29*'9'!$AS$6*'9'!$AT$6)/('9'!Y29*0.0036)),IF('9'!AA29=2,(('9'!Z29*'9'!$AS$7*'9'!$AT$7)/('9'!Y29*0.0036))))</f>
        <v>65.897111532785161</v>
      </c>
      <c r="AC29" s="58"/>
      <c r="AD29" s="18">
        <f>(('9'!AC29*'9'!$Q$10*1000000))/('9'!Y29*3600)</f>
        <v>0</v>
      </c>
      <c r="AE29" s="183"/>
      <c r="AF29" s="184">
        <f>('9'!AE29/24)*0.454</f>
        <v>0</v>
      </c>
      <c r="AG29" s="19"/>
      <c r="AH29" s="184">
        <f>('9'!AG29/24)*0.454</f>
        <v>0</v>
      </c>
      <c r="AI29" s="257">
        <v>5200</v>
      </c>
      <c r="AJ29" s="184">
        <f>('9'!AI29/24)*0.454</f>
        <v>98.36666666666666</v>
      </c>
      <c r="AK29" s="21"/>
      <c r="AL29" s="185">
        <f>('9'!AK29/24)*0.454</f>
        <v>0</v>
      </c>
      <c r="AM29" s="21"/>
      <c r="AN29" s="185">
        <f>('9'!AM29/24)*0.454</f>
        <v>0</v>
      </c>
      <c r="AO29" s="23"/>
      <c r="AP29" s="185">
        <f>('9'!AO29/24)*0.454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SUM('9'!Y6:Y29)*3.6</f>
        <v>232844.4</v>
      </c>
      <c r="Z30" s="82">
        <f>SUM('9'!Z6:Z29)</f>
        <v>22560</v>
      </c>
      <c r="AA30" s="78"/>
      <c r="AB30" s="79"/>
      <c r="AC30" s="78"/>
      <c r="AD30" s="79"/>
      <c r="AE30" s="34"/>
      <c r="AF30" s="184">
        <f>SUM('9'!AF6:AF29)</f>
        <v>0</v>
      </c>
      <c r="AG30" s="34"/>
      <c r="AH30" s="184">
        <f>SUM('9'!AH6:AH29)</f>
        <v>0</v>
      </c>
      <c r="AI30" s="34"/>
      <c r="AJ30" s="184">
        <f>SUM('9'!AJ6:AJ29)</f>
        <v>2126.2333333333327</v>
      </c>
      <c r="AK30" s="80"/>
      <c r="AL30" s="185">
        <f>SUM('9'!AL6:AL29)</f>
        <v>331.04166666666674</v>
      </c>
      <c r="AM30" s="80"/>
      <c r="AN30" s="185">
        <f>SUM('9'!AN6:AN29)</f>
        <v>331.04166666666674</v>
      </c>
      <c r="AO30" s="80"/>
      <c r="AP30" s="185">
        <f>SUM('9'!AP6:AP29)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SUMIF('9'!AA6:AA29,"=1",'9'!Z6:Z29)</f>
        <v>22560</v>
      </c>
      <c r="AA32" s="82">
        <f>'9'!Z32*'9'!AS6</f>
        <v>30004.800000000003</v>
      </c>
      <c r="AB32" s="83">
        <f>SUMIF('9'!$AA$6:$AA$29,"=1",'9'!$AB$6:$AB$29)/COUNTIF('9'!$AA$6:$AA$29,"=1")</f>
        <v>64.486580637654512</v>
      </c>
      <c r="AC32" s="84">
        <f>SUMIF('9'!AA6:AA29,"=1",'9'!AC6:AC29)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SUMIF('9'!AA6:AA29,"=2",'9'!Z6:Z29)</f>
        <v>0</v>
      </c>
      <c r="AA33" s="82">
        <f>'9'!Z33*'9'!AS7</f>
        <v>0</v>
      </c>
      <c r="AB33" s="83" t="e">
        <f>SUMIF('9'!$AA$6:$AA$29,"=2",'9'!$AB$6:$AB$29)/COUNTIF('9'!$AA$6:$AA$29,"=2")</f>
        <v>#DIV/0!</v>
      </c>
      <c r="AC33" s="89">
        <f>SUMIF('9'!AA6:AA29,"=2",'9'!AC6:AC29)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AVERAGE('9'!Y6:Y29)</f>
        <v>2694.9583333333335</v>
      </c>
      <c r="Z34" s="96">
        <f>AVERAGE('9'!Z6:Z29)</f>
        <v>940</v>
      </c>
      <c r="AA34" s="97"/>
      <c r="AB34" s="97"/>
      <c r="AC34" s="98">
        <f>SUM('9'!AC6:AC29)/COUNTIF('9'!AC6:AC29,"&lt;&gt;0")</f>
        <v>0</v>
      </c>
      <c r="AD34" s="99" t="e">
        <f>SUM('9'!AD6:AD29)/COUNTIF('9'!AD6:AD29,"&lt;&gt;0")</f>
        <v>#DIV/0!</v>
      </c>
      <c r="AE34" s="78"/>
      <c r="AF34" s="98">
        <f>AVERAGE('9'!AF6:AF29)</f>
        <v>0</v>
      </c>
      <c r="AG34" s="98"/>
      <c r="AH34" s="98">
        <f>AVERAGE('9'!AH6:AH29)</f>
        <v>0</v>
      </c>
      <c r="AI34" s="98"/>
      <c r="AJ34" s="98">
        <f>'9'!AJ30/24</f>
        <v>88.593055555555523</v>
      </c>
      <c r="AK34" s="98"/>
      <c r="AL34" s="98">
        <f>AVERAGE('9'!AL6:AL29)</f>
        <v>13.79340277777778</v>
      </c>
      <c r="AM34" s="98"/>
      <c r="AN34" s="98">
        <f>AVERAGE('9'!AN6:AN29)</f>
        <v>13.79340277777778</v>
      </c>
      <c r="AO34" s="98"/>
      <c r="AP34" s="98">
        <f>AVERAGE('9'!AP6:AP29)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66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66"/>
      <c r="X36" s="105" t="s">
        <v>73</v>
      </c>
      <c r="Y36" s="106"/>
      <c r="Z36" s="107"/>
      <c r="AA36" s="108" t="s">
        <v>74</v>
      </c>
      <c r="AB36" s="106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82.7</v>
      </c>
      <c r="D37" s="186">
        <v>53.5</v>
      </c>
      <c r="E37" s="186">
        <v>47.4</v>
      </c>
      <c r="F37" s="186">
        <v>0.8</v>
      </c>
      <c r="G37" s="186">
        <v>0.1</v>
      </c>
      <c r="H37" s="186">
        <v>0.1</v>
      </c>
      <c r="I37" s="183">
        <v>0.1</v>
      </c>
      <c r="J37" s="183">
        <v>0.06</v>
      </c>
      <c r="K37" s="183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109">
        <f>'9'!V12</f>
        <v>0</v>
      </c>
      <c r="X37" s="962" t="s">
        <v>75</v>
      </c>
      <c r="Y37" s="962"/>
      <c r="Z37" s="110">
        <f>COUNTA('9'!Z6:Z29)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SUM('9'!AF30+'9'!AH30)</f>
        <v>0</v>
      </c>
      <c r="AL38" s="210" t="s">
        <v>78</v>
      </c>
      <c r="AM38" s="212">
        <f>SUM('9'!AL30+'9'!AN30)</f>
        <v>662.08333333333348</v>
      </c>
      <c r="AO38" s="210" t="s">
        <v>78</v>
      </c>
      <c r="AP38" s="211">
        <f>'9'!AJ30</f>
        <v>2126.2333333333327</v>
      </c>
      <c r="AQ38" s="210" t="s">
        <v>78</v>
      </c>
      <c r="AR38" s="212">
        <f>'9'!AP30</f>
        <v>0</v>
      </c>
    </row>
    <row r="39" spans="1:44" ht="16.5" customHeight="1">
      <c r="A39" s="1067" t="s">
        <v>79</v>
      </c>
      <c r="B39" s="1067"/>
      <c r="C39" s="1067" t="s">
        <v>80</v>
      </c>
      <c r="D39" s="1067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('9'!AK38/'9'!Y30)*1000</f>
        <v>0</v>
      </c>
      <c r="AL39" s="215" t="s">
        <v>86</v>
      </c>
      <c r="AM39" s="216">
        <f>('9'!AM38/'9'!Y30)*1000</f>
        <v>2.843458263687396</v>
      </c>
      <c r="AO39" s="213" t="s">
        <v>86</v>
      </c>
      <c r="AP39" s="214">
        <f>('9'!AP38/'9'!Y30)*1000</f>
        <v>9.1315631096703758</v>
      </c>
      <c r="AQ39" s="215" t="s">
        <v>86</v>
      </c>
      <c r="AR39" s="216">
        <f>('9'!AR38/'9'!Y30)*1000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SUM('9'!AK38,'9'!AM38)</f>
        <v>662.08333333333348</v>
      </c>
      <c r="AM40" s="975"/>
      <c r="AO40" s="976" t="s">
        <v>90</v>
      </c>
      <c r="AP40" s="976"/>
      <c r="AQ40" s="977">
        <f>SUM('9'!AP38,'9'!AR38)</f>
        <v>2126.2333333333327</v>
      </c>
      <c r="AR40" s="977"/>
    </row>
    <row r="41" spans="1:44" ht="16.5" customHeight="1">
      <c r="A41" s="133">
        <f>COUNTA('9'!E7:E18)</f>
        <v>12</v>
      </c>
      <c r="B41" s="134">
        <f>COUNTA('9'!I7:I18)</f>
        <v>12</v>
      </c>
      <c r="C41" s="978">
        <f>COUNTA('9'!J7:J18)</f>
        <v>12</v>
      </c>
      <c r="D41" s="978">
        <f>COUNTA('9'!K8:K18)</f>
        <v>11</v>
      </c>
      <c r="E41" s="978">
        <f>COUNTIF('9'!E7:E18,"&gt;15")</f>
        <v>0</v>
      </c>
      <c r="F41" s="978"/>
      <c r="G41" s="978">
        <f>COUNTIF('9'!J7:J18,"&gt;1,0")</f>
        <v>0</v>
      </c>
      <c r="H41" s="978"/>
      <c r="I41" s="135"/>
      <c r="J41" s="978">
        <f>'9'!A41-'9'!E41</f>
        <v>12</v>
      </c>
      <c r="K41" s="978"/>
      <c r="L41" s="978">
        <f>'9'!C41-'9'!G41</f>
        <v>12</v>
      </c>
      <c r="M41" s="978"/>
      <c r="N41" s="135"/>
      <c r="O41" s="979">
        <f>COUNTIF('9'!J7:J18,"&lt;=0,5")</f>
        <v>10</v>
      </c>
      <c r="P41" s="979"/>
      <c r="Q41" s="979"/>
      <c r="R41" s="969"/>
      <c r="S41" s="980">
        <f>COUNTIF('9'!J7:J18,"&lt;=1,0")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SUM(('9'!AK38+'9'!AM38)/'9'!Y30)*1000</f>
        <v>2.843458263687396</v>
      </c>
      <c r="AM41" s="981"/>
      <c r="AO41" s="976" t="s">
        <v>91</v>
      </c>
      <c r="AP41" s="976"/>
      <c r="AQ41" s="981">
        <f>SUM(('9'!AP38+'9'!AR38)/'9'!Y30)*1000</f>
        <v>9.1315631096703758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/>
      <c r="Z44" s="144" t="s">
        <v>101</v>
      </c>
      <c r="AA44" s="145"/>
      <c r="AB44" s="144" t="s">
        <v>101</v>
      </c>
      <c r="AC44" s="145"/>
      <c r="AD44" s="988"/>
      <c r="AE44" s="988"/>
      <c r="AF44" s="989" t="s">
        <v>102</v>
      </c>
      <c r="AG44" s="990">
        <f>SUM('9'!Y45,'9'!AA45,'9'!AC45,'9'!AE45)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COUNTIF('9'!I7:I18,"&lt;=5,0")</f>
        <v>12</v>
      </c>
      <c r="I45" s="992"/>
      <c r="J45" s="992"/>
      <c r="K45" s="135"/>
      <c r="L45" s="974">
        <f>COUNTA('9'!L37)</f>
        <v>1</v>
      </c>
      <c r="M45" s="974"/>
      <c r="O45" s="146"/>
      <c r="P45" s="147"/>
      <c r="Q45" s="993">
        <f>'9'!S41-'9'!O41</f>
        <v>2</v>
      </c>
      <c r="R45" s="993"/>
      <c r="S45" s="993"/>
      <c r="T45" s="148"/>
      <c r="X45" s="149" t="s">
        <v>104</v>
      </c>
      <c r="Y45" s="150">
        <f>'9'!Y44*275.3</f>
        <v>0</v>
      </c>
      <c r="Z45" s="149" t="s">
        <v>104</v>
      </c>
      <c r="AA45" s="150">
        <f>262.4*'9'!AA44</f>
        <v>0</v>
      </c>
      <c r="AB45" s="149" t="s">
        <v>104</v>
      </c>
      <c r="AC45" s="150">
        <f>'9'!AC44*277.7</f>
        <v>0</v>
      </c>
      <c r="AD45" s="149" t="s">
        <v>104</v>
      </c>
      <c r="AE45" s="151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.75" customHeight="1">
      <c r="F46" s="152"/>
      <c r="X46" s="153" t="s">
        <v>105</v>
      </c>
      <c r="Y46" s="154">
        <f>'9'!AS6</f>
        <v>1.33</v>
      </c>
      <c r="Z46" s="153" t="s">
        <v>105</v>
      </c>
      <c r="AA46" s="155">
        <f>'9'!Y46</f>
        <v>1.33</v>
      </c>
      <c r="AB46" s="153" t="s">
        <v>105</v>
      </c>
      <c r="AC46" s="155">
        <f>'9'!Y46</f>
        <v>1.33</v>
      </c>
      <c r="AD46" s="153" t="s">
        <v>105</v>
      </c>
      <c r="AE46" s="156">
        <f>'9'!Y46</f>
        <v>1.33</v>
      </c>
      <c r="AF46" s="995" t="s">
        <v>106</v>
      </c>
      <c r="AG46" s="996">
        <f>SUM('9'!Y47,'9'!AA47,'9'!AC47,'9'!AE47)</f>
        <v>0</v>
      </c>
      <c r="AI46" s="144" t="s">
        <v>101</v>
      </c>
      <c r="AJ46" s="263"/>
      <c r="AK46" s="144" t="s">
        <v>101</v>
      </c>
      <c r="AL46" s="145"/>
      <c r="AM46" s="144" t="s">
        <v>101</v>
      </c>
      <c r="AN46" s="145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'9'!Y45*'9'!Y46</f>
        <v>0</v>
      </c>
      <c r="Z47" s="149" t="s">
        <v>108</v>
      </c>
      <c r="AA47" s="150">
        <f>'9'!AA45*'9'!AA46</f>
        <v>0</v>
      </c>
      <c r="AB47" s="149" t="s">
        <v>108</v>
      </c>
      <c r="AC47" s="150">
        <f>'9'!AC45*'9'!AC46</f>
        <v>0</v>
      </c>
      <c r="AD47" s="149" t="s">
        <v>108</v>
      </c>
      <c r="AE47" s="150">
        <f>'9'!AE45*'9'!AE46</f>
        <v>0</v>
      </c>
      <c r="AF47" s="995"/>
      <c r="AG47" s="996"/>
      <c r="AI47" s="149" t="s">
        <v>104</v>
      </c>
      <c r="AJ47" s="264">
        <f>AJ46*275.3</f>
        <v>0</v>
      </c>
      <c r="AK47" s="149" t="s">
        <v>104</v>
      </c>
      <c r="AL47" s="150">
        <f>262.4*'9'!AL46</f>
        <v>0</v>
      </c>
      <c r="AM47" s="149" t="s">
        <v>104</v>
      </c>
      <c r="AN47" s="150">
        <f>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265">
        <f>Y46</f>
        <v>1.33</v>
      </c>
      <c r="AK48" s="144" t="s">
        <v>101</v>
      </c>
      <c r="AL48" s="154">
        <f>'9'!AJ50</f>
        <v>0</v>
      </c>
      <c r="AM48" s="160" t="s">
        <v>105</v>
      </c>
      <c r="AN48" s="154">
        <f>'9'!AJ48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AJ48*AJ47</f>
        <v>0</v>
      </c>
      <c r="AK49" s="149" t="s">
        <v>104</v>
      </c>
      <c r="AL49" s="150">
        <f>'9'!AL47*'9'!AL48</f>
        <v>0</v>
      </c>
      <c r="AM49" s="149" t="s">
        <v>108</v>
      </c>
      <c r="AN49" s="150">
        <f>'9'!AN47*'9'!AN48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  <c r="AJ50" s="154"/>
      <c r="AK50" s="160">
        <v>3</v>
      </c>
    </row>
    <row r="51" spans="15:44" ht="16.5" customHeight="1">
      <c r="O51" s="974">
        <f>COUNTA('9'!O7:O18)</f>
        <v>12</v>
      </c>
      <c r="P51" s="974">
        <f>COUNTA('9'!W17:W28)</f>
        <v>0</v>
      </c>
      <c r="R51" s="992">
        <f>COUNTIF('9'!O7:O18,"&gt;=0,5")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SUM('9'!Y53,'9'!AA53,'9'!AC53,'9'!AE53)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'9'!Y52*275.3</f>
        <v>0</v>
      </c>
      <c r="Z53" s="149" t="s">
        <v>104</v>
      </c>
      <c r="AA53" s="150">
        <f>262.4*'9'!AA52</f>
        <v>0</v>
      </c>
      <c r="AB53" s="149" t="s">
        <v>104</v>
      </c>
      <c r="AC53" s="167">
        <f>'9'!AC52*277.7</f>
        <v>0</v>
      </c>
      <c r="AD53" s="149" t="s">
        <v>104</v>
      </c>
      <c r="AE53" s="230">
        <v>0</v>
      </c>
      <c r="AF53" s="989"/>
      <c r="AG53" s="1002"/>
      <c r="AI53" s="144" t="s">
        <v>101</v>
      </c>
      <c r="AJ53" s="166">
        <v>0</v>
      </c>
      <c r="AK53" s="144" t="s">
        <v>101</v>
      </c>
      <c r="AL53" s="164"/>
      <c r="AM53" s="144" t="s">
        <v>101</v>
      </c>
      <c r="AN53" s="164"/>
      <c r="AO53" s="1036"/>
      <c r="AP53" s="1036"/>
      <c r="AQ53" s="1036"/>
      <c r="AR53" s="1036"/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'9'!AS7</f>
        <v>1.377</v>
      </c>
      <c r="Z54" s="153" t="s">
        <v>105</v>
      </c>
      <c r="AA54" s="155">
        <f>'9'!Y54</f>
        <v>1.377</v>
      </c>
      <c r="AB54" s="153" t="s">
        <v>105</v>
      </c>
      <c r="AC54" s="155">
        <f>'9'!Y54</f>
        <v>1.377</v>
      </c>
      <c r="AD54" s="153" t="s">
        <v>105</v>
      </c>
      <c r="AE54" s="156">
        <f>'9'!Y54</f>
        <v>1.377</v>
      </c>
      <c r="AF54" s="995" t="s">
        <v>106</v>
      </c>
      <c r="AG54" s="996">
        <f>SUM('9'!Y55,'9'!AA55,'9'!AC55,'9'!AE55)</f>
        <v>0</v>
      </c>
      <c r="AI54" s="149" t="s">
        <v>104</v>
      </c>
      <c r="AJ54" s="150">
        <f>AJ53*275.3</f>
        <v>0</v>
      </c>
      <c r="AK54" s="149" t="s">
        <v>104</v>
      </c>
      <c r="AL54" s="150">
        <f>262.4*'9'!AL53</f>
        <v>0</v>
      </c>
      <c r="AM54" s="149" t="s">
        <v>104</v>
      </c>
      <c r="AN54" s="167">
        <f>AN53*277.7</f>
        <v>0</v>
      </c>
      <c r="AO54" s="1036"/>
      <c r="AP54" s="1036"/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'9'!Y53*'9'!Y54</f>
        <v>0</v>
      </c>
      <c r="Z55" s="149" t="s">
        <v>108</v>
      </c>
      <c r="AA55" s="150">
        <f>'9'!AA53*'9'!AA54</f>
        <v>0</v>
      </c>
      <c r="AB55" s="149" t="s">
        <v>108</v>
      </c>
      <c r="AC55" s="150">
        <f>'9'!AC53*'9'!AC54</f>
        <v>0</v>
      </c>
      <c r="AD55" s="149" t="s">
        <v>108</v>
      </c>
      <c r="AE55" s="150">
        <f>'9'!AE53*'9'!AE54</f>
        <v>0</v>
      </c>
      <c r="AF55" s="995"/>
      <c r="AG55" s="996"/>
      <c r="AI55" s="153" t="s">
        <v>105</v>
      </c>
      <c r="AJ55" s="154">
        <f>Y54</f>
        <v>1.377</v>
      </c>
      <c r="AK55" s="153" t="s">
        <v>105</v>
      </c>
      <c r="AL55" s="154">
        <f>'9'!AJ55</f>
        <v>1.377</v>
      </c>
      <c r="AM55" s="153" t="s">
        <v>105</v>
      </c>
      <c r="AN55" s="154">
        <f>AJ55</f>
        <v>1.377</v>
      </c>
      <c r="AO55" s="1036"/>
      <c r="AP55" s="1036"/>
      <c r="AQ55" s="1036"/>
      <c r="AR55" s="1036"/>
    </row>
    <row r="56" spans="15:44" ht="13.9" customHeight="1">
      <c r="O56" s="998"/>
      <c r="P56" s="998"/>
      <c r="R56" s="999"/>
      <c r="S56" s="999"/>
      <c r="T56" s="999"/>
      <c r="AI56" s="149" t="s">
        <v>108</v>
      </c>
      <c r="AJ56" s="150">
        <f>AJ54*AJ55</f>
        <v>0</v>
      </c>
      <c r="AK56" s="149" t="s">
        <v>108</v>
      </c>
      <c r="AL56" s="150">
        <f>'9'!AL54*'9'!AL55</f>
        <v>0</v>
      </c>
      <c r="AM56" s="149" t="s">
        <v>108</v>
      </c>
      <c r="AN56" s="150">
        <f>AN54*AN55</f>
        <v>0</v>
      </c>
      <c r="AO56" s="1036"/>
      <c r="AP56" s="1036"/>
      <c r="AQ56" s="1036"/>
      <c r="AR56" s="1036"/>
    </row>
    <row r="57" spans="15:44" ht="15.75" customHeight="1">
      <c r="O57" s="1003">
        <f>COUNTA('9'!N7:N18)</f>
        <v>12</v>
      </c>
      <c r="P57" s="1003"/>
      <c r="R57" s="1004">
        <f>COUNTIF('9'!N7:N18,"&gt;=6")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6">
        <f>AA33</f>
        <v>0</v>
      </c>
      <c r="AM62" s="1016"/>
      <c r="AN62" s="1010" t="s">
        <v>123</v>
      </c>
      <c r="AO62" s="1010"/>
      <c r="AP62" s="1010"/>
      <c r="AQ62" s="1016">
        <f>AA32</f>
        <v>30004.800000000003</v>
      </c>
      <c r="AR62" s="1016"/>
    </row>
    <row r="63" spans="15:44" ht="15" customHeight="1">
      <c r="X63" s="170" t="s">
        <v>124</v>
      </c>
      <c r="Y63" s="239"/>
      <c r="Z63" s="1013"/>
      <c r="AA63" s="1013"/>
      <c r="AB63" s="172" t="s">
        <v>124</v>
      </c>
      <c r="AC63" s="173"/>
      <c r="AE63" s="49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-30004.800000000003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>
        <f>'8'!$Y$68</f>
        <v>-2111.099999999999</v>
      </c>
      <c r="Z65" s="1013"/>
      <c r="AA65" s="1013"/>
      <c r="AB65" s="176" t="s">
        <v>126</v>
      </c>
      <c r="AC65" s="241">
        <f>'8'!$AC$68</f>
        <v>-283.75000000000006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178">
        <f>SUM('9'!AK38,'9'!AP38)</f>
        <v>2126.2333333333327</v>
      </c>
      <c r="Z67" s="1013"/>
      <c r="AA67" s="1013"/>
      <c r="AB67" s="172" t="s">
        <v>124</v>
      </c>
      <c r="AC67" s="169">
        <f>SUM('9'!AM38,'9'!AR38)</f>
        <v>662.08333333333348</v>
      </c>
    </row>
    <row r="68" spans="24:29" ht="15.75" customHeight="1">
      <c r="X68" s="170" t="s">
        <v>128</v>
      </c>
      <c r="Y68" s="179">
        <f>SUM('9'!Y63,'9'!Y65)-'9'!Y67</f>
        <v>-4237.3333333333321</v>
      </c>
      <c r="Z68" s="1013"/>
      <c r="AA68" s="1013"/>
      <c r="AB68" s="172" t="s">
        <v>128</v>
      </c>
      <c r="AC68" s="180">
        <f>SUM('9'!AC63,'9'!AC65)-'9'!AC67</f>
        <v>-945.83333333333348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priority="2" operator="lessThan">
      <formula>2.5</formula>
    </cfRule>
  </conditionalFormatting>
  <conditionalFormatting sqref="O20">
    <cfRule type="cellIs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B9" sqref="B9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3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3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4">
        <v>2693</v>
      </c>
      <c r="Z6" s="257">
        <v>940</v>
      </c>
      <c r="AA6" s="15">
        <v>1</v>
      </c>
      <c r="AB6" s="58">
        <f>IF('10'!AA6=1,(('10'!Z6*'10'!$AS$6*'10'!$AT$6)/('10'!Y6*0.0036)),IF('10'!AA6=2,(('10'!Z6*'10'!$AS$7*'10'!$AT$7)/('10'!Y6*0.0036))))</f>
        <v>64.477864422164473</v>
      </c>
      <c r="AC6" s="58"/>
      <c r="AD6" s="18">
        <f>(('10'!AC6*'10'!$Q$10*1000000))/('10'!Y6*3600)</f>
        <v>0</v>
      </c>
      <c r="AE6" s="183"/>
      <c r="AF6" s="184">
        <f>('10'!AE6/24)*0.454</f>
        <v>0</v>
      </c>
      <c r="AG6" s="19"/>
      <c r="AH6" s="184">
        <f>('10'!AG6/24)*0.454</f>
        <v>0</v>
      </c>
      <c r="AI6" s="19">
        <v>5200</v>
      </c>
      <c r="AJ6" s="184">
        <f>('10'!AI6/24)*0.454</f>
        <v>98.36666666666666</v>
      </c>
      <c r="AK6" s="21"/>
      <c r="AL6" s="185">
        <f>('10'!AK6/24)*0.454</f>
        <v>0</v>
      </c>
      <c r="AM6" s="21"/>
      <c r="AN6" s="185">
        <f>('10'!AM6/24)*0.454</f>
        <v>0</v>
      </c>
      <c r="AO6" s="21"/>
      <c r="AP6" s="184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6">
        <v>60</v>
      </c>
      <c r="C7" s="186">
        <v>10</v>
      </c>
      <c r="D7" s="186">
        <v>10</v>
      </c>
      <c r="E7" s="186">
        <v>2.5</v>
      </c>
      <c r="F7" s="186">
        <v>8.8000000000000007</v>
      </c>
      <c r="G7" s="186">
        <v>1.4</v>
      </c>
      <c r="H7" s="186">
        <v>1.6</v>
      </c>
      <c r="I7" s="186">
        <v>0.4</v>
      </c>
      <c r="J7" s="186">
        <v>0.4</v>
      </c>
      <c r="K7" s="186">
        <v>7.3</v>
      </c>
      <c r="L7" s="186">
        <v>6.7</v>
      </c>
      <c r="M7" s="186">
        <v>6.7</v>
      </c>
      <c r="N7" s="186">
        <v>6.5</v>
      </c>
      <c r="O7" s="186">
        <v>3.3</v>
      </c>
      <c r="P7" s="186"/>
      <c r="Q7" s="188"/>
      <c r="R7" s="37">
        <f>'9'!$Z$29</f>
        <v>940</v>
      </c>
      <c r="S7" s="187">
        <f>'9'!$AB$29</f>
        <v>65.897111532785161</v>
      </c>
      <c r="T7" s="37">
        <f>'9'!$Y$29</f>
        <v>2635</v>
      </c>
      <c r="U7" s="33" t="str">
        <f>IF('10'!AA6=1,'10'!AR6,'10'!AR7)</f>
        <v>S.A.L</v>
      </c>
      <c r="V7" s="1022">
        <f>ESCALA!$C$11</f>
        <v>0</v>
      </c>
      <c r="W7" s="1022"/>
      <c r="X7" s="13">
        <v>8.3333333333333301E-2</v>
      </c>
      <c r="Y7" s="54">
        <v>2722</v>
      </c>
      <c r="Z7" s="257">
        <v>940</v>
      </c>
      <c r="AA7" s="15">
        <v>1</v>
      </c>
      <c r="AB7" s="58">
        <f>IF('10'!AA7=1,(('10'!Z7*'10'!$AS$6*'10'!$AT$6)/('10'!Y7*0.0036)),IF('10'!AA7=2,(('10'!Z7*'10'!$AS$7*'10'!$AT$7)/('10'!Y7*0.0036))))</f>
        <v>63.790921707894533</v>
      </c>
      <c r="AC7" s="58"/>
      <c r="AD7" s="18">
        <f>(('10'!AC7*'10'!$Q$10*1000000))/('10'!Y7*3600)</f>
        <v>0</v>
      </c>
      <c r="AE7" s="183"/>
      <c r="AF7" s="184">
        <f>('10'!AE7/24)*0.454</f>
        <v>0</v>
      </c>
      <c r="AG7" s="19"/>
      <c r="AH7" s="184">
        <f>('10'!AG7/24)*0.454</f>
        <v>0</v>
      </c>
      <c r="AI7" s="19">
        <v>5200</v>
      </c>
      <c r="AJ7" s="184">
        <f>('10'!AI7/24)*0.454</f>
        <v>98.36666666666666</v>
      </c>
      <c r="AK7" s="21"/>
      <c r="AL7" s="185">
        <f>('10'!AK7/24)*0.454</f>
        <v>0</v>
      </c>
      <c r="AM7" s="21"/>
      <c r="AN7" s="185">
        <f>('10'!AM7/24)*0.454</f>
        <v>0</v>
      </c>
      <c r="AO7" s="21"/>
      <c r="AP7" s="184">
        <f>('10'!AO7/24)*0.454</f>
        <v>0</v>
      </c>
      <c r="AQ7" s="24">
        <v>2</v>
      </c>
      <c r="AR7" s="25" t="s">
        <v>49</v>
      </c>
      <c r="AS7" s="26"/>
      <c r="AT7" s="25"/>
      <c r="AU7" s="34">
        <v>24</v>
      </c>
    </row>
    <row r="8" spans="1:47" ht="18.75" customHeight="1">
      <c r="A8" s="28">
        <v>8.3333333333333301E-2</v>
      </c>
      <c r="B8" s="186">
        <v>60</v>
      </c>
      <c r="C8" s="186">
        <v>10</v>
      </c>
      <c r="D8" s="186">
        <v>10</v>
      </c>
      <c r="E8" s="186">
        <v>2.5</v>
      </c>
      <c r="F8" s="186">
        <v>8.6</v>
      </c>
      <c r="G8" s="186">
        <v>1.4</v>
      </c>
      <c r="H8" s="186">
        <v>1.5</v>
      </c>
      <c r="I8" s="186">
        <v>0.4</v>
      </c>
      <c r="J8" s="186">
        <v>0.4</v>
      </c>
      <c r="K8" s="186">
        <v>7.3</v>
      </c>
      <c r="L8" s="186">
        <v>6.7</v>
      </c>
      <c r="M8" s="186">
        <v>6.7</v>
      </c>
      <c r="N8" s="186">
        <v>6.5</v>
      </c>
      <c r="O8" s="186">
        <v>3.3</v>
      </c>
      <c r="P8" s="186"/>
      <c r="Q8" s="188"/>
      <c r="R8" s="35">
        <f>'10'!Z7</f>
        <v>940</v>
      </c>
      <c r="S8" s="36">
        <f>'10'!AB7</f>
        <v>63.790921707894533</v>
      </c>
      <c r="T8" s="37">
        <f>'10'!Y7</f>
        <v>2722</v>
      </c>
      <c r="U8" s="33" t="str">
        <f>IF('10'!AA7=1,'10'!AR6,'10'!AR7)</f>
        <v>S.A.L</v>
      </c>
      <c r="V8" s="1022"/>
      <c r="W8" s="1022"/>
      <c r="X8" s="13">
        <v>0.125</v>
      </c>
      <c r="Y8" s="54">
        <v>2620</v>
      </c>
      <c r="Z8" s="257">
        <v>940</v>
      </c>
      <c r="AA8" s="15">
        <v>1</v>
      </c>
      <c r="AB8" s="58">
        <f>IF('10'!AA8=1,(('10'!Z8*'10'!$AS$6*'10'!$AT$6)/('10'!Y8*0.0036)),IF('10'!AA8=2,(('10'!Z8*'10'!$AS$7*'10'!$AT$7)/('10'!Y8*0.0036))))</f>
        <v>66.274385072095001</v>
      </c>
      <c r="AC8" s="58"/>
      <c r="AD8" s="18">
        <f>(('10'!AC8*'10'!$Q$10*1000000))/('10'!Y8*3600)</f>
        <v>0</v>
      </c>
      <c r="AE8" s="183"/>
      <c r="AF8" s="184">
        <f>('10'!AE8/24)*0.454</f>
        <v>0</v>
      </c>
      <c r="AG8" s="19"/>
      <c r="AH8" s="184">
        <f>('10'!AG8/24)*0.454</f>
        <v>0</v>
      </c>
      <c r="AI8" s="19">
        <v>5200</v>
      </c>
      <c r="AJ8" s="184">
        <f>('10'!AI8/24)*0.454</f>
        <v>98.36666666666666</v>
      </c>
      <c r="AK8" s="21"/>
      <c r="AL8" s="185">
        <f>('10'!AK8/24)*0.454</f>
        <v>0</v>
      </c>
      <c r="AM8" s="21"/>
      <c r="AN8" s="185">
        <f>('10'!AM8/24)*0.454</f>
        <v>0</v>
      </c>
      <c r="AO8" s="21"/>
      <c r="AP8" s="184">
        <f>('10'!AO8/24)*0.454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60</v>
      </c>
      <c r="C9" s="186">
        <v>10</v>
      </c>
      <c r="D9" s="186">
        <v>10</v>
      </c>
      <c r="E9" s="186">
        <v>2.5</v>
      </c>
      <c r="F9" s="186">
        <v>8.4</v>
      </c>
      <c r="G9" s="186">
        <v>1.4</v>
      </c>
      <c r="H9" s="186">
        <v>1.4</v>
      </c>
      <c r="I9" s="186">
        <v>0.4</v>
      </c>
      <c r="J9" s="186">
        <v>0.4</v>
      </c>
      <c r="K9" s="186">
        <v>7.3</v>
      </c>
      <c r="L9" s="186">
        <v>6.7</v>
      </c>
      <c r="M9" s="186">
        <v>6.7</v>
      </c>
      <c r="N9" s="186">
        <v>6.5</v>
      </c>
      <c r="O9" s="186">
        <v>3.3</v>
      </c>
      <c r="P9" s="186"/>
      <c r="Q9" s="188"/>
      <c r="R9" s="37">
        <f>'10'!Z9</f>
        <v>940</v>
      </c>
      <c r="S9" s="36">
        <f>'10'!AB9</f>
        <v>66.52830991911452</v>
      </c>
      <c r="T9" s="37">
        <f>'10'!Y9</f>
        <v>2610</v>
      </c>
      <c r="U9" s="33" t="str">
        <f>IF('10'!AA9=1,'10'!AR6,'10'!AR7)</f>
        <v>S.A.L</v>
      </c>
      <c r="V9" s="1022"/>
      <c r="W9" s="1022"/>
      <c r="X9" s="13">
        <v>0.16666666666666699</v>
      </c>
      <c r="Y9" s="54">
        <v>2610</v>
      </c>
      <c r="Z9" s="257">
        <v>940</v>
      </c>
      <c r="AA9" s="15">
        <v>1</v>
      </c>
      <c r="AB9" s="58">
        <f>IF('10'!AA9=1,(('10'!Z9*'10'!$AS$6*'10'!$AT$6)/('10'!Y9*0.0036)),IF('10'!AA9=2,(('10'!Z9*'10'!$AS$7*'10'!$AT$7)/('10'!Y9*0.0036))))</f>
        <v>66.52830991911452</v>
      </c>
      <c r="AC9" s="58"/>
      <c r="AD9" s="18">
        <f>(('10'!AC9*'10'!$Q$10*1000000))/('10'!Y9*3600)</f>
        <v>0</v>
      </c>
      <c r="AE9" s="183"/>
      <c r="AF9" s="184">
        <f>('10'!AE9/24)*0.454</f>
        <v>0</v>
      </c>
      <c r="AG9" s="19"/>
      <c r="AH9" s="184">
        <f>('10'!AG9/24)*0.454</f>
        <v>0</v>
      </c>
      <c r="AI9" s="19">
        <v>5200</v>
      </c>
      <c r="AJ9" s="184">
        <f>('10'!AI9/24)*0.454</f>
        <v>98.36666666666666</v>
      </c>
      <c r="AK9" s="21"/>
      <c r="AL9" s="185">
        <f>('10'!AK9/24)*0.454</f>
        <v>0</v>
      </c>
      <c r="AM9" s="21"/>
      <c r="AN9" s="185">
        <f>('10'!AM9/24)*0.454</f>
        <v>0</v>
      </c>
      <c r="AO9" s="21"/>
      <c r="AP9" s="184">
        <f>('10'!AO9/24)*0.454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60</v>
      </c>
      <c r="C10" s="186">
        <v>10</v>
      </c>
      <c r="D10" s="186">
        <v>10</v>
      </c>
      <c r="E10" s="186">
        <v>2.5</v>
      </c>
      <c r="F10" s="186">
        <v>8.3000000000000007</v>
      </c>
      <c r="G10" s="186">
        <v>1.4</v>
      </c>
      <c r="H10" s="186">
        <v>1.4</v>
      </c>
      <c r="I10" s="186">
        <v>0.4</v>
      </c>
      <c r="J10" s="186">
        <v>0.4</v>
      </c>
      <c r="K10" s="186">
        <v>7.3</v>
      </c>
      <c r="L10" s="186">
        <v>6.7</v>
      </c>
      <c r="M10" s="186">
        <v>6.7</v>
      </c>
      <c r="N10" s="186">
        <v>6.5</v>
      </c>
      <c r="O10" s="186">
        <v>3.5</v>
      </c>
      <c r="P10" s="186"/>
      <c r="Q10" s="188"/>
      <c r="R10" s="37">
        <f>'10'!Z11</f>
        <v>940</v>
      </c>
      <c r="S10" s="36">
        <f>'10'!AB11</f>
        <v>65.772306397306409</v>
      </c>
      <c r="T10" s="37">
        <f>'10'!Y11</f>
        <v>2640</v>
      </c>
      <c r="U10" s="33" t="str">
        <f>IF('10'!AA11=1,'10'!AR6,'10'!AR7)</f>
        <v>S.A.L</v>
      </c>
      <c r="V10" s="1022"/>
      <c r="W10" s="1022"/>
      <c r="X10" s="13">
        <v>0.20833333333333301</v>
      </c>
      <c r="Y10" s="54">
        <v>2640</v>
      </c>
      <c r="Z10" s="257">
        <v>940</v>
      </c>
      <c r="AA10" s="15">
        <v>1</v>
      </c>
      <c r="AB10" s="58">
        <f>IF('10'!AA10=1,(('10'!Z10*'10'!$AS$6*'10'!$AT$6)/('10'!Y10*0.0036)),IF('10'!AA10=2,(('10'!Z10*'10'!$AS$7*'10'!$AT$7)/('10'!Y10*0.0036))))</f>
        <v>65.772306397306409</v>
      </c>
      <c r="AC10" s="58"/>
      <c r="AD10" s="18">
        <f>(('10'!AC10*'10'!$Q$10*1000000))/('10'!Y10*3600)</f>
        <v>0</v>
      </c>
      <c r="AE10" s="183"/>
      <c r="AF10" s="184">
        <f>('10'!AE10/24)*0.454</f>
        <v>0</v>
      </c>
      <c r="AG10" s="19"/>
      <c r="AH10" s="184">
        <f>('10'!AG10/24)*0.454</f>
        <v>0</v>
      </c>
      <c r="AI10" s="19">
        <v>5200</v>
      </c>
      <c r="AJ10" s="184">
        <f>('10'!AI10/24)*0.454</f>
        <v>98.36666666666666</v>
      </c>
      <c r="AK10" s="21"/>
      <c r="AL10" s="185">
        <f>('10'!AK10/24)*0.454</f>
        <v>0</v>
      </c>
      <c r="AM10" s="21"/>
      <c r="AN10" s="185">
        <f>('10'!AM10/24)*0.454</f>
        <v>0</v>
      </c>
      <c r="AO10" s="21"/>
      <c r="AP10" s="184">
        <f>('10'!AO10/24)*0.454</f>
        <v>0</v>
      </c>
      <c r="AQ10" s="943" t="s">
        <v>51</v>
      </c>
      <c r="AR10" s="943"/>
      <c r="AS10" s="943"/>
      <c r="AT10" s="41">
        <v>0.2</v>
      </c>
    </row>
    <row r="11" spans="1:47" ht="19.5" customHeight="1">
      <c r="A11" s="28">
        <v>0.33333333333333298</v>
      </c>
      <c r="B11" s="186">
        <v>60</v>
      </c>
      <c r="C11" s="186">
        <v>12.5</v>
      </c>
      <c r="D11" s="186">
        <v>12.5</v>
      </c>
      <c r="E11" s="186">
        <v>2.5</v>
      </c>
      <c r="F11" s="186">
        <v>8.4</v>
      </c>
      <c r="G11" s="186">
        <v>1.5</v>
      </c>
      <c r="H11" s="186">
        <v>1.5</v>
      </c>
      <c r="I11" s="186">
        <v>0.4</v>
      </c>
      <c r="J11" s="186">
        <v>0.4</v>
      </c>
      <c r="K11" s="186">
        <v>7.3</v>
      </c>
      <c r="L11" s="186">
        <v>6.5</v>
      </c>
      <c r="M11" s="186">
        <v>6.7</v>
      </c>
      <c r="N11" s="186">
        <v>6.5</v>
      </c>
      <c r="O11" s="186">
        <v>3.5</v>
      </c>
      <c r="P11" s="186"/>
      <c r="Q11" s="188"/>
      <c r="R11" s="37">
        <f>'10'!Z13</f>
        <v>940</v>
      </c>
      <c r="S11" s="36">
        <f>'10'!AB13</f>
        <v>66.681600955794508</v>
      </c>
      <c r="T11" s="37">
        <f>'10'!Y13</f>
        <v>2604</v>
      </c>
      <c r="U11" s="33" t="str">
        <f>IF('10'!AA13=1,'10'!AR6,'10'!AR7)</f>
        <v>S.A.L</v>
      </c>
      <c r="V11" s="1022"/>
      <c r="W11" s="1022"/>
      <c r="X11" s="13">
        <v>0.25</v>
      </c>
      <c r="Y11" s="54">
        <v>2640</v>
      </c>
      <c r="Z11" s="257">
        <v>940</v>
      </c>
      <c r="AA11" s="15">
        <v>1</v>
      </c>
      <c r="AB11" s="58">
        <f>IF('10'!AA11=1,(('10'!Z11*'10'!$AS$6*'10'!$AT$6)/('10'!Y11*0.0036)),IF('10'!AA11=2,(('10'!Z11*'10'!$AS$7*'10'!$AT$7)/('10'!Y11*0.0036))))</f>
        <v>65.772306397306409</v>
      </c>
      <c r="AC11" s="58"/>
      <c r="AD11" s="18">
        <f>(('10'!AC11*'10'!$Q$10*1000000))/('10'!Y11*3600)</f>
        <v>0</v>
      </c>
      <c r="AE11" s="183"/>
      <c r="AF11" s="184">
        <f>('10'!AE11/24)*0.454</f>
        <v>0</v>
      </c>
      <c r="AG11" s="19"/>
      <c r="AH11" s="184">
        <f>('10'!AG11/24)*0.454</f>
        <v>0</v>
      </c>
      <c r="AI11" s="19">
        <v>5200</v>
      </c>
      <c r="AJ11" s="184">
        <f>('10'!AI11/24)*0.454</f>
        <v>98.36666666666666</v>
      </c>
      <c r="AK11" s="21"/>
      <c r="AL11" s="185">
        <f>('10'!AK11/24)*0.454</f>
        <v>0</v>
      </c>
      <c r="AM11" s="21"/>
      <c r="AN11" s="185">
        <f>('10'!AM11/24)*0.454</f>
        <v>0</v>
      </c>
      <c r="AO11" s="21"/>
      <c r="AP11" s="184">
        <f>('10'!AO11/24)*0.454</f>
        <v>0</v>
      </c>
    </row>
    <row r="12" spans="1:47" ht="18.75" customHeight="1">
      <c r="A12" s="28">
        <v>0.41666666666666702</v>
      </c>
      <c r="B12" s="186">
        <v>60</v>
      </c>
      <c r="C12" s="186">
        <v>12.5</v>
      </c>
      <c r="D12" s="186">
        <v>12.5</v>
      </c>
      <c r="E12" s="186">
        <v>2.5</v>
      </c>
      <c r="F12" s="186">
        <v>8.3000000000000007</v>
      </c>
      <c r="G12" s="186">
        <v>1.5</v>
      </c>
      <c r="H12" s="186">
        <v>1.5</v>
      </c>
      <c r="I12" s="186">
        <v>0.4</v>
      </c>
      <c r="J12" s="186">
        <v>0.4</v>
      </c>
      <c r="K12" s="186">
        <v>7.3</v>
      </c>
      <c r="L12" s="186">
        <v>6.6</v>
      </c>
      <c r="M12" s="186">
        <v>6.7</v>
      </c>
      <c r="N12" s="186">
        <v>6.5</v>
      </c>
      <c r="O12" s="186">
        <v>3.5</v>
      </c>
      <c r="P12" s="186"/>
      <c r="Q12" s="188"/>
      <c r="R12" s="37">
        <f>'10'!Z15</f>
        <v>940</v>
      </c>
      <c r="S12" s="36">
        <f>'10'!AB15</f>
        <v>66.502829907655652</v>
      </c>
      <c r="T12" s="37">
        <f>'10'!Y15</f>
        <v>2611</v>
      </c>
      <c r="U12" s="33" t="str">
        <f>IF('10'!AA15=1,'10'!AR6,'10'!AR7)</f>
        <v>S.A.L</v>
      </c>
      <c r="V12" s="944">
        <f>ESCALA!$B$12</f>
        <v>0</v>
      </c>
      <c r="W12" s="944"/>
      <c r="X12" s="13">
        <v>0.29166666666666702</v>
      </c>
      <c r="Y12" s="54">
        <v>2640</v>
      </c>
      <c r="Z12" s="257">
        <v>940</v>
      </c>
      <c r="AA12" s="15">
        <v>1</v>
      </c>
      <c r="AB12" s="58">
        <f>IF('10'!AA12=1,(('10'!Z12*'10'!$AS$6*'10'!$AT$6)/('10'!Y12*0.0036)),IF('10'!AA12=2,(('10'!Z12*'10'!$AS$7*'10'!$AT$7)/('10'!Y12*0.0036))))</f>
        <v>65.772306397306409</v>
      </c>
      <c r="AC12" s="58"/>
      <c r="AD12" s="18">
        <f>(('10'!AC12*'10'!$Q$10*1000000))/('10'!Y12*3600)</f>
        <v>0</v>
      </c>
      <c r="AE12" s="183"/>
      <c r="AF12" s="184">
        <f>('10'!AE12/24)*0.454</f>
        <v>0</v>
      </c>
      <c r="AG12" s="19"/>
      <c r="AH12" s="184">
        <f>('10'!AG12/24)*0.454</f>
        <v>0</v>
      </c>
      <c r="AI12" s="19">
        <v>5200</v>
      </c>
      <c r="AJ12" s="184">
        <f>('10'!AI12/24)*0.454</f>
        <v>98.36666666666666</v>
      </c>
      <c r="AK12" s="21"/>
      <c r="AL12" s="185">
        <f>('10'!AK12/24)*0.454</f>
        <v>0</v>
      </c>
      <c r="AM12" s="21"/>
      <c r="AN12" s="185">
        <f>('10'!AM12/24)*0.454</f>
        <v>0</v>
      </c>
      <c r="AO12" s="21"/>
      <c r="AP12" s="184">
        <f>('10'!AO12/24)*0.454</f>
        <v>0</v>
      </c>
    </row>
    <row r="13" spans="1:47" ht="18.75" customHeight="1">
      <c r="A13" s="28">
        <v>0.5</v>
      </c>
      <c r="B13" s="186">
        <v>60</v>
      </c>
      <c r="C13" s="186">
        <v>12.5</v>
      </c>
      <c r="D13" s="186">
        <v>12.5</v>
      </c>
      <c r="E13" s="186">
        <v>2.5</v>
      </c>
      <c r="F13" s="186">
        <v>9</v>
      </c>
      <c r="G13" s="186">
        <v>2</v>
      </c>
      <c r="H13" s="186">
        <v>1.4</v>
      </c>
      <c r="I13" s="186">
        <v>0.4</v>
      </c>
      <c r="J13" s="186">
        <v>0.4</v>
      </c>
      <c r="K13" s="186">
        <v>7.3</v>
      </c>
      <c r="L13" s="186">
        <v>6.6</v>
      </c>
      <c r="M13" s="186">
        <v>6.7</v>
      </c>
      <c r="N13" s="186">
        <v>6.5</v>
      </c>
      <c r="O13" s="186">
        <v>3.5</v>
      </c>
      <c r="P13" s="186"/>
      <c r="Q13" s="188"/>
      <c r="R13" s="37">
        <f>'10'!Z17</f>
        <v>940</v>
      </c>
      <c r="S13" s="36">
        <f>'10'!AB17</f>
        <v>67.067936998412094</v>
      </c>
      <c r="T13" s="37">
        <f>'10'!Y17</f>
        <v>2589</v>
      </c>
      <c r="U13" s="33" t="str">
        <f>IF('10'!AA17=1,'10'!AR6,'10'!AR7)</f>
        <v>S.A.L</v>
      </c>
      <c r="V13" s="944"/>
      <c r="W13" s="944"/>
      <c r="X13" s="13">
        <v>0.33333333333333298</v>
      </c>
      <c r="Y13" s="54">
        <v>2604</v>
      </c>
      <c r="Z13" s="257">
        <v>940</v>
      </c>
      <c r="AA13" s="15">
        <v>1</v>
      </c>
      <c r="AB13" s="58">
        <f>IF('10'!AA13=1,(('10'!Z13*'10'!$AS$6*'10'!$AT$6)/('10'!Y13*0.0036)),IF('10'!AA13=2,(('10'!Z13*'10'!$AS$7*'10'!$AT$7)/('10'!Y13*0.0036))))</f>
        <v>66.681600955794508</v>
      </c>
      <c r="AC13" s="58"/>
      <c r="AD13" s="18">
        <f>(('10'!AC13*'10'!$Q$10*1000000))/('10'!Y13*3600)</f>
        <v>0</v>
      </c>
      <c r="AE13" s="183"/>
      <c r="AF13" s="184">
        <f>('10'!AE13/24)*0.454</f>
        <v>0</v>
      </c>
      <c r="AG13" s="19"/>
      <c r="AH13" s="184">
        <f>('10'!AG13/24)*0.454</f>
        <v>0</v>
      </c>
      <c r="AI13" s="19">
        <v>5200</v>
      </c>
      <c r="AJ13" s="184">
        <f>('10'!AI13/24)*0.454</f>
        <v>98.36666666666666</v>
      </c>
      <c r="AK13" s="21"/>
      <c r="AL13" s="185">
        <f>('10'!AK13/24)*0.454</f>
        <v>0</v>
      </c>
      <c r="AM13" s="21"/>
      <c r="AN13" s="185">
        <f>('10'!AM13/24)*0.454</f>
        <v>0</v>
      </c>
      <c r="AO13" s="21"/>
      <c r="AP13" s="184">
        <f>('10'!AO13/24)*0.454</f>
        <v>0</v>
      </c>
    </row>
    <row r="14" spans="1:47" ht="18.75" customHeight="1">
      <c r="A14" s="28">
        <v>0.58333333333333304</v>
      </c>
      <c r="B14" s="186">
        <v>60</v>
      </c>
      <c r="C14" s="186">
        <v>12.5</v>
      </c>
      <c r="D14" s="186">
        <v>12.5</v>
      </c>
      <c r="E14" s="186">
        <v>2.5</v>
      </c>
      <c r="F14" s="186">
        <v>8.3000000000000007</v>
      </c>
      <c r="G14" s="186">
        <v>1.7</v>
      </c>
      <c r="H14" s="186">
        <v>1.7</v>
      </c>
      <c r="I14" s="186">
        <v>0.4</v>
      </c>
      <c r="J14" s="186">
        <v>0.5</v>
      </c>
      <c r="K14" s="186">
        <v>7.3</v>
      </c>
      <c r="L14" s="186">
        <v>6.6</v>
      </c>
      <c r="M14" s="186">
        <v>6.7</v>
      </c>
      <c r="N14" s="186">
        <v>6.5</v>
      </c>
      <c r="O14" s="186">
        <v>3.7</v>
      </c>
      <c r="P14" s="186"/>
      <c r="Q14" s="188"/>
      <c r="R14" s="37">
        <f>'10'!Z18</f>
        <v>940</v>
      </c>
      <c r="S14" s="36">
        <f>'10'!AB19</f>
        <v>60.165935165935167</v>
      </c>
      <c r="T14" s="37">
        <f>'10'!Y19</f>
        <v>2886</v>
      </c>
      <c r="U14" s="33" t="str">
        <f>IF('10'!AA19=1,'10'!AR6,'10'!AR7)</f>
        <v>S.A.L</v>
      </c>
      <c r="V14" s="944"/>
      <c r="W14" s="944"/>
      <c r="X14" s="13">
        <v>0.375</v>
      </c>
      <c r="Y14" s="54">
        <v>2685</v>
      </c>
      <c r="Z14" s="257">
        <v>940</v>
      </c>
      <c r="AA14" s="15">
        <v>1</v>
      </c>
      <c r="AB14" s="58">
        <f>IF('10'!AA14=1,(('10'!Z14*'10'!$AS$6*'10'!$AT$6)/('10'!Y14*0.0036)),IF('10'!AA14=2,(('10'!Z14*'10'!$AS$7*'10'!$AT$7)/('10'!Y14*0.0036))))</f>
        <v>64.66997723980964</v>
      </c>
      <c r="AC14" s="58"/>
      <c r="AD14" s="18">
        <f>(('10'!AC14*'10'!$Q$10*1000000))/('10'!Y14*3600)</f>
        <v>0</v>
      </c>
      <c r="AE14" s="183"/>
      <c r="AF14" s="184">
        <f>('10'!AE14/24)*0.454</f>
        <v>0</v>
      </c>
      <c r="AG14" s="19"/>
      <c r="AH14" s="184">
        <f>('10'!AG14/24)*0.454</f>
        <v>0</v>
      </c>
      <c r="AI14" s="19">
        <v>5200</v>
      </c>
      <c r="AJ14" s="184">
        <f>('10'!AI14/24)*0.454</f>
        <v>98.36666666666666</v>
      </c>
      <c r="AK14" s="21"/>
      <c r="AL14" s="185">
        <f>('10'!AK14/24)*0.454</f>
        <v>0</v>
      </c>
      <c r="AM14" s="21"/>
      <c r="AN14" s="185">
        <f>('10'!AM14/24)*0.454</f>
        <v>0</v>
      </c>
      <c r="AO14" s="21"/>
      <c r="AP14" s="184">
        <f>('10'!AO14/24)*0.454</f>
        <v>0</v>
      </c>
    </row>
    <row r="15" spans="1:47" ht="18.75" customHeight="1">
      <c r="A15" s="28">
        <v>0.66666666666666696</v>
      </c>
      <c r="B15" s="186">
        <v>60</v>
      </c>
      <c r="C15" s="186">
        <v>12.5</v>
      </c>
      <c r="D15" s="186">
        <v>12.5</v>
      </c>
      <c r="E15" s="186">
        <v>2.5</v>
      </c>
      <c r="F15" s="186">
        <v>8.4</v>
      </c>
      <c r="G15" s="186">
        <v>1.5</v>
      </c>
      <c r="H15" s="186">
        <v>1.4</v>
      </c>
      <c r="I15" s="186">
        <v>0.4</v>
      </c>
      <c r="J15" s="186">
        <v>0.5</v>
      </c>
      <c r="K15" s="186">
        <v>7.3</v>
      </c>
      <c r="L15" s="186">
        <v>6.6</v>
      </c>
      <c r="M15" s="186">
        <v>6.7</v>
      </c>
      <c r="N15" s="186">
        <v>6.5</v>
      </c>
      <c r="O15" s="186">
        <v>3.7</v>
      </c>
      <c r="P15" s="186"/>
      <c r="Q15" s="188"/>
      <c r="R15" s="37">
        <f>'10'!Z19</f>
        <v>940</v>
      </c>
      <c r="S15" s="36">
        <f>'10'!AB21</f>
        <v>62.25847575793793</v>
      </c>
      <c r="T15" s="37">
        <f>'10'!Y21</f>
        <v>2789</v>
      </c>
      <c r="U15" s="33" t="str">
        <f>IF('10'!AA21=1,'10'!AR6,'10'!AR7)</f>
        <v>S.A.L</v>
      </c>
      <c r="V15" s="944"/>
      <c r="W15" s="944"/>
      <c r="X15" s="13">
        <v>0.41666666666666702</v>
      </c>
      <c r="Y15" s="54">
        <v>2611</v>
      </c>
      <c r="Z15" s="257">
        <v>940</v>
      </c>
      <c r="AA15" s="15">
        <v>1</v>
      </c>
      <c r="AB15" s="58">
        <f>IF('10'!AA15=1,(('10'!Z15*'10'!$AS$6*'10'!$AT$6)/('10'!Y15*0.0036)),IF('10'!AA15=2,(('10'!Z15*'10'!$AS$7*'10'!$AT$7)/('10'!Y15*0.0036))))</f>
        <v>66.502829907655652</v>
      </c>
      <c r="AC15" s="58"/>
      <c r="AD15" s="18">
        <f>(('10'!AC15*'10'!$Q$10*1000000))/('10'!Y15*3600)</f>
        <v>0</v>
      </c>
      <c r="AE15" s="183"/>
      <c r="AF15" s="184">
        <f>('10'!AE15/24)*0.454</f>
        <v>0</v>
      </c>
      <c r="AG15" s="19"/>
      <c r="AH15" s="184">
        <f>('10'!AG15/24)*0.454</f>
        <v>0</v>
      </c>
      <c r="AI15" s="19">
        <v>5200</v>
      </c>
      <c r="AJ15" s="184">
        <f>('10'!AI15/24)*0.454</f>
        <v>98.36666666666666</v>
      </c>
      <c r="AK15" s="21"/>
      <c r="AL15" s="185">
        <f>('10'!AK15/24)*0.454</f>
        <v>0</v>
      </c>
      <c r="AM15" s="21"/>
      <c r="AN15" s="185">
        <f>('10'!AM15/24)*0.454</f>
        <v>0</v>
      </c>
      <c r="AO15" s="21"/>
      <c r="AP15" s="184">
        <f>('10'!AO15/24)*0.454</f>
        <v>0</v>
      </c>
    </row>
    <row r="16" spans="1:47" ht="18.75" customHeight="1">
      <c r="A16" s="28">
        <v>0.75</v>
      </c>
      <c r="B16" s="186">
        <v>60</v>
      </c>
      <c r="C16" s="186">
        <v>12.5</v>
      </c>
      <c r="D16" s="186">
        <v>12.5</v>
      </c>
      <c r="E16" s="186">
        <v>2.5</v>
      </c>
      <c r="F16" s="186">
        <v>7.4</v>
      </c>
      <c r="G16" s="186">
        <v>1.4</v>
      </c>
      <c r="H16" s="186">
        <v>1.3</v>
      </c>
      <c r="I16" s="186">
        <v>0.4</v>
      </c>
      <c r="J16" s="186">
        <v>0.5</v>
      </c>
      <c r="K16" s="186">
        <v>7.3</v>
      </c>
      <c r="L16" s="186">
        <v>6.6</v>
      </c>
      <c r="M16" s="186">
        <v>6.7</v>
      </c>
      <c r="N16" s="186">
        <v>6.5</v>
      </c>
      <c r="O16" s="186">
        <v>3.7</v>
      </c>
      <c r="P16" s="186"/>
      <c r="Q16" s="188"/>
      <c r="R16" s="37">
        <f>'10'!Z20</f>
        <v>940</v>
      </c>
      <c r="S16" s="36">
        <f>'10'!AB23</f>
        <v>67.880722786899483</v>
      </c>
      <c r="T16" s="37">
        <f>'10'!Y23</f>
        <v>2558</v>
      </c>
      <c r="U16" s="33" t="str">
        <f>IF('10'!AA23=1,'10'!AR6,'10'!AR7)</f>
        <v>S.A.L</v>
      </c>
      <c r="V16" s="944"/>
      <c r="W16" s="944"/>
      <c r="X16" s="13">
        <v>0.45833333333333298</v>
      </c>
      <c r="Y16" s="54">
        <v>2558</v>
      </c>
      <c r="Z16" s="257">
        <v>940</v>
      </c>
      <c r="AA16" s="15">
        <v>1</v>
      </c>
      <c r="AB16" s="58">
        <f>IF('10'!AA16=1,(('10'!Z16*'10'!$AS$6*'10'!$AT$6)/('10'!Y16*0.0036)),IF('10'!AA16=2,(('10'!Z16*'10'!$AS$7*'10'!$AT$7)/('10'!Y16*0.0036))))</f>
        <v>67.880722786899483</v>
      </c>
      <c r="AC16" s="58"/>
      <c r="AD16" s="18">
        <f>(('10'!AC16*'10'!$Q$10*1000000))/('10'!Y16*3600)</f>
        <v>0</v>
      </c>
      <c r="AE16" s="183"/>
      <c r="AF16" s="184">
        <f>('10'!AE16/24)*0.454</f>
        <v>0</v>
      </c>
      <c r="AG16" s="19"/>
      <c r="AH16" s="184">
        <f>('10'!AG16/24)*0.454</f>
        <v>0</v>
      </c>
      <c r="AI16" s="19">
        <v>5200</v>
      </c>
      <c r="AJ16" s="184">
        <f>('10'!AI16/24)*0.454</f>
        <v>98.36666666666666</v>
      </c>
      <c r="AK16" s="21"/>
      <c r="AL16" s="185">
        <f>('10'!AK16/24)*0.454</f>
        <v>0</v>
      </c>
      <c r="AM16" s="21"/>
      <c r="AN16" s="185">
        <f>('10'!AM16/24)*0.454</f>
        <v>0</v>
      </c>
      <c r="AO16" s="21"/>
      <c r="AP16" s="184">
        <f>('10'!AO16/24)*0.454</f>
        <v>0</v>
      </c>
    </row>
    <row r="17" spans="1:42" ht="18.75" customHeight="1">
      <c r="A17" s="28">
        <v>0.83333333333333304</v>
      </c>
      <c r="B17" s="186">
        <v>60</v>
      </c>
      <c r="C17" s="186">
        <v>12.5</v>
      </c>
      <c r="D17" s="186">
        <v>10</v>
      </c>
      <c r="E17" s="186">
        <v>2.5</v>
      </c>
      <c r="F17" s="186">
        <v>7.8</v>
      </c>
      <c r="G17" s="186">
        <v>1.4</v>
      </c>
      <c r="H17" s="186">
        <v>1.3</v>
      </c>
      <c r="I17" s="186">
        <v>0.4</v>
      </c>
      <c r="J17" s="186">
        <v>0.5</v>
      </c>
      <c r="K17" s="186">
        <v>7.3</v>
      </c>
      <c r="L17" s="186">
        <v>6.7</v>
      </c>
      <c r="M17" s="186">
        <v>6.7</v>
      </c>
      <c r="N17" s="186">
        <v>6.5</v>
      </c>
      <c r="O17" s="186">
        <v>3.5</v>
      </c>
      <c r="P17" s="186"/>
      <c r="Q17" s="188"/>
      <c r="R17" s="37">
        <f>'10'!Z21</f>
        <v>940</v>
      </c>
      <c r="S17" s="36">
        <f>'10'!AB25</f>
        <v>64.120712292795019</v>
      </c>
      <c r="T17" s="37">
        <f>'10'!Y24</f>
        <v>2675</v>
      </c>
      <c r="U17" s="33" t="str">
        <f>IF('10'!AA25=1,'10'!AR6,'10'!AR7)</f>
        <v>S.A.L</v>
      </c>
      <c r="V17" s="945">
        <f>ESCALA!$C$12</f>
        <v>0</v>
      </c>
      <c r="W17" s="945"/>
      <c r="X17" s="13">
        <v>0.5</v>
      </c>
      <c r="Y17" s="54">
        <v>2589</v>
      </c>
      <c r="Z17" s="257">
        <v>940</v>
      </c>
      <c r="AA17" s="15">
        <v>1</v>
      </c>
      <c r="AB17" s="58">
        <f>IF('10'!AA17=1,(('10'!Z17*'10'!$AS$6*'10'!$AT$6)/('10'!Y17*0.0036)),IF('10'!AA17=2,(('10'!Z17*'10'!$AS$7*'10'!$AT$7)/('10'!Y17*0.0036))))</f>
        <v>67.067936998412094</v>
      </c>
      <c r="AC17" s="58"/>
      <c r="AD17" s="18">
        <f>(('10'!AC17*'10'!$Q$10*1000000))/('10'!Y17*3600)</f>
        <v>0</v>
      </c>
      <c r="AE17" s="183"/>
      <c r="AF17" s="184">
        <f>('10'!AE17/24)*0.454</f>
        <v>0</v>
      </c>
      <c r="AG17" s="19"/>
      <c r="AH17" s="184">
        <f>('10'!AG17/24)*0.454</f>
        <v>0</v>
      </c>
      <c r="AI17" s="19">
        <v>5200</v>
      </c>
      <c r="AJ17" s="184">
        <f>('10'!AI17/24)*0.454</f>
        <v>98.36666666666666</v>
      </c>
      <c r="AK17" s="21"/>
      <c r="AL17" s="185">
        <f>('10'!AK17/24)*0.454</f>
        <v>0</v>
      </c>
      <c r="AM17" s="21"/>
      <c r="AN17" s="185">
        <f>('10'!AM17/24)*0.454</f>
        <v>0</v>
      </c>
      <c r="AO17" s="21"/>
      <c r="AP17" s="184">
        <f>('10'!AO17/24)*0.454</f>
        <v>0</v>
      </c>
    </row>
    <row r="18" spans="1:42" ht="19.5" customHeight="1">
      <c r="A18" s="28">
        <v>0.91666666666666696</v>
      </c>
      <c r="B18" s="186">
        <v>60</v>
      </c>
      <c r="C18" s="186">
        <v>12.5</v>
      </c>
      <c r="D18" s="186">
        <v>10</v>
      </c>
      <c r="E18" s="186">
        <v>2.5</v>
      </c>
      <c r="F18" s="186">
        <v>8</v>
      </c>
      <c r="G18" s="186">
        <v>1.4</v>
      </c>
      <c r="H18" s="186">
        <v>1.4</v>
      </c>
      <c r="I18" s="186">
        <v>0.4</v>
      </c>
      <c r="J18" s="186">
        <v>0.4</v>
      </c>
      <c r="K18" s="186">
        <v>7.3</v>
      </c>
      <c r="L18" s="186">
        <v>6.7</v>
      </c>
      <c r="M18" s="186">
        <v>6.7</v>
      </c>
      <c r="N18" s="186">
        <v>6.5</v>
      </c>
      <c r="O18" s="186">
        <v>3.5</v>
      </c>
      <c r="P18" s="186"/>
      <c r="Q18" s="188"/>
      <c r="R18" s="37">
        <f>'10'!Z27</f>
        <v>940</v>
      </c>
      <c r="S18" s="36">
        <f>'10'!AB27</f>
        <v>65.72251661199428</v>
      </c>
      <c r="T18" s="37">
        <f>'10'!Y27</f>
        <v>2642</v>
      </c>
      <c r="U18" s="33" t="str">
        <f>IF('10'!AA27=1,'10'!AR6,'10'!AR7)</f>
        <v>S.A.L</v>
      </c>
      <c r="V18" s="945"/>
      <c r="W18" s="945"/>
      <c r="X18" s="13">
        <v>0.54166666666666696</v>
      </c>
      <c r="Y18" s="54">
        <v>2648</v>
      </c>
      <c r="Z18" s="257">
        <v>940</v>
      </c>
      <c r="AA18" s="15">
        <v>1</v>
      </c>
      <c r="AB18" s="58">
        <f>IF('10'!AA18=1,(('10'!Z18*'10'!$AS$6*'10'!$AT$6)/('10'!Y18*0.0036)),IF('10'!AA18=2,(('10'!Z18*'10'!$AS$7*'10'!$AT$7)/('10'!Y18*0.0036))))</f>
        <v>65.573598522994303</v>
      </c>
      <c r="AC18" s="58"/>
      <c r="AD18" s="18">
        <f>(('10'!AC18*'10'!$Q$10*1000000))/('10'!Y18*3600)</f>
        <v>0</v>
      </c>
      <c r="AE18" s="183"/>
      <c r="AF18" s="184">
        <f>('10'!AE18/24)*0.454</f>
        <v>0</v>
      </c>
      <c r="AG18" s="19"/>
      <c r="AH18" s="184">
        <f>('10'!AG18/24)*0.454</f>
        <v>0</v>
      </c>
      <c r="AI18" s="19">
        <v>5200</v>
      </c>
      <c r="AJ18" s="184">
        <f>('10'!AI18/24)*0.454</f>
        <v>98.36666666666666</v>
      </c>
      <c r="AK18" s="21"/>
      <c r="AL18" s="185">
        <f>('10'!AK18/24)*0.454</f>
        <v>0</v>
      </c>
      <c r="AM18" s="21"/>
      <c r="AN18" s="185">
        <f>('10'!AM18/24)*0.454</f>
        <v>0</v>
      </c>
      <c r="AO18" s="21"/>
      <c r="AP18" s="184">
        <f>('10'!AO18/24)*0.454</f>
        <v>0</v>
      </c>
    </row>
    <row r="19" spans="1:42" ht="18.75" customHeight="1">
      <c r="A19" s="10" t="s">
        <v>52</v>
      </c>
      <c r="B19" s="69">
        <f t="array" ref="B19">IF('10'!B7:B18&gt;0.01,AVERAGE('10'!B7:B18),"")</f>
        <v>60</v>
      </c>
      <c r="C19" s="69">
        <f t="array" ref="C19">IF('10'!C7:C18&gt;0.01,AVERAGE('10'!C7:C18),"")</f>
        <v>11.666666666666666</v>
      </c>
      <c r="D19" s="69">
        <f t="array" ref="D19">IF('10'!D7:D18&gt;0.01,AVERAGE('10'!D7:D18),"")</f>
        <v>11.25</v>
      </c>
      <c r="E19" s="69">
        <f t="array" ref="E19">IF('10'!E7:E18&gt;0.01,AVERAGE('10'!E7:E18),"")</f>
        <v>2.5</v>
      </c>
      <c r="F19" s="69">
        <f t="array" ref="F19">IF('10'!F7:F18&gt;0.01,AVERAGE('10'!F7:F18),"")</f>
        <v>8.3083333333333336</v>
      </c>
      <c r="G19" s="69">
        <f t="array" ref="G19">IF('10'!G7:G18&gt;0.01,AVERAGE('10'!G7:G18),"")</f>
        <v>1.4999999999999998</v>
      </c>
      <c r="H19" s="69">
        <f t="array" ref="H19">IF('10'!H7:H18&gt;0.01,AVERAGE('10'!H7:H18),"")</f>
        <v>1.45</v>
      </c>
      <c r="I19" s="69">
        <f t="array" ref="I19">IF('10'!I7:I18&gt;0.01,AVERAGE('10'!I7:I18),"")</f>
        <v>0.39999999999999997</v>
      </c>
      <c r="J19" s="69">
        <f t="array" ref="J19">IF('10'!J7:J18&gt;0.01,AVERAGE('10'!J7:J18),"")</f>
        <v>0.43333333333333335</v>
      </c>
      <c r="K19" s="69">
        <f t="array" ref="K19">IF('10'!K7:K18&gt;0.01,AVERAGE('10'!K7:K18),"")</f>
        <v>7.299999999999998</v>
      </c>
      <c r="L19" s="69">
        <f t="array" ref="L19">IF('10'!L7:L18&gt;0.01,AVERAGE('10'!L7:L18),"")</f>
        <v>6.6416666666666666</v>
      </c>
      <c r="M19" s="69">
        <f t="array" ref="M19">IF('10'!M7:M18&gt;0.01,AVERAGE('10'!M7:M18),"")</f>
        <v>6.700000000000002</v>
      </c>
      <c r="N19" s="69">
        <f t="array" ref="N19">IF('10'!N7:N18&gt;0.01,AVERAGE('10'!N7:N18),"")</f>
        <v>6.5</v>
      </c>
      <c r="O19" s="69">
        <f t="array" ref="O19">IF('10'!O7:O18&gt;0.01,AVERAGE('10'!O7:O18),"")</f>
        <v>3.5</v>
      </c>
      <c r="P19" s="69" t="str">
        <f t="array" ref="P19">IF('10'!P7:P18&gt;0.01,AVERAGE('10'!P7:P18),"")</f>
        <v/>
      </c>
      <c r="Q19" s="69" t="str">
        <f t="array" ref="Q19">IF('10'!Q7:Q18&gt;0.01,AVERAGE('10'!Q7:Q18),"")</f>
        <v/>
      </c>
      <c r="R19" s="69">
        <f t="array" ref="R19">IF('10'!R7:R18&gt;0.01,AVERAGE('10'!R7:R18),"")</f>
        <v>940</v>
      </c>
      <c r="S19" s="69">
        <f t="array" ref="S19">IF('10'!S7:S18&gt;0.01,AVERAGE('10'!S7:S18),"")</f>
        <v>65.199115002877065</v>
      </c>
      <c r="T19" s="946"/>
      <c r="U19" s="946"/>
      <c r="V19" s="49"/>
      <c r="W19" s="50"/>
      <c r="X19" s="13">
        <v>0.58333333333333304</v>
      </c>
      <c r="Y19" s="54">
        <v>2886</v>
      </c>
      <c r="Z19" s="257">
        <v>940</v>
      </c>
      <c r="AA19" s="15">
        <v>1</v>
      </c>
      <c r="AB19" s="58">
        <f>IF('10'!AA19=1,(('10'!Z19*'10'!$AS$6*'10'!$AT$6)/('10'!Y19*0.0036)),IF('10'!AA19=2,(('10'!Z19*'10'!$AS$7*'10'!$AT$7)/('10'!Y19*0.0036))))</f>
        <v>60.165935165935167</v>
      </c>
      <c r="AC19" s="58"/>
      <c r="AD19" s="18">
        <f>(('10'!AC19*'10'!$Q$10*1000000))/('10'!Y19*3600)</f>
        <v>0</v>
      </c>
      <c r="AE19" s="183"/>
      <c r="AF19" s="184">
        <f>('10'!AE19/24)*0.454</f>
        <v>0</v>
      </c>
      <c r="AG19" s="19"/>
      <c r="AH19" s="184">
        <f>('10'!AG19/24)*0.454</f>
        <v>0</v>
      </c>
      <c r="AI19" s="19">
        <v>5200</v>
      </c>
      <c r="AJ19" s="184">
        <f>('10'!AI19/24)*0.454</f>
        <v>98.36666666666666</v>
      </c>
      <c r="AK19" s="21"/>
      <c r="AL19" s="185">
        <f>('10'!AK19/24)*0.454</f>
        <v>0</v>
      </c>
      <c r="AM19" s="21"/>
      <c r="AN19" s="185">
        <f>('10'!AM19/24)*0.454</f>
        <v>0</v>
      </c>
      <c r="AO19" s="21"/>
      <c r="AP19" s="184">
        <f>('10'!AO19/24)*0.454</f>
        <v>0</v>
      </c>
    </row>
    <row r="20" spans="1:42" ht="18.75" customHeight="1">
      <c r="A20" s="10" t="s">
        <v>53</v>
      </c>
      <c r="B20" s="189">
        <f>MAX('10'!B7:B18)</f>
        <v>60</v>
      </c>
      <c r="C20" s="69">
        <f>MAX('10'!C7:C18)</f>
        <v>12.5</v>
      </c>
      <c r="D20" s="69">
        <f>MAX('10'!D7:D18)</f>
        <v>12.5</v>
      </c>
      <c r="E20" s="69">
        <f>MAX('10'!E7:E18)</f>
        <v>2.5</v>
      </c>
      <c r="F20" s="69">
        <f>MAX('10'!F7:F18)</f>
        <v>9</v>
      </c>
      <c r="G20" s="69">
        <f>MAX('10'!G7:G18)</f>
        <v>2</v>
      </c>
      <c r="H20" s="69">
        <f>MAX('10'!H7:H18)</f>
        <v>1.7</v>
      </c>
      <c r="I20" s="69">
        <f>MAX('10'!I7:I18)</f>
        <v>0.4</v>
      </c>
      <c r="J20" s="69">
        <f>MAX('10'!J7:J18)</f>
        <v>0.5</v>
      </c>
      <c r="K20" s="69">
        <f>MAX('10'!K7:K18)</f>
        <v>7.3</v>
      </c>
      <c r="L20" s="69">
        <f>MAX('10'!L7:L18)</f>
        <v>6.7</v>
      </c>
      <c r="M20" s="69">
        <f>MAX('10'!M7:M18)</f>
        <v>6.7</v>
      </c>
      <c r="N20" s="69">
        <f>MAX('10'!N7:N18)</f>
        <v>6.5</v>
      </c>
      <c r="O20" s="70">
        <f>MAX('10'!O7:O18)</f>
        <v>3.7</v>
      </c>
      <c r="P20" s="70">
        <f>MAX('10'!P7:P18)</f>
        <v>0</v>
      </c>
      <c r="Q20" s="70">
        <f>MAX('10'!Q7:Q18)</f>
        <v>0</v>
      </c>
      <c r="R20" s="70">
        <f>MAX('10'!R7:R18)</f>
        <v>940</v>
      </c>
      <c r="S20" s="70">
        <f>MAX('10'!S7:S18)</f>
        <v>67.880722786899483</v>
      </c>
      <c r="T20" s="946"/>
      <c r="U20" s="946"/>
      <c r="X20" s="13">
        <v>0.625</v>
      </c>
      <c r="Y20" s="54">
        <v>2680</v>
      </c>
      <c r="Z20" s="257">
        <v>940</v>
      </c>
      <c r="AA20" s="15">
        <v>1</v>
      </c>
      <c r="AB20" s="58">
        <f>IF('10'!AA20=1,(('10'!Z20*'10'!$AS$6*'10'!$AT$6)/('10'!Y20*0.0036)),IF('10'!AA20=2,(('10'!Z20*'10'!$AS$7*'10'!$AT$7)/('10'!Y20*0.0036))))</f>
        <v>64.790630182421225</v>
      </c>
      <c r="AC20" s="58"/>
      <c r="AD20" s="18">
        <f>(('10'!AC20*'10'!$Q$10*1000000))/('10'!Y20*3600)</f>
        <v>0</v>
      </c>
      <c r="AE20" s="183"/>
      <c r="AF20" s="184">
        <f>('10'!AE20/24)*0.454</f>
        <v>0</v>
      </c>
      <c r="AG20" s="19"/>
      <c r="AH20" s="184">
        <f>('10'!AG20/24)*0.454</f>
        <v>0</v>
      </c>
      <c r="AI20" s="19">
        <v>5000</v>
      </c>
      <c r="AJ20" s="184">
        <f>('10'!AI20/24)*0.454</f>
        <v>94.583333333333343</v>
      </c>
      <c r="AK20" s="21"/>
      <c r="AL20" s="185">
        <f>('10'!AK20/24)*0.454</f>
        <v>0</v>
      </c>
      <c r="AM20" s="21"/>
      <c r="AN20" s="185">
        <f>('10'!AM20/24)*0.454</f>
        <v>0</v>
      </c>
      <c r="AO20" s="21"/>
      <c r="AP20" s="184">
        <f>('10'!AO20/24)*0.454</f>
        <v>0</v>
      </c>
    </row>
    <row r="21" spans="1:42" ht="19.5" customHeight="1">
      <c r="A21" s="10" t="s">
        <v>54</v>
      </c>
      <c r="B21" s="189">
        <f>MIN('10'!B7:B18)</f>
        <v>60</v>
      </c>
      <c r="C21" s="69">
        <f>MIN('10'!C7:C18)</f>
        <v>10</v>
      </c>
      <c r="D21" s="69">
        <f>MIN('10'!D7:D18)</f>
        <v>10</v>
      </c>
      <c r="E21" s="69">
        <f>MIN('10'!E7:E18)</f>
        <v>2.5</v>
      </c>
      <c r="F21" s="69">
        <f>MIN('10'!F7:F18)</f>
        <v>7.4</v>
      </c>
      <c r="G21" s="192">
        <f>MIN('10'!G7:G18)</f>
        <v>1.4</v>
      </c>
      <c r="H21" s="192">
        <f>MIN('10'!H7:H18)</f>
        <v>1.3</v>
      </c>
      <c r="I21" s="192">
        <f>MIN('10'!I7:I18)</f>
        <v>0.4</v>
      </c>
      <c r="J21" s="192">
        <f>MIN('10'!J7:J18)</f>
        <v>0.4</v>
      </c>
      <c r="K21" s="192">
        <f>MIN('10'!K7:K18)</f>
        <v>7.3</v>
      </c>
      <c r="L21" s="192">
        <f>MIN('10'!L7:L18)</f>
        <v>6.5</v>
      </c>
      <c r="M21" s="192">
        <f>MIN('10'!M7:M18)</f>
        <v>6.7</v>
      </c>
      <c r="N21" s="192">
        <f>MIN('10'!N7:N18)</f>
        <v>6.5</v>
      </c>
      <c r="O21" s="193">
        <f>MIN('10'!O7:O18)</f>
        <v>3.3</v>
      </c>
      <c r="P21" s="193">
        <f>MIN('10'!P7:P18)</f>
        <v>0</v>
      </c>
      <c r="Q21" s="193">
        <f>MIN('10'!Q7:Q18)</f>
        <v>0</v>
      </c>
      <c r="R21" s="193">
        <f>MIN('10'!R7:R18)</f>
        <v>940</v>
      </c>
      <c r="S21" s="193">
        <f>MIN('10'!S7:S18)</f>
        <v>60.165935165935167</v>
      </c>
      <c r="T21" s="946"/>
      <c r="U21" s="946"/>
      <c r="X21" s="13">
        <v>0.66666666666666696</v>
      </c>
      <c r="Y21" s="54">
        <v>2789</v>
      </c>
      <c r="Z21" s="257">
        <v>940</v>
      </c>
      <c r="AA21" s="15">
        <v>1</v>
      </c>
      <c r="AB21" s="58">
        <f>IF('10'!AA21=1,(('10'!Z21*'10'!$AS$6*'10'!$AT$6)/('10'!Y21*0.0036)),IF('10'!AA21=2,(('10'!Z21*'10'!$AS$7*'10'!$AT$7)/('10'!Y21*0.0036))))</f>
        <v>62.25847575793793</v>
      </c>
      <c r="AC21" s="58"/>
      <c r="AD21" s="18">
        <f>(('10'!AC21*'10'!$Q$10*1000000))/('10'!Y21*3600)</f>
        <v>0</v>
      </c>
      <c r="AE21" s="183"/>
      <c r="AF21" s="184">
        <f>('10'!AE21/24)*0.454</f>
        <v>0</v>
      </c>
      <c r="AG21" s="19"/>
      <c r="AH21" s="184">
        <f>('10'!AG21/24)*0.454</f>
        <v>0</v>
      </c>
      <c r="AI21" s="19">
        <v>5000</v>
      </c>
      <c r="AJ21" s="184">
        <f>('10'!AI21/24)*0.454</f>
        <v>94.583333333333343</v>
      </c>
      <c r="AK21" s="21"/>
      <c r="AL21" s="185">
        <f>('10'!AK21/24)*0.454</f>
        <v>0</v>
      </c>
      <c r="AM21" s="21"/>
      <c r="AN21" s="185">
        <f>('10'!AM21/24)*0.454</f>
        <v>0</v>
      </c>
      <c r="AO21" s="21"/>
      <c r="AP21" s="184">
        <f>('10'!AO21/24)*0.454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54">
        <v>2806</v>
      </c>
      <c r="Z22" s="257">
        <v>940</v>
      </c>
      <c r="AA22" s="15">
        <v>1</v>
      </c>
      <c r="AB22" s="58">
        <f>IF('10'!AA22=1,(('10'!Z22*'10'!$AS$6*'10'!$AT$6)/('10'!Y22*0.0036)),IF('10'!AA22=2,(('10'!Z22*'10'!$AS$7*'10'!$AT$7)/('10'!Y22*0.0036))))</f>
        <v>61.881286132889848</v>
      </c>
      <c r="AC22" s="58"/>
      <c r="AD22" s="18">
        <f>(('10'!AC22*'10'!$Q$10*1000000))/('10'!Y22*3600)</f>
        <v>0</v>
      </c>
      <c r="AE22" s="183"/>
      <c r="AF22" s="184">
        <f>('10'!AE22/24)*0.454</f>
        <v>0</v>
      </c>
      <c r="AG22" s="19"/>
      <c r="AH22" s="184">
        <f>('10'!AG22/24)*0.454</f>
        <v>0</v>
      </c>
      <c r="AI22" s="19">
        <v>5000</v>
      </c>
      <c r="AJ22" s="184">
        <f>('10'!AI22/24)*0.454</f>
        <v>94.583333333333343</v>
      </c>
      <c r="AK22" s="21"/>
      <c r="AL22" s="185">
        <f>('10'!AK22/24)*0.454</f>
        <v>0</v>
      </c>
      <c r="AM22" s="21"/>
      <c r="AN22" s="185">
        <f>('10'!AM22/24)*0.454</f>
        <v>0</v>
      </c>
      <c r="AO22" s="21"/>
      <c r="AP22" s="184">
        <f>('10'!AO22/24)*0.454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54">
        <v>2558</v>
      </c>
      <c r="Z23" s="257">
        <v>940</v>
      </c>
      <c r="AA23" s="15">
        <v>1</v>
      </c>
      <c r="AB23" s="58">
        <f>IF('10'!AA23=1,(('10'!Z23*'10'!$AS$6*'10'!$AT$6)/('10'!Y23*0.0036)),IF('10'!AA23=2,(('10'!Z23*'10'!$AS$7*'10'!$AT$7)/('10'!Y23*0.0036))))</f>
        <v>67.880722786899483</v>
      </c>
      <c r="AC23" s="58"/>
      <c r="AD23" s="18">
        <f>(('10'!AC23*'10'!$Q$10*1000000))/('10'!Y23*3600)</f>
        <v>0</v>
      </c>
      <c r="AE23" s="183"/>
      <c r="AF23" s="184">
        <f>('10'!AE23/24)*0.454</f>
        <v>0</v>
      </c>
      <c r="AG23" s="19"/>
      <c r="AH23" s="184">
        <f>('10'!AG23/24)*0.454</f>
        <v>0</v>
      </c>
      <c r="AI23" s="19">
        <v>5000</v>
      </c>
      <c r="AJ23" s="184">
        <f>('10'!AI23/24)*0.454</f>
        <v>94.583333333333343</v>
      </c>
      <c r="AK23" s="21"/>
      <c r="AL23" s="185">
        <f>('10'!AK23/24)*0.454</f>
        <v>0</v>
      </c>
      <c r="AM23" s="21"/>
      <c r="AN23" s="185">
        <f>('10'!AM23/24)*0.454</f>
        <v>0</v>
      </c>
      <c r="AO23" s="21"/>
      <c r="AP23" s="184">
        <f>('10'!AO23/24)*0.454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54">
        <v>2675</v>
      </c>
      <c r="Z24" s="257">
        <v>940</v>
      </c>
      <c r="AA24" s="15">
        <v>1</v>
      </c>
      <c r="AB24" s="16">
        <f>IF('10'!AA24=1,(('10'!Z24*'10'!$AS$6*'10'!$AT$6)/('10'!Y24*0.0036)),IF('10'!AA24=2,(('10'!Z24*'10'!$AS$7*'10'!$AT$7)/('10'!Y24*0.0036))))</f>
        <v>64.911734164070623</v>
      </c>
      <c r="AC24" s="16"/>
      <c r="AD24" s="194">
        <f>(('10'!AC24*'10'!$Q$10*1000000))/('10'!Y24*3600)</f>
        <v>0</v>
      </c>
      <c r="AE24" s="183"/>
      <c r="AF24" s="195">
        <f>('10'!AE24/24)*0.454</f>
        <v>0</v>
      </c>
      <c r="AG24" s="173"/>
      <c r="AH24" s="195">
        <f>('10'!AG24/24)*0.454</f>
        <v>0</v>
      </c>
      <c r="AI24" s="19">
        <v>5000</v>
      </c>
      <c r="AJ24" s="195">
        <f>('10'!AI24/24)*0.454</f>
        <v>94.583333333333343</v>
      </c>
      <c r="AK24" s="21"/>
      <c r="AL24" s="196">
        <f>('10'!AK24/24)*0.454</f>
        <v>0</v>
      </c>
      <c r="AM24" s="197"/>
      <c r="AN24" s="196">
        <f>('10'!AM24/24)*0.454</f>
        <v>0</v>
      </c>
      <c r="AO24" s="21"/>
      <c r="AP24" s="195">
        <f>('10'!AO24/24)*0.454</f>
        <v>0</v>
      </c>
    </row>
    <row r="25" spans="1:42" ht="19.5" customHeight="1">
      <c r="A25" s="64">
        <v>0.41666666666666702</v>
      </c>
      <c r="B25" s="198"/>
      <c r="C25" s="261">
        <v>0.22</v>
      </c>
      <c r="D25" s="261">
        <v>0.35</v>
      </c>
      <c r="E25" s="199">
        <v>0.42</v>
      </c>
      <c r="F25" s="199">
        <v>0.43</v>
      </c>
      <c r="G25" s="199">
        <v>0.36</v>
      </c>
      <c r="H25" s="199">
        <v>0.28000000000000003</v>
      </c>
      <c r="I25" s="199">
        <v>0.34</v>
      </c>
      <c r="J25" s="199"/>
      <c r="K25" s="199">
        <v>0.38</v>
      </c>
      <c r="L25" s="199">
        <v>0.47</v>
      </c>
      <c r="M25" s="199">
        <v>0.42</v>
      </c>
      <c r="N25" s="199">
        <v>0.96</v>
      </c>
      <c r="O25" s="199">
        <v>0.56000000000000005</v>
      </c>
      <c r="P25" s="199">
        <v>0.6</v>
      </c>
      <c r="Q25" s="199"/>
      <c r="R25" s="65" t="e">
        <f>#DIV/0!</f>
        <v>#DIV/0!</v>
      </c>
      <c r="S25" s="66"/>
      <c r="T25" s="1068" t="s">
        <v>0</v>
      </c>
      <c r="U25" s="1049">
        <f>ESCALA!$A$12</f>
        <v>43900</v>
      </c>
      <c r="X25" s="13">
        <v>0.83333333333333304</v>
      </c>
      <c r="Y25" s="54">
        <v>2708</v>
      </c>
      <c r="Z25" s="257">
        <v>940</v>
      </c>
      <c r="AA25" s="15">
        <v>1</v>
      </c>
      <c r="AB25" s="58">
        <f>IF('10'!AA25=1,(('10'!Z25*'10'!$AS$6*'10'!$AT$6)/('10'!Y25*0.0036)),IF('10'!AA25=2,(('10'!Z25*'10'!$AS$7*'10'!$AT$7)/('10'!Y25*0.0036))))</f>
        <v>64.120712292795019</v>
      </c>
      <c r="AC25" s="58"/>
      <c r="AD25" s="18">
        <f>(('10'!AC25*'10'!$Q$10*1000000))/('10'!Y25*3600)</f>
        <v>0</v>
      </c>
      <c r="AE25" s="183"/>
      <c r="AF25" s="184">
        <f>('10'!AE25/24)*0.454</f>
        <v>0</v>
      </c>
      <c r="AG25" s="19"/>
      <c r="AH25" s="184">
        <f>('10'!AG25/24)*0.454</f>
        <v>0</v>
      </c>
      <c r="AI25" s="19">
        <v>5000</v>
      </c>
      <c r="AJ25" s="184">
        <f>('10'!AI25/24)*0.454</f>
        <v>94.583333333333343</v>
      </c>
      <c r="AK25" s="21"/>
      <c r="AL25" s="185">
        <f>('10'!AK25/24)*0.454</f>
        <v>0</v>
      </c>
      <c r="AM25" s="21"/>
      <c r="AN25" s="185">
        <f>('10'!AM25/24)*0.454</f>
        <v>0</v>
      </c>
      <c r="AO25" s="21"/>
      <c r="AP25" s="184">
        <f>('10'!AO25/24)*0.454</f>
        <v>0</v>
      </c>
    </row>
    <row r="26" spans="1:42" ht="19.5" customHeight="1">
      <c r="A26" s="64">
        <v>0.66666666666666696</v>
      </c>
      <c r="B26" s="261"/>
      <c r="C26" s="261"/>
      <c r="D26" s="261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5" t="e">
        <f>#DIV/0!</f>
        <v>#DIV/0!</v>
      </c>
      <c r="S26" s="67"/>
      <c r="T26" s="1068"/>
      <c r="U26" s="1049"/>
      <c r="X26" s="13">
        <v>0.875</v>
      </c>
      <c r="Y26" s="54">
        <v>2629</v>
      </c>
      <c r="Z26" s="257">
        <v>940</v>
      </c>
      <c r="AA26" s="15">
        <v>1</v>
      </c>
      <c r="AB26" s="58">
        <f>IF('10'!AA26=1,(('10'!Z26*'10'!$AS$6*'10'!$AT$6)/('10'!Y26*0.0036)),IF('10'!AA26=2,(('10'!Z26*'10'!$AS$7*'10'!$AT$7)/('10'!Y26*0.0036))))</f>
        <v>66.047504332023166</v>
      </c>
      <c r="AC26" s="58"/>
      <c r="AD26" s="18">
        <f>(('10'!AC26*'10'!$Q$10*1000000))/('10'!Y26*3600)</f>
        <v>0</v>
      </c>
      <c r="AE26" s="183"/>
      <c r="AF26" s="184">
        <f>('10'!AE26/24)*0.454</f>
        <v>0</v>
      </c>
      <c r="AG26" s="19"/>
      <c r="AH26" s="184">
        <f>('10'!AG26/24)*0.454</f>
        <v>0</v>
      </c>
      <c r="AI26" s="19">
        <v>5000</v>
      </c>
      <c r="AJ26" s="184">
        <f>('10'!AI26/24)*0.454</f>
        <v>94.583333333333343</v>
      </c>
      <c r="AK26" s="21"/>
      <c r="AL26" s="185">
        <f>('10'!AK26/24)*0.454</f>
        <v>0</v>
      </c>
      <c r="AM26" s="21"/>
      <c r="AN26" s="185">
        <f>('10'!AM26/24)*0.454</f>
        <v>0</v>
      </c>
      <c r="AO26" s="21"/>
      <c r="AP26" s="184">
        <f>('10'!AO26/24)*0.454</f>
        <v>0</v>
      </c>
    </row>
    <row r="27" spans="1:42" ht="19.5" customHeight="1">
      <c r="A27" s="68" t="s">
        <v>52</v>
      </c>
      <c r="B27" s="69" t="e">
        <f>AVERAGE('10'!B25,'10'!B26)</f>
        <v>#DIV/0!</v>
      </c>
      <c r="C27" s="69">
        <f>AVERAGE('10'!C25,'10'!C26)</f>
        <v>0.22</v>
      </c>
      <c r="D27" s="69">
        <f>AVERAGE('10'!D25,'10'!D26)</f>
        <v>0.35</v>
      </c>
      <c r="E27" s="69">
        <f>AVERAGE('10'!E25,'10'!E26)</f>
        <v>0.42</v>
      </c>
      <c r="F27" s="69">
        <f>AVERAGE('10'!F25,'10'!F26)</f>
        <v>0.43</v>
      </c>
      <c r="G27" s="69">
        <f>AVERAGE('10'!G25,'10'!G26)</f>
        <v>0.36</v>
      </c>
      <c r="H27" s="69">
        <f>AVERAGE('10'!H25,'10'!H26)</f>
        <v>0.28000000000000003</v>
      </c>
      <c r="I27" s="69">
        <f>AVERAGE('10'!I25,'10'!I26)</f>
        <v>0.34</v>
      </c>
      <c r="J27" s="69" t="e">
        <f>AVERAGE('10'!J25,'10'!J26)</f>
        <v>#DIV/0!</v>
      </c>
      <c r="K27" s="69">
        <f>AVERAGE('10'!K25,'10'!K26)</f>
        <v>0.38</v>
      </c>
      <c r="L27" s="69">
        <f>AVERAGE('10'!L25,'10'!L26)</f>
        <v>0.47</v>
      </c>
      <c r="M27" s="69">
        <f>AVERAGE('10'!M25,'10'!M26)</f>
        <v>0.42</v>
      </c>
      <c r="N27" s="69">
        <f>AVERAGE('10'!N25,'10'!N26)</f>
        <v>0.96</v>
      </c>
      <c r="O27" s="69">
        <f>AVERAGE('10'!O25,'10'!O26)</f>
        <v>0.56000000000000005</v>
      </c>
      <c r="P27" s="69">
        <f>AVERAGE('10'!P25,'10'!P26)</f>
        <v>0.6</v>
      </c>
      <c r="Q27" s="69" t="e">
        <f>AVERAGE('10'!Q25,'10'!Q26)</f>
        <v>#DIV/0!</v>
      </c>
      <c r="R27" s="1024"/>
      <c r="S27" s="1024"/>
      <c r="T27" s="1024"/>
      <c r="U27" s="74"/>
      <c r="X27" s="13">
        <v>0.91666666666666696</v>
      </c>
      <c r="Y27" s="54">
        <v>2642</v>
      </c>
      <c r="Z27" s="257">
        <v>940</v>
      </c>
      <c r="AA27" s="15">
        <v>1</v>
      </c>
      <c r="AB27" s="58">
        <f>IF('10'!AA27=1,(('10'!Z27*'10'!$AS$6*'10'!$AT$6)/('10'!Y27*0.0036)),IF('10'!AA27=2,(('10'!Z27*'10'!$AS$7*'10'!$AT$7)/('10'!Y27*0.0036))))</f>
        <v>65.72251661199428</v>
      </c>
      <c r="AC27" s="58"/>
      <c r="AD27" s="18">
        <f>(('10'!AC27*'10'!$Q$10*1000000))/('10'!Y27*3600)</f>
        <v>0</v>
      </c>
      <c r="AE27" s="183"/>
      <c r="AF27" s="184">
        <f>('10'!AE27/24)*0.454</f>
        <v>0</v>
      </c>
      <c r="AG27" s="19"/>
      <c r="AH27" s="184">
        <f>('10'!AG27/24)*0.454</f>
        <v>0</v>
      </c>
      <c r="AI27" s="19">
        <v>5000</v>
      </c>
      <c r="AJ27" s="184">
        <f>('10'!AI27/24)*0.454</f>
        <v>94.583333333333343</v>
      </c>
      <c r="AK27" s="21"/>
      <c r="AL27" s="185">
        <f>('10'!AK27/24)*0.454</f>
        <v>0</v>
      </c>
      <c r="AM27" s="21"/>
      <c r="AN27" s="185">
        <f>('10'!AM27/24)*0.454</f>
        <v>0</v>
      </c>
      <c r="AO27" s="21"/>
      <c r="AP27" s="184">
        <f>('10'!AO27/24)*0.454</f>
        <v>0</v>
      </c>
    </row>
    <row r="28" spans="1:42" ht="19.5" customHeight="1">
      <c r="A28" s="952" t="s">
        <v>134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4">
        <v>2598</v>
      </c>
      <c r="Z28" s="257">
        <v>940</v>
      </c>
      <c r="AA28" s="15">
        <v>1</v>
      </c>
      <c r="AB28" s="58">
        <f>IF('10'!AA28=1,(('10'!Z28*'10'!$AS$6*'10'!$AT$6)/('10'!Y28*0.0036)),IF('10'!AA28=2,(('10'!Z28*'10'!$AS$7*'10'!$AT$7)/('10'!Y28*0.0036))))</f>
        <v>66.835600034214352</v>
      </c>
      <c r="AC28" s="58"/>
      <c r="AD28" s="18">
        <f>(('10'!AC28*'10'!$Q$10*1000000))/('10'!Y28*3600)</f>
        <v>0</v>
      </c>
      <c r="AE28" s="183"/>
      <c r="AF28" s="184">
        <f>('10'!AE28/24)*0.454</f>
        <v>0</v>
      </c>
      <c r="AG28" s="19"/>
      <c r="AH28" s="184">
        <f>('10'!AG28/24)*0.454</f>
        <v>0</v>
      </c>
      <c r="AI28" s="19">
        <v>5000</v>
      </c>
      <c r="AJ28" s="184">
        <f>('10'!AI28/24)*0.454</f>
        <v>94.583333333333343</v>
      </c>
      <c r="AK28" s="21"/>
      <c r="AL28" s="185">
        <f>('10'!AK28/24)*0.454</f>
        <v>0</v>
      </c>
      <c r="AM28" s="21"/>
      <c r="AN28" s="185">
        <f>('10'!AM28/24)*0.454</f>
        <v>0</v>
      </c>
      <c r="AO28" s="21"/>
      <c r="AP28" s="184">
        <f>('10'!AO28/24)*0.454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4">
        <v>2625</v>
      </c>
      <c r="Z29" s="257">
        <v>940</v>
      </c>
      <c r="AA29" s="15">
        <v>1</v>
      </c>
      <c r="AB29" s="58">
        <f>IF('10'!AA29=1,(('10'!Z29*'10'!$AS$6*'10'!$AT$6)/('10'!Y29*0.0036)),IF('10'!AA29=2,(('10'!Z29*'10'!$AS$7*'10'!$AT$7)/('10'!Y29*0.0036))))</f>
        <v>66.148148148148152</v>
      </c>
      <c r="AC29" s="58"/>
      <c r="AD29" s="18">
        <f>(('10'!AC29*'10'!$Q$10*1000000))/('10'!Y29*3600)</f>
        <v>0</v>
      </c>
      <c r="AE29" s="183"/>
      <c r="AF29" s="184">
        <f>('10'!AE29/24)*0.454</f>
        <v>0</v>
      </c>
      <c r="AG29" s="19"/>
      <c r="AH29" s="184">
        <f>('10'!AG29/24)*0.454</f>
        <v>0</v>
      </c>
      <c r="AI29" s="19">
        <v>5000</v>
      </c>
      <c r="AJ29" s="184">
        <f>('10'!AI29/24)*0.454</f>
        <v>94.583333333333343</v>
      </c>
      <c r="AK29" s="21"/>
      <c r="AL29" s="185">
        <f>('10'!AK29/24)*0.454</f>
        <v>0</v>
      </c>
      <c r="AM29" s="21"/>
      <c r="AN29" s="185">
        <f>('10'!AM29/24)*0.454</f>
        <v>0</v>
      </c>
      <c r="AO29" s="21"/>
      <c r="AP29" s="184">
        <f>('10'!AO29/24)*0.454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SUM('10'!Y6:Y29)*3.6</f>
        <v>229881.60000000001</v>
      </c>
      <c r="Z30" s="82">
        <f>SUM('10'!Z6:Z29)</f>
        <v>22560</v>
      </c>
      <c r="AA30" s="78"/>
      <c r="AB30" s="79"/>
      <c r="AC30" s="78"/>
      <c r="AD30" s="79"/>
      <c r="AE30" s="34"/>
      <c r="AF30" s="184">
        <f>SUM('10'!AF6:AF29)</f>
        <v>0</v>
      </c>
      <c r="AG30" s="34"/>
      <c r="AH30" s="184">
        <f>SUM('10'!AH6:AH29)</f>
        <v>0</v>
      </c>
      <c r="AI30" s="34"/>
      <c r="AJ30" s="184">
        <f>SUM('10'!AJ6:AJ29)</f>
        <v>2322.9666666666662</v>
      </c>
      <c r="AK30" s="80"/>
      <c r="AL30" s="185">
        <f>SUM('10'!AL6:AL29)</f>
        <v>0</v>
      </c>
      <c r="AM30" s="80"/>
      <c r="AN30" s="185">
        <f>SUM('10'!AN6:AN29)</f>
        <v>0</v>
      </c>
      <c r="AO30" s="80"/>
      <c r="AP30" s="185">
        <f>SUM('10'!AP6:AP29)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SUMIF('10'!AA6:AA29,"=1",'10'!Z6:Z29)</f>
        <v>22560</v>
      </c>
      <c r="AA32" s="82">
        <f>'10'!Z32*'10'!AS6</f>
        <v>30004.800000000003</v>
      </c>
      <c r="AB32" s="83">
        <f>SUMIF('10'!$AA$6:$AA$29,"=1",'10'!$AB$6:$AB$29)/COUNTIF('10'!$AA$6:$AA$29,"=1")</f>
        <v>65.313680513920119</v>
      </c>
      <c r="AC32" s="84">
        <f>SUMIF('10'!AA6:AA29,"=1",'10'!AC6:AC29)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SUMIF('10'!AA6:AA29,"=2",'10'!Z6:Z29)</f>
        <v>0</v>
      </c>
      <c r="AA33" s="82">
        <f>'10'!Z33*'10'!AS7</f>
        <v>0</v>
      </c>
      <c r="AB33" s="83" t="e">
        <f>SUMIF('10'!$AA$6:$AA$29,"=2",'10'!$AB$6:$AB$29)/COUNTIF('10'!$AA$6:$AA$29,"=2")</f>
        <v>#DIV/0!</v>
      </c>
      <c r="AC33" s="89">
        <f>SUMIF('10'!AA6:AA29,"=2",'10'!AC6:AC29)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AVERAGE('10'!Y6:Y29)</f>
        <v>2660.6666666666665</v>
      </c>
      <c r="Z34" s="96">
        <f>AVERAGE('10'!Z6:Z29)</f>
        <v>940</v>
      </c>
      <c r="AA34" s="97"/>
      <c r="AB34" s="97"/>
      <c r="AC34" s="98">
        <f>SUM('10'!AC6:AC29)/COUNTIF('10'!AC6:AC29,"&lt;&gt;0")</f>
        <v>0</v>
      </c>
      <c r="AD34" s="99" t="e">
        <f>SUM('10'!AD6:AD29)/COUNTIF('10'!AD6:AD29,"&lt;&gt;0")</f>
        <v>#DIV/0!</v>
      </c>
      <c r="AE34" s="78"/>
      <c r="AF34" s="98">
        <f>AVERAGE('10'!AF6:AF29)</f>
        <v>0</v>
      </c>
      <c r="AG34" s="98"/>
      <c r="AH34" s="98">
        <f>AVERAGE('10'!AH6:AH29)</f>
        <v>0</v>
      </c>
      <c r="AI34" s="98"/>
      <c r="AJ34" s="98">
        <f>'10'!AJ30/24</f>
        <v>96.79027777777776</v>
      </c>
      <c r="AK34" s="98"/>
      <c r="AL34" s="98">
        <f>AVERAGE('10'!AL6:AL29)</f>
        <v>0</v>
      </c>
      <c r="AM34" s="98"/>
      <c r="AN34" s="98">
        <f>AVERAGE('10'!AN6:AN29)</f>
        <v>0</v>
      </c>
      <c r="AO34" s="98"/>
      <c r="AP34" s="98">
        <f>AVERAGE('10'!AP6:AP29)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66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66"/>
      <c r="X36" s="105" t="s">
        <v>73</v>
      </c>
      <c r="Y36" s="106"/>
      <c r="Z36" s="107"/>
      <c r="AA36" s="108" t="s">
        <v>74</v>
      </c>
      <c r="AB36" s="106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80.7</v>
      </c>
      <c r="D37" s="186">
        <v>50.4</v>
      </c>
      <c r="E37" s="186">
        <v>44.4</v>
      </c>
      <c r="F37" s="186">
        <v>1</v>
      </c>
      <c r="G37" s="183">
        <v>0.1</v>
      </c>
      <c r="H37" s="183">
        <v>0.1</v>
      </c>
      <c r="I37" s="183">
        <v>0.12</v>
      </c>
      <c r="J37" s="183">
        <v>0.1</v>
      </c>
      <c r="K37" s="183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66">
        <f>'10'!V12</f>
        <v>0</v>
      </c>
      <c r="X37" s="962" t="s">
        <v>75</v>
      </c>
      <c r="Y37" s="962"/>
      <c r="Z37" s="110">
        <f>COUNTA('10'!Z6:Z29)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>
        <v>8.3000000000000007</v>
      </c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SUM('10'!AF30+'10'!AH30)</f>
        <v>0</v>
      </c>
      <c r="AL38" s="210" t="s">
        <v>78</v>
      </c>
      <c r="AM38" s="212">
        <f>SUM('10'!AL30+'10'!AN30)</f>
        <v>0</v>
      </c>
      <c r="AO38" s="210" t="s">
        <v>78</v>
      </c>
      <c r="AP38" s="211">
        <f>'10'!AJ30</f>
        <v>2322.9666666666662</v>
      </c>
      <c r="AQ38" s="210" t="s">
        <v>78</v>
      </c>
      <c r="AR38" s="212">
        <f>'10'!AP30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('10'!AK38/'10'!Y30)*1000</f>
        <v>0</v>
      </c>
      <c r="AL39" s="215" t="s">
        <v>86</v>
      </c>
      <c r="AM39" s="216">
        <f>('10'!AM38/'10'!Y30)*1000</f>
        <v>0</v>
      </c>
      <c r="AO39" s="213" t="s">
        <v>86</v>
      </c>
      <c r="AP39" s="214">
        <f>('10'!AP38/'10'!Y30)*1000</f>
        <v>10.105056980056977</v>
      </c>
      <c r="AQ39" s="215" t="s">
        <v>86</v>
      </c>
      <c r="AR39" s="216">
        <f>('10'!AR38/'10'!Y30)*1000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SUM('10'!AK38,'10'!AM38)</f>
        <v>0</v>
      </c>
      <c r="AM40" s="975"/>
      <c r="AO40" s="976" t="s">
        <v>90</v>
      </c>
      <c r="AP40" s="976"/>
      <c r="AQ40" s="977">
        <f>SUM('10'!AP38,'10'!AR38)</f>
        <v>2322.9666666666662</v>
      </c>
      <c r="AR40" s="977"/>
    </row>
    <row r="41" spans="1:44" ht="16.5" customHeight="1">
      <c r="A41" s="133">
        <f>COUNTA('10'!E7:E18)</f>
        <v>12</v>
      </c>
      <c r="B41" s="134">
        <f>COUNTA('10'!I7:I18)</f>
        <v>12</v>
      </c>
      <c r="C41" s="978">
        <f>COUNTA('10'!J7:J18)</f>
        <v>12</v>
      </c>
      <c r="D41" s="978">
        <f>COUNTA('10'!K7:K18)</f>
        <v>12</v>
      </c>
      <c r="E41" s="978">
        <f>COUNTIF('10'!E7:E18,"&gt;15")</f>
        <v>0</v>
      </c>
      <c r="F41" s="978"/>
      <c r="G41" s="978">
        <f>COUNTIF('10'!J7:J18,"&gt;1")</f>
        <v>0</v>
      </c>
      <c r="H41" s="978"/>
      <c r="I41" s="135"/>
      <c r="J41" s="978">
        <f>'10'!A41-'10'!E41</f>
        <v>12</v>
      </c>
      <c r="K41" s="978"/>
      <c r="L41" s="978">
        <f>'10'!C41-'10'!G41</f>
        <v>12</v>
      </c>
      <c r="M41" s="978"/>
      <c r="N41" s="135"/>
      <c r="O41" s="979">
        <f>COUNTIF('10'!J7:J18,"&lt;=0,5")</f>
        <v>12</v>
      </c>
      <c r="P41" s="979"/>
      <c r="Q41" s="979"/>
      <c r="R41" s="969"/>
      <c r="S41" s="980">
        <f>COUNTIF('10'!J7:J18,"&lt;=1,0")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SUM(('10'!AK38+'10'!AM38)/'10'!Y30)*1000</f>
        <v>0</v>
      </c>
      <c r="AM41" s="981"/>
      <c r="AO41" s="976" t="s">
        <v>91</v>
      </c>
      <c r="AP41" s="976"/>
      <c r="AQ41" s="981">
        <f>SUM(('10'!AP38+'10'!AR38)/'10'!Y30)*1000</f>
        <v>10.105056980056977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/>
      <c r="Z44" s="144" t="s">
        <v>101</v>
      </c>
      <c r="AA44" s="145"/>
      <c r="AB44" s="144" t="s">
        <v>101</v>
      </c>
      <c r="AC44" s="145"/>
      <c r="AD44" s="988"/>
      <c r="AE44" s="988"/>
      <c r="AF44" s="989" t="s">
        <v>102</v>
      </c>
      <c r="AG44" s="990">
        <f>SUM('10'!Y45,'10'!AA45,'10'!AC45,'10'!AE45)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COUNTIF('10'!I7:I18,"&lt;=5,0")</f>
        <v>12</v>
      </c>
      <c r="I45" s="992"/>
      <c r="J45" s="992"/>
      <c r="K45" s="135"/>
      <c r="L45" s="974">
        <f>COUNTA('10'!L37)</f>
        <v>1</v>
      </c>
      <c r="M45" s="974"/>
      <c r="O45" s="146"/>
      <c r="P45" s="147"/>
      <c r="Q45" s="993">
        <f>'10'!S41-'10'!O41</f>
        <v>0</v>
      </c>
      <c r="R45" s="993"/>
      <c r="S45" s="993"/>
      <c r="T45" s="148"/>
      <c r="X45" s="149" t="s">
        <v>104</v>
      </c>
      <c r="Y45" s="150">
        <f>'10'!Y44*275.3</f>
        <v>0</v>
      </c>
      <c r="Z45" s="149" t="s">
        <v>104</v>
      </c>
      <c r="AA45" s="150">
        <f>262.4*'10'!AA44</f>
        <v>0</v>
      </c>
      <c r="AB45" s="149" t="s">
        <v>104</v>
      </c>
      <c r="AC45" s="150">
        <f>'10'!AC44*277.7</f>
        <v>0</v>
      </c>
      <c r="AD45" s="149" t="s">
        <v>104</v>
      </c>
      <c r="AE45" s="151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2"/>
      <c r="X46" s="153" t="s">
        <v>105</v>
      </c>
      <c r="Y46" s="154">
        <f>'10'!AS6</f>
        <v>1.33</v>
      </c>
      <c r="Z46" s="153" t="s">
        <v>105</v>
      </c>
      <c r="AA46" s="155">
        <f>'10'!Y46</f>
        <v>1.33</v>
      </c>
      <c r="AB46" s="153" t="s">
        <v>105</v>
      </c>
      <c r="AC46" s="155">
        <f>'10'!Y46</f>
        <v>1.33</v>
      </c>
      <c r="AD46" s="153" t="s">
        <v>105</v>
      </c>
      <c r="AE46" s="156">
        <f>'10'!Y46</f>
        <v>1.33</v>
      </c>
      <c r="AF46" s="995" t="s">
        <v>106</v>
      </c>
      <c r="AG46" s="996">
        <f>SUM('10'!Y47,'10'!AA47,'10'!AC47,'10'!AE47)</f>
        <v>0</v>
      </c>
      <c r="AI46" s="144" t="s">
        <v>101</v>
      </c>
      <c r="AJ46" s="145"/>
      <c r="AK46" s="144" t="s">
        <v>101</v>
      </c>
      <c r="AL46" s="145"/>
      <c r="AM46" s="144" t="s">
        <v>101</v>
      </c>
      <c r="AN46" s="145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'10'!Y45*'10'!Y46</f>
        <v>0</v>
      </c>
      <c r="Z47" s="149" t="s">
        <v>108</v>
      </c>
      <c r="AA47" s="150">
        <f>'10'!AA45*'10'!AA46</f>
        <v>0</v>
      </c>
      <c r="AB47" s="149" t="s">
        <v>108</v>
      </c>
      <c r="AC47" s="150">
        <f>'10'!AC45*'10'!AC46</f>
        <v>0</v>
      </c>
      <c r="AD47" s="149" t="s">
        <v>108</v>
      </c>
      <c r="AE47" s="150">
        <f>'10'!AE45*'10'!AE46</f>
        <v>0</v>
      </c>
      <c r="AF47" s="995"/>
      <c r="AG47" s="996"/>
      <c r="AI47" s="149" t="s">
        <v>104</v>
      </c>
      <c r="AJ47" s="150">
        <f>'10'!AJ46*275.3</f>
        <v>0</v>
      </c>
      <c r="AK47" s="149" t="s">
        <v>104</v>
      </c>
      <c r="AL47" s="150">
        <f>262.4*'10'!AL46</f>
        <v>0</v>
      </c>
      <c r="AM47" s="149" t="s">
        <v>104</v>
      </c>
      <c r="AN47" s="150">
        <f>'10'!AN46*277.7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'10'!Y46</f>
        <v>1.33</v>
      </c>
      <c r="AK48" s="160" t="s">
        <v>105</v>
      </c>
      <c r="AL48" s="154">
        <f>'10'!AJ48</f>
        <v>1.33</v>
      </c>
      <c r="AM48" s="160" t="s">
        <v>105</v>
      </c>
      <c r="AN48" s="154">
        <f>'10'!AJ48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'10'!AJ47*'10'!AJ48</f>
        <v>0</v>
      </c>
      <c r="AK49" s="149" t="s">
        <v>108</v>
      </c>
      <c r="AL49" s="150">
        <f>'10'!AL47*'10'!AL48</f>
        <v>0</v>
      </c>
      <c r="AM49" s="149" t="s">
        <v>108</v>
      </c>
      <c r="AN49" s="150">
        <f>'10'!AN47*'10'!AN48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COUNTA('10'!O7:O18)</f>
        <v>12</v>
      </c>
      <c r="P51" s="974">
        <f>COUNTA('10'!W17:W28)</f>
        <v>0</v>
      </c>
      <c r="R51" s="992">
        <f>COUNTIF('10'!O7:O18,"&gt;=0,5")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SUM('10'!Y53,'10'!AA53,'10'!AC53,'10'!AE53)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'10'!Y52*275.3</f>
        <v>0</v>
      </c>
      <c r="Z53" s="149" t="s">
        <v>104</v>
      </c>
      <c r="AA53" s="150">
        <f>262.4*'10'!AA52</f>
        <v>0</v>
      </c>
      <c r="AB53" s="149" t="s">
        <v>104</v>
      </c>
      <c r="AC53" s="167">
        <f>'10'!AC52*277.7</f>
        <v>0</v>
      </c>
      <c r="AD53" s="149" t="s">
        <v>104</v>
      </c>
      <c r="AE53" s="230"/>
      <c r="AF53" s="989"/>
      <c r="AG53" s="1002"/>
      <c r="AI53" s="144" t="s">
        <v>101</v>
      </c>
      <c r="AJ53" s="166"/>
      <c r="AK53" s="144" t="s">
        <v>101</v>
      </c>
      <c r="AL53" s="164"/>
      <c r="AM53" s="144" t="s">
        <v>101</v>
      </c>
      <c r="AN53" s="164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'10'!AS7</f>
        <v>0</v>
      </c>
      <c r="Z54" s="153" t="s">
        <v>105</v>
      </c>
      <c r="AA54" s="155">
        <f>'10'!Y54</f>
        <v>0</v>
      </c>
      <c r="AB54" s="153" t="s">
        <v>105</v>
      </c>
      <c r="AC54" s="155">
        <f>'10'!Y54</f>
        <v>0</v>
      </c>
      <c r="AD54" s="153" t="s">
        <v>105</v>
      </c>
      <c r="AE54" s="156">
        <f>'10'!Y54</f>
        <v>0</v>
      </c>
      <c r="AF54" s="995" t="s">
        <v>106</v>
      </c>
      <c r="AG54" s="996">
        <f>SUM('10'!Y55,'10'!AA55,'10'!AC55,'10'!AE55)</f>
        <v>0</v>
      </c>
      <c r="AI54" s="149" t="s">
        <v>104</v>
      </c>
      <c r="AJ54" s="150">
        <f>'10'!AJ53*275.3</f>
        <v>0</v>
      </c>
      <c r="AK54" s="149" t="s">
        <v>104</v>
      </c>
      <c r="AL54" s="150">
        <f>262.4*'10'!AL53</f>
        <v>0</v>
      </c>
      <c r="AM54" s="149" t="s">
        <v>104</v>
      </c>
      <c r="AN54" s="167">
        <f>'10'!AN53*277.7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'10'!Y53*'10'!Y54</f>
        <v>0</v>
      </c>
      <c r="Z55" s="149" t="s">
        <v>108</v>
      </c>
      <c r="AA55" s="150">
        <f>'10'!AA53*'10'!AA54</f>
        <v>0</v>
      </c>
      <c r="AB55" s="149" t="s">
        <v>108</v>
      </c>
      <c r="AC55" s="150">
        <f>'10'!AC53*'10'!AC54</f>
        <v>0</v>
      </c>
      <c r="AD55" s="149" t="s">
        <v>108</v>
      </c>
      <c r="AE55" s="150">
        <f>'10'!AE53*'10'!AE54</f>
        <v>0</v>
      </c>
      <c r="AF55" s="995"/>
      <c r="AG55" s="996"/>
      <c r="AI55" s="153" t="s">
        <v>105</v>
      </c>
      <c r="AJ55" s="154">
        <f>'10'!Y54</f>
        <v>0</v>
      </c>
      <c r="AK55" s="153" t="s">
        <v>105</v>
      </c>
      <c r="AL55" s="154">
        <f>'10'!AJ55</f>
        <v>0</v>
      </c>
      <c r="AM55" s="153" t="s">
        <v>105</v>
      </c>
      <c r="AN55" s="154">
        <f>'10'!AJ55</f>
        <v>0</v>
      </c>
      <c r="AO55" s="994"/>
      <c r="AP55" s="994"/>
      <c r="AQ55" s="994"/>
      <c r="AR55" s="994"/>
    </row>
    <row r="56" spans="15:44" ht="13.9" customHeight="1">
      <c r="O56" s="998"/>
      <c r="P56" s="998"/>
      <c r="R56" s="999"/>
      <c r="S56" s="999"/>
      <c r="T56" s="999"/>
      <c r="AI56" s="149" t="s">
        <v>108</v>
      </c>
      <c r="AJ56" s="150">
        <f>'10'!AJ54*'10'!AJ55</f>
        <v>0</v>
      </c>
      <c r="AK56" s="149" t="s">
        <v>108</v>
      </c>
      <c r="AL56" s="150">
        <f>'10'!AL54*'10'!AL55</f>
        <v>0</v>
      </c>
      <c r="AM56" s="149" t="s">
        <v>108</v>
      </c>
      <c r="AN56" s="150">
        <f>'10'!AN54*'10'!AN55</f>
        <v>0</v>
      </c>
      <c r="AO56" s="994"/>
      <c r="AP56" s="994"/>
      <c r="AQ56" s="994"/>
      <c r="AR56" s="994"/>
    </row>
    <row r="57" spans="15:44" ht="15.75" customHeight="1">
      <c r="O57" s="1003">
        <f>COUNTA('10'!N7:N18)</f>
        <v>12</v>
      </c>
      <c r="P57" s="1003"/>
      <c r="R57" s="1004">
        <f>COUNTIF('10'!N7:N18,"&gt;=6")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'10'!AJ56+'10'!AL56+'10'!AN56</f>
        <v>0</v>
      </c>
      <c r="AM61" s="1011"/>
      <c r="AN61" s="1010" t="s">
        <v>121</v>
      </c>
      <c r="AO61" s="1010"/>
      <c r="AP61" s="1010"/>
      <c r="AQ61" s="1011">
        <f>'10'!AJ49+'10'!AL49+'10'!AN49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'10'!AA32</f>
        <v>30004.800000000003</v>
      </c>
      <c r="AR62" s="1016"/>
    </row>
    <row r="63" spans="15:44" ht="15" customHeight="1">
      <c r="X63" s="170" t="s">
        <v>124</v>
      </c>
      <c r="Y63" s="171"/>
      <c r="Z63" s="1013"/>
      <c r="AA63" s="1013"/>
      <c r="AB63" s="172" t="s">
        <v>124</v>
      </c>
      <c r="AC63" s="173"/>
      <c r="AI63" s="1010" t="s">
        <v>125</v>
      </c>
      <c r="AJ63" s="1010"/>
      <c r="AK63" s="1010"/>
      <c r="AL63" s="1011">
        <f>'10'!AL61-'10'!AL62</f>
        <v>0</v>
      </c>
      <c r="AM63" s="1011"/>
      <c r="AN63" s="1010" t="s">
        <v>125</v>
      </c>
      <c r="AO63" s="1010"/>
      <c r="AP63" s="1010"/>
      <c r="AQ63" s="1011">
        <f>AQ61-AQ62</f>
        <v>-30004.800000000003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  <c r="AE64" s="49"/>
    </row>
    <row r="65" spans="24:29" ht="39" customHeight="1">
      <c r="X65" s="174" t="s">
        <v>126</v>
      </c>
      <c r="Y65" s="217">
        <f>'9'!$Y$68</f>
        <v>-4237.3333333333321</v>
      </c>
      <c r="Z65" s="1013"/>
      <c r="AA65" s="1013"/>
      <c r="AB65" s="176" t="s">
        <v>126</v>
      </c>
      <c r="AC65" s="241">
        <f>'9'!$AC$68</f>
        <v>-945.83333333333348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178">
        <f>SUM('10'!AK38,'10'!AP38)</f>
        <v>2322.9666666666662</v>
      </c>
      <c r="Z67" s="1013"/>
      <c r="AA67" s="1013"/>
      <c r="AB67" s="172" t="s">
        <v>124</v>
      </c>
      <c r="AC67" s="169">
        <f>SUM('10'!AM38,'10'!AR38)</f>
        <v>0</v>
      </c>
    </row>
    <row r="68" spans="24:29" ht="15.75" customHeight="1">
      <c r="X68" s="170" t="s">
        <v>128</v>
      </c>
      <c r="Y68" s="179">
        <f>SUM('10'!Y63,'10'!Y65)-'10'!Y67</f>
        <v>-6560.2999999999984</v>
      </c>
      <c r="Z68" s="1013"/>
      <c r="AA68" s="1013"/>
      <c r="AB68" s="172" t="s">
        <v>128</v>
      </c>
      <c r="AC68" s="180">
        <f>SUM('10'!AC63,'10'!AC65)-'10'!AC67</f>
        <v>-945.83333333333348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31" zoomScaleNormal="100" workbookViewId="0">
      <selection activeCell="H37" sqref="H37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69" t="s">
        <v>5</v>
      </c>
      <c r="E2" s="1069"/>
      <c r="F2" s="1069"/>
      <c r="G2" s="1069"/>
      <c r="H2" s="1069"/>
      <c r="I2" s="1069"/>
      <c r="J2" s="1069"/>
      <c r="K2" s="1069"/>
      <c r="L2" s="1069"/>
      <c r="M2" s="1069"/>
      <c r="N2" s="1069"/>
      <c r="O2" s="1069"/>
      <c r="P2" s="1069"/>
      <c r="Q2" s="1069"/>
      <c r="R2" s="1069"/>
      <c r="S2" s="1069"/>
      <c r="T2" s="1069"/>
      <c r="U2" s="1069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69"/>
      <c r="E3" s="1069"/>
      <c r="F3" s="1069"/>
      <c r="G3" s="1069"/>
      <c r="H3" s="1069"/>
      <c r="I3" s="1069"/>
      <c r="J3" s="1069"/>
      <c r="K3" s="1069"/>
      <c r="L3" s="1069"/>
      <c r="M3" s="1069"/>
      <c r="N3" s="1069"/>
      <c r="O3" s="1069"/>
      <c r="P3" s="1069"/>
      <c r="Q3" s="1069"/>
      <c r="R3" s="1069"/>
      <c r="S3" s="1069"/>
      <c r="T3" s="1069"/>
      <c r="U3" s="1069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40" t="s">
        <v>13</v>
      </c>
      <c r="U4" s="102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40"/>
      <c r="U5" s="102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8"/>
      <c r="V6" s="932"/>
      <c r="W6" s="932"/>
      <c r="X6" s="13">
        <v>4.1666666666666699E-2</v>
      </c>
      <c r="Y6" s="173">
        <v>2605</v>
      </c>
      <c r="Z6" s="182">
        <v>940</v>
      </c>
      <c r="AA6" s="15">
        <v>1</v>
      </c>
      <c r="AB6" s="58">
        <f>IF('11'!AA6=1,(('11'!Z6*'11'!$AS$6*'11'!$AT$6)/('11'!Y6*0.0036)),IF('11'!AA6=2,(('11'!Z6*'11'!$AS$7*'11'!$AT$7)/('11'!Y6*0.0036))))</f>
        <v>66.656003412241418</v>
      </c>
      <c r="AC6" s="58"/>
      <c r="AD6" s="18">
        <f>(('11'!AC6*'11'!$Q$10*1000000))/('11'!Y6*3600)</f>
        <v>0</v>
      </c>
      <c r="AE6" s="183"/>
      <c r="AF6" s="184">
        <f>('11'!AE6/24)*0.454</f>
        <v>0</v>
      </c>
      <c r="AG6" s="19"/>
      <c r="AH6" s="184">
        <f>('11'!AG6/24)*0.454</f>
        <v>0</v>
      </c>
      <c r="AI6" s="267">
        <v>5000</v>
      </c>
      <c r="AJ6" s="184">
        <f>('11'!AI6/24)*0.454</f>
        <v>94.583333333333343</v>
      </c>
      <c r="AK6" s="21"/>
      <c r="AL6" s="185">
        <f>('11'!AK6/24)*0.454</f>
        <v>0</v>
      </c>
      <c r="AM6" s="21"/>
      <c r="AN6" s="185">
        <f>('11'!AM6/24)*0.454</f>
        <v>0</v>
      </c>
      <c r="AO6" s="21"/>
      <c r="AP6" s="185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6">
        <v>60</v>
      </c>
      <c r="C7" s="186">
        <v>12.5</v>
      </c>
      <c r="D7" s="186">
        <v>10</v>
      </c>
      <c r="E7" s="186">
        <v>2.5</v>
      </c>
      <c r="F7" s="186">
        <v>8.1999999999999993</v>
      </c>
      <c r="G7" s="186">
        <v>1.3</v>
      </c>
      <c r="H7" s="186">
        <v>1.3</v>
      </c>
      <c r="I7" s="186">
        <v>0.4</v>
      </c>
      <c r="J7" s="186">
        <v>0.4</v>
      </c>
      <c r="K7" s="186">
        <v>7.3</v>
      </c>
      <c r="L7" s="186">
        <v>6.7</v>
      </c>
      <c r="M7" s="186">
        <v>6.7</v>
      </c>
      <c r="N7" s="186">
        <v>6.5</v>
      </c>
      <c r="O7" s="186">
        <v>3.5</v>
      </c>
      <c r="P7" s="186"/>
      <c r="Q7" s="186"/>
      <c r="R7" s="37">
        <f>'10'!$Z$29</f>
        <v>940</v>
      </c>
      <c r="S7" s="187">
        <f>'10'!$AB$29</f>
        <v>66.148148148148152</v>
      </c>
      <c r="T7" s="37">
        <f>'10'!$Y$29</f>
        <v>2625</v>
      </c>
      <c r="U7" s="33" t="str">
        <f>IF('11'!AA6=1,'11'!AR6,'11'!AR7)</f>
        <v>S.A.L</v>
      </c>
      <c r="V7" s="1022">
        <f>ESCALA!$C$12</f>
        <v>0</v>
      </c>
      <c r="W7" s="1022"/>
      <c r="X7" s="13">
        <v>8.3333333333333301E-2</v>
      </c>
      <c r="Y7" s="173">
        <v>2637</v>
      </c>
      <c r="Z7" s="182">
        <v>940</v>
      </c>
      <c r="AA7" s="15">
        <v>1</v>
      </c>
      <c r="AB7" s="58">
        <f>IF('11'!AA7=1,(('11'!Z7*'11'!$AS$6*'11'!$AT$6)/('11'!Y7*0.0036)),IF('11'!AA7=2,(('11'!Z7*'11'!$AS$7*'11'!$AT$7)/('11'!Y7*0.0036))))</f>
        <v>65.847132684447814</v>
      </c>
      <c r="AC7" s="58"/>
      <c r="AD7" s="18">
        <f>(('11'!AC7*'11'!$Q$10*1000000))/('11'!Y7*3600)</f>
        <v>0</v>
      </c>
      <c r="AE7" s="183"/>
      <c r="AF7" s="184">
        <f>('11'!AE7/24)*0.454</f>
        <v>0</v>
      </c>
      <c r="AG7" s="19"/>
      <c r="AH7" s="184">
        <f>('11'!AG7/24)*0.454</f>
        <v>0</v>
      </c>
      <c r="AI7" s="267">
        <v>5000</v>
      </c>
      <c r="AJ7" s="184">
        <f>('11'!AI7/24)*0.454</f>
        <v>94.583333333333343</v>
      </c>
      <c r="AK7" s="21"/>
      <c r="AL7" s="185">
        <f>('11'!AK7/24)*0.454</f>
        <v>0</v>
      </c>
      <c r="AM7" s="21"/>
      <c r="AN7" s="185">
        <f>('11'!AM7/24)*0.454</f>
        <v>0</v>
      </c>
      <c r="AO7" s="21"/>
      <c r="AP7" s="185">
        <f>('11'!AO7/24)*0.454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6">
        <v>60</v>
      </c>
      <c r="C8" s="186">
        <v>12.5</v>
      </c>
      <c r="D8" s="186">
        <v>10</v>
      </c>
      <c r="E8" s="186">
        <v>2.5</v>
      </c>
      <c r="F8" s="186">
        <v>8.3000000000000007</v>
      </c>
      <c r="G8" s="186">
        <v>1.3</v>
      </c>
      <c r="H8" s="186">
        <v>1.3</v>
      </c>
      <c r="I8" s="186">
        <v>0.4</v>
      </c>
      <c r="J8" s="186">
        <v>0.4</v>
      </c>
      <c r="K8" s="186">
        <v>7.3</v>
      </c>
      <c r="L8" s="186">
        <v>6.7</v>
      </c>
      <c r="M8" s="186">
        <v>6.7</v>
      </c>
      <c r="N8" s="186">
        <v>6.5</v>
      </c>
      <c r="O8" s="186">
        <v>3.5</v>
      </c>
      <c r="P8" s="186"/>
      <c r="Q8" s="186"/>
      <c r="R8" s="35">
        <f>'11'!Z7</f>
        <v>940</v>
      </c>
      <c r="S8" s="36">
        <f>'11'!AB7</f>
        <v>65.847132684447814</v>
      </c>
      <c r="T8" s="37">
        <f>'11'!Y7</f>
        <v>2637</v>
      </c>
      <c r="U8" s="33" t="str">
        <f>IF('11'!AA7=1,'11'!AR6,'11'!AR7)</f>
        <v>S.A.L</v>
      </c>
      <c r="V8" s="1022"/>
      <c r="W8" s="1022"/>
      <c r="X8" s="13">
        <v>0.125</v>
      </c>
      <c r="Y8" s="173">
        <v>2686</v>
      </c>
      <c r="Z8" s="182">
        <v>940</v>
      </c>
      <c r="AA8" s="15">
        <v>1</v>
      </c>
      <c r="AB8" s="58">
        <f>IF('11'!AA8=1,(('11'!Z8*'11'!$AS$6*'11'!$AT$6)/('11'!Y8*0.0036)),IF('11'!AA8=2,(('11'!Z8*'11'!$AS$7*'11'!$AT$7)/('11'!Y8*0.0036))))</f>
        <v>64.645900554314565</v>
      </c>
      <c r="AC8" s="58"/>
      <c r="AD8" s="18">
        <f>(('11'!AC8*'11'!$Q$10*1000000))/('11'!Y8*3600)</f>
        <v>0</v>
      </c>
      <c r="AE8" s="183"/>
      <c r="AF8" s="184">
        <f>('11'!AE8/24)*0.454</f>
        <v>0</v>
      </c>
      <c r="AG8" s="19"/>
      <c r="AH8" s="184">
        <f>('11'!AG8/24)*0.454</f>
        <v>0</v>
      </c>
      <c r="AI8" s="267">
        <v>5000</v>
      </c>
      <c r="AJ8" s="184">
        <f>('11'!AI8/24)*0.454</f>
        <v>94.583333333333343</v>
      </c>
      <c r="AK8" s="21"/>
      <c r="AL8" s="185">
        <f>('11'!AK8/24)*0.454</f>
        <v>0</v>
      </c>
      <c r="AM8" s="21"/>
      <c r="AN8" s="185">
        <f>('11'!AM8/24)*0.454</f>
        <v>0</v>
      </c>
      <c r="AO8" s="21"/>
      <c r="AP8" s="185">
        <f>('11'!AO8/24)*0.454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60</v>
      </c>
      <c r="C9" s="186">
        <v>12.5</v>
      </c>
      <c r="D9" s="186">
        <v>10</v>
      </c>
      <c r="E9" s="186">
        <v>2.5</v>
      </c>
      <c r="F9" s="186">
        <v>8.5</v>
      </c>
      <c r="G9" s="186">
        <v>1.2</v>
      </c>
      <c r="H9" s="186">
        <v>1.3</v>
      </c>
      <c r="I9" s="186">
        <v>0.4</v>
      </c>
      <c r="J9" s="186">
        <v>0.4</v>
      </c>
      <c r="K9" s="186">
        <v>7.3</v>
      </c>
      <c r="L9" s="186">
        <v>6.7</v>
      </c>
      <c r="M9" s="186">
        <v>6.7</v>
      </c>
      <c r="N9" s="186">
        <v>6.5</v>
      </c>
      <c r="O9" s="186">
        <v>3.2</v>
      </c>
      <c r="P9" s="186"/>
      <c r="Q9" s="186"/>
      <c r="R9" s="37">
        <f>'11'!Z9</f>
        <v>940</v>
      </c>
      <c r="S9" s="36">
        <f>'11'!AB9</f>
        <v>66.758511683540519</v>
      </c>
      <c r="T9" s="37">
        <f>'11'!Y9</f>
        <v>2601</v>
      </c>
      <c r="U9" s="33" t="str">
        <f>IF('11'!AA9=1,'11'!AR6,'11'!AR7)</f>
        <v>S.A.L</v>
      </c>
      <c r="V9" s="1022"/>
      <c r="W9" s="1022"/>
      <c r="X9" s="13">
        <v>0.16666666666666699</v>
      </c>
      <c r="Y9" s="173">
        <v>2601</v>
      </c>
      <c r="Z9" s="182">
        <v>940</v>
      </c>
      <c r="AA9" s="15">
        <v>1</v>
      </c>
      <c r="AB9" s="58">
        <f>IF('11'!AA9=1,(('11'!Z9*'11'!$AS$6*'11'!$AT$6)/('11'!Y9*0.0036)),IF('11'!AA9=2,(('11'!Z9*'11'!$AS$7*'11'!$AT$7)/('11'!Y9*0.0036))))</f>
        <v>66.758511683540519</v>
      </c>
      <c r="AC9" s="58"/>
      <c r="AD9" s="18">
        <f>(('11'!AC9*'11'!$Q$10*1000000))/('11'!Y9*3600)</f>
        <v>0</v>
      </c>
      <c r="AE9" s="183"/>
      <c r="AF9" s="184">
        <f>('11'!AE9/24)*0.454</f>
        <v>0</v>
      </c>
      <c r="AG9" s="19"/>
      <c r="AH9" s="184">
        <f>('11'!AG9/24)*0.454</f>
        <v>0</v>
      </c>
      <c r="AI9" s="267">
        <v>5000</v>
      </c>
      <c r="AJ9" s="184">
        <f>('11'!AI9/24)*0.454</f>
        <v>94.583333333333343</v>
      </c>
      <c r="AK9" s="21"/>
      <c r="AL9" s="185">
        <f>('11'!AK9/24)*0.454</f>
        <v>0</v>
      </c>
      <c r="AM9" s="21"/>
      <c r="AN9" s="185">
        <f>('11'!AM9/24)*0.454</f>
        <v>0</v>
      </c>
      <c r="AO9" s="21"/>
      <c r="AP9" s="185">
        <f>('11'!AO9/24)*0.454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60</v>
      </c>
      <c r="C10" s="186">
        <v>12.5</v>
      </c>
      <c r="D10" s="186">
        <v>10</v>
      </c>
      <c r="E10" s="186">
        <v>2.5</v>
      </c>
      <c r="F10" s="186">
        <v>8.5</v>
      </c>
      <c r="G10" s="186">
        <v>1.2</v>
      </c>
      <c r="H10" s="186">
        <v>1.3</v>
      </c>
      <c r="I10" s="186">
        <v>0.4</v>
      </c>
      <c r="J10" s="186">
        <v>0.4</v>
      </c>
      <c r="K10" s="186">
        <v>7.3</v>
      </c>
      <c r="L10" s="186">
        <v>6.7</v>
      </c>
      <c r="M10" s="186">
        <v>6.7</v>
      </c>
      <c r="N10" s="186">
        <v>6.5</v>
      </c>
      <c r="O10" s="186">
        <v>3.2</v>
      </c>
      <c r="P10" s="186"/>
      <c r="Q10" s="186"/>
      <c r="R10" s="37">
        <f>'11'!Z11</f>
        <v>940</v>
      </c>
      <c r="S10" s="36">
        <f>'11'!AB11</f>
        <v>64.645900554314565</v>
      </c>
      <c r="T10" s="37">
        <f>'11'!Y11</f>
        <v>2686</v>
      </c>
      <c r="U10" s="33" t="str">
        <f>IF('11'!AA11=1,'11'!AR6,'11'!AR7)</f>
        <v>S.A.L</v>
      </c>
      <c r="V10" s="1022"/>
      <c r="W10" s="1022"/>
      <c r="X10" s="13">
        <v>0.20833333333333301</v>
      </c>
      <c r="Y10" s="173">
        <v>2586</v>
      </c>
      <c r="Z10" s="182">
        <v>940</v>
      </c>
      <c r="AA10" s="15">
        <v>1</v>
      </c>
      <c r="AB10" s="58">
        <f>IF('11'!AA10=1,(('11'!Z10*'11'!$AS$6*'11'!$AT$6)/('11'!Y10*0.0036)),IF('11'!AA10=2,(('11'!Z10*'11'!$AS$7*'11'!$AT$7)/('11'!Y10*0.0036))))</f>
        <v>67.145742029732759</v>
      </c>
      <c r="AC10" s="58"/>
      <c r="AD10" s="18">
        <f>(('11'!AC10*'11'!$Q$10*1000000))/('11'!Y10*3600)</f>
        <v>0</v>
      </c>
      <c r="AE10" s="183"/>
      <c r="AF10" s="184">
        <f>('11'!AE10/24)*0.454</f>
        <v>0</v>
      </c>
      <c r="AG10" s="19"/>
      <c r="AH10" s="184">
        <f>('11'!AG10/24)*0.454</f>
        <v>0</v>
      </c>
      <c r="AI10" s="267">
        <v>5000</v>
      </c>
      <c r="AJ10" s="184">
        <f>('11'!AI10/24)*0.454</f>
        <v>94.583333333333343</v>
      </c>
      <c r="AK10" s="21"/>
      <c r="AL10" s="185">
        <f>('11'!AK10/24)*0.454</f>
        <v>0</v>
      </c>
      <c r="AM10" s="21"/>
      <c r="AN10" s="185">
        <f>('11'!AM10/24)*0.454</f>
        <v>0</v>
      </c>
      <c r="AO10" s="21"/>
      <c r="AP10" s="185">
        <f>('11'!AO10/24)*0.454</f>
        <v>0</v>
      </c>
      <c r="AQ10" s="943" t="s">
        <v>51</v>
      </c>
      <c r="AR10" s="943"/>
      <c r="AS10" s="943"/>
      <c r="AT10" s="41"/>
    </row>
    <row r="11" spans="1:47" ht="19.5" customHeight="1">
      <c r="A11" s="28">
        <v>0.33333333333333298</v>
      </c>
      <c r="B11" s="186">
        <v>60</v>
      </c>
      <c r="C11" s="186">
        <v>12.5</v>
      </c>
      <c r="D11" s="186">
        <v>12.5</v>
      </c>
      <c r="E11" s="186">
        <v>2.5</v>
      </c>
      <c r="F11" s="186">
        <v>8.4</v>
      </c>
      <c r="G11" s="186">
        <v>1.3</v>
      </c>
      <c r="H11" s="186">
        <v>1.6</v>
      </c>
      <c r="I11" s="186">
        <v>0.4</v>
      </c>
      <c r="J11" s="186">
        <v>0.4</v>
      </c>
      <c r="K11" s="186">
        <v>7.3</v>
      </c>
      <c r="L11" s="186">
        <v>6.7</v>
      </c>
      <c r="M11" s="186">
        <v>6.7</v>
      </c>
      <c r="N11" s="186">
        <v>6.5</v>
      </c>
      <c r="O11" s="186">
        <v>3.5</v>
      </c>
      <c r="P11" s="186"/>
      <c r="Q11" s="186"/>
      <c r="R11" s="37">
        <f>'11'!Z13</f>
        <v>940</v>
      </c>
      <c r="S11" s="36">
        <f>'11'!AB13</f>
        <v>65.947166307971472</v>
      </c>
      <c r="T11" s="37">
        <f>'11'!Y13</f>
        <v>2633</v>
      </c>
      <c r="U11" s="33" t="str">
        <f>IF('11'!AA13=1,'11'!AR6,'11'!AR7)</f>
        <v>S.A.L</v>
      </c>
      <c r="V11" s="1022"/>
      <c r="W11" s="1022"/>
      <c r="X11" s="13">
        <v>0.25</v>
      </c>
      <c r="Y11" s="173">
        <v>2686</v>
      </c>
      <c r="Z11" s="182">
        <v>940</v>
      </c>
      <c r="AA11" s="15">
        <v>1</v>
      </c>
      <c r="AB11" s="58">
        <f>IF('11'!AA11=1,(('11'!Z11*'11'!$AS$6*'11'!$AT$6)/('11'!Y11*0.0036)),IF('11'!AA11=2,(('11'!Z11*'11'!$AS$7*'11'!$AT$7)/('11'!Y11*0.0036))))</f>
        <v>64.645900554314565</v>
      </c>
      <c r="AC11" s="58"/>
      <c r="AD11" s="18">
        <f>(('11'!AC11*'11'!$Q$10*1000000))/('11'!Y11*3600)</f>
        <v>0</v>
      </c>
      <c r="AE11" s="183"/>
      <c r="AF11" s="184">
        <f>('11'!AE11/24)*0.454</f>
        <v>0</v>
      </c>
      <c r="AG11" s="19"/>
      <c r="AH11" s="184">
        <f>('11'!AG11/24)*0.454</f>
        <v>0</v>
      </c>
      <c r="AI11" s="267">
        <v>5000</v>
      </c>
      <c r="AJ11" s="184">
        <f>('11'!AI11/24)*0.454</f>
        <v>94.583333333333343</v>
      </c>
      <c r="AK11" s="21"/>
      <c r="AL11" s="185">
        <f>('11'!AK11/24)*0.454</f>
        <v>0</v>
      </c>
      <c r="AM11" s="21"/>
      <c r="AN11" s="185">
        <f>('11'!AM11/24)*0.454</f>
        <v>0</v>
      </c>
      <c r="AO11" s="21"/>
      <c r="AP11" s="185">
        <f>('11'!AO11/24)*0.454</f>
        <v>0</v>
      </c>
    </row>
    <row r="12" spans="1:47" ht="18.75" customHeight="1">
      <c r="A12" s="28">
        <v>0.41666666666666702</v>
      </c>
      <c r="B12" s="186">
        <v>60</v>
      </c>
      <c r="C12" s="186">
        <v>12.5</v>
      </c>
      <c r="D12" s="186">
        <v>12.5</v>
      </c>
      <c r="E12" s="186">
        <v>2.5</v>
      </c>
      <c r="F12" s="186">
        <v>8.1999999999999993</v>
      </c>
      <c r="G12" s="186">
        <v>1.3</v>
      </c>
      <c r="H12" s="186">
        <v>1.5</v>
      </c>
      <c r="I12" s="186">
        <v>0.4</v>
      </c>
      <c r="J12" s="186">
        <v>0.4</v>
      </c>
      <c r="K12" s="186">
        <v>7.3</v>
      </c>
      <c r="L12" s="186">
        <v>6.7</v>
      </c>
      <c r="M12" s="186">
        <v>6.7</v>
      </c>
      <c r="N12" s="186">
        <v>6.5</v>
      </c>
      <c r="O12" s="186">
        <v>3.5</v>
      </c>
      <c r="P12" s="186"/>
      <c r="Q12" s="186"/>
      <c r="R12" s="37">
        <f>'11'!Z15</f>
        <v>901</v>
      </c>
      <c r="S12" s="36">
        <f>'11'!AB15</f>
        <v>65.064394926591959</v>
      </c>
      <c r="T12" s="37">
        <f>'11'!Y15</f>
        <v>2558</v>
      </c>
      <c r="U12" s="33" t="str">
        <f>IF('11'!AA15=1,'11'!AR6,'11'!AR7)</f>
        <v>S.A.L</v>
      </c>
      <c r="V12" s="944">
        <f>ESCALA!$B$13</f>
        <v>0</v>
      </c>
      <c r="W12" s="944"/>
      <c r="X12" s="13">
        <v>0.29166666666666702</v>
      </c>
      <c r="Y12" s="173">
        <v>2612</v>
      </c>
      <c r="Z12" s="182">
        <v>940</v>
      </c>
      <c r="AA12" s="15">
        <v>1</v>
      </c>
      <c r="AB12" s="58">
        <f>IF('11'!AA12=1,(('11'!Z12*'11'!$AS$6*'11'!$AT$6)/('11'!Y12*0.0036)),IF('11'!AA12=2,(('11'!Z12*'11'!$AS$7*'11'!$AT$7)/('11'!Y12*0.0036))))</f>
        <v>66.47736940615961</v>
      </c>
      <c r="AC12" s="58"/>
      <c r="AD12" s="18">
        <f>(('11'!AC12*'11'!$Q$10*1000000))/('11'!Y12*3600)</f>
        <v>0</v>
      </c>
      <c r="AE12" s="183"/>
      <c r="AF12" s="184">
        <f>('11'!AE12/24)*0.454</f>
        <v>0</v>
      </c>
      <c r="AG12" s="19"/>
      <c r="AH12" s="184">
        <f>('11'!AG12/24)*0.454</f>
        <v>0</v>
      </c>
      <c r="AI12" s="267">
        <v>5000</v>
      </c>
      <c r="AJ12" s="184">
        <f>('11'!AI12/24)*0.454</f>
        <v>94.583333333333343</v>
      </c>
      <c r="AK12" s="21"/>
      <c r="AL12" s="185">
        <f>('11'!AK12/24)*0.454</f>
        <v>0</v>
      </c>
      <c r="AM12" s="21"/>
      <c r="AN12" s="185">
        <f>('11'!AM12/24)*0.454</f>
        <v>0</v>
      </c>
      <c r="AO12" s="21"/>
      <c r="AP12" s="185">
        <f>('11'!AO12/24)*0.454</f>
        <v>0</v>
      </c>
    </row>
    <row r="13" spans="1:47" ht="18.75" customHeight="1">
      <c r="A13" s="28">
        <v>0.5</v>
      </c>
      <c r="B13" s="186">
        <v>60</v>
      </c>
      <c r="C13" s="186">
        <v>12.5</v>
      </c>
      <c r="D13" s="186">
        <v>12.5</v>
      </c>
      <c r="E13" s="186">
        <v>2.5</v>
      </c>
      <c r="F13" s="186">
        <v>8.3000000000000007</v>
      </c>
      <c r="G13" s="186">
        <v>1.5</v>
      </c>
      <c r="H13" s="186">
        <v>1.6</v>
      </c>
      <c r="I13" s="186">
        <v>0.3</v>
      </c>
      <c r="J13" s="186">
        <v>0.4</v>
      </c>
      <c r="K13" s="186">
        <v>7.3</v>
      </c>
      <c r="L13" s="186">
        <v>6.7</v>
      </c>
      <c r="M13" s="186">
        <v>6.7</v>
      </c>
      <c r="N13" s="186">
        <v>6.5</v>
      </c>
      <c r="O13" s="186">
        <v>3.5</v>
      </c>
      <c r="P13" s="186"/>
      <c r="Q13" s="186"/>
      <c r="R13" s="37">
        <f>'11'!Z17</f>
        <v>901</v>
      </c>
      <c r="S13" s="36">
        <f>'11'!AB17</f>
        <v>66.388002481939466</v>
      </c>
      <c r="T13" s="37">
        <f>'11'!Y17</f>
        <v>2507</v>
      </c>
      <c r="U13" s="33" t="str">
        <f>IF('11'!AA17=1,'11'!AR6,'11'!AR7)</f>
        <v>S.A.L</v>
      </c>
      <c r="V13" s="944"/>
      <c r="W13" s="944"/>
      <c r="X13" s="13">
        <v>0.33333333333333298</v>
      </c>
      <c r="Y13" s="173">
        <v>2633</v>
      </c>
      <c r="Z13" s="182">
        <v>940</v>
      </c>
      <c r="AA13" s="15">
        <v>1</v>
      </c>
      <c r="AB13" s="58">
        <f>IF('11'!AA13=1,(('11'!Z13*'11'!$AS$6*'11'!$AT$6)/('11'!Y13*0.0036)),IF('11'!AA13=2,(('11'!Z13*'11'!$AS$7*'11'!$AT$7)/('11'!Y13*0.0036))))</f>
        <v>65.947166307971472</v>
      </c>
      <c r="AC13" s="58"/>
      <c r="AD13" s="18">
        <f>(('11'!AC13*'11'!$Q$10*1000000))/('11'!Y13*3600)</f>
        <v>0</v>
      </c>
      <c r="AE13" s="183"/>
      <c r="AF13" s="184">
        <f>('11'!AE13/24)*0.454</f>
        <v>0</v>
      </c>
      <c r="AG13" s="19"/>
      <c r="AH13" s="184">
        <f>('11'!AG13/24)*0.454</f>
        <v>0</v>
      </c>
      <c r="AI13" s="267">
        <v>5000</v>
      </c>
      <c r="AJ13" s="184">
        <f>('11'!AI13/24)*0.454</f>
        <v>94.583333333333343</v>
      </c>
      <c r="AK13" s="21"/>
      <c r="AL13" s="185">
        <f>('11'!AK13/24)*0.454</f>
        <v>0</v>
      </c>
      <c r="AM13" s="21"/>
      <c r="AN13" s="185">
        <f>('11'!AM13/24)*0.454</f>
        <v>0</v>
      </c>
      <c r="AO13" s="21"/>
      <c r="AP13" s="185">
        <f>('11'!AO13/24)*0.454</f>
        <v>0</v>
      </c>
    </row>
    <row r="14" spans="1:47" ht="18.75" customHeight="1">
      <c r="A14" s="28">
        <v>0.58333333333333304</v>
      </c>
      <c r="B14" s="186">
        <v>60</v>
      </c>
      <c r="C14" s="186">
        <v>12.5</v>
      </c>
      <c r="D14" s="186">
        <v>12.5</v>
      </c>
      <c r="E14" s="186">
        <v>2.5</v>
      </c>
      <c r="F14" s="186">
        <v>8.3000000000000007</v>
      </c>
      <c r="G14" s="186">
        <v>1.5</v>
      </c>
      <c r="H14" s="186">
        <v>1.7</v>
      </c>
      <c r="I14" s="186">
        <v>0.4</v>
      </c>
      <c r="J14" s="186">
        <v>0.4</v>
      </c>
      <c r="K14" s="186">
        <v>7.3</v>
      </c>
      <c r="L14" s="186">
        <v>6.7</v>
      </c>
      <c r="M14" s="186">
        <v>6.7</v>
      </c>
      <c r="N14" s="186">
        <v>6.5</v>
      </c>
      <c r="O14" s="186">
        <v>3.5</v>
      </c>
      <c r="P14" s="186"/>
      <c r="Q14" s="186"/>
      <c r="R14" s="37">
        <f>'11'!Z19</f>
        <v>901</v>
      </c>
      <c r="S14" s="36">
        <f>'11'!AB19</f>
        <v>64.186163602862422</v>
      </c>
      <c r="T14" s="37">
        <f>'11'!Y19</f>
        <v>2593</v>
      </c>
      <c r="U14" s="33" t="str">
        <f>IF('11'!AA19=1,'11'!AR6,'11'!AR7)</f>
        <v>S.A.L</v>
      </c>
      <c r="V14" s="944"/>
      <c r="W14" s="944"/>
      <c r="X14" s="13">
        <v>0.375</v>
      </c>
      <c r="Y14" s="173">
        <v>2638</v>
      </c>
      <c r="Z14" s="182">
        <v>940</v>
      </c>
      <c r="AA14" s="15">
        <v>1</v>
      </c>
      <c r="AB14" s="58">
        <f>IF('11'!AA14=1,(('11'!Z14*'11'!$AS$6*'11'!$AT$6)/('11'!Y14*0.0036)),IF('11'!AA14=2,(('11'!Z14*'11'!$AS$7*'11'!$AT$7)/('11'!Y14*0.0036))))</f>
        <v>65.822171678881304</v>
      </c>
      <c r="AC14" s="58"/>
      <c r="AD14" s="18">
        <f>(('11'!AC14*'11'!$Q$10*1000000))/('11'!Y14*3600)</f>
        <v>0</v>
      </c>
      <c r="AE14" s="183"/>
      <c r="AF14" s="184">
        <f>('11'!AE14/24)*0.454</f>
        <v>0</v>
      </c>
      <c r="AG14" s="19"/>
      <c r="AH14" s="184">
        <f>('11'!AG14/24)*0.454</f>
        <v>0</v>
      </c>
      <c r="AI14" s="267">
        <v>5000</v>
      </c>
      <c r="AJ14" s="184">
        <f>('11'!AI14/24)*0.454</f>
        <v>94.583333333333343</v>
      </c>
      <c r="AK14" s="21"/>
      <c r="AL14" s="185">
        <f>('11'!AK14/24)*0.454</f>
        <v>0</v>
      </c>
      <c r="AM14" s="21"/>
      <c r="AN14" s="185">
        <f>('11'!AM14/24)*0.454</f>
        <v>0</v>
      </c>
      <c r="AO14" s="21"/>
      <c r="AP14" s="185">
        <f>('11'!AO14/24)*0.454</f>
        <v>0</v>
      </c>
    </row>
    <row r="15" spans="1:47" ht="18.75" customHeight="1">
      <c r="A15" s="28">
        <v>0.66666666666666696</v>
      </c>
      <c r="B15" s="186">
        <v>60</v>
      </c>
      <c r="C15" s="186">
        <v>12.5</v>
      </c>
      <c r="D15" s="186">
        <v>10</v>
      </c>
      <c r="E15" s="186">
        <v>2.5</v>
      </c>
      <c r="F15" s="186">
        <v>8.5</v>
      </c>
      <c r="G15" s="186">
        <v>1.5</v>
      </c>
      <c r="H15" s="186">
        <v>1.4</v>
      </c>
      <c r="I15" s="186">
        <v>0.5</v>
      </c>
      <c r="J15" s="186">
        <v>0.5</v>
      </c>
      <c r="K15" s="186">
        <v>7.3</v>
      </c>
      <c r="L15" s="186">
        <v>6.7</v>
      </c>
      <c r="M15" s="186">
        <v>6.7</v>
      </c>
      <c r="N15" s="186">
        <v>6.5</v>
      </c>
      <c r="O15" s="186">
        <v>3.5</v>
      </c>
      <c r="P15" s="186"/>
      <c r="Q15" s="186"/>
      <c r="R15" s="37">
        <f>'11'!Z21</f>
        <v>901</v>
      </c>
      <c r="S15" s="36">
        <f>'11'!AB21</f>
        <v>60.01973394238091</v>
      </c>
      <c r="T15" s="37">
        <f>'11'!Y21</f>
        <v>2773</v>
      </c>
      <c r="U15" s="33" t="str">
        <f>IF('11'!AA21=1,'11'!AR6,'11'!AR7)</f>
        <v>S.A.L</v>
      </c>
      <c r="V15" s="944"/>
      <c r="W15" s="944"/>
      <c r="X15" s="13">
        <v>0.41666666666666702</v>
      </c>
      <c r="Y15" s="173">
        <v>2558</v>
      </c>
      <c r="Z15" s="182">
        <v>901</v>
      </c>
      <c r="AA15" s="15">
        <v>1</v>
      </c>
      <c r="AB15" s="58">
        <f>IF('11'!AA15=1,(('11'!Z15*'11'!$AS$6*'11'!$AT$6)/('11'!Y15*0.0036)),IF('11'!AA15=2,(('11'!Z15*'11'!$AS$7*'11'!$AT$7)/('11'!Y15*0.0036))))</f>
        <v>65.064394926591959</v>
      </c>
      <c r="AC15" s="58"/>
      <c r="AD15" s="18">
        <f>(('11'!AC15*'11'!$Q$10*1000000))/('11'!Y15*3600)</f>
        <v>0</v>
      </c>
      <c r="AE15" s="183"/>
      <c r="AF15" s="184">
        <f>('11'!AE15/24)*0.454</f>
        <v>0</v>
      </c>
      <c r="AG15" s="19"/>
      <c r="AH15" s="184">
        <f>('11'!AG15/24)*0.454</f>
        <v>0</v>
      </c>
      <c r="AI15" s="267">
        <v>5000</v>
      </c>
      <c r="AJ15" s="184">
        <f>('11'!AI15/24)*0.454</f>
        <v>94.583333333333343</v>
      </c>
      <c r="AK15" s="21"/>
      <c r="AL15" s="185">
        <f>('11'!AK15/24)*0.454</f>
        <v>0</v>
      </c>
      <c r="AM15" s="21"/>
      <c r="AN15" s="185">
        <f>('11'!AM15/24)*0.454</f>
        <v>0</v>
      </c>
      <c r="AO15" s="21"/>
      <c r="AP15" s="185">
        <f>('11'!AO15/24)*0.454</f>
        <v>0</v>
      </c>
    </row>
    <row r="16" spans="1:47" ht="18.75" customHeight="1">
      <c r="A16" s="28">
        <v>0.75</v>
      </c>
      <c r="B16" s="186">
        <v>60</v>
      </c>
      <c r="C16" s="186">
        <v>12.5</v>
      </c>
      <c r="D16" s="186">
        <v>10</v>
      </c>
      <c r="E16" s="186">
        <v>2.5</v>
      </c>
      <c r="F16" s="186">
        <v>8.5</v>
      </c>
      <c r="G16" s="186">
        <v>1.4</v>
      </c>
      <c r="H16" s="186">
        <v>1.4</v>
      </c>
      <c r="I16" s="186">
        <v>0.5</v>
      </c>
      <c r="J16" s="186">
        <v>0.5</v>
      </c>
      <c r="K16" s="186">
        <v>7.3</v>
      </c>
      <c r="L16" s="186">
        <v>6.7</v>
      </c>
      <c r="M16" s="186">
        <v>6.7</v>
      </c>
      <c r="N16" s="186">
        <v>6.5</v>
      </c>
      <c r="O16" s="186">
        <v>3.5</v>
      </c>
      <c r="P16" s="186"/>
      <c r="Q16" s="186"/>
      <c r="R16" s="37">
        <f>'11'!Z23</f>
        <v>901</v>
      </c>
      <c r="S16" s="36">
        <f>'11'!AB23</f>
        <v>65.55128878386067</v>
      </c>
      <c r="T16" s="37">
        <f>'11'!Y23</f>
        <v>2539</v>
      </c>
      <c r="U16" s="33" t="str">
        <f>IF('11'!AA23=1,'11'!AR6,'11'!AR7)</f>
        <v>S.A.L</v>
      </c>
      <c r="V16" s="944"/>
      <c r="W16" s="944"/>
      <c r="X16" s="13">
        <v>0.45833333333333298</v>
      </c>
      <c r="Y16" s="173">
        <v>2587</v>
      </c>
      <c r="Z16" s="182">
        <v>901</v>
      </c>
      <c r="AA16" s="15">
        <v>1</v>
      </c>
      <c r="AB16" s="58">
        <f>IF('11'!AA16=1,(('11'!Z16*'11'!$AS$6*'11'!$AT$6)/('11'!Y16*0.0036)),IF('11'!AA16=2,(('11'!Z16*'11'!$AS$7*'11'!$AT$7)/('11'!Y16*0.0036))))</f>
        <v>64.335029850105229</v>
      </c>
      <c r="AC16" s="58"/>
      <c r="AD16" s="18">
        <f>(('11'!AC16*'11'!$Q$10*1000000))/('11'!Y16*3600)</f>
        <v>0</v>
      </c>
      <c r="AE16" s="183"/>
      <c r="AF16" s="184">
        <f>('11'!AE16/24)*0.454</f>
        <v>0</v>
      </c>
      <c r="AG16" s="19"/>
      <c r="AH16" s="184">
        <f>('11'!AG16/24)*0.454</f>
        <v>0</v>
      </c>
      <c r="AI16" s="267">
        <v>5000</v>
      </c>
      <c r="AJ16" s="184">
        <f>('11'!AI16/24)*0.454</f>
        <v>94.583333333333343</v>
      </c>
      <c r="AK16" s="21"/>
      <c r="AL16" s="185">
        <f>('11'!AK16/24)*0.454</f>
        <v>0</v>
      </c>
      <c r="AM16" s="21"/>
      <c r="AN16" s="185">
        <f>('11'!AM16/24)*0.454</f>
        <v>0</v>
      </c>
      <c r="AO16" s="21"/>
      <c r="AP16" s="185">
        <f>('11'!AO16/24)*0.454</f>
        <v>0</v>
      </c>
    </row>
    <row r="17" spans="1:42" ht="18.75" customHeight="1">
      <c r="A17" s="28">
        <v>0.83333333333333304</v>
      </c>
      <c r="B17" s="186">
        <v>60</v>
      </c>
      <c r="C17" s="186">
        <v>12.5</v>
      </c>
      <c r="D17" s="186">
        <v>10</v>
      </c>
      <c r="E17" s="186">
        <v>2.5</v>
      </c>
      <c r="F17" s="186">
        <v>8.6</v>
      </c>
      <c r="G17" s="186">
        <v>1.4</v>
      </c>
      <c r="H17" s="186">
        <v>1.3</v>
      </c>
      <c r="I17" s="186">
        <v>0.4</v>
      </c>
      <c r="J17" s="186">
        <v>0.5</v>
      </c>
      <c r="K17" s="186">
        <v>7.3</v>
      </c>
      <c r="L17" s="186">
        <v>6.6</v>
      </c>
      <c r="M17" s="186">
        <v>6.7</v>
      </c>
      <c r="N17" s="186">
        <v>6.5</v>
      </c>
      <c r="O17" s="186">
        <v>3.7</v>
      </c>
      <c r="P17" s="186"/>
      <c r="Q17" s="186"/>
      <c r="R17" s="37">
        <f>'11'!Z25</f>
        <v>901</v>
      </c>
      <c r="S17" s="36">
        <f>'11'!AB25</f>
        <v>64.81102890273452</v>
      </c>
      <c r="T17" s="37">
        <f>'11'!Y25</f>
        <v>2568</v>
      </c>
      <c r="U17" s="33" t="str">
        <f>IF('11'!AA25=1,'11'!AR6,'11'!AR7)</f>
        <v>S.A.L</v>
      </c>
      <c r="V17" s="945">
        <f>ESCALA!$C$13</f>
        <v>0</v>
      </c>
      <c r="W17" s="945"/>
      <c r="X17" s="13">
        <v>0.5</v>
      </c>
      <c r="Y17" s="173">
        <v>2507</v>
      </c>
      <c r="Z17" s="182">
        <v>901</v>
      </c>
      <c r="AA17" s="15">
        <v>1</v>
      </c>
      <c r="AB17" s="58">
        <f>IF('11'!AA17=1,(('11'!Z17*'11'!$AS$6*'11'!$AT$6)/('11'!Y17*0.0036)),IF('11'!AA17=2,(('11'!Z17*'11'!$AS$7*'11'!$AT$7)/('11'!Y17*0.0036))))</f>
        <v>66.388002481939466</v>
      </c>
      <c r="AC17" s="58"/>
      <c r="AD17" s="18">
        <f>(('11'!AC17*'11'!$Q$10*1000000))/('11'!Y17*3600)</f>
        <v>0</v>
      </c>
      <c r="AE17" s="183"/>
      <c r="AF17" s="184">
        <f>('11'!AE17/24)*0.454</f>
        <v>0</v>
      </c>
      <c r="AG17" s="19"/>
      <c r="AH17" s="184">
        <f>('11'!AG17/24)*0.454</f>
        <v>0</v>
      </c>
      <c r="AI17" s="267">
        <v>5000</v>
      </c>
      <c r="AJ17" s="184">
        <f>('11'!AI17/24)*0.454</f>
        <v>94.583333333333343</v>
      </c>
      <c r="AK17" s="21"/>
      <c r="AL17" s="185">
        <f>('11'!AK17/24)*0.454</f>
        <v>0</v>
      </c>
      <c r="AM17" s="21"/>
      <c r="AN17" s="185">
        <f>('11'!AM17/24)*0.454</f>
        <v>0</v>
      </c>
      <c r="AO17" s="21"/>
      <c r="AP17" s="185">
        <f>('11'!AO17/24)*0.454</f>
        <v>0</v>
      </c>
    </row>
    <row r="18" spans="1:42" ht="19.5" customHeight="1">
      <c r="A18" s="28">
        <v>0.91666666666666696</v>
      </c>
      <c r="B18" s="186">
        <v>60</v>
      </c>
      <c r="C18" s="186">
        <v>12.5</v>
      </c>
      <c r="D18" s="186">
        <v>10</v>
      </c>
      <c r="E18" s="186">
        <v>2.5</v>
      </c>
      <c r="F18" s="186">
        <v>8.8000000000000007</v>
      </c>
      <c r="G18" s="186">
        <v>1.4</v>
      </c>
      <c r="H18" s="186">
        <v>1.2</v>
      </c>
      <c r="I18" s="186">
        <v>0.4</v>
      </c>
      <c r="J18" s="186">
        <v>0.5</v>
      </c>
      <c r="K18" s="186">
        <v>7.3</v>
      </c>
      <c r="L18" s="186">
        <v>6.6</v>
      </c>
      <c r="M18" s="186">
        <v>6.7</v>
      </c>
      <c r="N18" s="186">
        <v>6.5</v>
      </c>
      <c r="O18" s="186">
        <v>3.7</v>
      </c>
      <c r="P18" s="186"/>
      <c r="Q18" s="186"/>
      <c r="R18" s="37">
        <f>'11'!Z27</f>
        <v>901</v>
      </c>
      <c r="S18" s="36">
        <f>'11'!AB27</f>
        <v>64.735403431436112</v>
      </c>
      <c r="T18" s="37">
        <f>'11'!Y27</f>
        <v>2571</v>
      </c>
      <c r="U18" s="33" t="str">
        <f>IF('11'!AA27=1,'11'!AR6,'11'!AR7)</f>
        <v>S.A.L</v>
      </c>
      <c r="V18" s="945"/>
      <c r="W18" s="945"/>
      <c r="X18" s="13">
        <v>0.54166666666666696</v>
      </c>
      <c r="Y18" s="173">
        <v>2511</v>
      </c>
      <c r="Z18" s="182">
        <v>901</v>
      </c>
      <c r="AA18" s="15">
        <v>1</v>
      </c>
      <c r="AB18" s="58">
        <f>IF('11'!AA18=1,(('11'!Z18*'11'!$AS$6*'11'!$AT$6)/('11'!Y18*0.0036)),IF('11'!AA18=2,(('11'!Z18*'11'!$AS$7*'11'!$AT$7)/('11'!Y18*0.0036))))</f>
        <v>66.282247002079743</v>
      </c>
      <c r="AC18" s="58"/>
      <c r="AD18" s="18">
        <f>(('11'!AC18*'11'!$Q$10*1000000))/('11'!Y18*3600)</f>
        <v>0</v>
      </c>
      <c r="AE18" s="183"/>
      <c r="AF18" s="184">
        <f>('11'!AE18/24)*0.454</f>
        <v>0</v>
      </c>
      <c r="AG18" s="19"/>
      <c r="AH18" s="184">
        <f>('11'!AG18/24)*0.454</f>
        <v>0</v>
      </c>
      <c r="AI18" s="267">
        <v>5000</v>
      </c>
      <c r="AJ18" s="184">
        <f>('11'!AI18/24)*0.454</f>
        <v>94.583333333333343</v>
      </c>
      <c r="AK18" s="21"/>
      <c r="AL18" s="185">
        <f>('11'!AK18/24)*0.454</f>
        <v>0</v>
      </c>
      <c r="AM18" s="21"/>
      <c r="AN18" s="185">
        <f>('11'!AM18/24)*0.454</f>
        <v>0</v>
      </c>
      <c r="AO18" s="21"/>
      <c r="AP18" s="185">
        <f>('11'!AO18/24)*0.454</f>
        <v>0</v>
      </c>
    </row>
    <row r="19" spans="1:42" ht="18.75" customHeight="1">
      <c r="A19" s="10" t="s">
        <v>52</v>
      </c>
      <c r="B19" s="69">
        <f t="array" ref="B19">IF('11'!B7:B18&gt;0.01,AVERAGE('11'!B7:B18),"")</f>
        <v>60</v>
      </c>
      <c r="C19" s="69">
        <f t="array" ref="C19">IF('11'!C7:C18&gt;0.01,AVERAGE('11'!C7:C18),"")</f>
        <v>12.5</v>
      </c>
      <c r="D19" s="69">
        <f t="array" ref="D19">IF('11'!D7:D18&gt;0.01,AVERAGE('11'!D7:D18),"")</f>
        <v>10.833333333333334</v>
      </c>
      <c r="E19" s="69">
        <f t="array" ref="E19">IF('11'!E7:E18&gt;0.01,AVERAGE('11'!E7:E18),"")</f>
        <v>2.5</v>
      </c>
      <c r="F19" s="69">
        <f t="array" ref="F19">IF('11'!F7:F18&gt;0.01,AVERAGE('11'!F7:F18),"")</f>
        <v>8.4249999999999989</v>
      </c>
      <c r="G19" s="69">
        <f t="array" ref="G19">IF('11'!G7:G18&gt;0.01,AVERAGE('11'!G7:G18),"")</f>
        <v>1.3583333333333334</v>
      </c>
      <c r="H19" s="69">
        <f t="array" ref="H19">IF('11'!H7:H18&gt;0.01,AVERAGE('11'!H7:H18),"")</f>
        <v>1.4083333333333334</v>
      </c>
      <c r="I19" s="69">
        <f t="array" ref="I19">IF('11'!I7:I18&gt;0.01,AVERAGE('11'!I7:I18),"")</f>
        <v>0.40833333333333338</v>
      </c>
      <c r="J19" s="69">
        <f t="array" ref="J19">IF('11'!J7:J18&gt;0.01,AVERAGE('11'!J7:J18),"")</f>
        <v>0.43333333333333329</v>
      </c>
      <c r="K19" s="69">
        <f t="array" ref="K19">IF('11'!K7:K18&gt;0.01,AVERAGE('11'!K7:K18),"")</f>
        <v>7.299999999999998</v>
      </c>
      <c r="L19" s="69">
        <f t="array" ref="L19">IF('11'!L7:L18&gt;0.01,AVERAGE('11'!L7:L18),"")</f>
        <v>6.6833333333333336</v>
      </c>
      <c r="M19" s="69">
        <f t="array" ref="M19">IF('11'!M7:M18&gt;0.01,AVERAGE('11'!M7:M18),"")</f>
        <v>6.700000000000002</v>
      </c>
      <c r="N19" s="69">
        <f t="array" ref="N19">IF('11'!N7:N18&gt;0.01,AVERAGE('11'!N7:N18),"")</f>
        <v>6.5</v>
      </c>
      <c r="O19" s="69">
        <f t="array" ref="O19">IF('11'!O7:O18&gt;0.01,AVERAGE('11'!O7:O18),"")</f>
        <v>3.4833333333333338</v>
      </c>
      <c r="P19" s="190" t="str">
        <f t="array" ref="P19">IF('11'!P7:P18&gt;0.01,AVERAGE('11'!P7:P18),"")</f>
        <v/>
      </c>
      <c r="Q19" s="191" t="str">
        <f t="array" ref="Q19">IF('11'!Q7:Q18&gt;0.01,AVERAGE('11'!Q7:Q18),"")</f>
        <v/>
      </c>
      <c r="R19" s="191">
        <f t="array" ref="R19">IF('11'!R7:R18&gt;0.01,AVERAGE('11'!R7:R18),"")</f>
        <v>917.25</v>
      </c>
      <c r="S19" s="191">
        <f t="array" ref="S19">IF('11'!S7:S18&gt;0.01,AVERAGE('11'!S7:S18),"")</f>
        <v>65.008572954185709</v>
      </c>
      <c r="T19" s="946"/>
      <c r="U19" s="946"/>
      <c r="V19" s="49"/>
      <c r="W19" s="50"/>
      <c r="X19" s="13">
        <v>0.58333333333333304</v>
      </c>
      <c r="Y19" s="173">
        <v>2593</v>
      </c>
      <c r="Z19" s="182">
        <v>901</v>
      </c>
      <c r="AA19" s="15">
        <v>1</v>
      </c>
      <c r="AB19" s="58">
        <f>IF('11'!AA19=1,(('11'!Z19*'11'!$AS$6*'11'!$AT$6)/('11'!Y19*0.0036)),IF('11'!AA19=2,(('11'!Z19*'11'!$AS$7*'11'!$AT$7)/('11'!Y19*0.0036))))</f>
        <v>64.186163602862422</v>
      </c>
      <c r="AC19" s="58"/>
      <c r="AD19" s="18">
        <f>(('11'!AC19*'11'!$Q$10*1000000))/('11'!Y19*3600)</f>
        <v>0</v>
      </c>
      <c r="AE19" s="183"/>
      <c r="AF19" s="184">
        <f>('11'!AE19/24)*0.454</f>
        <v>0</v>
      </c>
      <c r="AG19" s="19"/>
      <c r="AH19" s="184">
        <f>('11'!AG19/24)*0.454</f>
        <v>0</v>
      </c>
      <c r="AI19" s="267">
        <v>5000</v>
      </c>
      <c r="AJ19" s="184">
        <f>('11'!AI19/24)*0.454</f>
        <v>94.583333333333343</v>
      </c>
      <c r="AK19" s="21"/>
      <c r="AL19" s="185">
        <f>('11'!AK19/24)*0.454</f>
        <v>0</v>
      </c>
      <c r="AM19" s="21"/>
      <c r="AN19" s="185">
        <f>('11'!AM19/24)*0.454</f>
        <v>0</v>
      </c>
      <c r="AO19" s="21"/>
      <c r="AP19" s="185">
        <f>('11'!AO19/24)*0.454</f>
        <v>0</v>
      </c>
    </row>
    <row r="20" spans="1:42" ht="18.75" customHeight="1">
      <c r="A20" s="10" t="s">
        <v>53</v>
      </c>
      <c r="B20" s="69">
        <f>MAX('11'!B7:B18)</f>
        <v>60</v>
      </c>
      <c r="C20" s="69">
        <f>MAX('11'!C7:C18)</f>
        <v>12.5</v>
      </c>
      <c r="D20" s="69">
        <f>MAX('11'!D7:D18)</f>
        <v>12.5</v>
      </c>
      <c r="E20" s="69">
        <f>MAX('11'!E7:E18)</f>
        <v>2.5</v>
      </c>
      <c r="F20" s="69">
        <f>MAX('11'!F7:F18)</f>
        <v>8.8000000000000007</v>
      </c>
      <c r="G20" s="69">
        <f>MAX('11'!G7:G18)</f>
        <v>1.5</v>
      </c>
      <c r="H20" s="69">
        <f>MAX('11'!H7:H18)</f>
        <v>1.7</v>
      </c>
      <c r="I20" s="69">
        <f>MAX('11'!I7:I18)</f>
        <v>0.5</v>
      </c>
      <c r="J20" s="69">
        <f>MAX('11'!J7:J18)</f>
        <v>0.5</v>
      </c>
      <c r="K20" s="69">
        <f>MAX('11'!K7:K18)</f>
        <v>7.3</v>
      </c>
      <c r="L20" s="69">
        <f>MAX('11'!L7:L18)</f>
        <v>6.7</v>
      </c>
      <c r="M20" s="69">
        <f>MAX('11'!M7:M18)</f>
        <v>6.7</v>
      </c>
      <c r="N20" s="69">
        <f>MAX('11'!N7:N18)</f>
        <v>6.5</v>
      </c>
      <c r="O20" s="70">
        <f>MAX('11'!O7:O18)</f>
        <v>3.7</v>
      </c>
      <c r="P20" s="70">
        <f>MAX('11'!P7:P18)</f>
        <v>0</v>
      </c>
      <c r="Q20" s="70">
        <f>MAX('11'!Q7:Q18)</f>
        <v>0</v>
      </c>
      <c r="R20" s="70">
        <f>MAX('11'!R7:R18)</f>
        <v>940</v>
      </c>
      <c r="S20" s="70">
        <f>MAX('11'!S7:S18)</f>
        <v>66.758511683540519</v>
      </c>
      <c r="T20" s="946"/>
      <c r="U20" s="946"/>
      <c r="X20" s="13">
        <v>0.625</v>
      </c>
      <c r="Y20" s="173">
        <v>2631</v>
      </c>
      <c r="Z20" s="182">
        <v>901</v>
      </c>
      <c r="AA20" s="15">
        <v>1</v>
      </c>
      <c r="AB20" s="58">
        <f>IF('11'!AA20=1,(('11'!Z20*'11'!$AS$6*'11'!$AT$6)/('11'!Y20*0.0036)),IF('11'!AA20=2,(('11'!Z20*'11'!$AS$7*'11'!$AT$7)/('11'!Y20*0.0036))))</f>
        <v>63.259111448963225</v>
      </c>
      <c r="AC20" s="58"/>
      <c r="AD20" s="18">
        <f>(('11'!AC20*'11'!$Q$10*1000000))/('11'!Y20*3600)</f>
        <v>0</v>
      </c>
      <c r="AE20" s="183"/>
      <c r="AF20" s="184">
        <f>('11'!AE20/24)*0.454</f>
        <v>0</v>
      </c>
      <c r="AG20" s="19"/>
      <c r="AH20" s="184">
        <f>('11'!AG20/24)*0.454</f>
        <v>0</v>
      </c>
      <c r="AI20" s="267">
        <v>5000</v>
      </c>
      <c r="AJ20" s="184">
        <f>('11'!AI20/24)*0.454</f>
        <v>94.583333333333343</v>
      </c>
      <c r="AK20" s="21"/>
      <c r="AL20" s="185">
        <f>('11'!AK20/24)*0.454</f>
        <v>0</v>
      </c>
      <c r="AM20" s="21"/>
      <c r="AN20" s="185">
        <f>('11'!AM20/24)*0.454</f>
        <v>0</v>
      </c>
      <c r="AO20" s="21"/>
      <c r="AP20" s="185">
        <f>('11'!AO20/24)*0.454</f>
        <v>0</v>
      </c>
    </row>
    <row r="21" spans="1:42" ht="19.5" customHeight="1">
      <c r="A21" s="10" t="s">
        <v>54</v>
      </c>
      <c r="B21" s="69">
        <f>MIN('11'!B7:B18)</f>
        <v>60</v>
      </c>
      <c r="C21" s="69">
        <f>MIN('11'!C7:C18)</f>
        <v>12.5</v>
      </c>
      <c r="D21" s="69">
        <f>MIN('11'!D7:D18)</f>
        <v>10</v>
      </c>
      <c r="E21" s="69">
        <f>MIN('11'!E7:E18)</f>
        <v>2.5</v>
      </c>
      <c r="F21" s="69">
        <f>MIN('11'!F7:F18)</f>
        <v>8.1999999999999993</v>
      </c>
      <c r="G21" s="192">
        <f>MIN('11'!G7:G18)</f>
        <v>1.2</v>
      </c>
      <c r="H21" s="192">
        <f>MIN('11'!H7:H18)</f>
        <v>1.2</v>
      </c>
      <c r="I21" s="192">
        <f>MIN('11'!I7:I18)</f>
        <v>0.3</v>
      </c>
      <c r="J21" s="192">
        <f>MIN('11'!J7:J18)</f>
        <v>0.4</v>
      </c>
      <c r="K21" s="192">
        <f>MIN('11'!K7:K18)</f>
        <v>7.3</v>
      </c>
      <c r="L21" s="192">
        <f>MIN('11'!L7:L18)</f>
        <v>6.6</v>
      </c>
      <c r="M21" s="192">
        <f>MIN('11'!M7:M18)</f>
        <v>6.7</v>
      </c>
      <c r="N21" s="192">
        <f>MIN('11'!N7:N18)</f>
        <v>6.5</v>
      </c>
      <c r="O21" s="193">
        <f>MIN('11'!O7:O18)</f>
        <v>3.2</v>
      </c>
      <c r="P21" s="193">
        <f>MIN('11'!P7:P18)</f>
        <v>0</v>
      </c>
      <c r="Q21" s="193">
        <f>MIN('11'!Q7:Q18)</f>
        <v>0</v>
      </c>
      <c r="R21" s="193">
        <f>MIN('11'!R7:R18)</f>
        <v>901</v>
      </c>
      <c r="S21" s="193">
        <f>MIN('11'!S7:S18)</f>
        <v>60.01973394238091</v>
      </c>
      <c r="T21" s="946"/>
      <c r="U21" s="946"/>
      <c r="X21" s="13">
        <v>0.66666666666666696</v>
      </c>
      <c r="Y21" s="173">
        <v>2773</v>
      </c>
      <c r="Z21" s="182">
        <v>901</v>
      </c>
      <c r="AA21" s="15">
        <v>1</v>
      </c>
      <c r="AB21" s="58">
        <f>IF('11'!AA21=1,(('11'!Z21*'11'!$AS$6*'11'!$AT$6)/('11'!Y21*0.0036)),IF('11'!AA21=2,(('11'!Z21*'11'!$AS$7*'11'!$AT$7)/('11'!Y21*0.0036))))</f>
        <v>60.01973394238091</v>
      </c>
      <c r="AC21" s="58"/>
      <c r="AD21" s="18">
        <f>(('11'!AC21*'11'!$Q$10*1000000))/('11'!Y21*3600)</f>
        <v>0</v>
      </c>
      <c r="AE21" s="183"/>
      <c r="AF21" s="184">
        <f>('11'!AE21/24)*0.454</f>
        <v>0</v>
      </c>
      <c r="AG21" s="19"/>
      <c r="AH21" s="184">
        <f>('11'!AG21/24)*0.454</f>
        <v>0</v>
      </c>
      <c r="AI21" s="267">
        <v>5000</v>
      </c>
      <c r="AJ21" s="184">
        <f>('11'!AI21/24)*0.454</f>
        <v>94.583333333333343</v>
      </c>
      <c r="AK21" s="21"/>
      <c r="AL21" s="185">
        <f>('11'!AK21/24)*0.454</f>
        <v>0</v>
      </c>
      <c r="AM21" s="21"/>
      <c r="AN21" s="185">
        <f>('11'!AM21/24)*0.454</f>
        <v>0</v>
      </c>
      <c r="AO21" s="21"/>
      <c r="AP21" s="185">
        <f>('11'!AO21/24)*0.454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173">
        <v>2620</v>
      </c>
      <c r="Z22" s="182">
        <v>901</v>
      </c>
      <c r="AA22" s="15">
        <v>1</v>
      </c>
      <c r="AB22" s="58">
        <f>IF('11'!AA22=1,(('11'!Z22*'11'!$AS$6*'11'!$AT$6)/('11'!Y22*0.0036)),IF('11'!AA22=2,(('11'!Z22*'11'!$AS$7*'11'!$AT$7)/('11'!Y22*0.0036))))</f>
        <v>63.524703138252761</v>
      </c>
      <c r="AC22" s="58"/>
      <c r="AD22" s="18">
        <f>(('11'!AC22*'11'!$Q$10*1000000))/('11'!Y22*3600)</f>
        <v>0</v>
      </c>
      <c r="AE22" s="183"/>
      <c r="AF22" s="184">
        <f>('11'!AE22/24)*0.454</f>
        <v>0</v>
      </c>
      <c r="AG22" s="19"/>
      <c r="AH22" s="184">
        <f>('11'!AG22/24)*0.454</f>
        <v>0</v>
      </c>
      <c r="AI22" s="267">
        <v>5000</v>
      </c>
      <c r="AJ22" s="184">
        <f>('11'!AI22/24)*0.454</f>
        <v>94.583333333333343</v>
      </c>
      <c r="AK22" s="21"/>
      <c r="AL22" s="185">
        <f>('11'!AK22/24)*0.454</f>
        <v>0</v>
      </c>
      <c r="AM22" s="21"/>
      <c r="AN22" s="185">
        <f>('11'!AM22/24)*0.454</f>
        <v>0</v>
      </c>
      <c r="AO22" s="21"/>
      <c r="AP22" s="185">
        <f>('11'!AO22/24)*0.454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173">
        <v>2539</v>
      </c>
      <c r="Z23" s="182">
        <v>901</v>
      </c>
      <c r="AA23" s="15">
        <v>1</v>
      </c>
      <c r="AB23" s="58">
        <f>IF('11'!AA23=1,(('11'!Z23*'11'!$AS$6*'11'!$AT$6)/('11'!Y23*0.0036)),IF('11'!AA23=2,(('11'!Z23*'11'!$AS$7*'11'!$AT$7)/('11'!Y23*0.0036))))</f>
        <v>65.55128878386067</v>
      </c>
      <c r="AC23" s="58"/>
      <c r="AD23" s="18">
        <f>(('11'!AC23*'11'!$Q$10*1000000))/('11'!Y23*3600)</f>
        <v>0</v>
      </c>
      <c r="AE23" s="183"/>
      <c r="AF23" s="184">
        <f>('11'!AE23/24)*0.454</f>
        <v>0</v>
      </c>
      <c r="AG23" s="19"/>
      <c r="AH23" s="184">
        <f>('11'!AG23/24)*0.454</f>
        <v>0</v>
      </c>
      <c r="AI23" s="267">
        <v>5000</v>
      </c>
      <c r="AJ23" s="184">
        <f>('11'!AI23/24)*0.454</f>
        <v>94.583333333333343</v>
      </c>
      <c r="AK23" s="21"/>
      <c r="AL23" s="185">
        <f>('11'!AK23/24)*0.454</f>
        <v>0</v>
      </c>
      <c r="AM23" s="21"/>
      <c r="AN23" s="185">
        <f>('11'!AM23/24)*0.454</f>
        <v>0</v>
      </c>
      <c r="AO23" s="21"/>
      <c r="AP23" s="185">
        <f>('11'!AO23/24)*0.454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173">
        <v>2575</v>
      </c>
      <c r="Z24" s="182">
        <v>901</v>
      </c>
      <c r="AA24" s="15">
        <v>1</v>
      </c>
      <c r="AB24" s="16">
        <f>IF('11'!AA24=1,(('11'!Z24*'11'!$AS$6*'11'!$AT$6)/('11'!Y24*0.0036)),IF('11'!AA24=2,(('11'!Z24*'11'!$AS$7*'11'!$AT$7)/('11'!Y24*0.0036))))</f>
        <v>64.634843581445537</v>
      </c>
      <c r="AC24" s="16"/>
      <c r="AD24" s="194">
        <f>(('11'!AC24*'11'!$Q$10*1000000))/('11'!Y24*3600)</f>
        <v>0</v>
      </c>
      <c r="AE24" s="183"/>
      <c r="AF24" s="195">
        <f>('11'!AE24/24)*0.454</f>
        <v>0</v>
      </c>
      <c r="AG24" s="173"/>
      <c r="AH24" s="195">
        <f>('11'!AG24/24)*0.454</f>
        <v>0</v>
      </c>
      <c r="AI24" s="267">
        <v>5000</v>
      </c>
      <c r="AJ24" s="195">
        <f>('11'!AI24/24)*0.454</f>
        <v>94.583333333333343</v>
      </c>
      <c r="AK24" s="21"/>
      <c r="AL24" s="196">
        <f>('11'!AK24/24)*0.454</f>
        <v>0</v>
      </c>
      <c r="AM24" s="197"/>
      <c r="AN24" s="196">
        <f>('11'!AM24/24)*0.454</f>
        <v>0</v>
      </c>
      <c r="AO24" s="21"/>
      <c r="AP24" s="196">
        <f>('11'!AO24/24)*0.454</f>
        <v>0</v>
      </c>
    </row>
    <row r="25" spans="1:42" ht="19.5" customHeight="1">
      <c r="A25" s="64">
        <v>0.41666666666666702</v>
      </c>
      <c r="B25" s="261" t="s">
        <v>131</v>
      </c>
      <c r="C25" s="261">
        <v>0.32</v>
      </c>
      <c r="D25" s="261">
        <v>0.35</v>
      </c>
      <c r="E25" s="199">
        <v>0.45</v>
      </c>
      <c r="F25" s="199">
        <v>0.44</v>
      </c>
      <c r="G25" s="199">
        <v>0.37</v>
      </c>
      <c r="H25" s="199">
        <v>0.37</v>
      </c>
      <c r="I25" s="199">
        <v>0.46</v>
      </c>
      <c r="J25" s="199">
        <v>0.38</v>
      </c>
      <c r="K25" s="199">
        <v>0.4</v>
      </c>
      <c r="L25" s="199">
        <v>0.41</v>
      </c>
      <c r="M25" s="199">
        <v>0.5</v>
      </c>
      <c r="N25" s="199">
        <v>0.33</v>
      </c>
      <c r="O25" s="199">
        <v>0.45</v>
      </c>
      <c r="P25" s="199">
        <v>0.42</v>
      </c>
      <c r="Q25" s="199" t="s">
        <v>131</v>
      </c>
      <c r="R25" s="65" t="e">
        <f>#DIV/0!</f>
        <v>#DIV/0!</v>
      </c>
      <c r="S25" s="66"/>
      <c r="T25" s="1023" t="s">
        <v>0</v>
      </c>
      <c r="U25" s="1053">
        <f>ESCALA!$A$13</f>
        <v>43901</v>
      </c>
      <c r="X25" s="13">
        <v>0.83333333333333304</v>
      </c>
      <c r="Y25" s="173">
        <v>2568</v>
      </c>
      <c r="Z25" s="182">
        <v>901</v>
      </c>
      <c r="AA25" s="15">
        <v>1</v>
      </c>
      <c r="AB25" s="58">
        <f>IF('11'!AA25=1,(('11'!Z25*'11'!$AS$6*'11'!$AT$6)/('11'!Y25*0.0036)),IF('11'!AA25=2,(('11'!Z25*'11'!$AS$7*'11'!$AT$7)/('11'!Y25*0.0036))))</f>
        <v>64.81102890273452</v>
      </c>
      <c r="AC25" s="58"/>
      <c r="AD25" s="18">
        <f>(('11'!AC25*'11'!$Q$10*1000000))/('11'!Y25*3600)</f>
        <v>0</v>
      </c>
      <c r="AE25" s="183"/>
      <c r="AF25" s="184">
        <f>('11'!AE25/24)*0.454</f>
        <v>0</v>
      </c>
      <c r="AG25" s="19"/>
      <c r="AH25" s="184">
        <f>('11'!AG25/24)*0.454</f>
        <v>0</v>
      </c>
      <c r="AI25" s="267">
        <v>5000</v>
      </c>
      <c r="AJ25" s="184">
        <f>('11'!AI25/24)*0.454</f>
        <v>94.583333333333343</v>
      </c>
      <c r="AK25" s="21"/>
      <c r="AL25" s="185">
        <f>('11'!AK25/24)*0.454</f>
        <v>0</v>
      </c>
      <c r="AM25" s="21"/>
      <c r="AN25" s="185">
        <f>('11'!AM25/24)*0.454</f>
        <v>0</v>
      </c>
      <c r="AO25" s="21"/>
      <c r="AP25" s="185">
        <f>('11'!AO25/24)*0.454</f>
        <v>0</v>
      </c>
    </row>
    <row r="26" spans="1:42" ht="19.5" customHeight="1">
      <c r="A26" s="64">
        <v>0.66666666666666696</v>
      </c>
      <c r="B26" s="261"/>
      <c r="C26" s="261"/>
      <c r="D26" s="261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65" t="e">
        <f>#DIV/0!</f>
        <v>#DIV/0!</v>
      </c>
      <c r="S26" s="67"/>
      <c r="T26" s="1023"/>
      <c r="U26" s="1053"/>
      <c r="X26" s="13">
        <v>0.875</v>
      </c>
      <c r="Y26" s="173">
        <v>2589</v>
      </c>
      <c r="Z26" s="182">
        <v>901</v>
      </c>
      <c r="AA26" s="15">
        <v>1</v>
      </c>
      <c r="AB26" s="58">
        <f>IF('11'!AA26=1,(('11'!Z26*'11'!$AS$6*'11'!$AT$6)/('11'!Y26*0.0036)),IF('11'!AA26=2,(('11'!Z26*'11'!$AS$7*'11'!$AT$7)/('11'!Y26*0.0036))))</f>
        <v>64.28533110166947</v>
      </c>
      <c r="AC26" s="58"/>
      <c r="AD26" s="18">
        <f>(('11'!AC26*'11'!$Q$10*1000000))/('11'!Y26*3600)</f>
        <v>0</v>
      </c>
      <c r="AE26" s="183"/>
      <c r="AF26" s="184">
        <f>('11'!AE26/24)*0.454</f>
        <v>0</v>
      </c>
      <c r="AG26" s="19"/>
      <c r="AH26" s="184">
        <f>('11'!AG26/24)*0.454</f>
        <v>0</v>
      </c>
      <c r="AI26" s="267">
        <v>5000</v>
      </c>
      <c r="AJ26" s="184">
        <f>('11'!AI26/24)*0.454</f>
        <v>94.583333333333343</v>
      </c>
      <c r="AK26" s="21"/>
      <c r="AL26" s="185">
        <f>('11'!AK26/24)*0.454</f>
        <v>0</v>
      </c>
      <c r="AM26" s="21"/>
      <c r="AN26" s="185">
        <f>('11'!AM26/24)*0.454</f>
        <v>0</v>
      </c>
      <c r="AO26" s="21"/>
      <c r="AP26" s="185">
        <f>('11'!AO26/24)*0.454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173">
        <v>2571</v>
      </c>
      <c r="Z27" s="182">
        <v>901</v>
      </c>
      <c r="AA27" s="15">
        <v>1</v>
      </c>
      <c r="AB27" s="58">
        <f>IF('11'!AA27=1,(('11'!Z27*'11'!$AS$6*'11'!$AT$6)/('11'!Y27*0.0036)),IF('11'!AA27=2,(('11'!Z27*'11'!$AS$7*'11'!$AT$7)/('11'!Y27*0.0036))))</f>
        <v>64.735403431436112</v>
      </c>
      <c r="AC27" s="58"/>
      <c r="AD27" s="18">
        <f>(('11'!AC27*'11'!$Q$10*1000000))/('11'!Y27*3600)</f>
        <v>0</v>
      </c>
      <c r="AE27" s="183"/>
      <c r="AF27" s="184">
        <f>('11'!AE27/24)*0.454</f>
        <v>0</v>
      </c>
      <c r="AG27" s="19"/>
      <c r="AH27" s="184">
        <f>('11'!AG27/24)*0.454</f>
        <v>0</v>
      </c>
      <c r="AI27" s="267">
        <v>5000</v>
      </c>
      <c r="AJ27" s="184">
        <f>('11'!AI27/24)*0.454</f>
        <v>94.583333333333343</v>
      </c>
      <c r="AK27" s="21"/>
      <c r="AL27" s="185">
        <f>('11'!AK27/24)*0.454</f>
        <v>0</v>
      </c>
      <c r="AM27" s="21"/>
      <c r="AN27" s="185">
        <f>('11'!AM27/24)*0.454</f>
        <v>0</v>
      </c>
      <c r="AO27" s="21"/>
      <c r="AP27" s="185">
        <f>('11'!AO27/24)*0.454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3">
        <v>2561</v>
      </c>
      <c r="Z28" s="182">
        <v>901</v>
      </c>
      <c r="AA28" s="15">
        <v>1</v>
      </c>
      <c r="AB28" s="58">
        <f>IF('11'!AA28=1,(('11'!Z28*'11'!$AS$6*'11'!$AT$6)/('11'!Y28*0.0036)),IF('11'!AA28=2,(('11'!Z28*'11'!$AS$7*'11'!$AT$7)/('11'!Y28*0.0036))))</f>
        <v>64.988177361273813</v>
      </c>
      <c r="AC28" s="58"/>
      <c r="AD28" s="18">
        <f>(('11'!AC28*'11'!$Q$10*1000000))/('11'!Y28*3600)</f>
        <v>0</v>
      </c>
      <c r="AE28" s="183"/>
      <c r="AF28" s="184">
        <f>('11'!AE28/24)*0.454</f>
        <v>0</v>
      </c>
      <c r="AG28" s="19"/>
      <c r="AH28" s="184">
        <f>('11'!AG28/24)*0.454</f>
        <v>0</v>
      </c>
      <c r="AI28" s="267">
        <v>5000</v>
      </c>
      <c r="AJ28" s="184">
        <f>('11'!AI28/24)*0.454</f>
        <v>94.583333333333343</v>
      </c>
      <c r="AK28" s="21"/>
      <c r="AL28" s="185">
        <f>('11'!AK28/24)*0.454</f>
        <v>0</v>
      </c>
      <c r="AM28" s="21"/>
      <c r="AN28" s="185">
        <f>('11'!AM28/24)*0.454</f>
        <v>0</v>
      </c>
      <c r="AO28" s="21"/>
      <c r="AP28" s="185">
        <f>('11'!AO28/24)*0.454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3">
        <v>2602</v>
      </c>
      <c r="Z29" s="182">
        <v>901</v>
      </c>
      <c r="AA29" s="15">
        <v>1</v>
      </c>
      <c r="AB29" s="58">
        <f>IF('11'!AA29=1,(('11'!Z29*'11'!$AS$6*'11'!$AT$6)/('11'!Y29*0.0036)),IF('11'!AA29=2,(('11'!Z29*'11'!$AS$7*'11'!$AT$7)/('11'!Y29*0.0036))))</f>
        <v>63.964151507387484</v>
      </c>
      <c r="AC29" s="58"/>
      <c r="AD29" s="18">
        <f>(('11'!AC29*'11'!$Q$10*1000000))/('11'!Y29*3600)</f>
        <v>0</v>
      </c>
      <c r="AE29" s="183"/>
      <c r="AF29" s="184">
        <f>('11'!AE29/24)*0.454</f>
        <v>0</v>
      </c>
      <c r="AG29" s="19"/>
      <c r="AH29" s="184">
        <f>('11'!AG29/24)*0.454</f>
        <v>0</v>
      </c>
      <c r="AI29" s="267">
        <v>5000</v>
      </c>
      <c r="AJ29" s="184">
        <f>('11'!AI29/24)*0.454</f>
        <v>94.583333333333343</v>
      </c>
      <c r="AK29" s="21"/>
      <c r="AL29" s="185">
        <f>('11'!AK29/24)*0.454</f>
        <v>0</v>
      </c>
      <c r="AM29" s="21"/>
      <c r="AN29" s="185">
        <f>('11'!AM29/24)*0.454</f>
        <v>0</v>
      </c>
      <c r="AO29" s="21"/>
      <c r="AP29" s="185">
        <f>('11'!AO29/24)*0.454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SUM('11'!Y6:Y29)*3.6</f>
        <v>224888.4</v>
      </c>
      <c r="Z30" s="82">
        <f>SUM('11'!Z6:Z29)</f>
        <v>21975</v>
      </c>
      <c r="AA30" s="78"/>
      <c r="AB30" s="79"/>
      <c r="AC30" s="78"/>
      <c r="AD30" s="79"/>
      <c r="AE30" s="34"/>
      <c r="AF30" s="184">
        <f>SUM('11'!AF6:AF29)</f>
        <v>0</v>
      </c>
      <c r="AG30" s="34"/>
      <c r="AH30" s="184">
        <f>SUM('11'!AH6:AH29)</f>
        <v>0</v>
      </c>
      <c r="AI30" s="183"/>
      <c r="AJ30" s="184">
        <f>SUM('11'!AJ6:AJ29)</f>
        <v>2270</v>
      </c>
      <c r="AK30" s="80"/>
      <c r="AL30" s="185">
        <f>SUM('11'!AL6:AL29)</f>
        <v>0</v>
      </c>
      <c r="AM30" s="80"/>
      <c r="AN30" s="185">
        <f>SUM('11'!AN6:AN29)</f>
        <v>0</v>
      </c>
      <c r="AO30" s="80"/>
      <c r="AP30" s="185">
        <f>SUM('11'!AP6:AP29)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SUMIF('11'!AA6:AA29,"=1",'11'!Z6:Z29)</f>
        <v>21975</v>
      </c>
      <c r="AA32" s="82">
        <f>'11'!Z32*'11'!AS6</f>
        <v>29226.75</v>
      </c>
      <c r="AB32" s="83">
        <f>SUMIF('11'!$AA$6:$AA$29,"=1",'11'!$AB$6:$AB$29)/COUNTIF('11'!$AA$6:$AA$29,"=1")</f>
        <v>64.998979557274467</v>
      </c>
      <c r="AC32" s="84">
        <f>SUMIF('11'!AA6:AA29,"=1",'11'!AC6:AC29)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SUMIF('11'!AA6:AA29,"=2",'11'!Z6:Z29)</f>
        <v>0</v>
      </c>
      <c r="AA33" s="82">
        <f>'11'!Z33*'11'!AS7</f>
        <v>0</v>
      </c>
      <c r="AB33" s="83" t="e">
        <f>SUMIF('11'!$AA$6:$AA$29,"=2",'11'!$AB$6:$AB$29)/COUNTIF('11'!$AA$6:$AA$29,"=2")</f>
        <v>#DIV/0!</v>
      </c>
      <c r="AC33" s="89">
        <f>SUMIF('11'!AA6:AA29,"=2",'11'!AC6:AC29)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AVERAGE('11'!Y6:Y29)</f>
        <v>2602.875</v>
      </c>
      <c r="Z34" s="96">
        <f>AVERAGE('11'!Z6:Z29)</f>
        <v>915.625</v>
      </c>
      <c r="AA34" s="97"/>
      <c r="AB34" s="97"/>
      <c r="AC34" s="98">
        <f>SUM('11'!AC6:AC29)/COUNTIF('11'!AC6:AC29,"&lt;&gt;0")</f>
        <v>0</v>
      </c>
      <c r="AD34" s="99" t="e">
        <f>SUM('11'!AD6:AD29)/COUNTIF('11'!AD6:AD29,"&lt;&gt;0")</f>
        <v>#DIV/0!</v>
      </c>
      <c r="AE34" s="78"/>
      <c r="AF34" s="98">
        <f>AVERAGE('11'!AF6:AF29)</f>
        <v>0</v>
      </c>
      <c r="AG34" s="98"/>
      <c r="AH34" s="98">
        <f>AVERAGE('11'!AH6:AH29)</f>
        <v>0</v>
      </c>
      <c r="AI34" s="98"/>
      <c r="AJ34" s="98">
        <f>'11'!AJ30/24</f>
        <v>94.583333333333329</v>
      </c>
      <c r="AK34" s="98"/>
      <c r="AL34" s="98">
        <f>AVERAGE('11'!AL6:AL29)</f>
        <v>0</v>
      </c>
      <c r="AM34" s="98"/>
      <c r="AN34" s="98">
        <f>AVERAGE('11'!AN6:AN29)</f>
        <v>0</v>
      </c>
      <c r="AO34" s="98"/>
      <c r="AP34" s="98">
        <f>AVERAGE('11'!AP6:AP29)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70" t="s">
        <v>15</v>
      </c>
      <c r="X35" s="958" t="s">
        <v>66</v>
      </c>
      <c r="Y35" s="958"/>
      <c r="Z35" s="103"/>
      <c r="AA35" s="958" t="s">
        <v>67</v>
      </c>
      <c r="AB35" s="958"/>
      <c r="AJ35" s="1030" t="s">
        <v>68</v>
      </c>
      <c r="AK35" s="1030"/>
      <c r="AL35" s="1030"/>
      <c r="AM35" s="1030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70"/>
      <c r="X36" s="268" t="s">
        <v>73</v>
      </c>
      <c r="Y36" s="106">
        <v>1</v>
      </c>
      <c r="Z36" s="107"/>
      <c r="AA36" s="269" t="s">
        <v>74</v>
      </c>
      <c r="AB36" s="106">
        <v>5</v>
      </c>
      <c r="AJ36" s="1030"/>
      <c r="AK36" s="1030"/>
      <c r="AL36" s="1030"/>
      <c r="AM36" s="1030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94.8</v>
      </c>
      <c r="D37" s="186">
        <v>74.599999999999994</v>
      </c>
      <c r="E37" s="186">
        <v>60.5</v>
      </c>
      <c r="F37" s="186">
        <v>1</v>
      </c>
      <c r="G37" s="183">
        <v>0.1</v>
      </c>
      <c r="H37" s="183">
        <v>0</v>
      </c>
      <c r="I37" s="183">
        <v>0.1</v>
      </c>
      <c r="J37" s="183">
        <v>0.06</v>
      </c>
      <c r="K37" s="183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36">
        <f>'11'!V12</f>
        <v>0</v>
      </c>
      <c r="X37" s="1031" t="s">
        <v>75</v>
      </c>
      <c r="Y37" s="1031"/>
      <c r="Z37" s="110">
        <f>COUNTA('11'!Z6:Z29)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SUM('11'!AF30+'11'!AH30)</f>
        <v>0</v>
      </c>
      <c r="AL38" s="210" t="s">
        <v>78</v>
      </c>
      <c r="AM38" s="212">
        <f>SUM('11'!AL30+'11'!AN30)</f>
        <v>0</v>
      </c>
      <c r="AO38" s="210" t="s">
        <v>78</v>
      </c>
      <c r="AP38" s="211">
        <f>'11'!AJ30</f>
        <v>2270</v>
      </c>
      <c r="AQ38" s="210" t="s">
        <v>78</v>
      </c>
      <c r="AR38" s="212">
        <f>'11'!AP30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1071" t="s">
        <v>85</v>
      </c>
      <c r="T39" s="1071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('11'!AK38/'11'!Y30)*1000</f>
        <v>0</v>
      </c>
      <c r="AL39" s="215" t="s">
        <v>86</v>
      </c>
      <c r="AM39" s="216">
        <f>('11'!AM38/'11'!Y30)*1000</f>
        <v>0</v>
      </c>
      <c r="AO39" s="213" t="s">
        <v>86</v>
      </c>
      <c r="AP39" s="214">
        <f>('11'!AP38/'11'!Y30)*1000</f>
        <v>10.093895461037564</v>
      </c>
      <c r="AQ39" s="215" t="s">
        <v>86</v>
      </c>
      <c r="AR39" s="216">
        <f>('11'!AR38/'11'!Y30)*1000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1071"/>
      <c r="T40" s="1071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SUM('11'!AK38,'11'!AM38)</f>
        <v>0</v>
      </c>
      <c r="AM40" s="975"/>
      <c r="AO40" s="976" t="s">
        <v>90</v>
      </c>
      <c r="AP40" s="976"/>
      <c r="AQ40" s="977">
        <f>SUM('11'!AP38,'11'!AR38)</f>
        <v>2270</v>
      </c>
      <c r="AR40" s="977"/>
    </row>
    <row r="41" spans="1:44" ht="16.5" customHeight="1">
      <c r="A41" s="133">
        <f>COUNTA('11'!E7:E18)</f>
        <v>12</v>
      </c>
      <c r="B41" s="134">
        <f>COUNTA('11'!I7:I18)</f>
        <v>12</v>
      </c>
      <c r="C41" s="978">
        <f>COUNTA('11'!J7:J18)</f>
        <v>12</v>
      </c>
      <c r="D41" s="978">
        <f>COUNTA('11'!K7:K18)</f>
        <v>12</v>
      </c>
      <c r="E41" s="978">
        <f>COUNTIF('11'!E7:E18,"&gt;15")</f>
        <v>0</v>
      </c>
      <c r="F41" s="978"/>
      <c r="G41" s="978">
        <f>COUNTIF('11'!J7:J18,"&gt;1")</f>
        <v>0</v>
      </c>
      <c r="H41" s="978"/>
      <c r="I41" s="135"/>
      <c r="J41" s="978">
        <f>'11'!A41-'11'!E41</f>
        <v>12</v>
      </c>
      <c r="K41" s="978"/>
      <c r="L41" s="978">
        <f>'11'!C41-'11'!G41</f>
        <v>12</v>
      </c>
      <c r="M41" s="978"/>
      <c r="N41" s="135"/>
      <c r="O41" s="979">
        <f>COUNTIF('11'!J7:J18,"&lt;=0,5")</f>
        <v>12</v>
      </c>
      <c r="P41" s="979"/>
      <c r="Q41" s="979"/>
      <c r="R41" s="969"/>
      <c r="S41" s="980">
        <f>COUNTIF('11'!J7:J18,"&lt;=1,0")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SUM(('11'!AK38+'11'!AM38)/'11'!Y30)*1000</f>
        <v>0</v>
      </c>
      <c r="AM41" s="981"/>
      <c r="AO41" s="976" t="s">
        <v>91</v>
      </c>
      <c r="AP41" s="976"/>
      <c r="AQ41" s="981">
        <f>SUM(('11'!AP38+'11'!AR38)/'11'!Y30)*1000</f>
        <v>10.093895461037564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>
        <v>95</v>
      </c>
      <c r="Z44" s="144" t="s">
        <v>101</v>
      </c>
      <c r="AA44" s="145"/>
      <c r="AB44" s="144" t="s">
        <v>101</v>
      </c>
      <c r="AC44" s="145">
        <v>132</v>
      </c>
      <c r="AD44" s="988"/>
      <c r="AE44" s="988"/>
      <c r="AF44" s="989" t="s">
        <v>102</v>
      </c>
      <c r="AG44" s="990">
        <f>SUM('11'!Y45,'11'!AA45,'11'!AC45,'11'!AE45)</f>
        <v>214809.9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COUNTIF('11'!I7:I18,"&lt;=5,0")</f>
        <v>12</v>
      </c>
      <c r="I45" s="992"/>
      <c r="J45" s="992"/>
      <c r="K45" s="135"/>
      <c r="L45" s="974">
        <f>COUNTA('11'!L37)</f>
        <v>1</v>
      </c>
      <c r="M45" s="974"/>
      <c r="O45" s="146"/>
      <c r="P45" s="147"/>
      <c r="Q45" s="993">
        <f>'11'!S41-'11'!O41</f>
        <v>0</v>
      </c>
      <c r="R45" s="993"/>
      <c r="S45" s="993"/>
      <c r="T45" s="148"/>
      <c r="X45" s="149" t="s">
        <v>104</v>
      </c>
      <c r="Y45" s="150">
        <f>'11'!Y44*275.3</f>
        <v>26153.5</v>
      </c>
      <c r="Z45" s="149" t="s">
        <v>104</v>
      </c>
      <c r="AA45" s="150">
        <f>262.4*'11'!AA44</f>
        <v>0</v>
      </c>
      <c r="AB45" s="149" t="s">
        <v>104</v>
      </c>
      <c r="AC45" s="150">
        <f>'11'!AC44*277.7</f>
        <v>36656.400000000001</v>
      </c>
      <c r="AD45" s="149" t="s">
        <v>104</v>
      </c>
      <c r="AE45" s="151">
        <v>152000</v>
      </c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.75" customHeight="1">
      <c r="F46" s="152"/>
      <c r="X46" s="153" t="s">
        <v>105</v>
      </c>
      <c r="Y46" s="154">
        <f>'11'!AS6</f>
        <v>1.33</v>
      </c>
      <c r="Z46" s="153" t="s">
        <v>105</v>
      </c>
      <c r="AA46" s="155">
        <f>'11'!Y46</f>
        <v>1.33</v>
      </c>
      <c r="AB46" s="153" t="s">
        <v>105</v>
      </c>
      <c r="AC46" s="155">
        <f>'11'!Y46</f>
        <v>1.33</v>
      </c>
      <c r="AD46" s="153" t="s">
        <v>105</v>
      </c>
      <c r="AE46" s="156">
        <f>'11'!Y46</f>
        <v>1.33</v>
      </c>
      <c r="AF46" s="995" t="s">
        <v>106</v>
      </c>
      <c r="AG46" s="996">
        <f>SUM('11'!Y47,'11'!AA47,'11'!AC47,'11'!AE47)</f>
        <v>285697.16700000002</v>
      </c>
      <c r="AI46" s="144" t="s">
        <v>101</v>
      </c>
      <c r="AJ46" s="145">
        <v>30</v>
      </c>
      <c r="AK46" s="144" t="s">
        <v>101</v>
      </c>
      <c r="AL46" s="145"/>
      <c r="AM46" s="144" t="s">
        <v>101</v>
      </c>
      <c r="AN46" s="145">
        <v>108</v>
      </c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'11'!Y45*'11'!Y46</f>
        <v>34784.154999999999</v>
      </c>
      <c r="Z47" s="149" t="s">
        <v>108</v>
      </c>
      <c r="AA47" s="150">
        <f>'11'!AA45*'11'!AA46</f>
        <v>0</v>
      </c>
      <c r="AB47" s="149" t="s">
        <v>108</v>
      </c>
      <c r="AC47" s="150">
        <f>'11'!AC45*'11'!AC46</f>
        <v>48753.012000000002</v>
      </c>
      <c r="AD47" s="149" t="s">
        <v>108</v>
      </c>
      <c r="AE47" s="150">
        <f>'11'!AE45*'11'!AE46</f>
        <v>202160</v>
      </c>
      <c r="AF47" s="995"/>
      <c r="AG47" s="996"/>
      <c r="AI47" s="149" t="s">
        <v>104</v>
      </c>
      <c r="AJ47" s="150">
        <f>AJ46*275.3</f>
        <v>8259</v>
      </c>
      <c r="AK47" s="149" t="s">
        <v>104</v>
      </c>
      <c r="AL47" s="150">
        <f>262.4*'3'!AL46</f>
        <v>0</v>
      </c>
      <c r="AM47" s="149" t="s">
        <v>104</v>
      </c>
      <c r="AN47" s="150">
        <f>AN46*277.7</f>
        <v>29991.599999999999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'3'!Y46</f>
        <v>1.33</v>
      </c>
      <c r="AK48" s="160" t="s">
        <v>105</v>
      </c>
      <c r="AL48" s="154">
        <f>'3'!AJ48</f>
        <v>1.33</v>
      </c>
      <c r="AM48" s="160" t="s">
        <v>105</v>
      </c>
      <c r="AN48" s="154">
        <f>'3'!AJ48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AJ47*AJ48</f>
        <v>10984.470000000001</v>
      </c>
      <c r="AK49" s="149" t="s">
        <v>108</v>
      </c>
      <c r="AL49" s="150">
        <f>'3'!AL47*'3'!AL48</f>
        <v>0</v>
      </c>
      <c r="AM49" s="149" t="s">
        <v>108</v>
      </c>
      <c r="AN49" s="150">
        <f>AN47*AN48</f>
        <v>39888.828000000001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COUNTA('11'!O7:O18)</f>
        <v>12</v>
      </c>
      <c r="P51" s="974">
        <f>COUNTA('11'!W17:W28)</f>
        <v>0</v>
      </c>
      <c r="R51" s="992">
        <f>COUNTIF('11'!O7:O18,"&gt;=0,5")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SUM('11'!Y53,'11'!AA53,'11'!AC53,'11'!AE53)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'11'!Y52*275.3</f>
        <v>0</v>
      </c>
      <c r="Z53" s="149" t="s">
        <v>104</v>
      </c>
      <c r="AA53" s="150">
        <f>262.4*'11'!AA52</f>
        <v>0</v>
      </c>
      <c r="AB53" s="149" t="s">
        <v>104</v>
      </c>
      <c r="AC53" s="167">
        <f>'11'!AC52*277.7</f>
        <v>0</v>
      </c>
      <c r="AD53" s="149" t="s">
        <v>104</v>
      </c>
      <c r="AE53" s="230"/>
      <c r="AF53" s="989"/>
      <c r="AG53" s="1002"/>
      <c r="AI53" s="144" t="s">
        <v>101</v>
      </c>
      <c r="AJ53" s="166"/>
      <c r="AK53" s="144" t="s">
        <v>101</v>
      </c>
      <c r="AL53" s="164"/>
      <c r="AM53" s="144" t="s">
        <v>101</v>
      </c>
      <c r="AN53" s="164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'11'!AS7</f>
        <v>1.377</v>
      </c>
      <c r="Z54" s="153" t="s">
        <v>105</v>
      </c>
      <c r="AA54" s="155">
        <f>'11'!Y54</f>
        <v>1.377</v>
      </c>
      <c r="AB54" s="153" t="s">
        <v>105</v>
      </c>
      <c r="AC54" s="155">
        <f>'11'!Y54</f>
        <v>1.377</v>
      </c>
      <c r="AD54" s="153" t="s">
        <v>105</v>
      </c>
      <c r="AE54" s="156">
        <f>'11'!Y54</f>
        <v>1.377</v>
      </c>
      <c r="AF54" s="995" t="s">
        <v>106</v>
      </c>
      <c r="AG54" s="996">
        <f>SUM('11'!Y55,'11'!AA55,'11'!AC55,'11'!AE55)</f>
        <v>0</v>
      </c>
      <c r="AI54" s="149" t="s">
        <v>104</v>
      </c>
      <c r="AJ54" s="150">
        <f>AJ53*275.3</f>
        <v>0</v>
      </c>
      <c r="AK54" s="149" t="s">
        <v>104</v>
      </c>
      <c r="AL54" s="150">
        <f>262.4*'3'!AL53</f>
        <v>0</v>
      </c>
      <c r="AM54" s="149" t="s">
        <v>104</v>
      </c>
      <c r="AN54" s="167">
        <f>277.7*AN53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'11'!Y53*'11'!Y54</f>
        <v>0</v>
      </c>
      <c r="Z55" s="149" t="s">
        <v>108</v>
      </c>
      <c r="AA55" s="150">
        <f>'11'!AA53*'11'!AA54</f>
        <v>0</v>
      </c>
      <c r="AB55" s="149" t="s">
        <v>108</v>
      </c>
      <c r="AC55" s="150">
        <f>'11'!AC53*'11'!AC54</f>
        <v>0</v>
      </c>
      <c r="AD55" s="149" t="s">
        <v>108</v>
      </c>
      <c r="AE55" s="150">
        <f>'11'!AE53*'11'!AE54</f>
        <v>0</v>
      </c>
      <c r="AF55" s="995"/>
      <c r="AG55" s="996"/>
      <c r="AI55" s="153" t="s">
        <v>105</v>
      </c>
      <c r="AJ55" s="154">
        <f>'3'!Y54</f>
        <v>1.377</v>
      </c>
      <c r="AK55" s="153" t="s">
        <v>105</v>
      </c>
      <c r="AL55" s="154">
        <f>'3'!AJ55</f>
        <v>1.377</v>
      </c>
      <c r="AM55" s="153" t="s">
        <v>105</v>
      </c>
      <c r="AN55" s="154">
        <f>AJ55</f>
        <v>1.377</v>
      </c>
      <c r="AO55" s="1036" t="s">
        <v>105</v>
      </c>
      <c r="AP55" s="1036">
        <f>'3'!AJ55</f>
        <v>1.377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AJ54*AJ55</f>
        <v>0</v>
      </c>
      <c r="AK56" s="149" t="s">
        <v>108</v>
      </c>
      <c r="AL56" s="150">
        <f>'3'!AL54*'3'!AL55</f>
        <v>0</v>
      </c>
      <c r="AM56" s="149" t="s">
        <v>108</v>
      </c>
      <c r="AN56" s="150">
        <f>AN54*AN55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 ht="15.75" customHeight="1">
      <c r="O57" s="1003">
        <f>COUNTA('11'!N7:N18)</f>
        <v>12</v>
      </c>
      <c r="P57" s="1003"/>
      <c r="R57" s="1004">
        <f>COUNTIF('11'!N7:N18,"&gt;=6")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50873.298000000003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29226.75</v>
      </c>
      <c r="AR62" s="1016"/>
    </row>
    <row r="63" spans="15:44" ht="15" customHeight="1">
      <c r="X63" s="170" t="s">
        <v>124</v>
      </c>
      <c r="Y63" s="171"/>
      <c r="Z63" s="1013"/>
      <c r="AA63" s="1013"/>
      <c r="AB63" s="172" t="s">
        <v>124</v>
      </c>
      <c r="AC63" s="173">
        <v>0</v>
      </c>
      <c r="AE63" s="49"/>
      <c r="AF63" s="49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21646.548000000003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>
        <f>'10'!$Y$68</f>
        <v>-6560.2999999999984</v>
      </c>
      <c r="Z65" s="1013"/>
      <c r="AA65" s="1013"/>
      <c r="AB65" s="176" t="s">
        <v>126</v>
      </c>
      <c r="AC65" s="241">
        <f>'10'!$AC$68</f>
        <v>-945.83333333333348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178">
        <f>SUM('11'!AK38,'11'!AP38)</f>
        <v>2270</v>
      </c>
      <c r="Z67" s="1013"/>
      <c r="AA67" s="1013"/>
      <c r="AB67" s="172" t="s">
        <v>124</v>
      </c>
      <c r="AC67" s="169">
        <f>SUM('11'!AM38,'11'!AR38)</f>
        <v>0</v>
      </c>
    </row>
    <row r="68" spans="24:29" ht="15.75" customHeight="1">
      <c r="X68" s="170" t="s">
        <v>128</v>
      </c>
      <c r="Y68" s="179">
        <f>SUM('11'!Y63,'11'!Y65)-'11'!Y67</f>
        <v>-8830.2999999999993</v>
      </c>
      <c r="Z68" s="1013"/>
      <c r="AA68" s="1013"/>
      <c r="AB68" s="172" t="s">
        <v>128</v>
      </c>
      <c r="AC68" s="180">
        <f>SUM('11'!AC63,'11'!AC65)-'11'!AC67</f>
        <v>-945.83333333333348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conditionalFormatting sqref="O19">
    <cfRule type="cellIs" priority="4" operator="lessThan">
      <formula>2.5</formula>
    </cfRule>
    <cfRule type="cellIs" priority="5" operator="greaterThan">
      <formula>3</formula>
    </cfRule>
    <cfRule type="cellIs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3" zoomScaleNormal="100" workbookViewId="0">
      <selection activeCell="I37" sqref="I37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135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4">
        <v>2554</v>
      </c>
      <c r="Z6" s="270">
        <v>901</v>
      </c>
      <c r="AA6" s="54">
        <v>1</v>
      </c>
      <c r="AB6" s="58">
        <f>IF('12'!AA6=1,(('12'!Z6*'12'!$AS$6*'12'!$AT$6)/('12'!Y6*0.0036)),IF('12'!AA6=2,(('12'!Z6*'12'!$AS$7*'12'!$AT$7)/('12'!Y6*0.0036))))</f>
        <v>65.166296876359539</v>
      </c>
      <c r="AC6" s="58"/>
      <c r="AD6" s="18">
        <f>(('12'!AC6*'12'!$Q$10*1000000))/('12'!Y6*3600)</f>
        <v>0</v>
      </c>
      <c r="AE6" s="183"/>
      <c r="AF6" s="184">
        <f>('12'!AE6/24)*0.454</f>
        <v>0</v>
      </c>
      <c r="AG6" s="19"/>
      <c r="AH6" s="184">
        <f>('12'!AG6/24)*0.454</f>
        <v>0</v>
      </c>
      <c r="AI6" s="271">
        <v>5000</v>
      </c>
      <c r="AJ6" s="184">
        <f>('12'!AI6/24)*0.454</f>
        <v>94.583333333333343</v>
      </c>
      <c r="AK6" s="21"/>
      <c r="AL6" s="185">
        <f>('12'!AK6/24)*0.454</f>
        <v>0</v>
      </c>
      <c r="AM6" s="21"/>
      <c r="AN6" s="185">
        <f>('12'!AM6/24)*0.454</f>
        <v>0</v>
      </c>
      <c r="AO6" s="21"/>
      <c r="AP6" s="185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6">
        <v>60</v>
      </c>
      <c r="C7" s="186">
        <v>10</v>
      </c>
      <c r="D7" s="186">
        <v>10</v>
      </c>
      <c r="E7" s="186">
        <v>2.5</v>
      </c>
      <c r="F7" s="186">
        <v>8.5</v>
      </c>
      <c r="G7" s="186">
        <v>1.3</v>
      </c>
      <c r="H7" s="186">
        <v>1.2</v>
      </c>
      <c r="I7" s="186">
        <v>0.4</v>
      </c>
      <c r="J7" s="186">
        <v>0.5</v>
      </c>
      <c r="K7" s="186">
        <v>7.3</v>
      </c>
      <c r="L7" s="186">
        <v>6.6</v>
      </c>
      <c r="M7" s="186">
        <v>6.7</v>
      </c>
      <c r="N7" s="186">
        <v>6.3</v>
      </c>
      <c r="O7" s="186">
        <v>3.7</v>
      </c>
      <c r="P7" s="29"/>
      <c r="Q7" s="29"/>
      <c r="R7" s="37">
        <f>'11'!$Z$29</f>
        <v>901</v>
      </c>
      <c r="S7" s="187">
        <f>'11'!$AB$29</f>
        <v>63.964151507387484</v>
      </c>
      <c r="T7" s="37">
        <f>'11'!$Y$29</f>
        <v>2602</v>
      </c>
      <c r="U7" s="33" t="str">
        <f>IF('12'!AA6=1,'12'!AR6,'12'!AR7)</f>
        <v>S.A.L</v>
      </c>
      <c r="V7" s="1022">
        <f>ESCALA!$C$13</f>
        <v>0</v>
      </c>
      <c r="W7" s="1022"/>
      <c r="X7" s="13">
        <v>8.3333333333333301E-2</v>
      </c>
      <c r="Y7" s="54">
        <v>2587</v>
      </c>
      <c r="Z7" s="270">
        <v>901</v>
      </c>
      <c r="AA7" s="54">
        <v>1</v>
      </c>
      <c r="AB7" s="58">
        <f>IF('12'!AA7=1,(('12'!Z7*'12'!$AS$6*'12'!$AT$6)/('12'!Y7*0.0036)),IF('12'!AA7=2,(('12'!Z7*'12'!$AS$7*'12'!$AT$7)/('12'!Y7*0.0036))))</f>
        <v>64.335029850105229</v>
      </c>
      <c r="AC7" s="58"/>
      <c r="AD7" s="18">
        <f>(('12'!AC7*'12'!$Q$10*1000000))/('12'!Y7*3600)</f>
        <v>0</v>
      </c>
      <c r="AE7" s="183"/>
      <c r="AF7" s="184">
        <f>('12'!AE7/24)*0.454</f>
        <v>0</v>
      </c>
      <c r="AG7" s="19"/>
      <c r="AH7" s="184">
        <f>('12'!AG7/24)*0.454</f>
        <v>0</v>
      </c>
      <c r="AI7" s="271">
        <v>5000</v>
      </c>
      <c r="AJ7" s="184">
        <f>('12'!AI7/24)*0.454</f>
        <v>94.583333333333343</v>
      </c>
      <c r="AK7" s="21"/>
      <c r="AL7" s="185">
        <f>('12'!AK7/24)*0.454</f>
        <v>0</v>
      </c>
      <c r="AM7" s="21"/>
      <c r="AN7" s="185">
        <f>('12'!AM7/24)*0.454</f>
        <v>0</v>
      </c>
      <c r="AO7" s="21"/>
      <c r="AP7" s="185">
        <f>('12'!AO7/24)*0.454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6">
        <v>60</v>
      </c>
      <c r="C8" s="186">
        <v>10</v>
      </c>
      <c r="D8" s="186">
        <v>10</v>
      </c>
      <c r="E8" s="186">
        <v>2.5</v>
      </c>
      <c r="F8" s="186">
        <v>8.3000000000000007</v>
      </c>
      <c r="G8" s="186">
        <v>1.3</v>
      </c>
      <c r="H8" s="186">
        <v>1.3</v>
      </c>
      <c r="I8" s="186">
        <v>0.4</v>
      </c>
      <c r="J8" s="186">
        <v>0.5</v>
      </c>
      <c r="K8" s="186">
        <v>7.3</v>
      </c>
      <c r="L8" s="186">
        <v>6.6</v>
      </c>
      <c r="M8" s="186">
        <v>6.7</v>
      </c>
      <c r="N8" s="186">
        <v>6.3</v>
      </c>
      <c r="O8" s="186">
        <v>3.7</v>
      </c>
      <c r="P8" s="29"/>
      <c r="Q8" s="29"/>
      <c r="R8" s="35">
        <f>'12'!Z7</f>
        <v>901</v>
      </c>
      <c r="S8" s="36">
        <f>'12'!AB7</f>
        <v>64.335029850105229</v>
      </c>
      <c r="T8" s="37">
        <f>'12'!Y7</f>
        <v>2587</v>
      </c>
      <c r="U8" s="33" t="str">
        <f>IF('12'!AA7=1,'12'!AR6,'12'!AR7)</f>
        <v>S.A.L</v>
      </c>
      <c r="V8" s="1022"/>
      <c r="W8" s="1022"/>
      <c r="X8" s="13">
        <v>0.125</v>
      </c>
      <c r="Y8" s="54">
        <v>2613</v>
      </c>
      <c r="Z8" s="270">
        <v>901</v>
      </c>
      <c r="AA8" s="54">
        <v>1</v>
      </c>
      <c r="AB8" s="58">
        <f>IF('12'!AA8=1,(('12'!Z8*'12'!$AS$6*'12'!$AT$6)/('12'!Y8*0.0036)),IF('12'!AA8=2,(('12'!Z8*'12'!$AS$7*'12'!$AT$7)/('12'!Y8*0.0036))))</f>
        <v>63.694880299357919</v>
      </c>
      <c r="AC8" s="58"/>
      <c r="AD8" s="18">
        <f>(('12'!AC8*'12'!$Q$10*1000000))/('12'!Y8*3600)</f>
        <v>0</v>
      </c>
      <c r="AE8" s="183"/>
      <c r="AF8" s="184">
        <f>('12'!AE8/24)*0.454</f>
        <v>0</v>
      </c>
      <c r="AG8" s="19"/>
      <c r="AH8" s="184">
        <f>('12'!AG8/24)*0.454</f>
        <v>0</v>
      </c>
      <c r="AI8" s="271">
        <v>5000</v>
      </c>
      <c r="AJ8" s="184">
        <f>('12'!AI8/24)*0.454</f>
        <v>94.583333333333343</v>
      </c>
      <c r="AK8" s="21"/>
      <c r="AL8" s="185">
        <f>('12'!AK8/24)*0.454</f>
        <v>0</v>
      </c>
      <c r="AM8" s="21"/>
      <c r="AN8" s="185">
        <f>('12'!AM8/24)*0.454</f>
        <v>0</v>
      </c>
      <c r="AO8" s="21"/>
      <c r="AP8" s="185">
        <f>('12'!AO8/24)*0.454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60</v>
      </c>
      <c r="C9" s="186">
        <v>12.5</v>
      </c>
      <c r="D9" s="186">
        <v>12.5</v>
      </c>
      <c r="E9" s="186">
        <v>2.5</v>
      </c>
      <c r="F9" s="186">
        <v>8.1999999999999993</v>
      </c>
      <c r="G9" s="186">
        <v>1.4</v>
      </c>
      <c r="H9" s="186">
        <v>1.4</v>
      </c>
      <c r="I9" s="186">
        <v>0.4</v>
      </c>
      <c r="J9" s="186">
        <v>0.5</v>
      </c>
      <c r="K9" s="186">
        <v>7.3</v>
      </c>
      <c r="L9" s="186">
        <v>6.6</v>
      </c>
      <c r="M9" s="186">
        <v>6.7</v>
      </c>
      <c r="N9" s="186">
        <v>6.3</v>
      </c>
      <c r="O9" s="186">
        <v>3.7</v>
      </c>
      <c r="P9" s="29"/>
      <c r="Q9" s="29"/>
      <c r="R9" s="37">
        <f>'12'!Z9</f>
        <v>901</v>
      </c>
      <c r="S9" s="36">
        <f>'12'!AB9</f>
        <v>63.331325046507708</v>
      </c>
      <c r="T9" s="37">
        <f>'12'!Y9</f>
        <v>2628</v>
      </c>
      <c r="U9" s="33" t="str">
        <f>IF('12'!AA9=1,'12'!AR6,'12'!AR7)</f>
        <v>S.A.L</v>
      </c>
      <c r="V9" s="1022"/>
      <c r="W9" s="1022"/>
      <c r="X9" s="13">
        <v>0.16666666666666699</v>
      </c>
      <c r="Y9" s="54">
        <v>2628</v>
      </c>
      <c r="Z9" s="270">
        <v>901</v>
      </c>
      <c r="AA9" s="54">
        <v>1</v>
      </c>
      <c r="AB9" s="58">
        <f>IF('12'!AA9=1,(('12'!Z9*'12'!$AS$6*'12'!$AT$6)/('12'!Y9*0.0036)),IF('12'!AA9=2,(('12'!Z9*'12'!$AS$7*'12'!$AT$7)/('12'!Y9*0.0036))))</f>
        <v>63.331325046507708</v>
      </c>
      <c r="AC9" s="58"/>
      <c r="AD9" s="18">
        <f>(('12'!AC9*'12'!$Q$10*1000000))/('12'!Y9*3600)</f>
        <v>0</v>
      </c>
      <c r="AE9" s="183"/>
      <c r="AF9" s="184">
        <f>('12'!AE9/24)*0.454</f>
        <v>0</v>
      </c>
      <c r="AG9" s="19"/>
      <c r="AH9" s="184">
        <f>('12'!AG9/24)*0.454</f>
        <v>0</v>
      </c>
      <c r="AI9" s="271">
        <v>5000</v>
      </c>
      <c r="AJ9" s="184">
        <f>('12'!AI9/24)*0.454</f>
        <v>94.583333333333343</v>
      </c>
      <c r="AK9" s="21"/>
      <c r="AL9" s="185">
        <f>('12'!AK9/24)*0.454</f>
        <v>0</v>
      </c>
      <c r="AM9" s="21"/>
      <c r="AN9" s="185">
        <f>('12'!AM9/24)*0.454</f>
        <v>0</v>
      </c>
      <c r="AO9" s="21"/>
      <c r="AP9" s="185">
        <f>('12'!AO9/24)*0.454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60</v>
      </c>
      <c r="C10" s="186">
        <v>12.5</v>
      </c>
      <c r="D10" s="186">
        <v>12.5</v>
      </c>
      <c r="E10" s="186">
        <v>2.5</v>
      </c>
      <c r="F10" s="186">
        <v>8</v>
      </c>
      <c r="G10" s="186">
        <v>1.4</v>
      </c>
      <c r="H10" s="186">
        <v>1.4</v>
      </c>
      <c r="I10" s="186">
        <v>0.4</v>
      </c>
      <c r="J10" s="186">
        <v>0.5</v>
      </c>
      <c r="K10" s="186">
        <v>7.3</v>
      </c>
      <c r="L10" s="186">
        <v>6.6</v>
      </c>
      <c r="M10" s="186">
        <v>6.7</v>
      </c>
      <c r="N10" s="186">
        <v>6.3</v>
      </c>
      <c r="O10" s="186">
        <v>3.7</v>
      </c>
      <c r="P10" s="29"/>
      <c r="Q10" s="29"/>
      <c r="R10" s="37">
        <f>'12'!Z11</f>
        <v>901</v>
      </c>
      <c r="S10" s="36">
        <f>'12'!AB11</f>
        <v>62.358457183297958</v>
      </c>
      <c r="T10" s="37">
        <f>'12'!Y11</f>
        <v>2669</v>
      </c>
      <c r="U10" s="33" t="str">
        <f>IF('12'!AA11=1,'12'!AR6,'12'!AR7)</f>
        <v>S.A.L</v>
      </c>
      <c r="V10" s="1022"/>
      <c r="W10" s="1022"/>
      <c r="X10" s="13">
        <v>0.20833333333333301</v>
      </c>
      <c r="Y10" s="54">
        <v>2582</v>
      </c>
      <c r="Z10" s="270">
        <v>901</v>
      </c>
      <c r="AA10" s="54">
        <v>1</v>
      </c>
      <c r="AB10" s="58">
        <f>IF('12'!AA10=1,(('12'!Z10*'12'!$AS$6*'12'!$AT$6)/('12'!Y10*0.0036)),IF('12'!AA10=2,(('12'!Z10*'12'!$AS$7*'12'!$AT$7)/('12'!Y10*0.0036))))</f>
        <v>64.459613563990033</v>
      </c>
      <c r="AC10" s="58"/>
      <c r="AD10" s="18">
        <f>(('12'!AC10*'12'!$Q$10*1000000))/('12'!Y10*3600)</f>
        <v>0</v>
      </c>
      <c r="AE10" s="183"/>
      <c r="AF10" s="184">
        <f>('12'!AE10/24)*0.454</f>
        <v>0</v>
      </c>
      <c r="AG10" s="19"/>
      <c r="AH10" s="184">
        <f>('12'!AG10/24)*0.454</f>
        <v>0</v>
      </c>
      <c r="AI10" s="271">
        <v>5000</v>
      </c>
      <c r="AJ10" s="184">
        <f>('12'!AI10/24)*0.454</f>
        <v>94.583333333333343</v>
      </c>
      <c r="AK10" s="21"/>
      <c r="AL10" s="185">
        <f>('12'!AK10/24)*0.454</f>
        <v>0</v>
      </c>
      <c r="AM10" s="21"/>
      <c r="AN10" s="185">
        <f>('12'!AM10/24)*0.454</f>
        <v>0</v>
      </c>
      <c r="AO10" s="21"/>
      <c r="AP10" s="185">
        <f>('12'!AO10/24)*0.454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6">
        <v>60</v>
      </c>
      <c r="C11" s="186">
        <v>12.5</v>
      </c>
      <c r="D11" s="186">
        <v>12.5</v>
      </c>
      <c r="E11" s="186">
        <v>2.5</v>
      </c>
      <c r="F11" s="186">
        <v>8.6</v>
      </c>
      <c r="G11" s="186">
        <v>1.4</v>
      </c>
      <c r="H11" s="186">
        <v>1.5</v>
      </c>
      <c r="I11" s="186">
        <v>0.4</v>
      </c>
      <c r="J11" s="186">
        <v>0.4</v>
      </c>
      <c r="K11" s="186">
        <v>7.3</v>
      </c>
      <c r="L11" s="186">
        <v>6.6</v>
      </c>
      <c r="M11" s="186">
        <v>6.7</v>
      </c>
      <c r="N11" s="186">
        <v>6.3</v>
      </c>
      <c r="O11" s="186">
        <v>3.6</v>
      </c>
      <c r="P11" s="29"/>
      <c r="Q11" s="29"/>
      <c r="R11" s="37">
        <f>'12'!Z13</f>
        <v>901</v>
      </c>
      <c r="S11" s="36">
        <f>'12'!AB13</f>
        <v>62.61652453808211</v>
      </c>
      <c r="T11" s="37">
        <f>'12'!Y13</f>
        <v>2658</v>
      </c>
      <c r="U11" s="33" t="str">
        <f>IF('12'!AA13=1,'12'!AR6,'12'!AR7)</f>
        <v>S.A.L</v>
      </c>
      <c r="V11" s="1022"/>
      <c r="W11" s="1022"/>
      <c r="X11" s="13">
        <v>0.25</v>
      </c>
      <c r="Y11" s="54">
        <v>2669</v>
      </c>
      <c r="Z11" s="270">
        <v>901</v>
      </c>
      <c r="AA11" s="54">
        <v>1</v>
      </c>
      <c r="AB11" s="58">
        <f>IF('12'!AA11=1,(('12'!Z11*'12'!$AS$6*'12'!$AT$6)/('12'!Y11*0.0036)),IF('12'!AA11=2,(('12'!Z11*'12'!$AS$7*'12'!$AT$7)/('12'!Y11*0.0036))))</f>
        <v>62.358457183297958</v>
      </c>
      <c r="AC11" s="58"/>
      <c r="AD11" s="18">
        <f>(('12'!AC11*'12'!$Q$10*1000000))/('12'!Y11*3600)</f>
        <v>0</v>
      </c>
      <c r="AE11" s="183"/>
      <c r="AF11" s="184">
        <f>('12'!AE11/24)*0.454</f>
        <v>0</v>
      </c>
      <c r="AG11" s="19"/>
      <c r="AH11" s="184">
        <f>('12'!AG11/24)*0.454</f>
        <v>0</v>
      </c>
      <c r="AI11" s="271">
        <v>5000</v>
      </c>
      <c r="AJ11" s="184">
        <f>('12'!AI11/24)*0.454</f>
        <v>94.583333333333343</v>
      </c>
      <c r="AK11" s="21"/>
      <c r="AL11" s="185">
        <f>('12'!AK11/24)*0.454</f>
        <v>0</v>
      </c>
      <c r="AM11" s="21"/>
      <c r="AN11" s="185">
        <f>('12'!AM11/24)*0.454</f>
        <v>0</v>
      </c>
      <c r="AO11" s="21"/>
      <c r="AP11" s="185">
        <f>('12'!AO11/24)*0.454</f>
        <v>0</v>
      </c>
    </row>
    <row r="12" spans="1:47" ht="18.75" customHeight="1">
      <c r="A12" s="28">
        <v>0.41666666666666702</v>
      </c>
      <c r="B12" s="186">
        <v>60</v>
      </c>
      <c r="C12" s="186">
        <v>12.5</v>
      </c>
      <c r="D12" s="186">
        <v>12.5</v>
      </c>
      <c r="E12" s="186">
        <v>2.5</v>
      </c>
      <c r="F12" s="186">
        <v>8.8000000000000007</v>
      </c>
      <c r="G12" s="186">
        <v>1.5</v>
      </c>
      <c r="H12" s="186">
        <v>1.5</v>
      </c>
      <c r="I12" s="186">
        <v>0.4</v>
      </c>
      <c r="J12" s="186">
        <v>0.5</v>
      </c>
      <c r="K12" s="186">
        <v>7.3</v>
      </c>
      <c r="L12" s="186">
        <v>6.6</v>
      </c>
      <c r="M12" s="186">
        <v>6.7</v>
      </c>
      <c r="N12" s="186">
        <v>6.3</v>
      </c>
      <c r="O12" s="186">
        <v>3.6</v>
      </c>
      <c r="P12" s="29"/>
      <c r="Q12" s="29"/>
      <c r="R12" s="37">
        <f>'12'!Z15</f>
        <v>901</v>
      </c>
      <c r="S12" s="36">
        <f>'12'!AB15</f>
        <v>67.382478632478652</v>
      </c>
      <c r="T12" s="37">
        <f>'12'!Y15</f>
        <v>2470</v>
      </c>
      <c r="U12" s="33" t="str">
        <f>IF('12'!AA15=1,'12'!AR6,'12'!AR7)</f>
        <v>S.A.L</v>
      </c>
      <c r="V12" s="944">
        <f>ESCALA!$B$14</f>
        <v>0</v>
      </c>
      <c r="W12" s="944"/>
      <c r="X12" s="13">
        <v>0.29166666666666702</v>
      </c>
      <c r="Y12" s="54">
        <v>2666</v>
      </c>
      <c r="Z12" s="270">
        <v>901</v>
      </c>
      <c r="AA12" s="54">
        <v>1</v>
      </c>
      <c r="AB12" s="58">
        <f>IF('12'!AA12=1,(('12'!Z12*'12'!$AS$6*'12'!$AT$6)/('12'!Y12*0.0036)),IF('12'!AA12=2,(('12'!Z12*'12'!$AS$7*'12'!$AT$7)/('12'!Y12*0.0036))))</f>
        <v>62.428627990330924</v>
      </c>
      <c r="AC12" s="58"/>
      <c r="AD12" s="18">
        <f>(('12'!AC12*'12'!$Q$10*1000000))/('12'!Y12*3600)</f>
        <v>0</v>
      </c>
      <c r="AE12" s="183"/>
      <c r="AF12" s="184">
        <f>('12'!AE12/24)*0.454</f>
        <v>0</v>
      </c>
      <c r="AG12" s="19"/>
      <c r="AH12" s="184">
        <f>('12'!AG12/24)*0.454</f>
        <v>0</v>
      </c>
      <c r="AI12" s="271">
        <v>5000</v>
      </c>
      <c r="AJ12" s="184">
        <f>('12'!AI12/24)*0.454</f>
        <v>94.583333333333343</v>
      </c>
      <c r="AK12" s="21"/>
      <c r="AL12" s="185">
        <f>('12'!AK12/24)*0.454</f>
        <v>0</v>
      </c>
      <c r="AM12" s="21"/>
      <c r="AN12" s="185">
        <f>('12'!AM12/24)*0.454</f>
        <v>0</v>
      </c>
      <c r="AO12" s="21"/>
      <c r="AP12" s="185">
        <f>('12'!AO12/24)*0.454</f>
        <v>0</v>
      </c>
    </row>
    <row r="13" spans="1:47" ht="18.75" customHeight="1">
      <c r="A13" s="28">
        <v>0.5</v>
      </c>
      <c r="B13" s="186">
        <v>60</v>
      </c>
      <c r="C13" s="186">
        <v>10</v>
      </c>
      <c r="D13" s="186">
        <v>10</v>
      </c>
      <c r="E13" s="186">
        <v>2.5</v>
      </c>
      <c r="F13" s="186">
        <v>9.6</v>
      </c>
      <c r="G13" s="186">
        <v>1.1000000000000001</v>
      </c>
      <c r="H13" s="186">
        <v>1.1000000000000001</v>
      </c>
      <c r="I13" s="186">
        <v>0.5</v>
      </c>
      <c r="J13" s="186">
        <v>0.5</v>
      </c>
      <c r="K13" s="186">
        <v>7.3</v>
      </c>
      <c r="L13" s="186">
        <v>6.6</v>
      </c>
      <c r="M13" s="186">
        <v>6.7</v>
      </c>
      <c r="N13" s="186">
        <v>6.3</v>
      </c>
      <c r="O13" s="186">
        <v>3.6</v>
      </c>
      <c r="P13" s="29"/>
      <c r="Q13" s="29"/>
      <c r="R13" s="37">
        <f>'12'!Z17</f>
        <v>901</v>
      </c>
      <c r="S13" s="36">
        <f>'12'!AB17</f>
        <v>70.913814325616642</v>
      </c>
      <c r="T13" s="37">
        <f>'12'!Y17</f>
        <v>2347</v>
      </c>
      <c r="U13" s="33" t="str">
        <f>IF('12'!AA17=1,'12'!AR6,'12'!AR7)</f>
        <v>S.A.L</v>
      </c>
      <c r="V13" s="944"/>
      <c r="W13" s="944"/>
      <c r="X13" s="13">
        <v>0.33333333333333298</v>
      </c>
      <c r="Y13" s="54">
        <v>2658</v>
      </c>
      <c r="Z13" s="270">
        <v>901</v>
      </c>
      <c r="AA13" s="54">
        <v>1</v>
      </c>
      <c r="AB13" s="58">
        <f>IF('12'!AA13=1,(('12'!Z13*'12'!$AS$6*'12'!$AT$6)/('12'!Y13*0.0036)),IF('12'!AA13=2,(('12'!Z13*'12'!$AS$7*'12'!$AT$7)/('12'!Y13*0.0036))))</f>
        <v>62.61652453808211</v>
      </c>
      <c r="AC13" s="58"/>
      <c r="AD13" s="18">
        <f>(('12'!AC13*'12'!$Q$10*1000000))/('12'!Y13*3600)</f>
        <v>0</v>
      </c>
      <c r="AE13" s="183"/>
      <c r="AF13" s="184">
        <f>('12'!AE13/24)*0.454</f>
        <v>0</v>
      </c>
      <c r="AG13" s="19"/>
      <c r="AH13" s="184">
        <f>('12'!AG13/24)*0.454</f>
        <v>0</v>
      </c>
      <c r="AI13" s="271">
        <v>5000</v>
      </c>
      <c r="AJ13" s="184">
        <f>('12'!AI13/24)*0.454</f>
        <v>94.583333333333343</v>
      </c>
      <c r="AK13" s="21"/>
      <c r="AL13" s="185">
        <f>('12'!AK13/24)*0.454</f>
        <v>0</v>
      </c>
      <c r="AM13" s="21"/>
      <c r="AN13" s="185">
        <f>('12'!AM13/24)*0.454</f>
        <v>0</v>
      </c>
      <c r="AO13" s="21"/>
      <c r="AP13" s="185">
        <f>('12'!AO13/24)*0.454</f>
        <v>0</v>
      </c>
    </row>
    <row r="14" spans="1:47" ht="18.75" customHeight="1">
      <c r="A14" s="28">
        <v>0.58333333333333304</v>
      </c>
      <c r="B14" s="186">
        <v>60</v>
      </c>
      <c r="C14" s="186">
        <v>10</v>
      </c>
      <c r="D14" s="186">
        <v>10</v>
      </c>
      <c r="E14" s="186">
        <v>2.5</v>
      </c>
      <c r="F14" s="186">
        <v>10.6</v>
      </c>
      <c r="G14" s="186">
        <v>1.1000000000000001</v>
      </c>
      <c r="H14" s="186">
        <v>1.1000000000000001</v>
      </c>
      <c r="I14" s="186">
        <v>0.5</v>
      </c>
      <c r="J14" s="186">
        <v>0.4</v>
      </c>
      <c r="K14" s="186">
        <v>7.3</v>
      </c>
      <c r="L14" s="186">
        <v>6.6</v>
      </c>
      <c r="M14" s="186">
        <v>6.7</v>
      </c>
      <c r="N14" s="186">
        <v>6.3</v>
      </c>
      <c r="O14" s="186">
        <v>3.6</v>
      </c>
      <c r="P14" s="29"/>
      <c r="Q14" s="29"/>
      <c r="R14" s="37">
        <f>'12'!Z19</f>
        <v>901</v>
      </c>
      <c r="S14" s="36">
        <f>'12'!AB19</f>
        <v>73.254719287949939</v>
      </c>
      <c r="T14" s="37">
        <f>'12'!Y19</f>
        <v>2272</v>
      </c>
      <c r="U14" s="33" t="str">
        <f>IF('12'!AA19=1,'12'!AR6,'12'!AR7)</f>
        <v>S.A.L</v>
      </c>
      <c r="V14" s="944"/>
      <c r="W14" s="944"/>
      <c r="X14" s="13">
        <v>0.375</v>
      </c>
      <c r="Y14" s="54">
        <v>2711</v>
      </c>
      <c r="Z14" s="270">
        <v>901</v>
      </c>
      <c r="AA14" s="54">
        <v>1</v>
      </c>
      <c r="AB14" s="58">
        <f>IF('12'!AA14=1,(('12'!Z14*'12'!$AS$6*'12'!$AT$6)/('12'!Y14*0.0036)),IF('12'!AA14=2,(('12'!Z14*'12'!$AS$7*'12'!$AT$7)/('12'!Y14*0.0036))))</f>
        <v>61.392372638222895</v>
      </c>
      <c r="AC14" s="58"/>
      <c r="AD14" s="18">
        <f>(('12'!AC14*'12'!$Q$10*1000000))/('12'!Y14*3600)</f>
        <v>0</v>
      </c>
      <c r="AE14" s="183"/>
      <c r="AF14" s="184">
        <f>('12'!AE14/24)*0.454</f>
        <v>0</v>
      </c>
      <c r="AG14" s="19"/>
      <c r="AH14" s="184">
        <f>('12'!AG14/24)*0.454</f>
        <v>0</v>
      </c>
      <c r="AI14" s="271">
        <v>5000</v>
      </c>
      <c r="AJ14" s="184">
        <f>('12'!AI14/24)*0.454</f>
        <v>94.583333333333343</v>
      </c>
      <c r="AK14" s="21"/>
      <c r="AL14" s="185">
        <f>('12'!AK14/24)*0.454</f>
        <v>0</v>
      </c>
      <c r="AM14" s="21"/>
      <c r="AN14" s="185">
        <f>('12'!AM14/24)*0.454</f>
        <v>0</v>
      </c>
      <c r="AO14" s="21"/>
      <c r="AP14" s="185">
        <f>('12'!AO14/24)*0.454</f>
        <v>0</v>
      </c>
    </row>
    <row r="15" spans="1:47" ht="18.75" customHeight="1">
      <c r="A15" s="28">
        <v>0.66666666666666696</v>
      </c>
      <c r="B15" s="186">
        <v>60</v>
      </c>
      <c r="C15" s="186">
        <v>10</v>
      </c>
      <c r="D15" s="186">
        <v>10</v>
      </c>
      <c r="E15" s="186">
        <v>2.5</v>
      </c>
      <c r="F15" s="186">
        <v>10.199999999999999</v>
      </c>
      <c r="G15" s="186">
        <v>1.3</v>
      </c>
      <c r="H15" s="186">
        <v>1.2</v>
      </c>
      <c r="I15" s="186">
        <v>0.4</v>
      </c>
      <c r="J15" s="186">
        <v>0.4</v>
      </c>
      <c r="K15" s="186">
        <v>7.3</v>
      </c>
      <c r="L15" s="186">
        <v>6.6</v>
      </c>
      <c r="M15" s="186">
        <v>6.7</v>
      </c>
      <c r="N15" s="186">
        <v>6.3</v>
      </c>
      <c r="O15" s="186">
        <v>3.6</v>
      </c>
      <c r="P15" s="29"/>
      <c r="Q15" s="29"/>
      <c r="R15" s="37">
        <f>'12'!Z21</f>
        <v>901</v>
      </c>
      <c r="S15" s="36">
        <f>'12'!AB21</f>
        <v>63.792534389506415</v>
      </c>
      <c r="T15" s="37">
        <f>'12'!Y21</f>
        <v>2609</v>
      </c>
      <c r="U15" s="33" t="str">
        <f>IF('12'!AA21=1,'12'!AR6,'12'!AR7)</f>
        <v>S.A.L</v>
      </c>
      <c r="V15" s="944"/>
      <c r="W15" s="944"/>
      <c r="X15" s="13">
        <v>0.41666666666666702</v>
      </c>
      <c r="Y15" s="54">
        <v>2470</v>
      </c>
      <c r="Z15" s="270">
        <v>901</v>
      </c>
      <c r="AA15" s="54">
        <v>1</v>
      </c>
      <c r="AB15" s="58">
        <f>IF('12'!AA15=1,(('12'!Z15*'12'!$AS$6*'12'!$AT$6)/('12'!Y15*0.0036)),IF('12'!AA15=2,(('12'!Z15*'12'!$AS$7*'12'!$AT$7)/('12'!Y15*0.0036))))</f>
        <v>67.382478632478652</v>
      </c>
      <c r="AC15" s="58"/>
      <c r="AD15" s="18">
        <f>(('12'!AC15*'12'!$Q$10*1000000))/('12'!Y15*3600)</f>
        <v>0</v>
      </c>
      <c r="AE15" s="183"/>
      <c r="AF15" s="184">
        <f>('12'!AE15/24)*0.454</f>
        <v>0</v>
      </c>
      <c r="AG15" s="19"/>
      <c r="AH15" s="184">
        <f>('12'!AG15/24)*0.454</f>
        <v>0</v>
      </c>
      <c r="AI15" s="271">
        <v>5000</v>
      </c>
      <c r="AJ15" s="184">
        <f>('12'!AI15/24)*0.454</f>
        <v>94.583333333333343</v>
      </c>
      <c r="AK15" s="21"/>
      <c r="AL15" s="185">
        <f>('12'!AK15/24)*0.454</f>
        <v>0</v>
      </c>
      <c r="AM15" s="21"/>
      <c r="AN15" s="185">
        <f>('12'!AM15/24)*0.454</f>
        <v>0</v>
      </c>
      <c r="AO15" s="21"/>
      <c r="AP15" s="185">
        <f>('12'!AO15/24)*0.454</f>
        <v>0</v>
      </c>
    </row>
    <row r="16" spans="1:47" ht="18.75" customHeight="1">
      <c r="A16" s="28">
        <v>0.75</v>
      </c>
      <c r="B16" s="186">
        <v>60</v>
      </c>
      <c r="C16" s="186">
        <v>10</v>
      </c>
      <c r="D16" s="186">
        <v>10</v>
      </c>
      <c r="E16" s="186">
        <v>2.5</v>
      </c>
      <c r="F16" s="186">
        <v>9.4</v>
      </c>
      <c r="G16" s="186">
        <v>1.3</v>
      </c>
      <c r="H16" s="186">
        <v>1.2</v>
      </c>
      <c r="I16" s="186">
        <v>0.4</v>
      </c>
      <c r="J16" s="186">
        <v>0.4</v>
      </c>
      <c r="K16" s="186">
        <v>7.3</v>
      </c>
      <c r="L16" s="186">
        <v>6.6</v>
      </c>
      <c r="M16" s="186">
        <v>6.7</v>
      </c>
      <c r="N16" s="186">
        <v>6.3</v>
      </c>
      <c r="O16" s="186">
        <v>3.6</v>
      </c>
      <c r="P16" s="29"/>
      <c r="Q16" s="29"/>
      <c r="R16" s="37">
        <f>'12'!Z23</f>
        <v>901</v>
      </c>
      <c r="S16" s="36">
        <f>'12'!AB23</f>
        <v>71.831990600872786</v>
      </c>
      <c r="T16" s="37">
        <f>'12'!Y23</f>
        <v>2317</v>
      </c>
      <c r="U16" s="33" t="str">
        <f>IF('12'!AA23=1,'12'!AR6,'12'!AR7)</f>
        <v>S.A.L</v>
      </c>
      <c r="V16" s="944"/>
      <c r="W16" s="944"/>
      <c r="X16" s="13">
        <v>0.45833333333333298</v>
      </c>
      <c r="Y16" s="54">
        <v>2183</v>
      </c>
      <c r="Z16" s="270">
        <v>901</v>
      </c>
      <c r="AA16" s="54">
        <v>1</v>
      </c>
      <c r="AB16" s="58">
        <f>IF('12'!AA16=1,(('12'!Z16*'12'!$AS$6*'12'!$AT$6)/('12'!Y16*0.0036)),IF('12'!AA16=2,(('12'!Z16*'12'!$AS$7*'12'!$AT$7)/('12'!Y16*0.0036))))</f>
        <v>76.241283656537902</v>
      </c>
      <c r="AC16" s="58"/>
      <c r="AD16" s="18">
        <f>(('12'!AC16*'12'!$Q$10*1000000))/('12'!Y16*3600)</f>
        <v>0</v>
      </c>
      <c r="AE16" s="183"/>
      <c r="AF16" s="184">
        <f>('12'!AE16/24)*0.454</f>
        <v>0</v>
      </c>
      <c r="AG16" s="19"/>
      <c r="AH16" s="184">
        <f>('12'!AG16/24)*0.454</f>
        <v>0</v>
      </c>
      <c r="AI16" s="271">
        <v>5000</v>
      </c>
      <c r="AJ16" s="184">
        <f>('12'!AI16/24)*0.454</f>
        <v>94.583333333333343</v>
      </c>
      <c r="AK16" s="21"/>
      <c r="AL16" s="185">
        <f>('12'!AK16/24)*0.454</f>
        <v>0</v>
      </c>
      <c r="AM16" s="21"/>
      <c r="AN16" s="185">
        <f>('12'!AM16/24)*0.454</f>
        <v>0</v>
      </c>
      <c r="AO16" s="21"/>
      <c r="AP16" s="185">
        <f>('12'!AO16/24)*0.454</f>
        <v>0</v>
      </c>
    </row>
    <row r="17" spans="1:42" ht="18.75" customHeight="1">
      <c r="A17" s="28">
        <v>0.83333333333333304</v>
      </c>
      <c r="B17" s="29">
        <v>60</v>
      </c>
      <c r="C17" s="29">
        <v>10</v>
      </c>
      <c r="D17" s="29">
        <v>10</v>
      </c>
      <c r="E17" s="29">
        <v>2.5</v>
      </c>
      <c r="F17" s="29">
        <v>7.2</v>
      </c>
      <c r="G17" s="29">
        <v>1.2</v>
      </c>
      <c r="H17" s="29">
        <v>1.2</v>
      </c>
      <c r="I17" s="29">
        <v>0.4</v>
      </c>
      <c r="J17" s="29">
        <v>0.4</v>
      </c>
      <c r="K17" s="29">
        <v>7.3</v>
      </c>
      <c r="L17" s="29">
        <v>6.7</v>
      </c>
      <c r="M17" s="29">
        <v>6.7</v>
      </c>
      <c r="N17" s="29">
        <v>6.3</v>
      </c>
      <c r="O17" s="29">
        <v>3.7</v>
      </c>
      <c r="P17" s="29"/>
      <c r="Q17" s="29"/>
      <c r="R17" s="37">
        <f>'12'!Z25</f>
        <v>901</v>
      </c>
      <c r="S17" s="36">
        <f>'12'!AB25</f>
        <v>66.841253904506928</v>
      </c>
      <c r="T17" s="37">
        <f>'12'!Y25</f>
        <v>2490</v>
      </c>
      <c r="U17" s="33" t="str">
        <f>IF('12'!AA25=1,'12'!AR6,'12'!AR7)</f>
        <v>S.A.L</v>
      </c>
      <c r="V17" s="945">
        <f>ESCALA!$C$14</f>
        <v>0</v>
      </c>
      <c r="W17" s="945"/>
      <c r="X17" s="13">
        <v>0.5</v>
      </c>
      <c r="Y17" s="54">
        <v>2347</v>
      </c>
      <c r="Z17" s="270">
        <v>901</v>
      </c>
      <c r="AA17" s="54">
        <v>1</v>
      </c>
      <c r="AB17" s="58">
        <f>IF('12'!AA17=1,(('12'!Z17*'12'!$AS$6*'12'!$AT$6)/('12'!Y17*0.0036)),IF('12'!AA17=2,(('12'!Z17*'12'!$AS$7*'12'!$AT$7)/('12'!Y17*0.0036))))</f>
        <v>70.913814325616642</v>
      </c>
      <c r="AC17" s="58"/>
      <c r="AD17" s="18">
        <f>(('12'!AC17*'12'!$Q$10*1000000))/('12'!Y17*3600)</f>
        <v>0</v>
      </c>
      <c r="AE17" s="183"/>
      <c r="AF17" s="184">
        <f>('12'!AE17/24)*0.454</f>
        <v>0</v>
      </c>
      <c r="AG17" s="19"/>
      <c r="AH17" s="184">
        <f>('12'!AG17/24)*0.454</f>
        <v>0</v>
      </c>
      <c r="AI17" s="271">
        <v>5000</v>
      </c>
      <c r="AJ17" s="184">
        <f>('12'!AI17/24)*0.454</f>
        <v>94.583333333333343</v>
      </c>
      <c r="AK17" s="21"/>
      <c r="AL17" s="185">
        <f>('12'!AK17/24)*0.454</f>
        <v>0</v>
      </c>
      <c r="AM17" s="21"/>
      <c r="AN17" s="185">
        <f>('12'!AM17/24)*0.454</f>
        <v>0</v>
      </c>
      <c r="AO17" s="21"/>
      <c r="AP17" s="185">
        <f>('12'!AO17/24)*0.454</f>
        <v>0</v>
      </c>
    </row>
    <row r="18" spans="1:42" ht="19.5" customHeight="1">
      <c r="A18" s="28">
        <v>0.91666666666666696</v>
      </c>
      <c r="B18" s="29">
        <v>60</v>
      </c>
      <c r="C18" s="29">
        <v>10</v>
      </c>
      <c r="D18" s="29">
        <v>10</v>
      </c>
      <c r="E18" s="29">
        <v>2.5</v>
      </c>
      <c r="F18" s="29">
        <v>7</v>
      </c>
      <c r="G18" s="29">
        <v>1.3</v>
      </c>
      <c r="H18" s="29">
        <v>1.3</v>
      </c>
      <c r="I18" s="29">
        <v>0.4</v>
      </c>
      <c r="J18" s="29">
        <v>0.4</v>
      </c>
      <c r="K18" s="29">
        <v>7.3</v>
      </c>
      <c r="L18" s="29">
        <v>6.7</v>
      </c>
      <c r="M18" s="29">
        <v>6.7</v>
      </c>
      <c r="N18" s="29">
        <v>6.3</v>
      </c>
      <c r="O18" s="29">
        <v>3.7</v>
      </c>
      <c r="P18" s="29"/>
      <c r="Q18" s="29"/>
      <c r="R18" s="37">
        <f>'12'!Z27</f>
        <v>901</v>
      </c>
      <c r="S18" s="36">
        <f>'12'!AB27</f>
        <v>66.414494103041605</v>
      </c>
      <c r="T18" s="37">
        <f>'12'!Y27</f>
        <v>2506</v>
      </c>
      <c r="U18" s="33" t="str">
        <f>IF('12'!AA27=1,'12'!AR6,'12'!AR7)</f>
        <v>S.A.L</v>
      </c>
      <c r="V18" s="945"/>
      <c r="W18" s="945"/>
      <c r="X18" s="13">
        <v>0.54166666666666696</v>
      </c>
      <c r="Y18" s="54">
        <v>2286</v>
      </c>
      <c r="Z18" s="270">
        <v>901</v>
      </c>
      <c r="AA18" s="54">
        <v>1</v>
      </c>
      <c r="AB18" s="58">
        <f>IF('12'!AA18=1,(('12'!Z18*'12'!$AS$6*'12'!$AT$6)/('12'!Y18*0.0036)),IF('12'!AA18=2,(('12'!Z18*'12'!$AS$7*'12'!$AT$7)/('12'!Y18*0.0036))))</f>
        <v>72.806090210945868</v>
      </c>
      <c r="AC18" s="58"/>
      <c r="AD18" s="18">
        <f>(('12'!AC18*'12'!$Q$10*1000000))/('12'!Y18*3600)</f>
        <v>0</v>
      </c>
      <c r="AE18" s="183"/>
      <c r="AF18" s="184">
        <f>('12'!AE18/24)*0.454</f>
        <v>0</v>
      </c>
      <c r="AG18" s="19"/>
      <c r="AH18" s="184">
        <f>('12'!AG18/24)*0.454</f>
        <v>0</v>
      </c>
      <c r="AI18" s="271">
        <v>5000</v>
      </c>
      <c r="AJ18" s="184">
        <f>('12'!AI18/24)*0.454</f>
        <v>94.583333333333343</v>
      </c>
      <c r="AK18" s="21"/>
      <c r="AL18" s="185">
        <f>('12'!AK18/24)*0.454</f>
        <v>0</v>
      </c>
      <c r="AM18" s="21"/>
      <c r="AN18" s="185">
        <f>('12'!AM18/24)*0.454</f>
        <v>0</v>
      </c>
      <c r="AO18" s="21"/>
      <c r="AP18" s="185">
        <f>('12'!AO18/24)*0.454</f>
        <v>0</v>
      </c>
    </row>
    <row r="19" spans="1:42" ht="18.75" customHeight="1">
      <c r="A19" s="10" t="s">
        <v>52</v>
      </c>
      <c r="B19" s="189">
        <f t="array" ref="B19">IF('12'!B7:B18&gt;0.01,AVERAGE('12'!B7:B18),"")</f>
        <v>60</v>
      </c>
      <c r="C19" s="69">
        <f t="array" ref="C19">IF('12'!C7:C18&gt;0.01,AVERAGE('12'!C7:C18),"")</f>
        <v>10.833333333333334</v>
      </c>
      <c r="D19" s="69">
        <f t="array" ref="D19">IF('12'!D7:D18&gt;0.01,AVERAGE('12'!D7:D18),"")</f>
        <v>10.833333333333334</v>
      </c>
      <c r="E19" s="69">
        <f t="array" ref="E19">IF('12'!E7:E18&gt;0.01,AVERAGE('12'!E7:E18),"")</f>
        <v>2.5</v>
      </c>
      <c r="F19" s="69">
        <f t="array" ref="F19">IF('12'!F7:F18&gt;0.01,AVERAGE('12'!F7:F18),"")</f>
        <v>8.7000000000000011</v>
      </c>
      <c r="G19" s="69">
        <f t="array" ref="G19">IF('12'!G7:G18&gt;0.01,AVERAGE('12'!G7:G18),"")</f>
        <v>1.3</v>
      </c>
      <c r="H19" s="69">
        <f t="array" ref="H19">IF('12'!H7:H18&gt;0.01,AVERAGE('12'!H7:H18),"")</f>
        <v>1.2833333333333332</v>
      </c>
      <c r="I19" s="69">
        <f t="array" ref="I19">IF('12'!I7:I18&gt;0.01,AVERAGE('12'!I7:I18),"")</f>
        <v>0.41666666666666674</v>
      </c>
      <c r="J19" s="69">
        <f t="array" ref="J19">IF('12'!J7:J18&gt;0.01,AVERAGE('12'!J7:J18),"")</f>
        <v>0.45000000000000012</v>
      </c>
      <c r="K19" s="69">
        <f t="array" ref="K19">IF('12'!K7:K18&gt;0.01,AVERAGE('12'!K7:K18),"")</f>
        <v>7.299999999999998</v>
      </c>
      <c r="L19" s="69">
        <f t="array" ref="L19">IF('12'!L7:L18&gt;0.01,AVERAGE('12'!L7:L18),"")</f>
        <v>6.6166666666666671</v>
      </c>
      <c r="M19" s="69">
        <f t="array" ref="M19">IF('12'!M7:M18&gt;0.01,AVERAGE('12'!M7:M18),"")</f>
        <v>6.700000000000002</v>
      </c>
      <c r="N19" s="69">
        <f t="array" ref="N19">IF('12'!N7:N18&gt;0.01,AVERAGE('12'!N7:N18),"")</f>
        <v>6.299999999999998</v>
      </c>
      <c r="O19" s="69">
        <f t="array" ref="O19">IF('12'!O7:O18&gt;0.01,AVERAGE('12'!O7:O18),"")</f>
        <v>3.6500000000000008</v>
      </c>
      <c r="P19" s="190" t="str">
        <f t="array" ref="P19">IF('12'!P7:P18&gt;0.01,AVERAGE('12'!P7:P18),"")</f>
        <v/>
      </c>
      <c r="Q19" s="191" t="str">
        <f t="array" ref="Q19">IF('12'!Q7:Q18&gt;0.01,AVERAGE('12'!Q7:Q18),"")</f>
        <v/>
      </c>
      <c r="R19" s="191">
        <f t="array" ref="R19">IF('12'!R7:R18&gt;0.01,AVERAGE('12'!R7:R18),"")</f>
        <v>901</v>
      </c>
      <c r="S19" s="191">
        <f t="array" ref="S19">IF('12'!S7:S18&gt;0.01,AVERAGE('12'!S7:S18),"")</f>
        <v>66.419731114112793</v>
      </c>
      <c r="T19" s="1072"/>
      <c r="U19" s="1072"/>
      <c r="V19" s="49"/>
      <c r="W19" s="50"/>
      <c r="X19" s="13">
        <v>0.58333333333333304</v>
      </c>
      <c r="Y19" s="173">
        <v>2272</v>
      </c>
      <c r="Z19" s="270">
        <v>901</v>
      </c>
      <c r="AA19" s="54">
        <v>1</v>
      </c>
      <c r="AB19" s="58">
        <f>IF('12'!AA19=1,(('12'!Z19*'12'!$AS$6*'12'!$AT$6)/('12'!Y19*0.0036)),IF('12'!AA19=2,(('12'!Z19*'12'!$AS$7*'12'!$AT$7)/('12'!Y19*0.0036))))</f>
        <v>73.254719287949939</v>
      </c>
      <c r="AC19" s="58"/>
      <c r="AD19" s="18">
        <f>(('12'!AC19*'12'!$Q$10*1000000))/('12'!Y19*3600)</f>
        <v>0</v>
      </c>
      <c r="AE19" s="183"/>
      <c r="AF19" s="184">
        <f>('12'!AE19/24)*0.454</f>
        <v>0</v>
      </c>
      <c r="AG19" s="19"/>
      <c r="AH19" s="184">
        <f>('12'!AG19/24)*0.454</f>
        <v>0</v>
      </c>
      <c r="AI19" s="271">
        <v>5000</v>
      </c>
      <c r="AJ19" s="184">
        <f>('12'!AI19/24)*0.454</f>
        <v>94.583333333333343</v>
      </c>
      <c r="AK19" s="21"/>
      <c r="AL19" s="185">
        <f>('12'!AK19/24)*0.454</f>
        <v>0</v>
      </c>
      <c r="AM19" s="21"/>
      <c r="AN19" s="185">
        <f>('12'!AM19/24)*0.454</f>
        <v>0</v>
      </c>
      <c r="AO19" s="21"/>
      <c r="AP19" s="185">
        <f>('12'!AO19/24)*0.454</f>
        <v>0</v>
      </c>
    </row>
    <row r="20" spans="1:42" ht="18.75" customHeight="1">
      <c r="A20" s="10" t="s">
        <v>53</v>
      </c>
      <c r="B20" s="189">
        <f>MAX('12'!B7:B18)</f>
        <v>60</v>
      </c>
      <c r="C20" s="69">
        <f>MAX('12'!C7:C18)</f>
        <v>12.5</v>
      </c>
      <c r="D20" s="69">
        <f>MAX('12'!D7:D18)</f>
        <v>12.5</v>
      </c>
      <c r="E20" s="69">
        <f>MAX('12'!E7:E18)</f>
        <v>2.5</v>
      </c>
      <c r="F20" s="69">
        <f>MAX('12'!F7:F18)</f>
        <v>10.6</v>
      </c>
      <c r="G20" s="69">
        <f>MAX('12'!G7:G18)</f>
        <v>1.5</v>
      </c>
      <c r="H20" s="69">
        <f>MAX('12'!H7:H18)</f>
        <v>1.5</v>
      </c>
      <c r="I20" s="69">
        <f>MAX('12'!I7:I18)</f>
        <v>0.5</v>
      </c>
      <c r="J20" s="69">
        <f>MAX('12'!J7:J18)</f>
        <v>0.5</v>
      </c>
      <c r="K20" s="69">
        <f>MAX('12'!K7:K18)</f>
        <v>7.3</v>
      </c>
      <c r="L20" s="69">
        <f>MAX('12'!L7:L18)</f>
        <v>6.7</v>
      </c>
      <c r="M20" s="69">
        <f>MAX('12'!M7:M18)</f>
        <v>6.7</v>
      </c>
      <c r="N20" s="69">
        <f>MAX('12'!N7:N18)</f>
        <v>6.3</v>
      </c>
      <c r="O20" s="70">
        <f>MAX('12'!O7:O18)</f>
        <v>3.7</v>
      </c>
      <c r="P20" s="70">
        <f>MAX('12'!P7:P18)</f>
        <v>0</v>
      </c>
      <c r="Q20" s="70">
        <f>MAX('12'!Q7:Q18)</f>
        <v>0</v>
      </c>
      <c r="R20" s="70">
        <f>MAX('12'!R7:R18)</f>
        <v>901</v>
      </c>
      <c r="S20" s="70">
        <f>MAX('12'!S7:S18)</f>
        <v>73.254719287949939</v>
      </c>
      <c r="T20" s="1072"/>
      <c r="U20" s="1072"/>
      <c r="X20" s="13">
        <v>0.625</v>
      </c>
      <c r="Y20" s="173">
        <v>2485</v>
      </c>
      <c r="Z20" s="270">
        <v>901</v>
      </c>
      <c r="AA20" s="54">
        <v>1</v>
      </c>
      <c r="AB20" s="58">
        <f>IF('12'!AA20=1,(('12'!Z20*'12'!$AS$6*'12'!$AT$6)/('12'!Y20*0.0036)),IF('12'!AA20=2,(('12'!Z20*'12'!$AS$7*'12'!$AT$7)/('12'!Y20*0.0036))))</f>
        <v>66.975743348982803</v>
      </c>
      <c r="AC20" s="58"/>
      <c r="AD20" s="18">
        <f>(('12'!AC20*'12'!$Q$10*1000000))/('12'!Y20*3600)</f>
        <v>0</v>
      </c>
      <c r="AE20" s="183"/>
      <c r="AF20" s="184">
        <f>('12'!AE20/24)*0.454</f>
        <v>0</v>
      </c>
      <c r="AG20" s="19"/>
      <c r="AH20" s="184">
        <f>('12'!AG20/24)*0.454</f>
        <v>0</v>
      </c>
      <c r="AI20" s="271">
        <v>4800</v>
      </c>
      <c r="AJ20" s="184">
        <f>('12'!AI20/24)*0.454</f>
        <v>90.8</v>
      </c>
      <c r="AK20" s="21"/>
      <c r="AL20" s="185">
        <f>('12'!AK20/24)*0.454</f>
        <v>0</v>
      </c>
      <c r="AM20" s="21"/>
      <c r="AN20" s="185">
        <f>('12'!AM20/24)*0.454</f>
        <v>0</v>
      </c>
      <c r="AO20" s="21"/>
      <c r="AP20" s="185">
        <f>('12'!AO20/24)*0.454</f>
        <v>0</v>
      </c>
    </row>
    <row r="21" spans="1:42" ht="19.5" customHeight="1">
      <c r="A21" s="10" t="s">
        <v>54</v>
      </c>
      <c r="B21" s="189">
        <f>MIN('12'!B7:B18)</f>
        <v>60</v>
      </c>
      <c r="C21" s="69">
        <f>MIN('12'!C7:C18)</f>
        <v>10</v>
      </c>
      <c r="D21" s="69">
        <f>MIN('12'!D7:D18)</f>
        <v>10</v>
      </c>
      <c r="E21" s="69">
        <f>MIN('12'!E7:E18)</f>
        <v>2.5</v>
      </c>
      <c r="F21" s="69">
        <f>MIN('12'!F7:F18)</f>
        <v>7</v>
      </c>
      <c r="G21" s="192">
        <f>MIN('12'!G7:G18)</f>
        <v>1.1000000000000001</v>
      </c>
      <c r="H21" s="192">
        <f>MIN('12'!H7:H18)</f>
        <v>1.1000000000000001</v>
      </c>
      <c r="I21" s="192">
        <f>MIN('12'!I7:I18)</f>
        <v>0.4</v>
      </c>
      <c r="J21" s="192">
        <f>MIN('12'!J7:J18)</f>
        <v>0.4</v>
      </c>
      <c r="K21" s="192">
        <f>MIN('12'!K7:K18)</f>
        <v>7.3</v>
      </c>
      <c r="L21" s="192">
        <f>MIN('12'!L7:L18)</f>
        <v>6.6</v>
      </c>
      <c r="M21" s="192">
        <f>MIN('12'!M7:M18)</f>
        <v>6.7</v>
      </c>
      <c r="N21" s="192">
        <f>MIN('12'!N7:N18)</f>
        <v>6.3</v>
      </c>
      <c r="O21" s="193">
        <f>MIN('12'!O7:O18)</f>
        <v>3.6</v>
      </c>
      <c r="P21" s="193">
        <f>MIN('12'!P7:P18)</f>
        <v>0</v>
      </c>
      <c r="Q21" s="193">
        <f>MIN('12'!Q7:Q18)</f>
        <v>0</v>
      </c>
      <c r="R21" s="193">
        <f>MIN('12'!R7:R18)</f>
        <v>901</v>
      </c>
      <c r="S21" s="193">
        <f>MIN('12'!S7:S18)</f>
        <v>62.358457183297958</v>
      </c>
      <c r="T21" s="1072"/>
      <c r="U21" s="1072"/>
      <c r="X21" s="13">
        <v>0.66666666666666696</v>
      </c>
      <c r="Y21" s="173">
        <v>2609</v>
      </c>
      <c r="Z21" s="270">
        <v>901</v>
      </c>
      <c r="AA21" s="54">
        <v>1</v>
      </c>
      <c r="AB21" s="58">
        <f>IF('12'!AA21=1,(('12'!Z21*'12'!$AS$6*'12'!$AT$6)/('12'!Y21*0.0036)),IF('12'!AA21=2,(('12'!Z21*'12'!$AS$7*'12'!$AT$7)/('12'!Y21*0.0036))))</f>
        <v>63.792534389506415</v>
      </c>
      <c r="AC21" s="58"/>
      <c r="AD21" s="18">
        <f>(('12'!AC21*'12'!$Q$10*1000000))/('12'!Y21*3600)</f>
        <v>0</v>
      </c>
      <c r="AE21" s="183"/>
      <c r="AF21" s="184">
        <f>('12'!AE21/24)*0.454</f>
        <v>0</v>
      </c>
      <c r="AG21" s="19"/>
      <c r="AH21" s="184">
        <f>('12'!AG21/24)*0.454</f>
        <v>0</v>
      </c>
      <c r="AI21" s="271">
        <v>4800</v>
      </c>
      <c r="AJ21" s="184">
        <f>('12'!AI21/24)*0.454</f>
        <v>90.8</v>
      </c>
      <c r="AK21" s="21"/>
      <c r="AL21" s="185">
        <f>('12'!AK21/24)*0.454</f>
        <v>0</v>
      </c>
      <c r="AM21" s="21"/>
      <c r="AN21" s="185">
        <f>('12'!AM21/24)*0.454</f>
        <v>0</v>
      </c>
      <c r="AO21" s="21"/>
      <c r="AP21" s="185">
        <f>('12'!AO21/24)*0.454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1072"/>
      <c r="U22" s="1072"/>
      <c r="X22" s="13">
        <v>0.70833333333333304</v>
      </c>
      <c r="Y22" s="173">
        <v>2403</v>
      </c>
      <c r="Z22" s="270">
        <v>901</v>
      </c>
      <c r="AA22" s="54">
        <v>1</v>
      </c>
      <c r="AB22" s="58">
        <f>IF('12'!AA22=1,(('12'!Z22*'12'!$AS$6*'12'!$AT$6)/('12'!Y22*0.0036)),IF('12'!AA22=2,(('12'!Z22*'12'!$AS$7*'12'!$AT$7)/('12'!Y22*0.0036))))</f>
        <v>69.26122439543164</v>
      </c>
      <c r="AC22" s="58"/>
      <c r="AD22" s="18">
        <f>(('12'!AC22*'12'!$Q$10*1000000))/('12'!Y22*3600)</f>
        <v>0</v>
      </c>
      <c r="AE22" s="183"/>
      <c r="AF22" s="184">
        <f>('12'!AE22/24)*0.454</f>
        <v>0</v>
      </c>
      <c r="AG22" s="19"/>
      <c r="AH22" s="184">
        <f>('12'!AG22/24)*0.454</f>
        <v>0</v>
      </c>
      <c r="AI22" s="271">
        <v>4800</v>
      </c>
      <c r="AJ22" s="184">
        <f>('12'!AI22/24)*0.454</f>
        <v>90.8</v>
      </c>
      <c r="AK22" s="21"/>
      <c r="AL22" s="185">
        <f>('12'!AK22/24)*0.454</f>
        <v>0</v>
      </c>
      <c r="AM22" s="21"/>
      <c r="AN22" s="185">
        <f>('12'!AM22/24)*0.454</f>
        <v>0</v>
      </c>
      <c r="AO22" s="21"/>
      <c r="AP22" s="185">
        <f>('12'!AO22/24)*0.454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1072"/>
      <c r="U23" s="1072"/>
      <c r="X23" s="13">
        <v>0.75</v>
      </c>
      <c r="Y23" s="173">
        <v>2317</v>
      </c>
      <c r="Z23" s="270">
        <v>901</v>
      </c>
      <c r="AA23" s="54">
        <v>1</v>
      </c>
      <c r="AB23" s="58">
        <f>IF('12'!AA23=1,(('12'!Z23*'12'!$AS$6*'12'!$AT$6)/('12'!Y23*0.0036)),IF('12'!AA23=2,(('12'!Z23*'12'!$AS$7*'12'!$AT$7)/('12'!Y23*0.0036))))</f>
        <v>71.831990600872786</v>
      </c>
      <c r="AC23" s="58"/>
      <c r="AD23" s="18">
        <f>(('12'!AC23*'12'!$Q$10*1000000))/('12'!Y23*3600)</f>
        <v>0</v>
      </c>
      <c r="AE23" s="183"/>
      <c r="AF23" s="184">
        <f>('12'!AE23/24)*0.454</f>
        <v>0</v>
      </c>
      <c r="AG23" s="19"/>
      <c r="AH23" s="184">
        <f>('12'!AG23/24)*0.454</f>
        <v>0</v>
      </c>
      <c r="AI23" s="271">
        <v>4800</v>
      </c>
      <c r="AJ23" s="184">
        <f>('12'!AI23/24)*0.454</f>
        <v>90.8</v>
      </c>
      <c r="AK23" s="21"/>
      <c r="AL23" s="185">
        <f>('12'!AK23/24)*0.454</f>
        <v>0</v>
      </c>
      <c r="AM23" s="21"/>
      <c r="AN23" s="185">
        <f>('12'!AM23/24)*0.454</f>
        <v>0</v>
      </c>
      <c r="AO23" s="21"/>
      <c r="AP23" s="185">
        <f>('12'!AO23/24)*0.454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1072"/>
      <c r="U24" s="1072"/>
      <c r="X24" s="13">
        <v>0.79166666666666696</v>
      </c>
      <c r="Y24" s="271">
        <v>2455</v>
      </c>
      <c r="Z24" s="270">
        <v>901</v>
      </c>
      <c r="AA24" s="54">
        <v>1</v>
      </c>
      <c r="AB24" s="16">
        <f>IF('12'!AA24=1,(('12'!Z24*'12'!$AS$6*'12'!$AT$6)/('12'!Y24*0.0036)),IF('12'!AA24=2,(('12'!Z24*'12'!$AS$7*'12'!$AT$7)/('12'!Y24*0.0036))))</f>
        <v>67.794184204571181</v>
      </c>
      <c r="AC24" s="16"/>
      <c r="AD24" s="194">
        <f>(('12'!AC24*'12'!$Q$10*1000000))/('12'!Y24*3600)</f>
        <v>0</v>
      </c>
      <c r="AE24" s="183"/>
      <c r="AF24" s="195">
        <f>('12'!AE24/24)*0.454</f>
        <v>0</v>
      </c>
      <c r="AG24" s="173"/>
      <c r="AH24" s="195">
        <f>('12'!AG24/24)*0.454</f>
        <v>0</v>
      </c>
      <c r="AI24" s="271">
        <v>4800</v>
      </c>
      <c r="AJ24" s="195">
        <f>('12'!AI24/24)*0.454</f>
        <v>90.8</v>
      </c>
      <c r="AK24" s="21"/>
      <c r="AL24" s="196">
        <f>('12'!AK24/24)*0.454</f>
        <v>0</v>
      </c>
      <c r="AM24" s="197"/>
      <c r="AN24" s="196">
        <f>('12'!AM24/24)*0.454</f>
        <v>0</v>
      </c>
      <c r="AO24" s="21"/>
      <c r="AP24" s="196">
        <f>('12'!AO24/24)*0.454</f>
        <v>0</v>
      </c>
    </row>
    <row r="25" spans="1:42" ht="19.5" customHeight="1">
      <c r="A25" s="64">
        <v>0.41666666666666702</v>
      </c>
      <c r="B25" s="198">
        <v>1.08</v>
      </c>
      <c r="C25" s="198">
        <v>0.39</v>
      </c>
      <c r="D25" s="198">
        <v>0.43</v>
      </c>
      <c r="E25" s="198">
        <v>0.45</v>
      </c>
      <c r="F25" s="198">
        <v>0.44</v>
      </c>
      <c r="G25" s="198">
        <v>0.48</v>
      </c>
      <c r="H25" s="198">
        <v>0.35</v>
      </c>
      <c r="I25" s="198">
        <v>0.43</v>
      </c>
      <c r="J25" s="198">
        <v>0.51</v>
      </c>
      <c r="K25" s="198">
        <v>0.52</v>
      </c>
      <c r="L25" s="198">
        <v>0.51</v>
      </c>
      <c r="M25" s="198">
        <v>0.45</v>
      </c>
      <c r="N25" s="198">
        <v>0.48</v>
      </c>
      <c r="O25" s="198">
        <v>0.46</v>
      </c>
      <c r="P25" s="198">
        <v>0.49</v>
      </c>
      <c r="Q25" s="198">
        <v>0.31</v>
      </c>
      <c r="R25" s="65" t="e">
        <f>#DIV/0!</f>
        <v>#DIV/0!</v>
      </c>
      <c r="S25" s="66"/>
      <c r="T25" s="1068" t="s">
        <v>0</v>
      </c>
      <c r="U25" s="1053">
        <f>ESCALA!$A$14</f>
        <v>43902</v>
      </c>
      <c r="X25" s="13">
        <v>0.83333333333333304</v>
      </c>
      <c r="Y25" s="173">
        <v>2490</v>
      </c>
      <c r="Z25" s="270">
        <v>901</v>
      </c>
      <c r="AA25" s="54">
        <v>1</v>
      </c>
      <c r="AB25" s="58">
        <f>IF('12'!AA25=1,(('12'!Z25*'12'!$AS$6*'12'!$AT$6)/('12'!Y25*0.0036)),IF('12'!AA25=2,(('12'!Z25*'12'!$AS$7*'12'!$AT$7)/('12'!Y25*0.0036))))</f>
        <v>66.841253904506928</v>
      </c>
      <c r="AC25" s="58"/>
      <c r="AD25" s="18">
        <f>(('12'!AC25*'12'!$Q$10*1000000))/('12'!Y25*3600)</f>
        <v>0</v>
      </c>
      <c r="AE25" s="183"/>
      <c r="AF25" s="184">
        <f>('12'!AE25/24)*0.454</f>
        <v>0</v>
      </c>
      <c r="AG25" s="19"/>
      <c r="AH25" s="184">
        <f>('12'!AG25/24)*0.454</f>
        <v>0</v>
      </c>
      <c r="AI25" s="271">
        <v>4800</v>
      </c>
      <c r="AJ25" s="184">
        <f>('12'!AI25/24)*0.454</f>
        <v>90.8</v>
      </c>
      <c r="AK25" s="21"/>
      <c r="AL25" s="185">
        <f>('12'!AK25/24)*0.454</f>
        <v>0</v>
      </c>
      <c r="AM25" s="21"/>
      <c r="AN25" s="185">
        <f>('12'!AM25/24)*0.454</f>
        <v>0</v>
      </c>
      <c r="AO25" s="21"/>
      <c r="AP25" s="185">
        <f>('12'!AO25/24)*0.454</f>
        <v>0</v>
      </c>
    </row>
    <row r="26" spans="1:42" ht="19.5" customHeight="1">
      <c r="A26" s="64">
        <v>0.66666666666666696</v>
      </c>
      <c r="B26" s="198"/>
      <c r="C26" s="198"/>
      <c r="D26" s="198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65" t="e">
        <f>#DIV/0!</f>
        <v>#DIV/0!</v>
      </c>
      <c r="S26" s="67"/>
      <c r="T26" s="1068"/>
      <c r="U26" s="1053"/>
      <c r="X26" s="13">
        <v>0.875</v>
      </c>
      <c r="Y26" s="173">
        <v>2492</v>
      </c>
      <c r="Z26" s="270">
        <v>901</v>
      </c>
      <c r="AA26" s="54">
        <v>1</v>
      </c>
      <c r="AB26" s="58">
        <f>IF('12'!AA26=1,(('12'!Z26*'12'!$AS$6*'12'!$AT$6)/('12'!Y26*0.0036)),IF('12'!AA26=2,(('12'!Z26*'12'!$AS$7*'12'!$AT$7)/('12'!Y26*0.0036))))</f>
        <v>66.78760923845195</v>
      </c>
      <c r="AC26" s="58"/>
      <c r="AD26" s="18">
        <f>(('12'!AC26*'12'!$Q$10*1000000))/('12'!Y26*3600)</f>
        <v>0</v>
      </c>
      <c r="AE26" s="183"/>
      <c r="AF26" s="184">
        <f>('12'!AE26/24)*0.454</f>
        <v>0</v>
      </c>
      <c r="AG26" s="19"/>
      <c r="AH26" s="184">
        <f>('12'!AG26/24)*0.454</f>
        <v>0</v>
      </c>
      <c r="AI26" s="271">
        <v>4800</v>
      </c>
      <c r="AJ26" s="184">
        <f>('12'!AI26/24)*0.454</f>
        <v>90.8</v>
      </c>
      <c r="AK26" s="21"/>
      <c r="AL26" s="185">
        <f>('12'!AK26/24)*0.454</f>
        <v>0</v>
      </c>
      <c r="AM26" s="21"/>
      <c r="AN26" s="185">
        <f>('12'!AM26/24)*0.454</f>
        <v>0</v>
      </c>
      <c r="AO26" s="21"/>
      <c r="AP26" s="185">
        <f>('12'!AO26/24)*0.454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173">
        <v>2506</v>
      </c>
      <c r="Z27" s="270">
        <v>901</v>
      </c>
      <c r="AA27" s="54">
        <v>1</v>
      </c>
      <c r="AB27" s="58">
        <f>IF('12'!AA27=1,(('12'!Z27*'12'!$AS$6*'12'!$AT$6)/('12'!Y27*0.0036)),IF('12'!AA27=2,(('12'!Z27*'12'!$AS$7*'12'!$AT$7)/('12'!Y27*0.0036))))</f>
        <v>66.414494103041605</v>
      </c>
      <c r="AC27" s="58"/>
      <c r="AD27" s="18">
        <f>(('12'!AC27*'12'!$Q$10*1000000))/('12'!Y27*3600)</f>
        <v>0</v>
      </c>
      <c r="AE27" s="183"/>
      <c r="AF27" s="184">
        <f>('12'!AE27/24)*0.454</f>
        <v>0</v>
      </c>
      <c r="AG27" s="19"/>
      <c r="AH27" s="184">
        <f>('12'!AG27/24)*0.454</f>
        <v>0</v>
      </c>
      <c r="AI27" s="271">
        <v>4800</v>
      </c>
      <c r="AJ27" s="184">
        <f>('12'!AI27/24)*0.454</f>
        <v>90.8</v>
      </c>
      <c r="AK27" s="21"/>
      <c r="AL27" s="185">
        <f>('12'!AK27/24)*0.454</f>
        <v>0</v>
      </c>
      <c r="AM27" s="21"/>
      <c r="AN27" s="185">
        <f>('12'!AM27/24)*0.454</f>
        <v>0</v>
      </c>
      <c r="AO27" s="21"/>
      <c r="AP27" s="185">
        <f>('12'!AO27/24)*0.454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3">
        <v>2452</v>
      </c>
      <c r="Z28" s="270">
        <v>901</v>
      </c>
      <c r="AA28" s="54">
        <v>1</v>
      </c>
      <c r="AB28" s="58">
        <f>IF('12'!AA28=1,(('12'!Z28*'12'!$AS$6*'12'!$AT$6)/('12'!Y28*0.0036)),IF('12'!AA28=2,(('12'!Z28*'12'!$AS$7*'12'!$AT$7)/('12'!Y28*0.0036))))</f>
        <v>67.877129780677919</v>
      </c>
      <c r="AC28" s="58"/>
      <c r="AD28" s="18">
        <f>(('12'!AC28*'12'!$Q$10*1000000))/('12'!Y28*3600)</f>
        <v>0</v>
      </c>
      <c r="AE28" s="183"/>
      <c r="AF28" s="184">
        <f>('12'!AE28/24)*0.454</f>
        <v>0</v>
      </c>
      <c r="AG28" s="19"/>
      <c r="AH28" s="184">
        <f>('12'!AG28/24)*0.454</f>
        <v>0</v>
      </c>
      <c r="AI28" s="271">
        <v>4800</v>
      </c>
      <c r="AJ28" s="184">
        <f>('12'!AI28/24)*0.454</f>
        <v>90.8</v>
      </c>
      <c r="AK28" s="21"/>
      <c r="AL28" s="185">
        <f>('12'!AK28/24)*0.454</f>
        <v>0</v>
      </c>
      <c r="AM28" s="21"/>
      <c r="AN28" s="185">
        <f>('12'!AM28/24)*0.454</f>
        <v>0</v>
      </c>
      <c r="AO28" s="21"/>
      <c r="AP28" s="185">
        <f>('12'!AO28/24)*0.454</f>
        <v>0</v>
      </c>
    </row>
    <row r="29" spans="1:42" ht="18.75" customHeight="1">
      <c r="A29" s="953"/>
      <c r="B29" s="953"/>
      <c r="C29" s="953"/>
      <c r="D29" s="953"/>
      <c r="E29" s="953"/>
      <c r="F29" s="953"/>
      <c r="G29" s="953"/>
      <c r="H29" s="953"/>
      <c r="I29" s="953"/>
      <c r="J29" s="953"/>
      <c r="K29" s="953"/>
      <c r="L29" s="953"/>
      <c r="M29" s="953"/>
      <c r="N29" s="953"/>
      <c r="O29" s="953"/>
      <c r="P29" s="953"/>
      <c r="Q29" s="953"/>
      <c r="R29" s="953"/>
      <c r="S29" s="953"/>
      <c r="T29" s="953"/>
      <c r="U29" s="953"/>
      <c r="X29" s="13">
        <v>1</v>
      </c>
      <c r="Y29" s="173">
        <v>2512</v>
      </c>
      <c r="Z29" s="270">
        <v>901</v>
      </c>
      <c r="AA29" s="54">
        <v>1</v>
      </c>
      <c r="AB29" s="58">
        <f>IF('12'!AA29=1,(('12'!Z29*'12'!$AS$6*'12'!$AT$6)/('12'!Y29*0.0036)),IF('12'!AA29=2,(('12'!Z29*'12'!$AS$7*'12'!$AT$7)/('12'!Y29*0.0036))))</f>
        <v>66.255860757254069</v>
      </c>
      <c r="AC29" s="58"/>
      <c r="AD29" s="18">
        <f>(('12'!AC29*'12'!$Q$10*1000000))/('12'!Y29*3600)</f>
        <v>0</v>
      </c>
      <c r="AE29" s="183"/>
      <c r="AF29" s="184">
        <f>('12'!AE29/24)*0.454</f>
        <v>0</v>
      </c>
      <c r="AG29" s="19"/>
      <c r="AH29" s="184">
        <f>('12'!AG29/24)*0.454</f>
        <v>0</v>
      </c>
      <c r="AI29" s="271">
        <v>4800</v>
      </c>
      <c r="AJ29" s="184">
        <f>('12'!AI29/24)*0.454</f>
        <v>90.8</v>
      </c>
      <c r="AK29" s="21"/>
      <c r="AL29" s="185">
        <f>('12'!AK29/24)*0.454</f>
        <v>0</v>
      </c>
      <c r="AM29" s="21"/>
      <c r="AN29" s="185">
        <f>('12'!AM29/24)*0.454</f>
        <v>0</v>
      </c>
      <c r="AO29" s="21"/>
      <c r="AP29" s="185">
        <f>('12'!AO29/24)*0.454</f>
        <v>0</v>
      </c>
    </row>
    <row r="30" spans="1:42" ht="18.75" customHeight="1">
      <c r="A30" s="953"/>
      <c r="B30" s="953"/>
      <c r="C30" s="953"/>
      <c r="D30" s="953"/>
      <c r="E30" s="953"/>
      <c r="F30" s="953"/>
      <c r="G30" s="953"/>
      <c r="H30" s="953"/>
      <c r="I30" s="953"/>
      <c r="J30" s="953"/>
      <c r="K30" s="953"/>
      <c r="L30" s="953"/>
      <c r="M30" s="953"/>
      <c r="N30" s="953"/>
      <c r="O30" s="953"/>
      <c r="P30" s="953"/>
      <c r="Q30" s="953"/>
      <c r="R30" s="953"/>
      <c r="S30" s="953"/>
      <c r="T30" s="953"/>
      <c r="U30" s="953"/>
      <c r="X30" s="75" t="s">
        <v>55</v>
      </c>
      <c r="Y30" s="201">
        <f>SUM('12'!Y6:Y29)*3.6</f>
        <v>215809.2</v>
      </c>
      <c r="Z30" s="82">
        <f>SUM('12'!Z6:Z29)</f>
        <v>21624</v>
      </c>
      <c r="AA30" s="78"/>
      <c r="AB30" s="79"/>
      <c r="AC30" s="78"/>
      <c r="AD30" s="79"/>
      <c r="AE30" s="34"/>
      <c r="AF30" s="184">
        <f>SUM('12'!AF6:AF29)</f>
        <v>0</v>
      </c>
      <c r="AG30" s="34"/>
      <c r="AH30" s="184">
        <f>SUM('12'!AH6:AH29)</f>
        <v>0</v>
      </c>
      <c r="AI30" s="34"/>
      <c r="AJ30" s="184">
        <f>SUM('12'!AJ6:AJ29)</f>
        <v>2232.166666666667</v>
      </c>
      <c r="AK30" s="80"/>
      <c r="AL30" s="185">
        <f>SUM('12'!AL6:AL29)</f>
        <v>0</v>
      </c>
      <c r="AM30" s="80"/>
      <c r="AN30" s="185">
        <f>SUM('12'!AN6:AN29)</f>
        <v>0</v>
      </c>
      <c r="AO30" s="21"/>
      <c r="AP30" s="185">
        <f>SUM('12'!AP6:AP29)</f>
        <v>0</v>
      </c>
    </row>
    <row r="31" spans="1:42" ht="15" customHeight="1">
      <c r="A31" s="953"/>
      <c r="B31" s="953"/>
      <c r="C31" s="953"/>
      <c r="D31" s="953"/>
      <c r="E31" s="953"/>
      <c r="F31" s="953"/>
      <c r="G31" s="953"/>
      <c r="H31" s="953"/>
      <c r="I31" s="953"/>
      <c r="J31" s="953"/>
      <c r="K31" s="953"/>
      <c r="L31" s="953"/>
      <c r="M31" s="953"/>
      <c r="N31" s="953"/>
      <c r="O31" s="953"/>
      <c r="P31" s="953"/>
      <c r="Q31" s="953"/>
      <c r="R31" s="953"/>
      <c r="S31" s="953"/>
      <c r="T31" s="953"/>
      <c r="U31" s="953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953"/>
      <c r="B32" s="953"/>
      <c r="C32" s="953"/>
      <c r="D32" s="953"/>
      <c r="E32" s="953"/>
      <c r="F32" s="953"/>
      <c r="G32" s="953"/>
      <c r="H32" s="953"/>
      <c r="I32" s="953"/>
      <c r="J32" s="953"/>
      <c r="K32" s="953"/>
      <c r="L32" s="953"/>
      <c r="M32" s="953"/>
      <c r="N32" s="953"/>
      <c r="O32" s="953"/>
      <c r="P32" s="953"/>
      <c r="Q32" s="953"/>
      <c r="R32" s="953"/>
      <c r="S32" s="953"/>
      <c r="T32" s="953"/>
      <c r="U32" s="953"/>
      <c r="X32" s="955" t="s">
        <v>60</v>
      </c>
      <c r="Y32" s="955"/>
      <c r="Z32" s="82">
        <f>SUMIF('12'!AA6:AA29,"=1",'12'!Z6:Z29)</f>
        <v>21624</v>
      </c>
      <c r="AA32" s="82">
        <f>'12'!Z32*'12'!AS6</f>
        <v>28759.920000000002</v>
      </c>
      <c r="AB32" s="83">
        <f>SUMIF('12'!$AA$6:$AA$29,"=1",'12'!$AB$6:$AB$29)/COUNTIF('12'!$AA$6:$AA$29,"=1")</f>
        <v>66.842230784295012</v>
      </c>
      <c r="AC32" s="84">
        <f>SUMIF('12'!Z6:Z29,"=1",'12'!AC6:AC29)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953"/>
      <c r="B33" s="953"/>
      <c r="C33" s="953"/>
      <c r="D33" s="953"/>
      <c r="E33" s="953"/>
      <c r="F33" s="953"/>
      <c r="G33" s="953"/>
      <c r="H33" s="953"/>
      <c r="I33" s="953"/>
      <c r="J33" s="953"/>
      <c r="K33" s="953"/>
      <c r="L33" s="953"/>
      <c r="M33" s="953"/>
      <c r="N33" s="953"/>
      <c r="O33" s="953"/>
      <c r="P33" s="953"/>
      <c r="Q33" s="953"/>
      <c r="R33" s="953"/>
      <c r="S33" s="953"/>
      <c r="T33" s="953"/>
      <c r="U33" s="953"/>
      <c r="X33" s="955" t="s">
        <v>61</v>
      </c>
      <c r="Y33" s="955"/>
      <c r="Z33" s="82">
        <f>SUMIF('12'!Z6:Z29,"=2",'12'!Z6:Z29)</f>
        <v>0</v>
      </c>
      <c r="AA33" s="82">
        <f>'12'!Z33*'12'!AS7</f>
        <v>0</v>
      </c>
      <c r="AB33" s="83" t="e">
        <f>SUMIF('12'!$Z$6:$Z$29,"=2",'12'!$Z$6:$Z$29)/COUNTIF('12'!$Z$6:$Z$29,"=2")</f>
        <v>#DIV/0!</v>
      </c>
      <c r="AC33" s="89">
        <f>SUMIF('12'!Z6:Z29,"=2",'12'!AC6:AC29)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953"/>
      <c r="B34" s="953"/>
      <c r="C34" s="953"/>
      <c r="D34" s="953"/>
      <c r="E34" s="953"/>
      <c r="F34" s="953"/>
      <c r="G34" s="953"/>
      <c r="H34" s="953"/>
      <c r="I34" s="953"/>
      <c r="J34" s="953"/>
      <c r="K34" s="953"/>
      <c r="L34" s="953"/>
      <c r="M34" s="953"/>
      <c r="N34" s="953"/>
      <c r="O34" s="953"/>
      <c r="P34" s="953"/>
      <c r="Q34" s="953"/>
      <c r="R34" s="953"/>
      <c r="S34" s="953"/>
      <c r="T34" s="953"/>
      <c r="U34" s="953"/>
      <c r="X34" s="94" t="s">
        <v>52</v>
      </c>
      <c r="Y34" s="95">
        <f>AVERAGE('12'!Y6:Y29)</f>
        <v>2497.7916666666665</v>
      </c>
      <c r="Z34" s="96">
        <f>AVERAGE('12'!Z6:Z29)</f>
        <v>901</v>
      </c>
      <c r="AA34" s="97"/>
      <c r="AB34" s="97"/>
      <c r="AC34" s="98">
        <f>SUM('12'!AC6:AC29)/COUNTIF('12'!AC6:AC29,"&lt;&gt;0")</f>
        <v>0</v>
      </c>
      <c r="AD34" s="99" t="e">
        <f>SUM('12'!AD6:AD29)/COUNTIF('12'!AD6:AD29,"&lt;&gt;0")</f>
        <v>#DIV/0!</v>
      </c>
      <c r="AE34" s="78"/>
      <c r="AF34" s="98">
        <f>AVERAGE('12'!AF6:AF29)</f>
        <v>0</v>
      </c>
      <c r="AG34" s="98"/>
      <c r="AH34" s="98">
        <f>AVERAGE('12'!AH6:AH29)</f>
        <v>0</v>
      </c>
      <c r="AI34" s="98"/>
      <c r="AJ34" s="98">
        <f>'12'!AJ30/24</f>
        <v>93.006944444444457</v>
      </c>
      <c r="AK34" s="98"/>
      <c r="AL34" s="98">
        <f>AVERAGE('12'!AL6:AL29)</f>
        <v>0</v>
      </c>
      <c r="AM34" s="98"/>
      <c r="AN34" s="98">
        <f>AVERAGE('12'!AN6:AN29)</f>
        <v>0</v>
      </c>
      <c r="AO34" s="98"/>
      <c r="AP34" s="98">
        <f>AVERAGE('12'!AP6:AP29)</f>
        <v>0</v>
      </c>
    </row>
    <row r="35" spans="1:44" ht="19.5" customHeight="1">
      <c r="A35" s="272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70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70"/>
      <c r="X36" s="105" t="s">
        <v>73</v>
      </c>
      <c r="Y36" s="106"/>
      <c r="Z36" s="107"/>
      <c r="AA36" s="108" t="s">
        <v>74</v>
      </c>
      <c r="AB36" s="106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85.7</v>
      </c>
      <c r="D37" s="186">
        <v>61.6</v>
      </c>
      <c r="E37" s="186">
        <v>58.5</v>
      </c>
      <c r="F37" s="186">
        <v>0.8</v>
      </c>
      <c r="G37" s="183">
        <v>0</v>
      </c>
      <c r="H37" s="183">
        <v>0</v>
      </c>
      <c r="I37" s="183">
        <v>0.1</v>
      </c>
      <c r="J37" s="183">
        <v>0.08</v>
      </c>
      <c r="K37" s="183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66">
        <f>'12'!V12</f>
        <v>0</v>
      </c>
      <c r="X37" s="962" t="s">
        <v>75</v>
      </c>
      <c r="Y37" s="962"/>
      <c r="Z37" s="110">
        <f>COUNTA('12'!Z6:Z29)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206"/>
      <c r="X38" s="112"/>
      <c r="Y38" s="112"/>
      <c r="Z38" s="113"/>
      <c r="AA38" s="111"/>
      <c r="AB38" s="111"/>
      <c r="AJ38" s="210" t="s">
        <v>78</v>
      </c>
      <c r="AK38" s="211">
        <f>SUM('12'!AF30+'12'!AH30)</f>
        <v>0</v>
      </c>
      <c r="AL38" s="210" t="s">
        <v>78</v>
      </c>
      <c r="AM38" s="212">
        <f>SUM('12'!AL30+'12'!AN30)</f>
        <v>0</v>
      </c>
      <c r="AO38" s="210" t="s">
        <v>78</v>
      </c>
      <c r="AP38" s="211">
        <f>'12'!AJ30</f>
        <v>2232.166666666667</v>
      </c>
      <c r="AQ38" s="210" t="s">
        <v>78</v>
      </c>
      <c r="AR38" s="212">
        <f>'12'!AP30</f>
        <v>0</v>
      </c>
    </row>
    <row r="39" spans="1:44" ht="22.3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1073" t="s">
        <v>82</v>
      </c>
      <c r="K39" s="1073"/>
      <c r="L39" s="1073"/>
      <c r="M39" s="1073"/>
      <c r="O39" s="1057" t="s">
        <v>83</v>
      </c>
      <c r="P39" s="1057"/>
      <c r="Q39" s="1057"/>
      <c r="R39" s="1058" t="s">
        <v>84</v>
      </c>
      <c r="S39" s="1074" t="s">
        <v>85</v>
      </c>
      <c r="T39" s="1074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('12'!AK38/'12'!Y30)*1000</f>
        <v>0</v>
      </c>
      <c r="AL39" s="215" t="s">
        <v>86</v>
      </c>
      <c r="AM39" s="216">
        <f>('12'!AM38/'12'!Y30)*1000</f>
        <v>0</v>
      </c>
      <c r="AO39" s="213" t="s">
        <v>86</v>
      </c>
      <c r="AP39" s="214">
        <f>('12'!AP38/'12'!Y30)*1000</f>
        <v>10.343241468235213</v>
      </c>
      <c r="AQ39" s="215" t="s">
        <v>86</v>
      </c>
      <c r="AR39" s="216">
        <f>('12'!AR38/'12'!Y30)*1000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1057"/>
      <c r="P40" s="1057"/>
      <c r="Q40" s="1057"/>
      <c r="R40" s="1058"/>
      <c r="S40" s="1074"/>
      <c r="T40" s="1074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SUM('12'!AK38,'12'!AM38)</f>
        <v>0</v>
      </c>
      <c r="AM40" s="975"/>
      <c r="AO40" s="976" t="s">
        <v>90</v>
      </c>
      <c r="AP40" s="976"/>
      <c r="AQ40" s="977">
        <f>SUM('12'!AP38,'12'!AR38)</f>
        <v>2232.166666666667</v>
      </c>
      <c r="AR40" s="977"/>
    </row>
    <row r="41" spans="1:44" ht="16.5" customHeight="1">
      <c r="A41" s="133">
        <f>COUNTA('12'!E7:E18)</f>
        <v>12</v>
      </c>
      <c r="B41" s="134">
        <f>COUNTA('12'!I7:I18)</f>
        <v>12</v>
      </c>
      <c r="C41" s="978">
        <f>COUNTA('12'!J7:J18)</f>
        <v>12</v>
      </c>
      <c r="D41" s="978">
        <f>COUNTA('12'!K7:K18)</f>
        <v>12</v>
      </c>
      <c r="E41" s="978">
        <f>COUNTIF('12'!E7:E18,"&gt;15")</f>
        <v>0</v>
      </c>
      <c r="F41" s="978"/>
      <c r="G41" s="978">
        <f>COUNTIF('12'!J7:J18,"&gt;1")</f>
        <v>0</v>
      </c>
      <c r="H41" s="978"/>
      <c r="I41" s="135"/>
      <c r="J41" s="978">
        <f>'12'!A41-'12'!E41</f>
        <v>12</v>
      </c>
      <c r="K41" s="978"/>
      <c r="L41" s="978">
        <f>'12'!C41-'12'!G41</f>
        <v>12</v>
      </c>
      <c r="M41" s="978"/>
      <c r="N41" s="135"/>
      <c r="O41" s="979">
        <f>COUNTIF('12'!J7:J18,"&lt;=0,5")</f>
        <v>12</v>
      </c>
      <c r="P41" s="979"/>
      <c r="Q41" s="979"/>
      <c r="R41" s="1058"/>
      <c r="S41" s="980">
        <f>COUNTIF('12'!J7:J18,"&lt;=1,0")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SUM(('12'!AK38+'12'!AM38)/'12'!Y30)*1000</f>
        <v>0</v>
      </c>
      <c r="AM41" s="981"/>
      <c r="AO41" s="976" t="s">
        <v>91</v>
      </c>
      <c r="AP41" s="976"/>
      <c r="AQ41" s="981">
        <f>SUM(('12'!AP38+'12'!AR38)/'12'!Y30)*1000</f>
        <v>10.343241468235213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20.100000000000001" customHeight="1">
      <c r="A43" s="137"/>
      <c r="B43" s="137"/>
      <c r="C43" s="137"/>
      <c r="H43" s="1075" t="s">
        <v>94</v>
      </c>
      <c r="I43" s="1075"/>
      <c r="J43" s="1075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1075"/>
      <c r="I44" s="1075"/>
      <c r="J44" s="1075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/>
      <c r="Z44" s="144" t="s">
        <v>101</v>
      </c>
      <c r="AA44" s="145"/>
      <c r="AB44" s="144" t="s">
        <v>101</v>
      </c>
      <c r="AC44" s="145"/>
      <c r="AD44" s="988"/>
      <c r="AE44" s="988"/>
      <c r="AF44" s="989" t="s">
        <v>102</v>
      </c>
      <c r="AG44" s="990">
        <f>SUM('12'!Y45,'12'!AA45,'12'!AC45,'12'!AE45)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COUNTIF('12'!I7:I18,"&lt;=5,0")</f>
        <v>12</v>
      </c>
      <c r="I45" s="992"/>
      <c r="J45" s="992"/>
      <c r="K45" s="135"/>
      <c r="L45" s="974">
        <f>COUNTA('12'!L37)</f>
        <v>1</v>
      </c>
      <c r="M45" s="974"/>
      <c r="O45" s="146"/>
      <c r="P45" s="147"/>
      <c r="Q45" s="993">
        <f>'12'!S41-'12'!O41</f>
        <v>0</v>
      </c>
      <c r="R45" s="993"/>
      <c r="S45" s="993"/>
      <c r="T45" s="148"/>
      <c r="X45" s="149" t="s">
        <v>104</v>
      </c>
      <c r="Y45" s="150">
        <f>'12'!Y44*275.3</f>
        <v>0</v>
      </c>
      <c r="Z45" s="149" t="s">
        <v>104</v>
      </c>
      <c r="AA45" s="150">
        <f>262.4*'12'!AA44</f>
        <v>0</v>
      </c>
      <c r="AB45" s="149" t="s">
        <v>104</v>
      </c>
      <c r="AC45" s="150">
        <f>'12'!AC44*277.7</f>
        <v>0</v>
      </c>
      <c r="AD45" s="149" t="s">
        <v>104</v>
      </c>
      <c r="AE45" s="151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.75" customHeight="1">
      <c r="F46" s="152"/>
      <c r="X46" s="153" t="s">
        <v>105</v>
      </c>
      <c r="Y46" s="154">
        <f>'12'!AS6</f>
        <v>1.33</v>
      </c>
      <c r="Z46" s="153" t="s">
        <v>105</v>
      </c>
      <c r="AA46" s="155">
        <f>'12'!Y46</f>
        <v>1.33</v>
      </c>
      <c r="AB46" s="153" t="s">
        <v>105</v>
      </c>
      <c r="AC46" s="155">
        <f>'12'!Y46</f>
        <v>1.33</v>
      </c>
      <c r="AD46" s="153" t="s">
        <v>105</v>
      </c>
      <c r="AE46" s="156">
        <f>'12'!Y46</f>
        <v>1.33</v>
      </c>
      <c r="AF46" s="995" t="s">
        <v>106</v>
      </c>
      <c r="AG46" s="996">
        <f>SUM('12'!Y47,'12'!AA47,'12'!AC47,'12'!AE47)</f>
        <v>0</v>
      </c>
      <c r="AI46" s="144" t="s">
        <v>101</v>
      </c>
      <c r="AJ46" s="145"/>
      <c r="AK46" s="144" t="s">
        <v>101</v>
      </c>
      <c r="AL46" s="145"/>
      <c r="AM46" s="144" t="s">
        <v>101</v>
      </c>
      <c r="AN46" s="145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'12'!Y45*'12'!Y46</f>
        <v>0</v>
      </c>
      <c r="Z47" s="149" t="s">
        <v>108</v>
      </c>
      <c r="AA47" s="150">
        <f>'12'!AA45*'12'!AA46</f>
        <v>0</v>
      </c>
      <c r="AB47" s="149" t="s">
        <v>108</v>
      </c>
      <c r="AC47" s="150">
        <f>'12'!AC45*'12'!AC46</f>
        <v>0</v>
      </c>
      <c r="AD47" s="149" t="s">
        <v>108</v>
      </c>
      <c r="AE47" s="150">
        <f>'12'!AE45*'12'!AE46</f>
        <v>0</v>
      </c>
      <c r="AF47" s="995"/>
      <c r="AG47" s="996"/>
      <c r="AI47" s="149" t="s">
        <v>104</v>
      </c>
      <c r="AJ47" s="150">
        <f>AJ46*275.3</f>
        <v>0</v>
      </c>
      <c r="AK47" s="149" t="s">
        <v>104</v>
      </c>
      <c r="AL47" s="150">
        <f>262.4*'3'!AL46</f>
        <v>0</v>
      </c>
      <c r="AM47" s="149" t="s">
        <v>104</v>
      </c>
      <c r="AN47" s="150">
        <f>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Y46</f>
        <v>1.33</v>
      </c>
      <c r="AK48" s="160" t="s">
        <v>105</v>
      </c>
      <c r="AL48" s="154">
        <f>'3'!AJ48</f>
        <v>1.33</v>
      </c>
      <c r="AM48" s="160" t="s">
        <v>105</v>
      </c>
      <c r="AN48" s="154">
        <f>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AJ47*AJ48</f>
        <v>0</v>
      </c>
      <c r="AK49" s="149" t="s">
        <v>108</v>
      </c>
      <c r="AL49" s="150">
        <f>'3'!AL47*'3'!AL48</f>
        <v>0</v>
      </c>
      <c r="AM49" s="149" t="s">
        <v>108</v>
      </c>
      <c r="AN49" s="150">
        <f>AN47*AN48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COUNTA('12'!O7:O18)</f>
        <v>12</v>
      </c>
      <c r="P51" s="974">
        <f>COUNTA('12'!W17:W28)</f>
        <v>0</v>
      </c>
      <c r="R51" s="992">
        <f>COUNTIF('12'!O7:O18,"&gt;=0,5")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SUM('12'!Y53,'12'!AA53,'12'!AC53,'12'!AE53)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'12'!Y52*275.3</f>
        <v>0</v>
      </c>
      <c r="Z53" s="149" t="s">
        <v>104</v>
      </c>
      <c r="AA53" s="150">
        <f>262.4*'12'!AA52</f>
        <v>0</v>
      </c>
      <c r="AB53" s="149" t="s">
        <v>104</v>
      </c>
      <c r="AC53" s="167">
        <f>'12'!AC52*277.7</f>
        <v>0</v>
      </c>
      <c r="AD53" s="149" t="s">
        <v>104</v>
      </c>
      <c r="AE53" s="230">
        <v>0</v>
      </c>
      <c r="AF53" s="989"/>
      <c r="AG53" s="1002"/>
      <c r="AI53" s="144" t="s">
        <v>101</v>
      </c>
      <c r="AJ53" s="166">
        <v>0</v>
      </c>
      <c r="AK53" s="144" t="s">
        <v>101</v>
      </c>
      <c r="AL53" s="164"/>
      <c r="AM53" s="144" t="s">
        <v>101</v>
      </c>
      <c r="AN53" s="164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'12'!AS7</f>
        <v>1.377</v>
      </c>
      <c r="Z54" s="153" t="s">
        <v>105</v>
      </c>
      <c r="AA54" s="155">
        <f>'12'!Y54</f>
        <v>1.377</v>
      </c>
      <c r="AB54" s="153" t="s">
        <v>105</v>
      </c>
      <c r="AC54" s="155">
        <f>'12'!Y54</f>
        <v>1.377</v>
      </c>
      <c r="AD54" s="153" t="s">
        <v>105</v>
      </c>
      <c r="AE54" s="156">
        <f>'12'!Y54</f>
        <v>1.377</v>
      </c>
      <c r="AF54" s="995" t="s">
        <v>106</v>
      </c>
      <c r="AG54" s="996">
        <f>SUM('12'!Y55,'12'!AA55,'12'!AC55,'12'!AE55)</f>
        <v>0</v>
      </c>
      <c r="AI54" s="149" t="s">
        <v>104</v>
      </c>
      <c r="AJ54" s="150">
        <f>AJ53*275.3</f>
        <v>0</v>
      </c>
      <c r="AK54" s="149" t="s">
        <v>104</v>
      </c>
      <c r="AL54" s="150">
        <f>262.4*'3'!AL53</f>
        <v>0</v>
      </c>
      <c r="AM54" s="149" t="s">
        <v>104</v>
      </c>
      <c r="AN54" s="167">
        <f>277.7*AN53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'12'!Y53*'12'!Y54</f>
        <v>0</v>
      </c>
      <c r="Z55" s="149" t="s">
        <v>108</v>
      </c>
      <c r="AA55" s="150">
        <f>'12'!AA53*'12'!AA54</f>
        <v>0</v>
      </c>
      <c r="AB55" s="149" t="s">
        <v>108</v>
      </c>
      <c r="AC55" s="150">
        <f>'12'!AC53*'12'!AC54</f>
        <v>0</v>
      </c>
      <c r="AD55" s="149" t="s">
        <v>108</v>
      </c>
      <c r="AE55" s="150">
        <f>'12'!AE53*'12'!AE54</f>
        <v>0</v>
      </c>
      <c r="AF55" s="995"/>
      <c r="AG55" s="996"/>
      <c r="AI55" s="153" t="s">
        <v>105</v>
      </c>
      <c r="AJ55" s="154">
        <f>'3'!Y54</f>
        <v>1.377</v>
      </c>
      <c r="AK55" s="153" t="s">
        <v>105</v>
      </c>
      <c r="AL55" s="154">
        <f>'3'!AJ55</f>
        <v>1.377</v>
      </c>
      <c r="AM55" s="153" t="s">
        <v>105</v>
      </c>
      <c r="AN55" s="154">
        <f>'3'!AJ55</f>
        <v>1.377</v>
      </c>
      <c r="AO55" s="1036" t="s">
        <v>105</v>
      </c>
      <c r="AP55" s="1036">
        <f>'3'!AJ55</f>
        <v>1.377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AJ55*AJ54</f>
        <v>0</v>
      </c>
      <c r="AK56" s="149" t="s">
        <v>108</v>
      </c>
      <c r="AL56" s="150">
        <f>'3'!AL54*'3'!AL55</f>
        <v>0</v>
      </c>
      <c r="AM56" s="149" t="s">
        <v>108</v>
      </c>
      <c r="AN56" s="150">
        <f>AN55*AN54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 ht="15.75" customHeight="1">
      <c r="O57" s="1003">
        <f>COUNTA('12'!N7:N18)</f>
        <v>12</v>
      </c>
      <c r="P57" s="1003"/>
      <c r="R57" s="1004">
        <f>COUNTIF('12'!N7:N18,"&gt;=6")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28759.920000000002</v>
      </c>
      <c r="AR62" s="1016"/>
    </row>
    <row r="63" spans="15:44" ht="15" customHeight="1">
      <c r="X63" s="170" t="s">
        <v>124</v>
      </c>
      <c r="Y63" s="171">
        <v>0</v>
      </c>
      <c r="Z63" s="1013"/>
      <c r="AA63" s="1013"/>
      <c r="AB63" s="172" t="s">
        <v>124</v>
      </c>
      <c r="AC63" s="173">
        <v>0</v>
      </c>
      <c r="AE63" s="49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-28759.920000000002</v>
      </c>
      <c r="AR63" s="1011"/>
    </row>
    <row r="64" spans="15:44" ht="15" customHeight="1">
      <c r="X64" s="170"/>
      <c r="Y64" s="171"/>
      <c r="Z64" s="1013"/>
      <c r="AA64" s="1013"/>
      <c r="AB64" s="172" t="s">
        <v>133</v>
      </c>
      <c r="AC64" s="173"/>
    </row>
    <row r="65" spans="24:29" ht="39" customHeight="1">
      <c r="X65" s="174" t="s">
        <v>126</v>
      </c>
      <c r="Y65" s="217">
        <f>'11'!$Y$68</f>
        <v>-8830.2999999999993</v>
      </c>
      <c r="Z65" s="1013"/>
      <c r="AA65" s="1013"/>
      <c r="AB65" s="176" t="s">
        <v>126</v>
      </c>
      <c r="AC65" s="241">
        <f>'11'!$AC$68</f>
        <v>-945.83333333333348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178">
        <f>SUM('12'!AK38,'12'!AP38)</f>
        <v>2232.166666666667</v>
      </c>
      <c r="Z67" s="1013"/>
      <c r="AA67" s="1013"/>
      <c r="AB67" s="172" t="s">
        <v>124</v>
      </c>
      <c r="AC67" s="169">
        <f>SUM('12'!AM38,'12'!AR38)</f>
        <v>0</v>
      </c>
    </row>
    <row r="68" spans="24:29" ht="15.75" customHeight="1">
      <c r="X68" s="170" t="s">
        <v>128</v>
      </c>
      <c r="Y68" s="179">
        <f>SUM('12'!Y63,'12'!Y65)-'12'!Y67</f>
        <v>-11062.466666666667</v>
      </c>
      <c r="Z68" s="1013"/>
      <c r="AA68" s="1013"/>
      <c r="AB68" s="172" t="s">
        <v>128</v>
      </c>
      <c r="AC68" s="180">
        <f>SUM('12'!AC63,'12'!AC65)-'12'!AC67-'12'!AC64</f>
        <v>-945.83333333333348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conditionalFormatting sqref="O19">
    <cfRule type="cellIs" priority="4" operator="lessThan">
      <formula>2.5</formula>
    </cfRule>
    <cfRule type="cellIs" priority="5" operator="greaterThan">
      <formula>3</formula>
    </cfRule>
    <cfRule type="cellIs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T1" zoomScaleNormal="100" workbookViewId="0">
      <selection activeCell="J18" sqref="J18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1076" t="s">
        <v>16</v>
      </c>
      <c r="Y4" s="1077" t="s">
        <v>17</v>
      </c>
      <c r="Z4" s="1077" t="s">
        <v>18</v>
      </c>
      <c r="AA4" s="1077" t="s">
        <v>19</v>
      </c>
      <c r="AB4" s="1077" t="s">
        <v>20</v>
      </c>
      <c r="AC4" s="1077" t="s">
        <v>21</v>
      </c>
      <c r="AD4" s="1077" t="s">
        <v>20</v>
      </c>
      <c r="AE4" s="1077" t="s">
        <v>136</v>
      </c>
      <c r="AF4" s="1077" t="s">
        <v>137</v>
      </c>
      <c r="AG4" s="1077" t="s">
        <v>138</v>
      </c>
      <c r="AH4" s="1077" t="s">
        <v>139</v>
      </c>
      <c r="AI4" s="1077" t="s">
        <v>140</v>
      </c>
      <c r="AJ4" s="1077" t="s">
        <v>141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1076"/>
      <c r="Y5" s="1077"/>
      <c r="Z5" s="1077"/>
      <c r="AA5" s="1077"/>
      <c r="AB5" s="1077"/>
      <c r="AC5" s="1077"/>
      <c r="AD5" s="1077"/>
      <c r="AE5" s="1077"/>
      <c r="AF5" s="1077"/>
      <c r="AG5" s="1077"/>
      <c r="AH5" s="1077"/>
      <c r="AI5" s="1077"/>
      <c r="AJ5" s="107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076"/>
      <c r="Y6" s="1077"/>
      <c r="Z6" s="1077"/>
      <c r="AA6" s="1077"/>
      <c r="AB6" s="1077"/>
      <c r="AC6" s="1077"/>
      <c r="AD6" s="1077"/>
      <c r="AE6" s="1077"/>
      <c r="AF6" s="1077"/>
      <c r="AG6" s="1077"/>
      <c r="AH6" s="1077"/>
      <c r="AI6" s="1077"/>
      <c r="AJ6" s="1077"/>
      <c r="AK6" s="947"/>
      <c r="AL6" s="947"/>
      <c r="AM6" s="947"/>
      <c r="AN6" s="947"/>
      <c r="AO6" s="947"/>
      <c r="AP6" s="947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186">
        <v>60</v>
      </c>
      <c r="C7" s="186">
        <v>10</v>
      </c>
      <c r="D7" s="186">
        <v>10</v>
      </c>
      <c r="E7" s="186">
        <v>2.5</v>
      </c>
      <c r="F7" s="186">
        <v>7.8</v>
      </c>
      <c r="G7" s="186">
        <v>1.3</v>
      </c>
      <c r="H7" s="186">
        <v>1.2</v>
      </c>
      <c r="I7" s="186">
        <v>0.4</v>
      </c>
      <c r="J7" s="186">
        <v>0.5</v>
      </c>
      <c r="K7" s="186">
        <v>7.3</v>
      </c>
      <c r="L7" s="186">
        <v>6.7</v>
      </c>
      <c r="M7" s="186">
        <v>6.7</v>
      </c>
      <c r="N7" s="186">
        <v>6.3</v>
      </c>
      <c r="O7" s="186">
        <v>3.7</v>
      </c>
      <c r="P7" s="186"/>
      <c r="Q7" s="188"/>
      <c r="R7" s="37">
        <f>'12'!$Z$29</f>
        <v>901</v>
      </c>
      <c r="S7" s="187">
        <f>'12'!$AB$29</f>
        <v>66.255860757254069</v>
      </c>
      <c r="T7" s="37">
        <f>'12'!$Y$29</f>
        <v>2512</v>
      </c>
      <c r="U7" s="33" t="str">
        <f>IF('13'!AA7=1,'13'!AR6,'13'!AR8)</f>
        <v>S.A.L</v>
      </c>
      <c r="V7" s="1022">
        <f>ESCALA!$C$14</f>
        <v>0</v>
      </c>
      <c r="W7" s="1022"/>
      <c r="X7" s="13">
        <v>2633.0416666666702</v>
      </c>
      <c r="Y7" s="54">
        <v>2449</v>
      </c>
      <c r="Z7" s="54">
        <v>901</v>
      </c>
      <c r="AA7" s="15">
        <v>1</v>
      </c>
      <c r="AB7" s="58">
        <f>IF('13'!AA7=1,(('13'!Z7*'13'!$AS$6*'13'!$AT$6)/('13'!Y7*0.0036)),IF('13'!AA7=2,(('13'!Z7*'13'!$AS$8*'13'!$AT$8)/('13'!Y7*0.0036))))</f>
        <v>67.960278571752653</v>
      </c>
      <c r="AC7" s="58"/>
      <c r="AD7" s="18">
        <f>(('13'!AC7*'13'!$Q$10*1000000))/('13'!Y7*3600)</f>
        <v>0</v>
      </c>
      <c r="AE7" s="183"/>
      <c r="AF7" s="184">
        <f>('13'!AE7/24)*0.454</f>
        <v>0</v>
      </c>
      <c r="AG7" s="19"/>
      <c r="AH7" s="184">
        <f>('13'!AG7/24)*0.454</f>
        <v>0</v>
      </c>
      <c r="AI7" s="19">
        <v>4400</v>
      </c>
      <c r="AJ7" s="184">
        <f>('13'!AI7/24)*0.454</f>
        <v>83.233333333333334</v>
      </c>
      <c r="AK7" s="21"/>
      <c r="AL7" s="185">
        <f>('13'!AK7/24)*0.454</f>
        <v>0</v>
      </c>
      <c r="AM7" s="21"/>
      <c r="AN7" s="185">
        <f>('13'!AM7/24)*0.454</f>
        <v>0</v>
      </c>
      <c r="AO7" s="21"/>
      <c r="AP7" s="185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186">
        <v>60</v>
      </c>
      <c r="C8" s="186">
        <v>10</v>
      </c>
      <c r="D8" s="186">
        <v>10</v>
      </c>
      <c r="E8" s="186">
        <v>2.5</v>
      </c>
      <c r="F8" s="186">
        <v>8.1999999999999993</v>
      </c>
      <c r="G8" s="186">
        <v>1.4</v>
      </c>
      <c r="H8" s="186">
        <v>1.1000000000000001</v>
      </c>
      <c r="I8" s="186">
        <v>0.4</v>
      </c>
      <c r="J8" s="186">
        <v>0.4</v>
      </c>
      <c r="K8" s="186">
        <v>7.3</v>
      </c>
      <c r="L8" s="186">
        <v>6.7</v>
      </c>
      <c r="M8" s="186">
        <v>6.7</v>
      </c>
      <c r="N8" s="186">
        <v>6.3</v>
      </c>
      <c r="O8" s="186">
        <v>3.5</v>
      </c>
      <c r="P8" s="186"/>
      <c r="Q8" s="188"/>
      <c r="R8" s="35">
        <f>'13'!Z8</f>
        <v>901</v>
      </c>
      <c r="S8" s="36">
        <f>'13'!AB8</f>
        <v>68.831564194467418</v>
      </c>
      <c r="T8" s="37">
        <f>'13'!Y8</f>
        <v>2418</v>
      </c>
      <c r="U8" s="33" t="str">
        <f>IF('13'!AA8=1,'13'!AR6,'13'!AR8)</f>
        <v>S.A.L</v>
      </c>
      <c r="V8" s="1022"/>
      <c r="W8" s="1022"/>
      <c r="X8" s="13">
        <v>8.3333333333333301E-2</v>
      </c>
      <c r="Y8" s="54">
        <v>2418</v>
      </c>
      <c r="Z8" s="54">
        <v>901</v>
      </c>
      <c r="AA8" s="15">
        <v>1</v>
      </c>
      <c r="AB8" s="58">
        <f>IF('13'!AA8=1,(('13'!Z8*'13'!$AS$6*'13'!$AT$6)/('13'!Y8*0.0036)),IF('13'!AA8=2,(('13'!Z8*'13'!$AS$8*'13'!$AT$8)/('13'!Y8*0.0036))))</f>
        <v>68.831564194467418</v>
      </c>
      <c r="AC8" s="58"/>
      <c r="AD8" s="18">
        <f>(('13'!AC8*'13'!$Q$10*1000000))/('13'!Y8*3600)</f>
        <v>0</v>
      </c>
      <c r="AE8" s="183"/>
      <c r="AF8" s="184">
        <f>('13'!AE8/24)*0.454</f>
        <v>0</v>
      </c>
      <c r="AG8" s="19"/>
      <c r="AH8" s="184">
        <f>('13'!AG8/24)*0.454</f>
        <v>0</v>
      </c>
      <c r="AI8" s="19">
        <v>4400</v>
      </c>
      <c r="AJ8" s="184">
        <f>('13'!AI8/24)*0.454</f>
        <v>83.233333333333334</v>
      </c>
      <c r="AK8" s="21"/>
      <c r="AL8" s="185">
        <f>('13'!AK8/24)*0.454</f>
        <v>0</v>
      </c>
      <c r="AM8" s="21"/>
      <c r="AN8" s="185">
        <f>('13'!AM8/24)*0.454</f>
        <v>0</v>
      </c>
      <c r="AO8" s="21"/>
      <c r="AP8" s="185">
        <f>('13'!AO8/24)*0.454</f>
        <v>0</v>
      </c>
      <c r="AQ8" s="273">
        <v>2</v>
      </c>
      <c r="AR8" s="274" t="s">
        <v>49</v>
      </c>
      <c r="AS8" s="275">
        <v>1.377</v>
      </c>
      <c r="AT8" s="274">
        <v>1</v>
      </c>
      <c r="AU8" s="34">
        <v>24</v>
      </c>
    </row>
    <row r="9" spans="1:47" ht="18.75" customHeight="1">
      <c r="A9" s="28">
        <v>0.16666666666666699</v>
      </c>
      <c r="B9" s="186">
        <v>60</v>
      </c>
      <c r="C9" s="186">
        <v>10</v>
      </c>
      <c r="D9" s="186">
        <v>10</v>
      </c>
      <c r="E9" s="186">
        <v>2.5</v>
      </c>
      <c r="F9" s="186">
        <v>8.5</v>
      </c>
      <c r="G9" s="186">
        <v>1.3</v>
      </c>
      <c r="H9" s="186">
        <v>1.1000000000000001</v>
      </c>
      <c r="I9" s="186">
        <v>0.4</v>
      </c>
      <c r="J9" s="186">
        <v>0.4</v>
      </c>
      <c r="K9" s="186">
        <v>7.3</v>
      </c>
      <c r="L9" s="186">
        <v>6.7</v>
      </c>
      <c r="M9" s="186">
        <v>6.7</v>
      </c>
      <c r="N9" s="186">
        <v>6.3</v>
      </c>
      <c r="O9" s="186">
        <v>3.5</v>
      </c>
      <c r="P9" s="186"/>
      <c r="Q9" s="188"/>
      <c r="R9" s="37">
        <f>'13'!Z10</f>
        <v>901</v>
      </c>
      <c r="S9" s="36">
        <f>'13'!AB10</f>
        <v>68.183007874732596</v>
      </c>
      <c r="T9" s="37">
        <f>'13'!Y10</f>
        <v>2441</v>
      </c>
      <c r="U9" s="33" t="str">
        <f>IF('13'!AA10=1,'13'!AR6,'13'!AR8)</f>
        <v>S.A.L</v>
      </c>
      <c r="V9" s="1022"/>
      <c r="W9" s="1022"/>
      <c r="X9" s="13">
        <v>0.125</v>
      </c>
      <c r="Y9" s="54">
        <v>2469</v>
      </c>
      <c r="Z9" s="54">
        <v>901</v>
      </c>
      <c r="AA9" s="15">
        <v>1</v>
      </c>
      <c r="AB9" s="58">
        <f>IF('13'!AA9=1,(('13'!Z9*'13'!$AS$6*'13'!$AT$6)/('13'!Y9*0.0036)),IF('13'!AA9=2,(('13'!Z9*'13'!$AS$8*'13'!$AT$8)/('13'!Y9*0.0036))))</f>
        <v>67.409770037352075</v>
      </c>
      <c r="AC9" s="58"/>
      <c r="AD9" s="18">
        <f>(('13'!AC9*'13'!$Q$10*1000000))/('13'!Y9*3600)</f>
        <v>0</v>
      </c>
      <c r="AE9" s="183"/>
      <c r="AF9" s="184">
        <f>('13'!AE9/24)*0.454</f>
        <v>0</v>
      </c>
      <c r="AG9" s="19"/>
      <c r="AH9" s="184">
        <f>('13'!AG9/24)*0.454</f>
        <v>0</v>
      </c>
      <c r="AI9" s="19">
        <v>4400</v>
      </c>
      <c r="AJ9" s="184">
        <f>('13'!AI9/24)*0.454</f>
        <v>83.233333333333334</v>
      </c>
      <c r="AK9" s="21"/>
      <c r="AL9" s="185">
        <f>('13'!AK9/24)*0.454</f>
        <v>0</v>
      </c>
      <c r="AM9" s="21"/>
      <c r="AN9" s="185">
        <f>('13'!AM9/24)*0.454</f>
        <v>0</v>
      </c>
      <c r="AO9" s="21"/>
      <c r="AP9" s="185">
        <f>('13'!AO9/24)*0.454</f>
        <v>0</v>
      </c>
      <c r="AQ9" s="1078" t="s">
        <v>50</v>
      </c>
      <c r="AR9" s="1078"/>
      <c r="AS9" s="1078"/>
      <c r="AT9" s="1078"/>
    </row>
    <row r="10" spans="1:47" ht="18.75" customHeight="1">
      <c r="A10" s="28">
        <v>0.25</v>
      </c>
      <c r="B10" s="186">
        <v>60</v>
      </c>
      <c r="C10" s="186">
        <v>10</v>
      </c>
      <c r="D10" s="186">
        <v>10</v>
      </c>
      <c r="E10" s="186">
        <v>2.5</v>
      </c>
      <c r="F10" s="186">
        <v>7.9</v>
      </c>
      <c r="G10" s="186">
        <v>1.4</v>
      </c>
      <c r="H10" s="186">
        <v>1.2</v>
      </c>
      <c r="I10" s="186">
        <v>0.4</v>
      </c>
      <c r="J10" s="186">
        <v>0.5</v>
      </c>
      <c r="K10" s="186">
        <v>7.3</v>
      </c>
      <c r="L10" s="186">
        <v>6.7</v>
      </c>
      <c r="M10" s="186">
        <v>6.7</v>
      </c>
      <c r="N10" s="186">
        <v>6.3</v>
      </c>
      <c r="O10" s="186">
        <v>3.5</v>
      </c>
      <c r="P10" s="186"/>
      <c r="Q10" s="188"/>
      <c r="R10" s="37">
        <f>'13'!Z12</f>
        <v>901</v>
      </c>
      <c r="S10" s="36">
        <f>'13'!AB12</f>
        <v>67.877129780677919</v>
      </c>
      <c r="T10" s="37">
        <f>'13'!Y12</f>
        <v>2452</v>
      </c>
      <c r="U10" s="33" t="str">
        <f>IF('13'!AA12=1,'13'!AR6,'13'!AR8)</f>
        <v>S.A.L</v>
      </c>
      <c r="V10" s="1022"/>
      <c r="W10" s="1022"/>
      <c r="X10" s="13">
        <v>0.16666666666666699</v>
      </c>
      <c r="Y10" s="54">
        <v>2441</v>
      </c>
      <c r="Z10" s="54">
        <v>901</v>
      </c>
      <c r="AA10" s="15">
        <v>1</v>
      </c>
      <c r="AB10" s="58">
        <f>IF('13'!AA10=1,(('13'!Z10*'13'!$AS$6*'13'!$AT$6)/('13'!Y10*0.0036)),IF('13'!AA10=2,(('13'!Z10*'13'!$AS$8*'13'!$AT$8)/('13'!Y10*0.0036))))</f>
        <v>68.183007874732596</v>
      </c>
      <c r="AC10" s="58"/>
      <c r="AD10" s="18">
        <f>(('13'!AC10*'13'!$Q$10*1000000))/('13'!Y10*3600)</f>
        <v>0</v>
      </c>
      <c r="AE10" s="183"/>
      <c r="AF10" s="184">
        <f>('13'!AE10/24)*0.454</f>
        <v>0</v>
      </c>
      <c r="AG10" s="19"/>
      <c r="AH10" s="184">
        <f>('13'!AG10/24)*0.454</f>
        <v>0</v>
      </c>
      <c r="AI10" s="19">
        <v>4400</v>
      </c>
      <c r="AJ10" s="184">
        <f>('13'!AI10/24)*0.454</f>
        <v>83.233333333333334</v>
      </c>
      <c r="AK10" s="21"/>
      <c r="AL10" s="185">
        <f>('13'!AK10/24)*0.454</f>
        <v>0</v>
      </c>
      <c r="AM10" s="21"/>
      <c r="AN10" s="185">
        <f>('13'!AM10/24)*0.454</f>
        <v>0</v>
      </c>
      <c r="AO10" s="21"/>
      <c r="AP10" s="185">
        <f>('13'!AO10/24)*0.454</f>
        <v>0</v>
      </c>
      <c r="AQ10" s="942" t="s">
        <v>37</v>
      </c>
      <c r="AR10" s="942"/>
      <c r="AS10" s="942"/>
      <c r="AT10" s="38" t="s">
        <v>39</v>
      </c>
    </row>
    <row r="11" spans="1:47" ht="18.75" customHeight="1">
      <c r="A11" s="28">
        <v>0.33333333333333298</v>
      </c>
      <c r="B11" s="186">
        <v>60</v>
      </c>
      <c r="C11" s="186">
        <v>10</v>
      </c>
      <c r="D11" s="186">
        <v>10</v>
      </c>
      <c r="E11" s="186">
        <v>2.5</v>
      </c>
      <c r="F11" s="186">
        <v>8.5</v>
      </c>
      <c r="G11" s="186">
        <v>1.2</v>
      </c>
      <c r="H11" s="186">
        <v>1</v>
      </c>
      <c r="I11" s="186">
        <v>0.3</v>
      </c>
      <c r="J11" s="186">
        <v>0.4</v>
      </c>
      <c r="K11" s="186">
        <v>7.3</v>
      </c>
      <c r="L11" s="186">
        <v>6.7</v>
      </c>
      <c r="M11" s="186">
        <v>6.7</v>
      </c>
      <c r="N11" s="186">
        <v>6.3</v>
      </c>
      <c r="O11" s="186">
        <v>3.5</v>
      </c>
      <c r="P11" s="186"/>
      <c r="Q11" s="188"/>
      <c r="R11" s="37">
        <f>'13'!Z14</f>
        <v>901</v>
      </c>
      <c r="S11" s="36">
        <f>'13'!AB14</f>
        <v>68.831564194467418</v>
      </c>
      <c r="T11" s="37">
        <f>'13'!Y14</f>
        <v>2418</v>
      </c>
      <c r="U11" s="33" t="str">
        <f>IF('13'!AA14=1,'13'!AR6,'13'!AR8)</f>
        <v>S.A.L</v>
      </c>
      <c r="V11" s="1022"/>
      <c r="W11" s="1022"/>
      <c r="X11" s="13">
        <v>0.20833333333333301</v>
      </c>
      <c r="Y11" s="54">
        <v>2437</v>
      </c>
      <c r="Z11" s="54">
        <v>901</v>
      </c>
      <c r="AA11" s="15">
        <v>1</v>
      </c>
      <c r="AB11" s="58">
        <f>IF('13'!AA11=1,(('13'!Z11*'13'!$AS$6*'13'!$AT$6)/('13'!Y11*0.0036)),IF('13'!AA11=2,(('13'!Z11*'13'!$AS$8*'13'!$AT$8)/('13'!Y11*0.0036))))</f>
        <v>68.294920895454354</v>
      </c>
      <c r="AC11" s="58"/>
      <c r="AD11" s="18">
        <f>(('13'!AC11*'13'!$Q$10*1000000))/('13'!Y11*3600)</f>
        <v>0</v>
      </c>
      <c r="AE11" s="183"/>
      <c r="AF11" s="184">
        <f>('13'!AE11/24)*0.454</f>
        <v>0</v>
      </c>
      <c r="AG11" s="19"/>
      <c r="AH11" s="184">
        <f>('13'!AG11/24)*0.454</f>
        <v>0</v>
      </c>
      <c r="AI11" s="19">
        <v>4400</v>
      </c>
      <c r="AJ11" s="184">
        <f>('13'!AI11/24)*0.454</f>
        <v>83.233333333333334</v>
      </c>
      <c r="AK11" s="21"/>
      <c r="AL11" s="185">
        <f>('13'!AK11/24)*0.454</f>
        <v>0</v>
      </c>
      <c r="AM11" s="21"/>
      <c r="AN11" s="185">
        <f>('13'!AM11/24)*0.454</f>
        <v>0</v>
      </c>
      <c r="AO11" s="21"/>
      <c r="AP11" s="185">
        <f>('13'!AO11/24)*0.454</f>
        <v>0</v>
      </c>
      <c r="AQ11" s="943" t="s">
        <v>51</v>
      </c>
      <c r="AR11" s="943"/>
      <c r="AS11" s="943"/>
      <c r="AT11" s="41">
        <v>2E-3</v>
      </c>
    </row>
    <row r="12" spans="1:47" ht="19.5" customHeight="1">
      <c r="A12" s="28">
        <v>0.41666666666666702</v>
      </c>
      <c r="B12" s="186">
        <v>60</v>
      </c>
      <c r="C12" s="186">
        <v>10</v>
      </c>
      <c r="D12" s="186">
        <v>10</v>
      </c>
      <c r="E12" s="186">
        <v>2.5</v>
      </c>
      <c r="F12" s="186">
        <v>8.6999999999999993</v>
      </c>
      <c r="G12" s="186">
        <v>1.2</v>
      </c>
      <c r="H12" s="186">
        <v>1</v>
      </c>
      <c r="I12" s="186">
        <v>0.3</v>
      </c>
      <c r="J12" s="186">
        <v>0.4</v>
      </c>
      <c r="K12" s="186">
        <v>7.3</v>
      </c>
      <c r="L12" s="186">
        <v>6.7</v>
      </c>
      <c r="M12" s="186">
        <v>6.7</v>
      </c>
      <c r="N12" s="186">
        <v>6.3</v>
      </c>
      <c r="O12" s="186">
        <v>3.5</v>
      </c>
      <c r="P12" s="186"/>
      <c r="Q12" s="188"/>
      <c r="R12" s="37">
        <f>'13'!Z16</f>
        <v>901</v>
      </c>
      <c r="S12" s="36">
        <f>'13'!AB16</f>
        <v>68.183007874732596</v>
      </c>
      <c r="T12" s="37">
        <f>'13'!Y16</f>
        <v>2441</v>
      </c>
      <c r="U12" s="33" t="str">
        <f>IF('13'!AA16=1,'13'!AR6,'13'!AR8)</f>
        <v>S.A.L</v>
      </c>
      <c r="V12" s="944">
        <f>ESCALA!$B$15</f>
        <v>0</v>
      </c>
      <c r="W12" s="944"/>
      <c r="X12" s="13">
        <v>0.25</v>
      </c>
      <c r="Y12" s="54">
        <v>2452</v>
      </c>
      <c r="Z12" s="54">
        <v>901</v>
      </c>
      <c r="AA12" s="15">
        <v>1</v>
      </c>
      <c r="AB12" s="58">
        <f>IF('13'!AA12=1,(('13'!Z12*'13'!$AS$6*'13'!$AT$6)/('13'!Y12*0.0036)),IF('13'!AA12=2,(('13'!Z12*'13'!$AS$8*'13'!$AT$8)/('13'!Y12*0.0036))))</f>
        <v>67.877129780677919</v>
      </c>
      <c r="AC12" s="58"/>
      <c r="AD12" s="18">
        <f>(('13'!AC12*'13'!$Q$10*1000000))/('13'!Y12*3600)</f>
        <v>0</v>
      </c>
      <c r="AE12" s="183"/>
      <c r="AF12" s="184">
        <f>('13'!AE12/24)*0.454</f>
        <v>0</v>
      </c>
      <c r="AG12" s="19"/>
      <c r="AH12" s="184">
        <f>('13'!AG12/24)*0.454</f>
        <v>0</v>
      </c>
      <c r="AI12" s="19">
        <v>4400</v>
      </c>
      <c r="AJ12" s="184">
        <f>('13'!AI12/24)*0.454</f>
        <v>83.233333333333334</v>
      </c>
      <c r="AK12" s="21"/>
      <c r="AL12" s="185">
        <f>('13'!AK12/24)*0.454</f>
        <v>0</v>
      </c>
      <c r="AM12" s="21"/>
      <c r="AN12" s="185">
        <f>('13'!AM12/24)*0.454</f>
        <v>0</v>
      </c>
      <c r="AO12" s="21"/>
      <c r="AP12" s="185">
        <f>('13'!AO12/24)*0.454</f>
        <v>0</v>
      </c>
    </row>
    <row r="13" spans="1:47" ht="18.75" customHeight="1">
      <c r="A13" s="28">
        <v>0.5</v>
      </c>
      <c r="B13" s="186">
        <v>60</v>
      </c>
      <c r="C13" s="186">
        <v>10</v>
      </c>
      <c r="D13" s="186">
        <v>10</v>
      </c>
      <c r="E13" s="186">
        <v>2.5</v>
      </c>
      <c r="F13" s="186">
        <v>8.8000000000000007</v>
      </c>
      <c r="G13" s="186">
        <v>1.1000000000000001</v>
      </c>
      <c r="H13" s="186">
        <v>1</v>
      </c>
      <c r="I13" s="186">
        <v>0.3</v>
      </c>
      <c r="J13" s="186">
        <v>0.4</v>
      </c>
      <c r="K13" s="186">
        <v>7.3</v>
      </c>
      <c r="L13" s="186">
        <v>6.7</v>
      </c>
      <c r="M13" s="186">
        <v>6.7</v>
      </c>
      <c r="N13" s="186">
        <v>6.3</v>
      </c>
      <c r="O13" s="186">
        <v>3.2</v>
      </c>
      <c r="P13" s="186"/>
      <c r="Q13" s="188"/>
      <c r="R13" s="37">
        <f>'13'!Z18</f>
        <v>901</v>
      </c>
      <c r="S13" s="36">
        <f>'13'!AB18</f>
        <v>65.038969215405331</v>
      </c>
      <c r="T13" s="37">
        <f>'13'!Y18</f>
        <v>2559</v>
      </c>
      <c r="U13" s="33" t="str">
        <f>IF('13'!AA18=1,'13'!AR6,'13'!AR8)</f>
        <v>S.A.L</v>
      </c>
      <c r="V13" s="944"/>
      <c r="W13" s="944"/>
      <c r="X13" s="13">
        <v>0.29166666666666702</v>
      </c>
      <c r="Y13" s="54">
        <v>2419</v>
      </c>
      <c r="Z13" s="54">
        <v>901</v>
      </c>
      <c r="AA13" s="15">
        <v>1</v>
      </c>
      <c r="AB13" s="58">
        <f>IF('13'!AA13=1,(('13'!Z13*'13'!$AS$6*'13'!$AT$6)/('13'!Y13*0.0036)),IF('13'!AA13=2,(('13'!Z13*'13'!$AS$8*'13'!$AT$8)/('13'!Y13*0.0036))))</f>
        <v>68.80310964126592</v>
      </c>
      <c r="AC13" s="58"/>
      <c r="AD13" s="18">
        <f>(('13'!AC13*'13'!$Q$10*1000000))/('13'!Y13*3600)</f>
        <v>0</v>
      </c>
      <c r="AE13" s="183"/>
      <c r="AF13" s="184">
        <f>('13'!AE13/24)*0.454</f>
        <v>0</v>
      </c>
      <c r="AG13" s="19"/>
      <c r="AH13" s="184">
        <f>('13'!AG13/24)*0.454</f>
        <v>0</v>
      </c>
      <c r="AI13" s="19">
        <v>4400</v>
      </c>
      <c r="AJ13" s="184">
        <f>('13'!AI13/24)*0.454</f>
        <v>83.233333333333334</v>
      </c>
      <c r="AK13" s="21"/>
      <c r="AL13" s="185">
        <f>('13'!AK13/24)*0.454</f>
        <v>0</v>
      </c>
      <c r="AM13" s="21"/>
      <c r="AN13" s="185">
        <f>('13'!AM13/24)*0.454</f>
        <v>0</v>
      </c>
      <c r="AO13" s="21"/>
      <c r="AP13" s="185">
        <f>('13'!AO13/24)*0.454</f>
        <v>0</v>
      </c>
    </row>
    <row r="14" spans="1:47" ht="18.75" customHeight="1">
      <c r="A14" s="28">
        <v>0.58333333333333304</v>
      </c>
      <c r="B14" s="186">
        <v>60</v>
      </c>
      <c r="C14" s="186">
        <v>10</v>
      </c>
      <c r="D14" s="186">
        <v>10</v>
      </c>
      <c r="E14" s="186">
        <v>2.5</v>
      </c>
      <c r="F14" s="186">
        <v>8.6</v>
      </c>
      <c r="G14" s="186">
        <v>1</v>
      </c>
      <c r="H14" s="186">
        <v>1</v>
      </c>
      <c r="I14" s="186">
        <v>0.3</v>
      </c>
      <c r="J14" s="186">
        <v>0.3</v>
      </c>
      <c r="K14" s="186">
        <v>7.3</v>
      </c>
      <c r="L14" s="186">
        <v>6.7</v>
      </c>
      <c r="M14" s="186">
        <v>6.7</v>
      </c>
      <c r="N14" s="186">
        <v>6.3</v>
      </c>
      <c r="O14" s="186">
        <v>3.2</v>
      </c>
      <c r="P14" s="186"/>
      <c r="Q14" s="188"/>
      <c r="R14" s="37">
        <f>'13'!Z20</f>
        <v>901</v>
      </c>
      <c r="S14" s="36">
        <f>'13'!AB20</f>
        <v>64.484588230229477</v>
      </c>
      <c r="T14" s="37">
        <f>'13'!Y20</f>
        <v>2581</v>
      </c>
      <c r="U14" s="33" t="str">
        <f>IF('13'!AA20=1,'13'!AR6,'13'!AR8)</f>
        <v>S.A.L</v>
      </c>
      <c r="V14" s="944"/>
      <c r="W14" s="944"/>
      <c r="X14" s="13">
        <v>0.33333333333333298</v>
      </c>
      <c r="Y14" s="54">
        <v>2418</v>
      </c>
      <c r="Z14" s="54">
        <v>901</v>
      </c>
      <c r="AA14" s="15">
        <v>1</v>
      </c>
      <c r="AB14" s="58">
        <f>IF('13'!AA14=1,(('13'!Z14*'13'!$AS$6*'13'!$AT$6)/('13'!Y14*0.0036)),IF('13'!AA14=2,(('13'!Z14*'13'!$AS$8*'13'!$AT$8)/('13'!Y14*0.0036))))</f>
        <v>68.831564194467418</v>
      </c>
      <c r="AC14" s="58"/>
      <c r="AD14" s="18">
        <f>(('13'!AC14*'13'!$Q$10*1000000))/('13'!Y14*3600)</f>
        <v>0</v>
      </c>
      <c r="AE14" s="183"/>
      <c r="AF14" s="184">
        <f>('13'!AE14/24)*0.454</f>
        <v>0</v>
      </c>
      <c r="AG14" s="19"/>
      <c r="AH14" s="184">
        <f>('13'!AG14/24)*0.454</f>
        <v>0</v>
      </c>
      <c r="AI14" s="19">
        <v>4400</v>
      </c>
      <c r="AJ14" s="184">
        <f>('13'!AI14/24)*0.454</f>
        <v>83.233333333333334</v>
      </c>
      <c r="AK14" s="21"/>
      <c r="AL14" s="185">
        <f>('13'!AK14/24)*0.454</f>
        <v>0</v>
      </c>
      <c r="AM14" s="21"/>
      <c r="AN14" s="185">
        <f>('13'!AM14/24)*0.454</f>
        <v>0</v>
      </c>
      <c r="AO14" s="21"/>
      <c r="AP14" s="185">
        <f>('13'!AO14/24)*0.454</f>
        <v>0</v>
      </c>
    </row>
    <row r="15" spans="1:47" ht="18.75" customHeight="1">
      <c r="A15" s="28">
        <v>0.66666666666666696</v>
      </c>
      <c r="B15" s="186">
        <v>60</v>
      </c>
      <c r="C15" s="186">
        <v>10</v>
      </c>
      <c r="D15" s="186">
        <v>10</v>
      </c>
      <c r="E15" s="186">
        <v>2.5</v>
      </c>
      <c r="F15" s="186">
        <v>8.8000000000000007</v>
      </c>
      <c r="G15" s="186">
        <v>1</v>
      </c>
      <c r="H15" s="186">
        <v>0.9</v>
      </c>
      <c r="I15" s="186">
        <v>0.3</v>
      </c>
      <c r="J15" s="186">
        <v>0.3</v>
      </c>
      <c r="K15" s="186">
        <v>7.3</v>
      </c>
      <c r="L15" s="186">
        <v>6.7</v>
      </c>
      <c r="M15" s="186">
        <v>6.7</v>
      </c>
      <c r="N15" s="186">
        <v>6.3</v>
      </c>
      <c r="O15" s="186">
        <v>3.2</v>
      </c>
      <c r="P15" s="186"/>
      <c r="Q15" s="188"/>
      <c r="R15" s="37">
        <f>'13'!Z22</f>
        <v>901</v>
      </c>
      <c r="S15" s="36">
        <f>'13'!AB22</f>
        <v>66.520672351008102</v>
      </c>
      <c r="T15" s="37">
        <f>'13'!Y22</f>
        <v>2502</v>
      </c>
      <c r="U15" s="33" t="str">
        <f>IF('13'!AA22=1,'13'!AR6,'13'!AR8)</f>
        <v>S.A.L</v>
      </c>
      <c r="V15" s="944"/>
      <c r="W15" s="944"/>
      <c r="X15" s="13">
        <v>0.375</v>
      </c>
      <c r="Y15" s="54">
        <v>2444</v>
      </c>
      <c r="Z15" s="54">
        <v>901</v>
      </c>
      <c r="AA15" s="15">
        <v>1</v>
      </c>
      <c r="AB15" s="58">
        <f>IF('13'!AA15=1,(('13'!Z15*'13'!$AS$6*'13'!$AT$6)/('13'!Y15*0.0036)),IF('13'!AA15=2,(('13'!Z15*'13'!$AS$8*'13'!$AT$8)/('13'!Y15*0.0036))))</f>
        <v>68.099313511547564</v>
      </c>
      <c r="AC15" s="58"/>
      <c r="AD15" s="18">
        <f>(('13'!AC15*'13'!$Q$10*1000000))/('13'!Y15*3600)</f>
        <v>0</v>
      </c>
      <c r="AE15" s="183"/>
      <c r="AF15" s="184">
        <f>('13'!AE15/24)*0.454</f>
        <v>0</v>
      </c>
      <c r="AG15" s="19"/>
      <c r="AH15" s="184">
        <f>('13'!AG15/24)*0.454</f>
        <v>0</v>
      </c>
      <c r="AI15" s="19">
        <v>4400</v>
      </c>
      <c r="AJ15" s="184">
        <f>('13'!AI15/24)*0.454</f>
        <v>83.233333333333334</v>
      </c>
      <c r="AK15" s="21"/>
      <c r="AL15" s="185">
        <f>('13'!AK15/24)*0.454</f>
        <v>0</v>
      </c>
      <c r="AM15" s="21"/>
      <c r="AN15" s="185">
        <f>('13'!AM15/24)*0.454</f>
        <v>0</v>
      </c>
      <c r="AO15" s="21"/>
      <c r="AP15" s="185">
        <f>('13'!AO15/24)*0.454</f>
        <v>0</v>
      </c>
    </row>
    <row r="16" spans="1:47" ht="18.75" customHeight="1">
      <c r="A16" s="28">
        <v>0.75</v>
      </c>
      <c r="B16" s="186">
        <v>60</v>
      </c>
      <c r="C16" s="186">
        <v>10</v>
      </c>
      <c r="D16" s="186">
        <v>10</v>
      </c>
      <c r="E16" s="186">
        <v>2.5</v>
      </c>
      <c r="F16" s="186">
        <v>9</v>
      </c>
      <c r="G16" s="186">
        <v>1</v>
      </c>
      <c r="H16" s="186">
        <v>0.9</v>
      </c>
      <c r="I16" s="186">
        <v>0.3</v>
      </c>
      <c r="J16" s="186">
        <v>0.3</v>
      </c>
      <c r="K16" s="186">
        <v>7.3</v>
      </c>
      <c r="L16" s="186">
        <v>6.7</v>
      </c>
      <c r="M16" s="186">
        <v>6.7</v>
      </c>
      <c r="N16" s="186">
        <v>6.3</v>
      </c>
      <c r="O16" s="186">
        <v>3.2</v>
      </c>
      <c r="P16" s="186"/>
      <c r="Q16" s="188"/>
      <c r="R16" s="37">
        <f>'13'!Z24</f>
        <v>839</v>
      </c>
      <c r="S16" s="36">
        <f>'13'!AB24</f>
        <v>59.448386821804554</v>
      </c>
      <c r="T16" s="37">
        <f>'13'!Y24</f>
        <v>2607</v>
      </c>
      <c r="U16" s="33" t="str">
        <f>IF('13'!AA24=1,'13'!AR6,'13'!AR8)</f>
        <v>S.A.L</v>
      </c>
      <c r="V16" s="944"/>
      <c r="W16" s="944"/>
      <c r="X16" s="13">
        <v>0.41666666666666702</v>
      </c>
      <c r="Y16" s="54">
        <v>2441</v>
      </c>
      <c r="Z16" s="54">
        <v>901</v>
      </c>
      <c r="AA16" s="15">
        <v>1</v>
      </c>
      <c r="AB16" s="58">
        <f>IF('13'!AA16=1,(('13'!Z16*'13'!$AS$6*'13'!$AT$6)/('13'!Y16*0.0036)),IF('13'!AA16=2,(('13'!Z16*'13'!$AS$8*'13'!$AT$8)/('13'!Y16*0.0036))))</f>
        <v>68.183007874732596</v>
      </c>
      <c r="AC16" s="58"/>
      <c r="AD16" s="18">
        <f>(('13'!AC16*'13'!$Q$10*1000000))/('13'!Y16*3600)</f>
        <v>0</v>
      </c>
      <c r="AE16" s="183"/>
      <c r="AF16" s="184">
        <f>('13'!AE16/24)*0.454</f>
        <v>0</v>
      </c>
      <c r="AG16" s="19"/>
      <c r="AH16" s="184">
        <f>('13'!AG16/24)*0.454</f>
        <v>0</v>
      </c>
      <c r="AI16" s="19">
        <v>4400</v>
      </c>
      <c r="AJ16" s="184">
        <f>('13'!AI16/24)*0.454</f>
        <v>83.233333333333334</v>
      </c>
      <c r="AK16" s="21"/>
      <c r="AL16" s="185">
        <f>('13'!AK16/24)*0.454</f>
        <v>0</v>
      </c>
      <c r="AM16" s="21"/>
      <c r="AN16" s="185">
        <f>('13'!AM16/24)*0.454</f>
        <v>0</v>
      </c>
      <c r="AO16" s="21"/>
      <c r="AP16" s="185">
        <f>('13'!AO16/24)*0.454</f>
        <v>0</v>
      </c>
    </row>
    <row r="17" spans="1:42" ht="18.75" customHeight="1">
      <c r="A17" s="28">
        <v>0.83333333333333304</v>
      </c>
      <c r="B17" s="186">
        <v>60</v>
      </c>
      <c r="C17" s="186">
        <v>10</v>
      </c>
      <c r="D17" s="186">
        <v>10</v>
      </c>
      <c r="E17" s="186">
        <v>2.5</v>
      </c>
      <c r="F17" s="186">
        <v>9</v>
      </c>
      <c r="G17" s="186">
        <v>1.3</v>
      </c>
      <c r="H17" s="186">
        <v>1.4</v>
      </c>
      <c r="I17" s="186">
        <v>0.3</v>
      </c>
      <c r="J17" s="186">
        <v>0.4</v>
      </c>
      <c r="K17" s="186">
        <v>7.3</v>
      </c>
      <c r="L17" s="186">
        <v>6.7</v>
      </c>
      <c r="M17" s="186">
        <v>6.7</v>
      </c>
      <c r="N17" s="186">
        <v>6.3</v>
      </c>
      <c r="O17" s="186">
        <v>3.2</v>
      </c>
      <c r="P17" s="186"/>
      <c r="Q17" s="188"/>
      <c r="R17" s="37">
        <f>'13'!Z26</f>
        <v>839</v>
      </c>
      <c r="S17" s="36">
        <f>'13'!AB26</f>
        <v>60.163798309178752</v>
      </c>
      <c r="T17" s="37">
        <f>'13'!Y26</f>
        <v>2576</v>
      </c>
      <c r="U17" s="33" t="str">
        <f>IF('13'!AA26=1,'13'!AR6,'13'!AR8)</f>
        <v>S.A.L</v>
      </c>
      <c r="V17" s="945">
        <f>ESCALA!$C$15</f>
        <v>0</v>
      </c>
      <c r="W17" s="945"/>
      <c r="X17" s="13">
        <v>0.45833333333333298</v>
      </c>
      <c r="Y17" s="54">
        <v>2517</v>
      </c>
      <c r="Z17" s="54">
        <v>901</v>
      </c>
      <c r="AA17" s="15">
        <v>1</v>
      </c>
      <c r="AB17" s="58">
        <f>IF('13'!AA17=1,(('13'!Z17*'13'!$AS$6*'13'!$AT$6)/('13'!Y17*0.0036)),IF('13'!AA17=2,(('13'!Z17*'13'!$AS$8*'13'!$AT$8)/('13'!Y17*0.0036))))</f>
        <v>66.124244029488381</v>
      </c>
      <c r="AC17" s="58"/>
      <c r="AD17" s="18">
        <f>(('13'!AC17*'13'!$Q$10*1000000))/('13'!Y17*3600)</f>
        <v>0</v>
      </c>
      <c r="AE17" s="183"/>
      <c r="AF17" s="184">
        <f>('13'!AE17/24)*0.454</f>
        <v>0</v>
      </c>
      <c r="AG17" s="19"/>
      <c r="AH17" s="184">
        <f>('13'!AG17/24)*0.454</f>
        <v>0</v>
      </c>
      <c r="AI17" s="19">
        <v>4400</v>
      </c>
      <c r="AJ17" s="184">
        <f>('13'!AI17/24)*0.454</f>
        <v>83.233333333333334</v>
      </c>
      <c r="AK17" s="21"/>
      <c r="AL17" s="185">
        <f>('13'!AK17/24)*0.454</f>
        <v>0</v>
      </c>
      <c r="AM17" s="21"/>
      <c r="AN17" s="185">
        <f>('13'!AM17/24)*0.454</f>
        <v>0</v>
      </c>
      <c r="AO17" s="21"/>
      <c r="AP17" s="185">
        <f>('13'!AO17/24)*0.454</f>
        <v>0</v>
      </c>
    </row>
    <row r="18" spans="1:42" ht="18.75" customHeight="1">
      <c r="A18" s="28">
        <v>0.91666666666666696</v>
      </c>
      <c r="B18" s="186">
        <v>60</v>
      </c>
      <c r="C18" s="186">
        <v>10</v>
      </c>
      <c r="D18" s="186">
        <v>10</v>
      </c>
      <c r="E18" s="186">
        <v>2.5</v>
      </c>
      <c r="F18" s="186">
        <v>9</v>
      </c>
      <c r="G18" s="186">
        <v>1.4</v>
      </c>
      <c r="H18" s="186">
        <v>1.4</v>
      </c>
      <c r="I18" s="186">
        <v>0.3</v>
      </c>
      <c r="J18" s="186">
        <v>0.4</v>
      </c>
      <c r="K18" s="186">
        <v>7.3</v>
      </c>
      <c r="L18" s="186">
        <v>6.7</v>
      </c>
      <c r="M18" s="186">
        <v>6.7</v>
      </c>
      <c r="N18" s="186">
        <v>6.3</v>
      </c>
      <c r="O18" s="186">
        <v>3.2</v>
      </c>
      <c r="P18" s="186"/>
      <c r="Q18" s="188"/>
      <c r="R18" s="37">
        <f>'13'!Z28</f>
        <v>839</v>
      </c>
      <c r="S18" s="36">
        <f>'13'!AB28</f>
        <v>60.729602055033105</v>
      </c>
      <c r="T18" s="37">
        <f>'13'!Y28</f>
        <v>2552</v>
      </c>
      <c r="U18" s="33" t="str">
        <f>IF('13'!AA28=1,'13'!AR6,'13'!AR8)</f>
        <v>S.A.L</v>
      </c>
      <c r="V18" s="945"/>
      <c r="W18" s="945"/>
      <c r="X18" s="13">
        <v>0.5</v>
      </c>
      <c r="Y18" s="54">
        <v>2559</v>
      </c>
      <c r="Z18" s="54">
        <v>901</v>
      </c>
      <c r="AA18" s="15">
        <v>1</v>
      </c>
      <c r="AB18" s="58">
        <f>IF('13'!AA18=1,(('13'!Z18*'13'!$AS$6*'13'!$AT$6)/('13'!Y18*0.0036)),IF('13'!AA18=2,(('13'!Z18*'13'!$AS$8*'13'!$AT$8)/('13'!Y18*0.0036))))</f>
        <v>65.038969215405331</v>
      </c>
      <c r="AC18" s="58"/>
      <c r="AD18" s="18">
        <f>(('13'!AC18*'13'!$Q$10*1000000))/('13'!Y18*3600)</f>
        <v>0</v>
      </c>
      <c r="AE18" s="183"/>
      <c r="AF18" s="184">
        <f>('13'!AE18/24)*0.454</f>
        <v>0</v>
      </c>
      <c r="AG18" s="19"/>
      <c r="AH18" s="184">
        <f>('13'!AG18/24)*0.454</f>
        <v>0</v>
      </c>
      <c r="AI18" s="19">
        <v>4400</v>
      </c>
      <c r="AJ18" s="184">
        <f>('13'!AI18/24)*0.454</f>
        <v>83.233333333333334</v>
      </c>
      <c r="AK18" s="21"/>
      <c r="AL18" s="185">
        <f>('13'!AK18/24)*0.454</f>
        <v>0</v>
      </c>
      <c r="AM18" s="21"/>
      <c r="AN18" s="185">
        <f>('13'!AM18/24)*0.454</f>
        <v>0</v>
      </c>
      <c r="AO18" s="21"/>
      <c r="AP18" s="185">
        <f>('13'!AO18/24)*0.454</f>
        <v>0</v>
      </c>
    </row>
    <row r="19" spans="1:42" ht="19.5" customHeight="1">
      <c r="A19" s="10" t="s">
        <v>52</v>
      </c>
      <c r="B19" s="189">
        <f t="array" ref="B19">IF('13'!B7:B18&gt;0.01,AVERAGE('13'!B7:B18),"")</f>
        <v>60</v>
      </c>
      <c r="C19" s="69">
        <f t="array" ref="C19">IF('13'!C7:C18&gt;0.01,AVERAGE('13'!C7:C18),"")</f>
        <v>10</v>
      </c>
      <c r="D19" s="69">
        <f t="array" ref="D19">IF('13'!D7:D18&gt;0.01,AVERAGE('13'!D7:D18),"")</f>
        <v>10</v>
      </c>
      <c r="E19" s="69">
        <f t="array" ref="E19">IF('13'!E7:E18&gt;0.01,AVERAGE('13'!E7:E18),"")</f>
        <v>2.5</v>
      </c>
      <c r="F19" s="69">
        <f t="array" ref="F19">IF('13'!F7:F18&gt;0.01,AVERAGE('13'!F7:F18),"")</f>
        <v>8.5666666666666647</v>
      </c>
      <c r="G19" s="69">
        <f t="array" ref="G19">IF('13'!G7:G18&gt;0.01,AVERAGE('13'!G7:G18),"")</f>
        <v>1.2166666666666668</v>
      </c>
      <c r="H19" s="69">
        <f t="array" ref="H19">IF('13'!H7:H18&gt;0.01,AVERAGE('13'!H7:H18),"")</f>
        <v>1.1000000000000001</v>
      </c>
      <c r="I19" s="69">
        <f t="array" ref="I19">IF('13'!I7:I18&gt;0.01,AVERAGE('13'!I7:I18),"")</f>
        <v>0.33333333333333326</v>
      </c>
      <c r="J19" s="69">
        <f t="array" ref="J19">IF('13'!J7:J18&gt;0.01,AVERAGE('13'!J7:J18),"")</f>
        <v>0.39166666666666666</v>
      </c>
      <c r="K19" s="69">
        <f t="array" ref="K19">IF('13'!K7:K18&gt;0.01,AVERAGE('13'!K7:K18),"")</f>
        <v>7.299999999999998</v>
      </c>
      <c r="L19" s="276">
        <f t="array" ref="L19">IF('13'!L7:L18&gt;0.01,AVERAGE('13'!L7:L18),"")</f>
        <v>6.700000000000002</v>
      </c>
      <c r="M19" s="69">
        <f t="array" ref="M19">IF('13'!M7:M18&gt;0.01,AVERAGE('13'!M7:M18),"")</f>
        <v>6.700000000000002</v>
      </c>
      <c r="N19" s="69">
        <f t="array" ref="N19">IF('13'!N7:N18&gt;0.01,AVERAGE('13'!N7:N18),"")</f>
        <v>6.299999999999998</v>
      </c>
      <c r="O19" s="69">
        <f t="array" ref="O19">IF('13'!O7:O18&gt;0.01,AVERAGE('13'!O7:O18),"")</f>
        <v>3.3666666666666671</v>
      </c>
      <c r="P19" s="190" t="str">
        <f t="array" ref="P19">IF('13'!P7:P18&gt;0.01,AVERAGE('13'!P7:P18),"")</f>
        <v/>
      </c>
      <c r="Q19" s="191" t="str">
        <f t="array" ref="Q19">IF('13'!Q7:Q18&gt;0.01,AVERAGE('13'!Q7:Q18),"")</f>
        <v/>
      </c>
      <c r="R19" s="191">
        <f t="array" ref="R19">IF('13'!R7:R18&gt;0.01,AVERAGE('13'!R7:R18),"")</f>
        <v>885.5</v>
      </c>
      <c r="S19" s="191">
        <f t="array" ref="S19">IF('13'!S7:S18&gt;0.01,AVERAGE('13'!S7:S18),"")</f>
        <v>65.379012638249279</v>
      </c>
      <c r="T19" s="946"/>
      <c r="U19" s="946"/>
      <c r="V19" s="49"/>
      <c r="W19" s="50"/>
      <c r="X19" s="13">
        <v>0.54166666666666696</v>
      </c>
      <c r="Y19" s="54">
        <v>2545</v>
      </c>
      <c r="Z19" s="54">
        <v>901</v>
      </c>
      <c r="AA19" s="15">
        <v>1</v>
      </c>
      <c r="AB19" s="58">
        <f>IF('13'!AA19=1,(('13'!Z19*'13'!$AS$6*'13'!$AT$6)/('13'!Y19*0.0036)),IF('13'!AA19=2,(('13'!Z19*'13'!$AS$8*'13'!$AT$8)/('13'!Y19*0.0036))))</f>
        <v>65.396747435057861</v>
      </c>
      <c r="AC19" s="58"/>
      <c r="AD19" s="18">
        <f>(('13'!AC19*'13'!$Q$10*1000000))/('13'!Y19*3600)</f>
        <v>0</v>
      </c>
      <c r="AE19" s="183"/>
      <c r="AF19" s="184">
        <f>('13'!AE19/24)*0.454</f>
        <v>0</v>
      </c>
      <c r="AG19" s="19"/>
      <c r="AH19" s="184">
        <f>('13'!AG19/24)*0.454</f>
        <v>0</v>
      </c>
      <c r="AI19" s="19">
        <v>4400</v>
      </c>
      <c r="AJ19" s="184">
        <f>('13'!AI19/24)*0.454</f>
        <v>83.233333333333334</v>
      </c>
      <c r="AK19" s="21"/>
      <c r="AL19" s="185">
        <f>('13'!AK19/24)*0.454</f>
        <v>0</v>
      </c>
      <c r="AM19" s="21"/>
      <c r="AN19" s="185">
        <f>('13'!AM19/24)*0.454</f>
        <v>0</v>
      </c>
      <c r="AO19" s="21"/>
      <c r="AP19" s="185">
        <f>('13'!AO19/24)*0.454</f>
        <v>0</v>
      </c>
    </row>
    <row r="20" spans="1:42" ht="18.75" customHeight="1">
      <c r="A20" s="10" t="s">
        <v>53</v>
      </c>
      <c r="B20" s="189">
        <f>MAX('13'!B7:B18)</f>
        <v>60</v>
      </c>
      <c r="C20" s="69">
        <f>MAX('13'!C7:C18)</f>
        <v>10</v>
      </c>
      <c r="D20" s="69">
        <f>MAX('13'!D7:D18)</f>
        <v>10</v>
      </c>
      <c r="E20" s="69">
        <f>MAX('13'!E7:E18)</f>
        <v>2.5</v>
      </c>
      <c r="F20" s="69">
        <f>MAX('13'!F7:F18)</f>
        <v>9</v>
      </c>
      <c r="G20" s="69">
        <f>MAX('13'!G7:G18)</f>
        <v>1.4</v>
      </c>
      <c r="H20" s="69">
        <f>MAX('13'!H7:H18)</f>
        <v>1.4</v>
      </c>
      <c r="I20" s="69">
        <f>MAX('13'!I7:I18)</f>
        <v>0.4</v>
      </c>
      <c r="J20" s="69">
        <f>MAX('13'!J7:J18)</f>
        <v>0.5</v>
      </c>
      <c r="K20" s="69">
        <f>MAX('13'!K7:K18)</f>
        <v>7.3</v>
      </c>
      <c r="L20" s="69">
        <f>MAX('13'!L7:L18)</f>
        <v>6.7</v>
      </c>
      <c r="M20" s="69">
        <f>MAX('13'!M7:M18)</f>
        <v>6.7</v>
      </c>
      <c r="N20" s="69">
        <f>MAX('13'!N7:N18)</f>
        <v>6.3</v>
      </c>
      <c r="O20" s="70">
        <f>MAX('13'!O7:O18)</f>
        <v>3.7</v>
      </c>
      <c r="P20" s="70">
        <f>MAX('13'!P7:P18)</f>
        <v>0</v>
      </c>
      <c r="Q20" s="70">
        <f>MAX('13'!Q7:Q18)</f>
        <v>0</v>
      </c>
      <c r="R20" s="70">
        <f>MAX('13'!R7:R18)</f>
        <v>901</v>
      </c>
      <c r="S20" s="70">
        <f>MAX('13'!S7:S18)</f>
        <v>68.831564194467418</v>
      </c>
      <c r="T20" s="946"/>
      <c r="U20" s="946"/>
      <c r="X20" s="13">
        <v>0.58333333333333304</v>
      </c>
      <c r="Y20" s="54">
        <v>2581</v>
      </c>
      <c r="Z20" s="54">
        <v>901</v>
      </c>
      <c r="AA20" s="15">
        <v>1</v>
      </c>
      <c r="AB20" s="58">
        <f>IF('13'!AA20=1,(('13'!Z20*'13'!$AS$6*'13'!$AT$6)/('13'!Y20*0.0036)),IF('13'!AA20=2,(('13'!Z20*'13'!$AS$8*'13'!$AT$8)/('13'!Y20*0.0036))))</f>
        <v>64.484588230229477</v>
      </c>
      <c r="AC20" s="58"/>
      <c r="AD20" s="18">
        <f>(('13'!AC20*'13'!$Q$10*1000000))/('13'!Y20*3600)</f>
        <v>0</v>
      </c>
      <c r="AE20" s="183"/>
      <c r="AF20" s="184">
        <f>('13'!AE20/24)*0.454</f>
        <v>0</v>
      </c>
      <c r="AG20" s="19"/>
      <c r="AH20" s="184">
        <f>('13'!AG20/24)*0.454</f>
        <v>0</v>
      </c>
      <c r="AI20" s="19">
        <v>4400</v>
      </c>
      <c r="AJ20" s="184">
        <f>('13'!AI20/24)*0.454</f>
        <v>83.233333333333334</v>
      </c>
      <c r="AK20" s="21"/>
      <c r="AL20" s="185">
        <f>('13'!AK20/24)*0.454</f>
        <v>0</v>
      </c>
      <c r="AM20" s="21"/>
      <c r="AN20" s="185">
        <f>('13'!AM20/24)*0.454</f>
        <v>0</v>
      </c>
      <c r="AO20" s="21"/>
      <c r="AP20" s="185">
        <f>('13'!AO20/24)*0.454</f>
        <v>0</v>
      </c>
    </row>
    <row r="21" spans="1:42" ht="18.75" customHeight="1">
      <c r="A21" s="10" t="s">
        <v>54</v>
      </c>
      <c r="B21" s="189">
        <f>MIN('13'!B7:B18)</f>
        <v>60</v>
      </c>
      <c r="C21" s="69">
        <f>MIN('13'!C7:C18)</f>
        <v>10</v>
      </c>
      <c r="D21" s="69">
        <f>MIN('13'!D7:D18)</f>
        <v>10</v>
      </c>
      <c r="E21" s="69">
        <f>MIN('13'!E7:E18)</f>
        <v>2.5</v>
      </c>
      <c r="F21" s="69">
        <f>MIN('13'!F7:F18)</f>
        <v>7.8</v>
      </c>
      <c r="G21" s="192">
        <f>MIN('13'!G7:G18)</f>
        <v>1</v>
      </c>
      <c r="H21" s="192">
        <f>MIN('13'!H7:H18)</f>
        <v>0.9</v>
      </c>
      <c r="I21" s="192">
        <f>MIN('13'!I7:I18)</f>
        <v>0.3</v>
      </c>
      <c r="J21" s="192">
        <f>MIN('13'!J7:J18)</f>
        <v>0.3</v>
      </c>
      <c r="K21" s="192">
        <f>MIN('13'!K7:K18)</f>
        <v>7.3</v>
      </c>
      <c r="L21" s="192">
        <f>MIN('13'!L7:L18)</f>
        <v>6.7</v>
      </c>
      <c r="M21" s="192">
        <f>MIN('13'!M7:M18)</f>
        <v>6.7</v>
      </c>
      <c r="N21" s="192">
        <f>MIN('13'!N7:N18)</f>
        <v>6.3</v>
      </c>
      <c r="O21" s="193">
        <f>MIN('13'!O7:O18)</f>
        <v>3.2</v>
      </c>
      <c r="P21" s="193">
        <f>MIN('13'!P7:P18)</f>
        <v>0</v>
      </c>
      <c r="Q21" s="193">
        <f>MIN('13'!Q7:Q18)</f>
        <v>0</v>
      </c>
      <c r="R21" s="193">
        <f>MIN('13'!R7:R18)</f>
        <v>839</v>
      </c>
      <c r="S21" s="193">
        <f>MIN('13'!S7:S18)</f>
        <v>59.448386821804554</v>
      </c>
      <c r="T21" s="946"/>
      <c r="U21" s="946"/>
      <c r="X21" s="13">
        <v>0.625</v>
      </c>
      <c r="Y21" s="54">
        <v>2594</v>
      </c>
      <c r="Z21" s="54">
        <v>901</v>
      </c>
      <c r="AA21" s="15">
        <v>1</v>
      </c>
      <c r="AB21" s="58">
        <f>IF('13'!AA21=1,(('13'!Z21*'13'!$AS$6*'13'!$AT$6)/('13'!Y21*0.0036)),IF('13'!AA21=2,(('13'!Z21*'13'!$AS$8*'13'!$AT$8)/('13'!Y21*0.0036))))</f>
        <v>64.161419515120372</v>
      </c>
      <c r="AC21" s="58"/>
      <c r="AD21" s="18">
        <f>(('13'!AC21*'13'!$Q$10*1000000))/('13'!Y21*3600)</f>
        <v>0</v>
      </c>
      <c r="AE21" s="183"/>
      <c r="AF21" s="184">
        <f>('13'!AE21/24)*0.454</f>
        <v>0</v>
      </c>
      <c r="AG21" s="19"/>
      <c r="AH21" s="184">
        <f>('13'!AG21/24)*0.454</f>
        <v>0</v>
      </c>
      <c r="AI21" s="19">
        <v>4400</v>
      </c>
      <c r="AJ21" s="184">
        <f>('13'!AI21/24)*0.454</f>
        <v>83.233333333333334</v>
      </c>
      <c r="AK21" s="21"/>
      <c r="AL21" s="185">
        <f>('13'!AK21/24)*0.454</f>
        <v>0</v>
      </c>
      <c r="AM21" s="21"/>
      <c r="AN21" s="185">
        <f>('13'!AM21/24)*0.454</f>
        <v>0</v>
      </c>
      <c r="AO21" s="21"/>
      <c r="AP21" s="185">
        <f>('13'!AO21/24)*0.454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0.66666666666666696</v>
      </c>
      <c r="Y22" s="54">
        <v>2502</v>
      </c>
      <c r="Z22" s="54">
        <v>901</v>
      </c>
      <c r="AA22" s="15">
        <v>1</v>
      </c>
      <c r="AB22" s="58">
        <f>IF('13'!AA22=1,(('13'!Z22*'13'!$AS$6*'13'!$AT$6)/('13'!Y22*0.0036)),IF('13'!AA22=2,(('13'!Z22*'13'!$AS$8*'13'!$AT$8)/('13'!Y22*0.0036))))</f>
        <v>66.520672351008102</v>
      </c>
      <c r="AC22" s="58"/>
      <c r="AD22" s="18">
        <f>(('13'!AC22*'13'!$Q$10*1000000))/('13'!Y22*3600)</f>
        <v>0</v>
      </c>
      <c r="AE22" s="183"/>
      <c r="AF22" s="184">
        <f>('13'!AE22/24)*0.454</f>
        <v>0</v>
      </c>
      <c r="AG22" s="19"/>
      <c r="AH22" s="184">
        <f>('13'!AG22/24)*0.454</f>
        <v>0</v>
      </c>
      <c r="AI22" s="19">
        <v>4400</v>
      </c>
      <c r="AJ22" s="184">
        <f>('13'!AI22/24)*0.454</f>
        <v>83.233333333333334</v>
      </c>
      <c r="AK22" s="21"/>
      <c r="AL22" s="185">
        <f>('13'!AK22/24)*0.454</f>
        <v>0</v>
      </c>
      <c r="AM22" s="21"/>
      <c r="AN22" s="185">
        <f>('13'!AM22/24)*0.454</f>
        <v>0</v>
      </c>
      <c r="AO22" s="21"/>
      <c r="AP22" s="185">
        <f>('13'!AO22/24)*0.454</f>
        <v>0</v>
      </c>
    </row>
    <row r="23" spans="1:42" ht="19.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0.70833333333333304</v>
      </c>
      <c r="Y23" s="54">
        <v>2621</v>
      </c>
      <c r="Z23" s="54">
        <v>839</v>
      </c>
      <c r="AA23" s="15">
        <v>1</v>
      </c>
      <c r="AB23" s="58">
        <f>IF('13'!AA23=1,(('13'!Z23*'13'!$AS$6*'13'!$AT$6)/('13'!Y23*0.0036)),IF('13'!AA23=2,(('13'!Z23*'13'!$AS$8*'13'!$AT$8)/('13'!Y23*0.0036))))</f>
        <v>59.130844885327917</v>
      </c>
      <c r="AC23" s="58"/>
      <c r="AD23" s="18">
        <f>(('13'!AC23*'13'!$Q$10*1000000))/('13'!Y23*3600)</f>
        <v>0</v>
      </c>
      <c r="AE23" s="183"/>
      <c r="AF23" s="184">
        <f>('13'!AE23/24)*0.454</f>
        <v>0</v>
      </c>
      <c r="AG23" s="19"/>
      <c r="AH23" s="184">
        <f>('13'!AG23/24)*0.454</f>
        <v>0</v>
      </c>
      <c r="AI23" s="19">
        <v>4400</v>
      </c>
      <c r="AJ23" s="184">
        <f>('13'!AI23/24)*0.454</f>
        <v>83.233333333333334</v>
      </c>
      <c r="AK23" s="21"/>
      <c r="AL23" s="185">
        <f>('13'!AK23/24)*0.454</f>
        <v>0</v>
      </c>
      <c r="AM23" s="21"/>
      <c r="AN23" s="185">
        <f>('13'!AM23/24)*0.454</f>
        <v>0</v>
      </c>
      <c r="AO23" s="21"/>
      <c r="AP23" s="185">
        <f>('13'!AO23/24)*0.454</f>
        <v>0</v>
      </c>
    </row>
    <row r="24" spans="1:42" ht="18.7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0.75</v>
      </c>
      <c r="Y24" s="54">
        <v>2607</v>
      </c>
      <c r="Z24" s="54">
        <v>839</v>
      </c>
      <c r="AA24" s="15">
        <v>1</v>
      </c>
      <c r="AB24" s="58">
        <f>IF('13'!AA24=1,(('13'!Z24*'13'!$AS$6*'13'!$AT$6)/('13'!Y24*0.0036)),IF('13'!AA24=2,(('13'!Z24*'13'!$AS$8*'13'!$AT$8)/('13'!Y24*0.0036))))</f>
        <v>59.448386821804554</v>
      </c>
      <c r="AC24" s="58"/>
      <c r="AD24" s="18">
        <f>(('13'!AC24*'13'!$Q$10*1000000))/('13'!Y24*3600)</f>
        <v>0</v>
      </c>
      <c r="AE24" s="183"/>
      <c r="AF24" s="184">
        <f>('13'!AE24/24)*0.454</f>
        <v>0</v>
      </c>
      <c r="AG24" s="19"/>
      <c r="AH24" s="184">
        <f>('13'!AG24/24)*0.454</f>
        <v>0</v>
      </c>
      <c r="AI24" s="19">
        <v>4400</v>
      </c>
      <c r="AJ24" s="184">
        <f>('13'!AI24/24)*0.454</f>
        <v>83.233333333333334</v>
      </c>
      <c r="AK24" s="21"/>
      <c r="AL24" s="185">
        <f>('13'!AK24/24)*0.454</f>
        <v>0</v>
      </c>
      <c r="AM24" s="21"/>
      <c r="AN24" s="185">
        <f>('13'!AM24/24)*0.454</f>
        <v>0</v>
      </c>
      <c r="AO24" s="21"/>
      <c r="AP24" s="185">
        <f>('13'!AO24/24)*0.454</f>
        <v>0</v>
      </c>
    </row>
    <row r="25" spans="1:42" ht="19.5" customHeight="1">
      <c r="A25" s="64">
        <v>0.41666666666666702</v>
      </c>
      <c r="B25" s="198"/>
      <c r="C25" s="198"/>
      <c r="D25" s="198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65" t="e">
        <f>#DIV/0!</f>
        <v>#DIV/0!</v>
      </c>
      <c r="S25" s="66"/>
      <c r="T25" s="1068" t="s">
        <v>0</v>
      </c>
      <c r="U25" s="1049">
        <f>ESCALA!$A$15</f>
        <v>43903</v>
      </c>
      <c r="X25" s="13">
        <v>0.79166666666666696</v>
      </c>
      <c r="Y25" s="54">
        <v>2569</v>
      </c>
      <c r="Z25" s="54">
        <v>839</v>
      </c>
      <c r="AA25" s="15">
        <v>1</v>
      </c>
      <c r="AB25" s="16">
        <f>IF('13'!AA25=1,(('13'!Z25*'13'!$AS$6*'13'!$AT$6)/('13'!Y25*0.0036)),IF('13'!AA25=2,(('13'!Z25*'13'!$AS$8*'13'!$AT$8)/('13'!Y25*0.0036))))</f>
        <v>60.327732364517111</v>
      </c>
      <c r="AC25" s="16"/>
      <c r="AD25" s="194">
        <f>(('13'!AC25*'13'!$Q$10*1000000))/('13'!Y25*3600)</f>
        <v>0</v>
      </c>
      <c r="AE25" s="183"/>
      <c r="AF25" s="195">
        <f>('13'!AE25/24)*0.454</f>
        <v>0</v>
      </c>
      <c r="AG25" s="173"/>
      <c r="AH25" s="195">
        <f>('13'!AG25/24)*0.454</f>
        <v>0</v>
      </c>
      <c r="AI25" s="19">
        <v>4400</v>
      </c>
      <c r="AJ25" s="195">
        <f>('13'!AI25/24)*0.454</f>
        <v>83.233333333333334</v>
      </c>
      <c r="AK25" s="21"/>
      <c r="AL25" s="196">
        <f>('13'!AK25/24)*0.454</f>
        <v>0</v>
      </c>
      <c r="AM25" s="197"/>
      <c r="AN25" s="196">
        <f>('13'!AM25/24)*0.454</f>
        <v>0</v>
      </c>
      <c r="AO25" s="21"/>
      <c r="AP25" s="196">
        <f>('13'!AO25/24)*0.454</f>
        <v>0</v>
      </c>
    </row>
    <row r="26" spans="1:42" ht="19.5" customHeight="1">
      <c r="A26" s="64">
        <v>0.66666666666666696</v>
      </c>
      <c r="B26" s="198"/>
      <c r="C26" s="198">
        <v>0.28000000000000003</v>
      </c>
      <c r="D26" s="198">
        <v>0.33</v>
      </c>
      <c r="E26" s="224">
        <v>0.37</v>
      </c>
      <c r="F26" s="224">
        <v>0.38</v>
      </c>
      <c r="G26" s="224">
        <v>0.41</v>
      </c>
      <c r="H26" s="224">
        <v>0.37</v>
      </c>
      <c r="I26" s="224">
        <v>0.35</v>
      </c>
      <c r="J26" s="224">
        <v>0.38</v>
      </c>
      <c r="K26" s="224">
        <v>0.34</v>
      </c>
      <c r="L26" s="224">
        <v>0.33</v>
      </c>
      <c r="M26" s="224">
        <v>0.37</v>
      </c>
      <c r="N26" s="224">
        <v>0.31</v>
      </c>
      <c r="O26" s="224">
        <v>0.38</v>
      </c>
      <c r="P26" s="224">
        <v>0.3</v>
      </c>
      <c r="Q26" s="224"/>
      <c r="R26" s="65" t="e">
        <f>#DIV/0!</f>
        <v>#DIV/0!</v>
      </c>
      <c r="S26" s="67"/>
      <c r="T26" s="1068"/>
      <c r="U26" s="1049"/>
      <c r="X26" s="13">
        <v>0.83333333333333304</v>
      </c>
      <c r="Y26" s="54">
        <v>2576</v>
      </c>
      <c r="Z26" s="54">
        <v>839</v>
      </c>
      <c r="AA26" s="15">
        <v>1</v>
      </c>
      <c r="AB26" s="58">
        <f>IF('13'!AA26=1,(('13'!Z26*'13'!$AS$6*'13'!$AT$6)/('13'!Y26*0.0036)),IF('13'!AA26=2,(('13'!Z26*'13'!$AS$8*'13'!$AT$8)/('13'!Y26*0.0036))))</f>
        <v>60.163798309178752</v>
      </c>
      <c r="AC26" s="58"/>
      <c r="AD26" s="18">
        <f>(('13'!AC26*'13'!$Q$10*1000000))/('13'!Y26*3600)</f>
        <v>0</v>
      </c>
      <c r="AE26" s="183"/>
      <c r="AF26" s="184">
        <f>('13'!AE26/24)*0.454</f>
        <v>0</v>
      </c>
      <c r="AG26" s="19"/>
      <c r="AH26" s="184">
        <f>('13'!AG26/24)*0.454</f>
        <v>0</v>
      </c>
      <c r="AI26" s="19">
        <v>4400</v>
      </c>
      <c r="AJ26" s="184">
        <f>('13'!AI26/24)*0.454</f>
        <v>83.233333333333334</v>
      </c>
      <c r="AK26" s="21"/>
      <c r="AL26" s="185">
        <f>('13'!AK26/24)*0.454</f>
        <v>0</v>
      </c>
      <c r="AM26" s="21"/>
      <c r="AN26" s="185">
        <f>('13'!AM26/24)*0.454</f>
        <v>0</v>
      </c>
      <c r="AO26" s="21"/>
      <c r="AP26" s="185">
        <f>('13'!AO26/24)*0.454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0.875</v>
      </c>
      <c r="Y27" s="54">
        <v>2546</v>
      </c>
      <c r="Z27" s="54">
        <v>839</v>
      </c>
      <c r="AA27" s="15">
        <v>1</v>
      </c>
      <c r="AB27" s="58">
        <f>IF('13'!AA27=1,(('13'!Z27*'13'!$AS$6*'13'!$AT$6)/('13'!Y27*0.0036)),IF('13'!AA27=2,(('13'!Z27*'13'!$AS$8*'13'!$AT$8)/('13'!Y27*0.0036))))</f>
        <v>60.872719734660045</v>
      </c>
      <c r="AC27" s="58"/>
      <c r="AD27" s="18">
        <f>(('13'!AC27*'13'!$Q$10*1000000))/('13'!Y27*3600)</f>
        <v>0</v>
      </c>
      <c r="AE27" s="183"/>
      <c r="AF27" s="184">
        <f>('13'!AE27/24)*0.454</f>
        <v>0</v>
      </c>
      <c r="AG27" s="19"/>
      <c r="AH27" s="184">
        <f>('13'!AG27/24)*0.454</f>
        <v>0</v>
      </c>
      <c r="AI27" s="19">
        <v>4400</v>
      </c>
      <c r="AJ27" s="184">
        <f>('13'!AI27/24)*0.454</f>
        <v>83.233333333333334</v>
      </c>
      <c r="AK27" s="21"/>
      <c r="AL27" s="185">
        <f>('13'!AK27/24)*0.454</f>
        <v>0</v>
      </c>
      <c r="AM27" s="21"/>
      <c r="AN27" s="185">
        <f>('13'!AM27/24)*0.454</f>
        <v>0</v>
      </c>
      <c r="AO27" s="21"/>
      <c r="AP27" s="185">
        <f>('13'!AO27/24)*0.454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0.91666666666666696</v>
      </c>
      <c r="Y28" s="54">
        <v>2552</v>
      </c>
      <c r="Z28" s="54">
        <v>839</v>
      </c>
      <c r="AA28" s="15">
        <v>1</v>
      </c>
      <c r="AB28" s="58">
        <f>IF('13'!AA28=1,(('13'!Z28*'13'!$AS$6*'13'!$AT$6)/('13'!Y28*0.0036)),IF('13'!AA28=2,(('13'!Z28*'13'!$AS$8*'13'!$AT$8)/('13'!Y28*0.0036))))</f>
        <v>60.729602055033105</v>
      </c>
      <c r="AC28" s="58"/>
      <c r="AD28" s="18">
        <f>(('13'!AC28*'13'!$Q$10*1000000))/('13'!Y28*3600)</f>
        <v>0</v>
      </c>
      <c r="AE28" s="183"/>
      <c r="AF28" s="184">
        <f>('13'!AE28/24)*0.454</f>
        <v>0</v>
      </c>
      <c r="AG28" s="19"/>
      <c r="AH28" s="184">
        <f>('13'!AG28/24)*0.454</f>
        <v>0</v>
      </c>
      <c r="AI28" s="19">
        <v>4400</v>
      </c>
      <c r="AJ28" s="184">
        <f>('13'!AI28/24)*0.454</f>
        <v>83.233333333333334</v>
      </c>
      <c r="AK28" s="21"/>
      <c r="AL28" s="185">
        <f>('13'!AK28/24)*0.454</f>
        <v>0</v>
      </c>
      <c r="AM28" s="21"/>
      <c r="AN28" s="185">
        <f>('13'!AM28/24)*0.454</f>
        <v>0</v>
      </c>
      <c r="AO28" s="21"/>
      <c r="AP28" s="185">
        <f>('13'!AO28/24)*0.454</f>
        <v>0</v>
      </c>
    </row>
    <row r="29" spans="1:42" ht="19.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0.95833333333333304</v>
      </c>
      <c r="Y29" s="54">
        <v>2498</v>
      </c>
      <c r="Z29" s="54">
        <v>839</v>
      </c>
      <c r="AA29" s="15">
        <v>1</v>
      </c>
      <c r="AB29" s="58">
        <f>IF('13'!AA29=1,(('13'!Z29*'13'!$AS$6*'13'!$AT$6)/('13'!Y29*0.0036)),IF('13'!AA29=2,(('13'!Z29*'13'!$AS$8*'13'!$AT$8)/('13'!Y29*0.0036))))</f>
        <v>62.042411707143508</v>
      </c>
      <c r="AC29" s="58"/>
      <c r="AD29" s="18">
        <f>(('13'!AC29*'13'!$Q$10*1000000))/('13'!Y29*3600)</f>
        <v>0</v>
      </c>
      <c r="AE29" s="183"/>
      <c r="AF29" s="184">
        <f>('13'!AE29/24)*0.454</f>
        <v>0</v>
      </c>
      <c r="AG29" s="19"/>
      <c r="AH29" s="184">
        <f>('13'!AG29/24)*0.454</f>
        <v>0</v>
      </c>
      <c r="AI29" s="19">
        <v>4400</v>
      </c>
      <c r="AJ29" s="184">
        <f>('13'!AI29/24)*0.454</f>
        <v>83.233333333333334</v>
      </c>
      <c r="AK29" s="21"/>
      <c r="AL29" s="185">
        <f>('13'!AK29/24)*0.454</f>
        <v>0</v>
      </c>
      <c r="AM29" s="21"/>
      <c r="AN29" s="185">
        <f>('13'!AM29/24)*0.454</f>
        <v>0</v>
      </c>
      <c r="AO29" s="21"/>
      <c r="AP29" s="185">
        <f>('13'!AO29/24)*0.454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13">
        <v>1</v>
      </c>
      <c r="Y30" s="54">
        <v>2499</v>
      </c>
      <c r="Z30" s="54">
        <v>839</v>
      </c>
      <c r="AA30" s="15">
        <v>1</v>
      </c>
      <c r="AB30" s="58">
        <f>IF('13'!AA30=1,(('13'!Z30*'13'!$AS$6*'13'!$AT$6)/('13'!Y30*0.0036)),IF('13'!AA30=2,(('13'!Z30*'13'!$AS$8*'13'!$AT$8)/('13'!Y30*0.0036))))</f>
        <v>62.01758481170247</v>
      </c>
      <c r="AC30" s="58"/>
      <c r="AD30" s="18">
        <f>(('13'!AC30*'13'!$Q$10*1000000))/('13'!Y30*3600)</f>
        <v>0</v>
      </c>
      <c r="AE30" s="183"/>
      <c r="AF30" s="184">
        <f>('13'!AE30/24)*0.454</f>
        <v>0</v>
      </c>
      <c r="AG30" s="19"/>
      <c r="AH30" s="184">
        <f>('13'!AG30/24)*0.454</f>
        <v>0</v>
      </c>
      <c r="AI30" s="19">
        <v>4400</v>
      </c>
      <c r="AJ30" s="184">
        <f>('13'!AI30/24)*0.454</f>
        <v>83.233333333333334</v>
      </c>
      <c r="AK30" s="21"/>
      <c r="AL30" s="185">
        <f>('13'!AK30/24)*0.454</f>
        <v>0</v>
      </c>
      <c r="AM30" s="21"/>
      <c r="AN30" s="185">
        <f>('13'!AM30/24)*0.454</f>
        <v>0</v>
      </c>
      <c r="AO30" s="21"/>
      <c r="AP30" s="185">
        <f>('13'!AO30/24)*0.454</f>
        <v>0</v>
      </c>
    </row>
    <row r="31" spans="1:42" ht="18.7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75" t="s">
        <v>55</v>
      </c>
      <c r="Y31" s="201">
        <f>SUM('13'!Y6:Y30)*3.6</f>
        <v>216554.4</v>
      </c>
      <c r="Z31" s="82">
        <f>SUM('13'!Z6:Z30)</f>
        <v>21128</v>
      </c>
      <c r="AA31" s="78"/>
      <c r="AB31" s="79"/>
      <c r="AC31" s="78"/>
      <c r="AD31" s="79"/>
      <c r="AE31" s="34"/>
      <c r="AF31" s="184">
        <f>SUM('13'!AF6:AF30)</f>
        <v>0</v>
      </c>
      <c r="AG31" s="34"/>
      <c r="AH31" s="184">
        <f>SUM('13'!AH6:AH30)</f>
        <v>0</v>
      </c>
      <c r="AI31" s="277"/>
      <c r="AJ31" s="184">
        <f>SUM('13'!AJ6:AJ30)</f>
        <v>1997.6000000000001</v>
      </c>
      <c r="AK31" s="80"/>
      <c r="AL31" s="185">
        <f>SUM('13'!AL6:AL30)</f>
        <v>0</v>
      </c>
      <c r="AM31" s="80"/>
      <c r="AN31" s="185">
        <f>SUM('13'!AN6:AN30)</f>
        <v>0</v>
      </c>
      <c r="AO31" s="80"/>
      <c r="AP31" s="185">
        <f>SUM('13'!AP6:AP30)</f>
        <v>0</v>
      </c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4"/>
      <c r="Y32" s="954"/>
      <c r="Z32" s="954"/>
      <c r="AA32" s="954"/>
      <c r="AB32" s="954"/>
      <c r="AC32" s="954"/>
      <c r="AD32" s="954"/>
      <c r="AE32" s="954"/>
      <c r="AF32" s="954"/>
      <c r="AG32" s="954"/>
      <c r="AH32" s="954"/>
      <c r="AI32" s="954"/>
      <c r="AJ32" s="954"/>
      <c r="AK32" s="81"/>
      <c r="AL32" s="81"/>
      <c r="AM32" s="81"/>
      <c r="AN32" s="81"/>
      <c r="AO32" s="81"/>
      <c r="AP32" s="81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60</v>
      </c>
      <c r="Y33" s="955"/>
      <c r="Z33" s="82">
        <f>SUMIF('13'!AA6:AA30,"=1",'13'!Z6:Z30)</f>
        <v>21128</v>
      </c>
      <c r="AA33" s="82">
        <f>'13'!Z33*'13'!AS6</f>
        <v>28100.240000000002</v>
      </c>
      <c r="AB33" s="83">
        <f>SUMIF('13'!$AA$6:$AA$30,"=1",'13'!$AB$6:$AB$30)/COUNTIF('13'!$AA$6:$AA$30,"=1")</f>
        <v>64.955557835088626</v>
      </c>
      <c r="AC33" s="84">
        <f>SUMIF('13'!AA6:AA30,"=1",'13'!AC6:AC30)</f>
        <v>0</v>
      </c>
      <c r="AD33" s="84"/>
      <c r="AE33" s="85"/>
      <c r="AF33" s="86"/>
      <c r="AG33" s="85"/>
      <c r="AH33" s="86"/>
      <c r="AI33" s="85"/>
      <c r="AJ33" s="87"/>
      <c r="AK33" s="88"/>
      <c r="AL33" s="88"/>
      <c r="AM33" s="88"/>
      <c r="AN33" s="88"/>
      <c r="AO33" s="88"/>
      <c r="AP33" s="88"/>
    </row>
    <row r="34" spans="1:44" ht="1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55" t="s">
        <v>61</v>
      </c>
      <c r="Y34" s="955"/>
      <c r="Z34" s="82">
        <f>SUMIF('13'!AA6:AA30,"=2",'13'!Z6:Z30)</f>
        <v>0</v>
      </c>
      <c r="AA34" s="82">
        <f>'13'!Z34*'13'!AS8</f>
        <v>0</v>
      </c>
      <c r="AB34" s="83" t="e">
        <f>SUMIF('13'!$AA$6:$AA$30,"=2",'13'!$AB$6:$AB$30)/COUNTIF('13'!$AA$6:$AA$30,"=2")</f>
        <v>#DIV/0!</v>
      </c>
      <c r="AC34" s="89">
        <f>SUMIF('13'!AA6:AA30,"=2",'13'!AC6:AC30)</f>
        <v>0</v>
      </c>
      <c r="AD34" s="89"/>
      <c r="AE34" s="90"/>
      <c r="AF34" s="91"/>
      <c r="AG34" s="90"/>
      <c r="AH34" s="91"/>
      <c r="AI34" s="90"/>
      <c r="AJ34" s="92"/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957" t="s">
        <v>15</v>
      </c>
      <c r="X35" s="94" t="s">
        <v>52</v>
      </c>
      <c r="Y35" s="95">
        <f>AVERAGE('13'!Y6:Y30)</f>
        <v>2506.4166666666665</v>
      </c>
      <c r="Z35" s="96">
        <f>AVERAGE('13'!Z6:Z30)</f>
        <v>880.33333333333337</v>
      </c>
      <c r="AA35" s="97"/>
      <c r="AB35" s="97"/>
      <c r="AC35" s="98">
        <f>SUM('13'!AC6:AC30)/COUNTIF('13'!AC6:AC30,"&lt;&gt;0")</f>
        <v>0</v>
      </c>
      <c r="AD35" s="99">
        <f>SUM('13'!AD6:AD30)/COUNTIF('13'!AD6:AD30,"&lt;&gt;0")</f>
        <v>0</v>
      </c>
      <c r="AE35" s="78"/>
      <c r="AF35" s="98">
        <f>AVERAGE('13'!AF6:AF30)</f>
        <v>0</v>
      </c>
      <c r="AG35" s="98"/>
      <c r="AH35" s="98">
        <f>AVERAGE('13'!AH6:AH30)</f>
        <v>0</v>
      </c>
      <c r="AI35" s="98"/>
      <c r="AJ35" s="98">
        <f>'13'!AJ31/24</f>
        <v>83.233333333333334</v>
      </c>
      <c r="AK35" s="98"/>
      <c r="AL35" s="98">
        <f>AVERAGE('13'!AL6:AL30)</f>
        <v>0</v>
      </c>
      <c r="AM35" s="98"/>
      <c r="AN35" s="98">
        <f>AVERAGE('13'!AN6:AN30)</f>
        <v>0</v>
      </c>
      <c r="AO35" s="98"/>
      <c r="AP35" s="98">
        <f>AVERAGE('13'!AP6:AP30)</f>
        <v>0</v>
      </c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957"/>
      <c r="X36" s="958" t="s">
        <v>66</v>
      </c>
      <c r="Y36" s="958"/>
      <c r="Z36" s="103"/>
      <c r="AA36" s="958" t="s">
        <v>67</v>
      </c>
      <c r="AB36" s="958"/>
      <c r="AJ36" s="1025" t="s">
        <v>68</v>
      </c>
      <c r="AK36" s="1025"/>
      <c r="AL36" s="1025"/>
      <c r="AM36" s="1025"/>
      <c r="AO36" s="1025" t="s">
        <v>69</v>
      </c>
      <c r="AP36" s="1025"/>
      <c r="AQ36" s="1025"/>
      <c r="AR36" s="1025"/>
    </row>
    <row r="37" spans="1:44" ht="15.75" customHeight="1">
      <c r="A37" s="101"/>
      <c r="B37" s="28">
        <v>0.33333333333333298</v>
      </c>
      <c r="C37" s="186">
        <v>84.7</v>
      </c>
      <c r="D37" s="186">
        <v>57.5</v>
      </c>
      <c r="E37" s="186">
        <v>53.4</v>
      </c>
      <c r="F37" s="186">
        <v>0.8</v>
      </c>
      <c r="G37" s="183">
        <v>0.1</v>
      </c>
      <c r="H37" s="183">
        <v>0.1</v>
      </c>
      <c r="I37" s="183">
        <v>0.1</v>
      </c>
      <c r="J37" s="183">
        <v>0.06</v>
      </c>
      <c r="K37" s="183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36">
        <f>'13'!V12</f>
        <v>0</v>
      </c>
      <c r="X37" s="105" t="s">
        <v>73</v>
      </c>
      <c r="Y37" s="106"/>
      <c r="Z37" s="107"/>
      <c r="AA37" s="108" t="s">
        <v>74</v>
      </c>
      <c r="AB37" s="106"/>
      <c r="AJ37" s="1025"/>
      <c r="AK37" s="1025"/>
      <c r="AL37" s="1025"/>
      <c r="AM37" s="1025"/>
      <c r="AO37" s="1025"/>
      <c r="AP37" s="1025"/>
      <c r="AQ37" s="1025"/>
      <c r="AR37" s="1025"/>
    </row>
    <row r="38" spans="1:44" ht="18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278"/>
      <c r="P38" s="278"/>
      <c r="Q38" s="278"/>
      <c r="R38" s="278"/>
      <c r="S38" s="278"/>
      <c r="T38" s="278"/>
      <c r="U38" s="206"/>
      <c r="X38" s="962" t="s">
        <v>75</v>
      </c>
      <c r="Y38" s="962"/>
      <c r="Z38" s="110">
        <f>COUNTA('13'!Z6:Z30)</f>
        <v>24</v>
      </c>
      <c r="AA38" s="111"/>
      <c r="AB38" s="111"/>
      <c r="AJ38" s="963" t="s">
        <v>76</v>
      </c>
      <c r="AK38" s="963"/>
      <c r="AL38" s="964" t="s">
        <v>77</v>
      </c>
      <c r="AM38" s="964"/>
      <c r="AO38" s="963" t="s">
        <v>76</v>
      </c>
      <c r="AP38" s="963"/>
      <c r="AQ38" s="964" t="s">
        <v>77</v>
      </c>
      <c r="AR38" s="964"/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210" t="s">
        <v>78</v>
      </c>
      <c r="AK39" s="211">
        <f>SUM('13'!AF31+'13'!AH31)</f>
        <v>0</v>
      </c>
      <c r="AL39" s="210" t="s">
        <v>78</v>
      </c>
      <c r="AM39" s="212">
        <f>SUM('13'!AL31+'13'!AN31)</f>
        <v>0</v>
      </c>
      <c r="AO39" s="210" t="s">
        <v>78</v>
      </c>
      <c r="AP39" s="211">
        <f>'13'!AJ31</f>
        <v>1997.6000000000001</v>
      </c>
      <c r="AQ39" s="210" t="s">
        <v>78</v>
      </c>
      <c r="AR39" s="212">
        <f>'13'!AP31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112"/>
      <c r="Y40" s="112"/>
      <c r="Z40" s="113"/>
      <c r="AA40" s="111"/>
      <c r="AB40" s="111"/>
      <c r="AJ40" s="213" t="s">
        <v>86</v>
      </c>
      <c r="AK40" s="214">
        <f>('13'!AK39/'13'!Y31)*1000</f>
        <v>0</v>
      </c>
      <c r="AL40" s="215" t="s">
        <v>86</v>
      </c>
      <c r="AM40" s="216">
        <f>('13'!AM39/'13'!Y31)*1000</f>
        <v>0</v>
      </c>
      <c r="AO40" s="213" t="s">
        <v>86</v>
      </c>
      <c r="AP40" s="214">
        <f>('13'!AP39/'13'!Y31)*1000</f>
        <v>9.224472003339578</v>
      </c>
      <c r="AQ40" s="215" t="s">
        <v>86</v>
      </c>
      <c r="AR40" s="216">
        <f>('13'!AR39/'13'!Y31)*1000</f>
        <v>0</v>
      </c>
    </row>
    <row r="41" spans="1:44" ht="15.75" customHeight="1">
      <c r="A41" s="133">
        <f>COUNTA('13'!E7:E18)</f>
        <v>12</v>
      </c>
      <c r="B41" s="134">
        <f>COUNTA('13'!I7:I18)</f>
        <v>12</v>
      </c>
      <c r="C41" s="978">
        <f>COUNTA('13'!J7:J18)</f>
        <v>12</v>
      </c>
      <c r="D41" s="978">
        <f>COUNTA('13'!K7:K18)</f>
        <v>12</v>
      </c>
      <c r="E41" s="978">
        <f>COUNTIF('13'!E7:E18,"&gt;15")</f>
        <v>0</v>
      </c>
      <c r="F41" s="978"/>
      <c r="G41" s="978">
        <f>COUNTIF('13'!J7:J18,"&gt;1")</f>
        <v>0</v>
      </c>
      <c r="H41" s="978"/>
      <c r="I41" s="135"/>
      <c r="J41" s="978">
        <f>'13'!A41-'13'!E41</f>
        <v>12</v>
      </c>
      <c r="K41" s="978"/>
      <c r="L41" s="978">
        <f>'13'!C41-'13'!G41</f>
        <v>12</v>
      </c>
      <c r="M41" s="978"/>
      <c r="N41" s="135"/>
      <c r="O41" s="979">
        <f>COUNTIF('13'!J7:J18,"&lt;=0,5")</f>
        <v>12</v>
      </c>
      <c r="P41" s="979"/>
      <c r="Q41" s="979"/>
      <c r="R41" s="969"/>
      <c r="S41" s="980">
        <f>COUNTIF('13'!J7:J18,"&lt;=1,0")</f>
        <v>12</v>
      </c>
      <c r="T41" s="980"/>
      <c r="U41" s="136"/>
      <c r="V41" s="122"/>
      <c r="X41" s="973" t="s">
        <v>89</v>
      </c>
      <c r="Y41" s="973"/>
      <c r="Z41" s="973"/>
      <c r="AA41" s="973"/>
      <c r="AB41" s="973"/>
      <c r="AC41" s="973"/>
      <c r="AD41" s="973"/>
      <c r="AE41" s="973"/>
      <c r="AF41" s="973"/>
      <c r="AG41" s="973"/>
      <c r="AJ41" s="976" t="s">
        <v>90</v>
      </c>
      <c r="AK41" s="976"/>
      <c r="AL41" s="975">
        <f>SUM('13'!AK39,'13'!AM39)</f>
        <v>0</v>
      </c>
      <c r="AM41" s="975"/>
      <c r="AO41" s="976" t="s">
        <v>90</v>
      </c>
      <c r="AP41" s="976"/>
      <c r="AQ41" s="977">
        <f>SUM('13'!AP39,'13'!AR39)</f>
        <v>1997.6000000000001</v>
      </c>
      <c r="AR41" s="977"/>
    </row>
    <row r="42" spans="1:44" ht="16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23"/>
      <c r="Y42" s="923"/>
      <c r="Z42" s="923"/>
      <c r="AA42" s="923"/>
      <c r="AB42" s="923"/>
      <c r="AC42" s="923"/>
      <c r="AD42" s="923"/>
      <c r="AE42" s="923"/>
      <c r="AF42" s="923"/>
      <c r="AG42" s="923"/>
      <c r="AJ42" s="976" t="s">
        <v>91</v>
      </c>
      <c r="AK42" s="976"/>
      <c r="AL42" s="981">
        <f>SUM(('13'!AK39+'13'!AM39)/'13'!Y31)*1000</f>
        <v>0</v>
      </c>
      <c r="AM42" s="981"/>
      <c r="AO42" s="976" t="s">
        <v>91</v>
      </c>
      <c r="AP42" s="976"/>
      <c r="AQ42" s="981">
        <f>SUM(('13'!AP39+'13'!AR39)/'13'!Y31)*1000</f>
        <v>9.224472003339578</v>
      </c>
      <c r="AR42" s="981"/>
    </row>
    <row r="43" spans="1:44" ht="19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3" t="s">
        <v>93</v>
      </c>
      <c r="Y43" s="983"/>
      <c r="Z43" s="983"/>
      <c r="AA43" s="983"/>
      <c r="AB43" s="983"/>
      <c r="AC43" s="983"/>
      <c r="AD43" s="983"/>
      <c r="AE43" s="983"/>
      <c r="AF43" s="983"/>
      <c r="AG43" s="983"/>
    </row>
    <row r="44" spans="1:44" ht="16.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987" t="s">
        <v>97</v>
      </c>
      <c r="Y44" s="987"/>
      <c r="Z44" s="987" t="s">
        <v>98</v>
      </c>
      <c r="AA44" s="987"/>
      <c r="AB44" s="987" t="s">
        <v>99</v>
      </c>
      <c r="AC44" s="987"/>
      <c r="AD44" s="987" t="s">
        <v>100</v>
      </c>
      <c r="AE44" s="987"/>
      <c r="AF44" s="142"/>
      <c r="AG44" s="143"/>
    </row>
    <row r="45" spans="1:44" ht="15" customHeight="1">
      <c r="H45" s="992">
        <f>COUNTIF('13'!I7:I18,"&lt;=5,0")</f>
        <v>12</v>
      </c>
      <c r="I45" s="992"/>
      <c r="J45" s="992"/>
      <c r="K45" s="135"/>
      <c r="L45" s="974">
        <f>COUNTA('13'!L37)</f>
        <v>1</v>
      </c>
      <c r="M45" s="974"/>
      <c r="O45" s="146"/>
      <c r="P45" s="147"/>
      <c r="Q45" s="993">
        <f>'13'!S41-'13'!O41</f>
        <v>0</v>
      </c>
      <c r="R45" s="993"/>
      <c r="S45" s="993"/>
      <c r="T45" s="148"/>
      <c r="X45" s="144" t="s">
        <v>101</v>
      </c>
      <c r="Y45" s="145"/>
      <c r="Z45" s="144" t="s">
        <v>101</v>
      </c>
      <c r="AA45" s="145"/>
      <c r="AB45" s="144" t="s">
        <v>101</v>
      </c>
      <c r="AC45" s="145"/>
      <c r="AD45" s="988"/>
      <c r="AE45" s="988"/>
      <c r="AF45" s="989" t="s">
        <v>102</v>
      </c>
      <c r="AG45" s="990">
        <f>SUM('13'!Y46,'13'!AA46,'13'!AC46,'13'!AE46)</f>
        <v>0</v>
      </c>
      <c r="AI45" s="991" t="s">
        <v>103</v>
      </c>
      <c r="AJ45" s="991"/>
      <c r="AK45" s="991"/>
      <c r="AL45" s="991"/>
      <c r="AM45" s="991"/>
      <c r="AN45" s="991"/>
      <c r="AO45" s="991"/>
      <c r="AP45" s="991"/>
      <c r="AQ45" s="991"/>
      <c r="AR45" s="991"/>
    </row>
    <row r="46" spans="1:44" ht="15" customHeight="1">
      <c r="F46" s="152"/>
      <c r="X46" s="149" t="s">
        <v>104</v>
      </c>
      <c r="Y46" s="150">
        <f>'13'!Y45*275.3</f>
        <v>0</v>
      </c>
      <c r="Z46" s="149" t="s">
        <v>104</v>
      </c>
      <c r="AA46" s="150">
        <f>262.4*'13'!AA45</f>
        <v>0</v>
      </c>
      <c r="AB46" s="149" t="s">
        <v>104</v>
      </c>
      <c r="AC46" s="150">
        <f>'13'!AC44*277.7</f>
        <v>0</v>
      </c>
      <c r="AD46" s="149" t="s">
        <v>104</v>
      </c>
      <c r="AE46" s="151"/>
      <c r="AF46" s="989"/>
      <c r="AG46" s="990"/>
      <c r="AI46" s="987" t="s">
        <v>97</v>
      </c>
      <c r="AJ46" s="987"/>
      <c r="AK46" s="987" t="s">
        <v>98</v>
      </c>
      <c r="AL46" s="987"/>
      <c r="AM46" s="987" t="s">
        <v>99</v>
      </c>
      <c r="AN46" s="987"/>
      <c r="AO46" s="1079"/>
      <c r="AP46" s="1079"/>
      <c r="AQ46" s="1079"/>
      <c r="AR46" s="1079"/>
    </row>
    <row r="47" spans="1:44" ht="15.75" customHeight="1">
      <c r="O47" s="997" t="s">
        <v>107</v>
      </c>
      <c r="P47" s="997"/>
      <c r="Q47" s="997"/>
      <c r="R47" s="997"/>
      <c r="S47" s="997"/>
      <c r="T47" s="997"/>
      <c r="X47" s="153" t="s">
        <v>105</v>
      </c>
      <c r="Y47" s="154">
        <f>'13'!AS6</f>
        <v>1.33</v>
      </c>
      <c r="Z47" s="153" t="s">
        <v>105</v>
      </c>
      <c r="AA47" s="155">
        <f>'13'!Y47</f>
        <v>1.33</v>
      </c>
      <c r="AB47" s="153" t="s">
        <v>105</v>
      </c>
      <c r="AC47" s="155">
        <f>'13'!Y47</f>
        <v>1.33</v>
      </c>
      <c r="AD47" s="153" t="s">
        <v>105</v>
      </c>
      <c r="AE47" s="156">
        <f>'13'!Y47</f>
        <v>1.33</v>
      </c>
      <c r="AF47" s="995" t="s">
        <v>106</v>
      </c>
      <c r="AG47" s="996">
        <f>SUM('13'!Y48,'13'!AA48,'13'!AC48,'13'!AE48)</f>
        <v>0</v>
      </c>
      <c r="AI47" s="144" t="s">
        <v>101</v>
      </c>
      <c r="AJ47" s="145"/>
      <c r="AK47" s="144" t="s">
        <v>101</v>
      </c>
      <c r="AL47" s="145"/>
      <c r="AM47" s="144" t="s">
        <v>101</v>
      </c>
      <c r="AN47" s="145"/>
      <c r="AO47" s="1079"/>
      <c r="AP47" s="1079"/>
      <c r="AQ47" s="1079"/>
      <c r="AR47" s="1079"/>
    </row>
    <row r="48" spans="1:44" ht="15" customHeight="1">
      <c r="O48" s="997"/>
      <c r="P48" s="997"/>
      <c r="Q48" s="997"/>
      <c r="R48" s="997"/>
      <c r="S48" s="997"/>
      <c r="T48" s="997"/>
      <c r="X48" s="149" t="s">
        <v>108</v>
      </c>
      <c r="Y48" s="150">
        <f>'13'!Y46*'13'!Y47</f>
        <v>0</v>
      </c>
      <c r="Z48" s="149" t="s">
        <v>108</v>
      </c>
      <c r="AA48" s="150">
        <f>'13'!AA46*'13'!AA47</f>
        <v>0</v>
      </c>
      <c r="AB48" s="149" t="s">
        <v>108</v>
      </c>
      <c r="AC48" s="150">
        <f>'13'!AC46*'13'!AC47</f>
        <v>0</v>
      </c>
      <c r="AD48" s="149" t="s">
        <v>108</v>
      </c>
      <c r="AE48" s="150">
        <f>'13'!AE46*'13'!AE47</f>
        <v>0</v>
      </c>
      <c r="AF48" s="995"/>
      <c r="AG48" s="996"/>
      <c r="AI48" s="149" t="s">
        <v>104</v>
      </c>
      <c r="AJ48" s="150">
        <f>'13'!AJ47*275.3</f>
        <v>0</v>
      </c>
      <c r="AK48" s="149" t="s">
        <v>104</v>
      </c>
      <c r="AL48" s="150">
        <f>262.4*'13'!AL47</f>
        <v>0</v>
      </c>
      <c r="AM48" s="149" t="s">
        <v>104</v>
      </c>
      <c r="AN48" s="150">
        <f>'13'!AN47*277.7</f>
        <v>0</v>
      </c>
      <c r="AO48" s="1079"/>
      <c r="AP48" s="1079"/>
      <c r="AQ48" s="1079"/>
      <c r="AR48" s="1079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X49" s="157"/>
      <c r="Y49" s="158"/>
      <c r="Z49" s="157"/>
      <c r="AA49" s="158"/>
      <c r="AB49" s="157"/>
      <c r="AC49" s="158"/>
      <c r="AD49" s="157"/>
      <c r="AE49" s="159"/>
      <c r="AF49" s="159"/>
      <c r="AG49" s="159"/>
      <c r="AI49" s="153" t="s">
        <v>105</v>
      </c>
      <c r="AJ49" s="154">
        <f>'13'!Y47</f>
        <v>1.33</v>
      </c>
      <c r="AK49" s="160" t="s">
        <v>105</v>
      </c>
      <c r="AL49" s="154">
        <f>'13'!AJ49</f>
        <v>1.33</v>
      </c>
      <c r="AM49" s="160" t="s">
        <v>105</v>
      </c>
      <c r="AN49" s="154">
        <f>'13'!AJ49</f>
        <v>1.33</v>
      </c>
      <c r="AO49" s="1079"/>
      <c r="AP49" s="1079"/>
      <c r="AQ49" s="1079"/>
      <c r="AR49" s="1079"/>
    </row>
    <row r="50" spans="15:44" ht="15.75" customHeight="1">
      <c r="O50" s="998"/>
      <c r="P50" s="998"/>
      <c r="R50" s="999"/>
      <c r="S50" s="999"/>
      <c r="T50" s="999"/>
      <c r="AE50" s="161"/>
      <c r="AF50" s="161"/>
      <c r="AG50" s="161"/>
      <c r="AI50" s="149" t="s">
        <v>108</v>
      </c>
      <c r="AJ50" s="150">
        <f>'13'!AJ48*'13'!AJ49</f>
        <v>0</v>
      </c>
      <c r="AK50" s="149" t="s">
        <v>108</v>
      </c>
      <c r="AL50" s="150">
        <f>'13'!AL48*'13'!AL49</f>
        <v>0</v>
      </c>
      <c r="AM50" s="149" t="s">
        <v>108</v>
      </c>
      <c r="AN50" s="150">
        <f>'13'!AN48*'13'!AN49</f>
        <v>0</v>
      </c>
      <c r="AO50" s="1079"/>
      <c r="AP50" s="1079"/>
      <c r="AQ50" s="1079"/>
      <c r="AR50" s="1079"/>
    </row>
    <row r="51" spans="15:44" ht="18" customHeight="1">
      <c r="O51" s="974">
        <f>COUNTA('13'!O7:O18)</f>
        <v>12</v>
      </c>
      <c r="P51" s="974">
        <f>COUNTA('13'!W17:W28)</f>
        <v>0</v>
      </c>
      <c r="R51" s="992">
        <f>COUNTIF('13'!O7:O18,"&gt;=0,5")</f>
        <v>12</v>
      </c>
      <c r="S51" s="992"/>
      <c r="T51" s="992"/>
      <c r="X51" s="1000" t="s">
        <v>111</v>
      </c>
      <c r="Y51" s="1000"/>
      <c r="Z51" s="1000"/>
      <c r="AA51" s="1000"/>
      <c r="AB51" s="1000"/>
      <c r="AC51" s="1000"/>
      <c r="AD51" s="1000"/>
      <c r="AE51" s="1000"/>
      <c r="AF51" s="1000"/>
      <c r="AG51" s="1000"/>
    </row>
    <row r="52" spans="15:44" ht="16.5" customHeight="1">
      <c r="X52" s="987" t="s">
        <v>97</v>
      </c>
      <c r="Y52" s="987"/>
      <c r="Z52" s="987" t="s">
        <v>98</v>
      </c>
      <c r="AA52" s="987"/>
      <c r="AB52" s="987" t="s">
        <v>99</v>
      </c>
      <c r="AC52" s="987"/>
      <c r="AD52" s="987" t="s">
        <v>100</v>
      </c>
      <c r="AE52" s="987"/>
      <c r="AF52" s="162"/>
      <c r="AG52" s="163"/>
      <c r="AI52" s="1000" t="s">
        <v>112</v>
      </c>
      <c r="AJ52" s="1000"/>
      <c r="AK52" s="1000"/>
      <c r="AL52" s="1000"/>
      <c r="AM52" s="1000"/>
      <c r="AN52" s="1000"/>
      <c r="AO52" s="1000"/>
      <c r="AP52" s="1000"/>
      <c r="AQ52" s="1000"/>
      <c r="AR52" s="1000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4" t="s">
        <v>101</v>
      </c>
      <c r="Y53" s="164"/>
      <c r="Z53" s="144" t="s">
        <v>101</v>
      </c>
      <c r="AA53" s="164"/>
      <c r="AB53" s="144" t="s">
        <v>101</v>
      </c>
      <c r="AC53" s="164"/>
      <c r="AD53" s="1001"/>
      <c r="AE53" s="1001"/>
      <c r="AF53" s="989" t="s">
        <v>102</v>
      </c>
      <c r="AG53" s="1002">
        <f>SUM('13'!Y54,'13'!AA54,'13'!AC54,'13'!AE54)</f>
        <v>0</v>
      </c>
      <c r="AI53" s="987" t="s">
        <v>97</v>
      </c>
      <c r="AJ53" s="987"/>
      <c r="AK53" s="987" t="s">
        <v>98</v>
      </c>
      <c r="AL53" s="987"/>
      <c r="AM53" s="987" t="s">
        <v>99</v>
      </c>
      <c r="AN53" s="987"/>
      <c r="AO53" s="1080"/>
      <c r="AP53" s="1080"/>
      <c r="AQ53" s="1080"/>
      <c r="AR53" s="1080"/>
    </row>
    <row r="54" spans="15:44" ht="15" customHeight="1">
      <c r="O54" s="997"/>
      <c r="P54" s="997"/>
      <c r="Q54" s="997"/>
      <c r="R54" s="997"/>
      <c r="S54" s="997"/>
      <c r="T54" s="997"/>
      <c r="X54" s="149" t="s">
        <v>104</v>
      </c>
      <c r="Y54" s="150">
        <f>'13'!Y53*275.3</f>
        <v>0</v>
      </c>
      <c r="Z54" s="149" t="s">
        <v>104</v>
      </c>
      <c r="AA54" s="150">
        <f>262.4*'13'!AA53</f>
        <v>0</v>
      </c>
      <c r="AB54" s="149" t="s">
        <v>104</v>
      </c>
      <c r="AC54" s="167">
        <f>'13'!AC53*277.7</f>
        <v>0</v>
      </c>
      <c r="AD54" s="149" t="s">
        <v>104</v>
      </c>
      <c r="AE54" s="230">
        <v>0</v>
      </c>
      <c r="AF54" s="989"/>
      <c r="AG54" s="1002"/>
      <c r="AI54" s="144" t="s">
        <v>101</v>
      </c>
      <c r="AJ54" s="166">
        <v>0</v>
      </c>
      <c r="AK54" s="144" t="s">
        <v>101</v>
      </c>
      <c r="AL54" s="164"/>
      <c r="AM54" s="144" t="s">
        <v>101</v>
      </c>
      <c r="AN54" s="164"/>
      <c r="AO54" s="1080"/>
      <c r="AP54" s="1080"/>
      <c r="AQ54" s="1080"/>
      <c r="AR54" s="1080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53" t="s">
        <v>105</v>
      </c>
      <c r="Y55" s="154">
        <f>'13'!AS8</f>
        <v>1.377</v>
      </c>
      <c r="Z55" s="153" t="s">
        <v>105</v>
      </c>
      <c r="AA55" s="155">
        <f>'13'!Y55</f>
        <v>1.377</v>
      </c>
      <c r="AB55" s="153" t="s">
        <v>105</v>
      </c>
      <c r="AC55" s="155">
        <f>'13'!Y55</f>
        <v>1.377</v>
      </c>
      <c r="AD55" s="153" t="s">
        <v>105</v>
      </c>
      <c r="AE55" s="156">
        <f>'13'!Y55</f>
        <v>1.377</v>
      </c>
      <c r="AF55" s="995" t="s">
        <v>106</v>
      </c>
      <c r="AG55" s="996">
        <f>SUM('13'!Y56,'13'!AA56,'13'!AC56,'13'!AE56)</f>
        <v>0</v>
      </c>
      <c r="AI55" s="149" t="s">
        <v>104</v>
      </c>
      <c r="AJ55" s="150">
        <f>'13'!AJ54*275.3</f>
        <v>0</v>
      </c>
      <c r="AK55" s="149" t="s">
        <v>104</v>
      </c>
      <c r="AL55" s="150">
        <f>262.4*'13'!AL54</f>
        <v>0</v>
      </c>
      <c r="AM55" s="149" t="s">
        <v>104</v>
      </c>
      <c r="AN55" s="167">
        <f>'13'!AN54*277.7</f>
        <v>0</v>
      </c>
      <c r="AO55" s="1080"/>
      <c r="AP55" s="1080"/>
      <c r="AQ55" s="1080"/>
      <c r="AR55" s="1080"/>
    </row>
    <row r="56" spans="15:44" ht="15" customHeight="1">
      <c r="O56" s="998"/>
      <c r="P56" s="998"/>
      <c r="R56" s="999"/>
      <c r="S56" s="999"/>
      <c r="T56" s="999"/>
      <c r="X56" s="149" t="s">
        <v>108</v>
      </c>
      <c r="Y56" s="150">
        <f>'13'!Y54*'13'!Y55</f>
        <v>0</v>
      </c>
      <c r="Z56" s="149" t="s">
        <v>108</v>
      </c>
      <c r="AA56" s="150">
        <f>'13'!AA54*'13'!AA55</f>
        <v>0</v>
      </c>
      <c r="AB56" s="149" t="s">
        <v>108</v>
      </c>
      <c r="AC56" s="150">
        <f>'13'!AC54*'13'!AC55</f>
        <v>0</v>
      </c>
      <c r="AD56" s="149" t="s">
        <v>108</v>
      </c>
      <c r="AE56" s="150">
        <f>'13'!AE54*'13'!AE55</f>
        <v>0</v>
      </c>
      <c r="AF56" s="995"/>
      <c r="AG56" s="996"/>
      <c r="AI56" s="153" t="s">
        <v>105</v>
      </c>
      <c r="AJ56" s="154">
        <f>'13'!Y55</f>
        <v>1.377</v>
      </c>
      <c r="AK56" s="153" t="s">
        <v>105</v>
      </c>
      <c r="AL56" s="154">
        <f>'13'!AJ56</f>
        <v>1.377</v>
      </c>
      <c r="AM56" s="153" t="s">
        <v>105</v>
      </c>
      <c r="AN56" s="154">
        <f>'13'!AJ56</f>
        <v>1.377</v>
      </c>
      <c r="AO56" s="1080"/>
      <c r="AP56" s="1080"/>
      <c r="AQ56" s="1080"/>
      <c r="AR56" s="1080"/>
    </row>
    <row r="57" spans="15:44">
      <c r="O57" s="1003">
        <f>COUNTA('13'!N7:N18)</f>
        <v>12</v>
      </c>
      <c r="P57" s="1003"/>
      <c r="R57" s="1004">
        <f>COUNTIF('13'!N7:N18,"&gt;=6")</f>
        <v>12</v>
      </c>
      <c r="S57" s="1004"/>
      <c r="T57" s="1004"/>
      <c r="AI57" s="149" t="s">
        <v>108</v>
      </c>
      <c r="AJ57" s="150">
        <f>'13'!AJ55*'13'!AJ56</f>
        <v>0</v>
      </c>
      <c r="AK57" s="149" t="s">
        <v>108</v>
      </c>
      <c r="AL57" s="150">
        <f>'13'!AL55*'13'!AL56</f>
        <v>0</v>
      </c>
      <c r="AM57" s="149" t="s">
        <v>108</v>
      </c>
      <c r="AN57" s="150">
        <f>'13'!AN55*'13'!AN56</f>
        <v>0</v>
      </c>
      <c r="AO57" s="1080"/>
      <c r="AP57" s="1080"/>
      <c r="AQ57" s="1080"/>
      <c r="AR57" s="1080"/>
    </row>
    <row r="58" spans="15:44" ht="15.75" customHeight="1"/>
    <row r="59" spans="15:44" ht="15.75" customHeight="1">
      <c r="X59" s="1005" t="s">
        <v>116</v>
      </c>
      <c r="Y59" s="1005"/>
      <c r="Z59" s="1005"/>
      <c r="AA59" s="1005"/>
      <c r="AB59" s="1005"/>
      <c r="AC59" s="1005"/>
    </row>
    <row r="60" spans="15:44" ht="15.75" customHeight="1">
      <c r="X60" s="923"/>
      <c r="Y60" s="923"/>
      <c r="Z60" s="923"/>
      <c r="AA60" s="923"/>
      <c r="AB60" s="923"/>
      <c r="AC60" s="923"/>
      <c r="AI60" s="1006" t="s">
        <v>117</v>
      </c>
      <c r="AJ60" s="1006"/>
      <c r="AK60" s="1006"/>
      <c r="AL60" s="1006"/>
      <c r="AM60" s="1006"/>
      <c r="AN60" s="1006"/>
      <c r="AO60" s="1006"/>
      <c r="AP60" s="1006"/>
      <c r="AQ60" s="1006"/>
      <c r="AR60" s="1006"/>
    </row>
    <row r="61" spans="15:44" ht="15.75" customHeight="1">
      <c r="X61" s="1007" t="s">
        <v>118</v>
      </c>
      <c r="Y61" s="1007"/>
      <c r="Z61" s="1008"/>
      <c r="AA61" s="1008"/>
      <c r="AB61" s="1007" t="s">
        <v>119</v>
      </c>
      <c r="AC61" s="1007"/>
      <c r="AD61" s="168"/>
      <c r="AE61" s="168"/>
      <c r="AI61" s="1004" t="s">
        <v>120</v>
      </c>
      <c r="AJ61" s="1004"/>
      <c r="AK61" s="1004"/>
      <c r="AL61" s="1004"/>
      <c r="AM61" s="1004"/>
      <c r="AN61" s="1004" t="s">
        <v>93</v>
      </c>
      <c r="AO61" s="1004"/>
      <c r="AP61" s="1004"/>
      <c r="AQ61" s="1004"/>
      <c r="AR61" s="1004"/>
    </row>
    <row r="62" spans="15:44" ht="15.75" customHeight="1">
      <c r="X62" s="1009"/>
      <c r="Y62" s="1009"/>
      <c r="Z62" s="1009"/>
      <c r="AA62" s="1009"/>
      <c r="AB62" s="1009"/>
      <c r="AC62" s="1009"/>
      <c r="AD62" s="136"/>
      <c r="AE62" s="136"/>
      <c r="AI62" s="1010" t="s">
        <v>121</v>
      </c>
      <c r="AJ62" s="1010"/>
      <c r="AK62" s="1010"/>
      <c r="AL62" s="1011">
        <f>'13'!AJ57+'13'!AL57+'13'!AN57</f>
        <v>0</v>
      </c>
      <c r="AM62" s="1011"/>
      <c r="AN62" s="1010" t="s">
        <v>121</v>
      </c>
      <c r="AO62" s="1010"/>
      <c r="AP62" s="1010"/>
      <c r="AQ62" s="1011">
        <f>'13'!AJ50+'13'!AL50+'13'!AN50</f>
        <v>0</v>
      </c>
      <c r="AR62" s="1011"/>
    </row>
    <row r="63" spans="15:44" ht="15" customHeight="1">
      <c r="X63" s="1012" t="s">
        <v>122</v>
      </c>
      <c r="Y63" s="1012"/>
      <c r="Z63" s="1013"/>
      <c r="AA63" s="1013"/>
      <c r="AB63" s="1014" t="s">
        <v>122</v>
      </c>
      <c r="AC63" s="1014"/>
      <c r="AD63" s="136"/>
      <c r="AE63" s="136"/>
      <c r="AI63" s="1010" t="s">
        <v>123</v>
      </c>
      <c r="AJ63" s="1010"/>
      <c r="AK63" s="1010"/>
      <c r="AL63" s="1015">
        <f>AA34</f>
        <v>0</v>
      </c>
      <c r="AM63" s="1015"/>
      <c r="AN63" s="1010" t="s">
        <v>123</v>
      </c>
      <c r="AO63" s="1010"/>
      <c r="AP63" s="1010"/>
      <c r="AQ63" s="1081">
        <f>'13'!AA33</f>
        <v>28100.240000000002</v>
      </c>
      <c r="AR63" s="1081"/>
    </row>
    <row r="64" spans="15:44" ht="15" customHeight="1">
      <c r="X64" s="170" t="s">
        <v>124</v>
      </c>
      <c r="Y64" s="171">
        <v>0</v>
      </c>
      <c r="Z64" s="1013"/>
      <c r="AA64" s="1013"/>
      <c r="AB64" s="172" t="s">
        <v>124</v>
      </c>
      <c r="AC64" s="173">
        <v>0</v>
      </c>
      <c r="AE64" s="49"/>
      <c r="AI64" s="1010" t="s">
        <v>125</v>
      </c>
      <c r="AJ64" s="1010"/>
      <c r="AK64" s="1010"/>
      <c r="AL64" s="1011">
        <f>'13'!AL62-'13'!AL63</f>
        <v>0</v>
      </c>
      <c r="AM64" s="1011"/>
      <c r="AN64" s="1010" t="s">
        <v>125</v>
      </c>
      <c r="AO64" s="1010"/>
      <c r="AP64" s="1010"/>
      <c r="AQ64" s="1011">
        <f>'13'!AQ62-'13'!AQ63</f>
        <v>-28100.240000000002</v>
      </c>
      <c r="AR64" s="1011"/>
    </row>
    <row r="65" spans="24:31" ht="15" customHeight="1">
      <c r="X65" s="170"/>
      <c r="Y65" s="171"/>
      <c r="Z65" s="1013"/>
      <c r="AA65" s="1013"/>
      <c r="AB65" s="279" t="s">
        <v>133</v>
      </c>
      <c r="AC65" s="173"/>
      <c r="AE65" s="49"/>
    </row>
    <row r="66" spans="24:31" ht="39" customHeight="1">
      <c r="X66" s="174" t="s">
        <v>126</v>
      </c>
      <c r="Y66" s="217">
        <f>'12'!$Y$68</f>
        <v>-11062.466666666667</v>
      </c>
      <c r="Z66" s="1013"/>
      <c r="AA66" s="1013"/>
      <c r="AB66" s="176" t="s">
        <v>126</v>
      </c>
      <c r="AC66" s="218">
        <f>'12'!$AC$68</f>
        <v>-945.83333333333348</v>
      </c>
    </row>
    <row r="67" spans="24:31" ht="15" customHeight="1">
      <c r="X67" s="1017" t="s">
        <v>127</v>
      </c>
      <c r="Y67" s="1017"/>
      <c r="Z67" s="1013"/>
      <c r="AA67" s="1013"/>
      <c r="AB67" s="1018" t="s">
        <v>127</v>
      </c>
      <c r="AC67" s="1018"/>
    </row>
    <row r="68" spans="24:31" ht="15" customHeight="1">
      <c r="X68" s="170" t="s">
        <v>124</v>
      </c>
      <c r="Y68" s="280">
        <f>SUM('13'!AK39,'13'!AP39)</f>
        <v>1997.6000000000001</v>
      </c>
      <c r="Z68" s="1013"/>
      <c r="AA68" s="1013"/>
      <c r="AB68" s="172" t="s">
        <v>124</v>
      </c>
      <c r="AC68" s="169">
        <f>SUM('13'!AM39,'13'!AR39)</f>
        <v>0</v>
      </c>
    </row>
    <row r="69" spans="24:31" ht="15.75" customHeight="1">
      <c r="X69" s="170" t="s">
        <v>128</v>
      </c>
      <c r="Y69" s="179">
        <f>SUM('13'!Y64,'13'!Y66)-'13'!Y68</f>
        <v>-13060.066666666668</v>
      </c>
      <c r="Z69" s="1013"/>
      <c r="AA69" s="1013"/>
      <c r="AB69" s="172" t="s">
        <v>128</v>
      </c>
      <c r="AC69" s="180">
        <f>SUM('13'!AC64,'13'!AC66)-'13'!AC68-'13'!AC65</f>
        <v>-945.83333333333348</v>
      </c>
    </row>
  </sheetData>
  <sheetProtection password="E1DF" sheet="1" objects="1" scenarios="1" selectLockedCells="1"/>
  <mergeCells count="171"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</mergeCells>
  <conditionalFormatting sqref="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conditionalFormatting sqref="O19">
    <cfRule type="cellIs" priority="4" operator="greaterThan">
      <formula>3</formula>
    </cfRule>
    <cfRule type="cellIs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F11" sqref="F11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27" t="s">
        <v>5</v>
      </c>
      <c r="E2" s="1027"/>
      <c r="F2" s="1027"/>
      <c r="G2" s="1027"/>
      <c r="H2" s="1027"/>
      <c r="I2" s="1027"/>
      <c r="J2" s="1027"/>
      <c r="K2" s="1027"/>
      <c r="L2" s="1027"/>
      <c r="M2" s="1027"/>
      <c r="N2" s="1027"/>
      <c r="O2" s="1027"/>
      <c r="P2" s="1027"/>
      <c r="Q2" s="1027"/>
      <c r="R2" s="1027"/>
      <c r="S2" s="1027"/>
      <c r="T2" s="1027"/>
      <c r="U2" s="1027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27"/>
      <c r="E3" s="1027"/>
      <c r="F3" s="1027"/>
      <c r="G3" s="1027"/>
      <c r="H3" s="1027"/>
      <c r="I3" s="1027"/>
      <c r="J3" s="1027"/>
      <c r="K3" s="1027"/>
      <c r="L3" s="1027"/>
      <c r="M3" s="1027"/>
      <c r="N3" s="1027"/>
      <c r="O3" s="1027"/>
      <c r="P3" s="1027"/>
      <c r="Q3" s="1027"/>
      <c r="R3" s="1027"/>
      <c r="S3" s="1027"/>
      <c r="T3" s="1027"/>
      <c r="U3" s="1027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3.9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4">
        <v>2535</v>
      </c>
      <c r="Z6" s="173">
        <v>839</v>
      </c>
      <c r="AA6" s="15">
        <v>1</v>
      </c>
      <c r="AB6" s="58">
        <f>IF('14'!AA6=1,(('14'!Z6*'14'!$AS$6*'14'!$AT$6)/('14'!Y6*0.0036)),IF('14'!AA6=2,(('14'!Z6*'14'!$AS$7*'14'!$AT$7)/('14'!Y6*0.0036))))</f>
        <v>61.136861713784803</v>
      </c>
      <c r="AC6" s="58"/>
      <c r="AD6" s="18">
        <f>(('14'!AC6*'14'!$Q$10*1000000))/('14'!Y6*3600)</f>
        <v>0</v>
      </c>
      <c r="AE6" s="281"/>
      <c r="AF6" s="184">
        <f>('14'!AE6/24)*0.454</f>
        <v>0</v>
      </c>
      <c r="AG6" s="19"/>
      <c r="AH6" s="184">
        <f>('14'!AG6/24)*0.454</f>
        <v>0</v>
      </c>
      <c r="AI6" s="281">
        <v>4400</v>
      </c>
      <c r="AJ6" s="184">
        <f>('14'!AI6/24)*0.454</f>
        <v>83.233333333333334</v>
      </c>
      <c r="AK6" s="21"/>
      <c r="AL6" s="185">
        <f>('14'!AK6/24)*0.454</f>
        <v>0</v>
      </c>
      <c r="AM6" s="21"/>
      <c r="AN6" s="185">
        <f>('14'!AM6/24)*0.454</f>
        <v>0</v>
      </c>
      <c r="AO6" s="21"/>
      <c r="AP6" s="185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6">
        <v>70</v>
      </c>
      <c r="C7" s="186">
        <v>10</v>
      </c>
      <c r="D7" s="186">
        <v>10</v>
      </c>
      <c r="E7" s="186">
        <v>2.5</v>
      </c>
      <c r="F7" s="186">
        <v>9.8000000000000007</v>
      </c>
      <c r="G7" s="186">
        <v>1.4</v>
      </c>
      <c r="H7" s="186">
        <v>1.4</v>
      </c>
      <c r="I7" s="186">
        <v>0.3</v>
      </c>
      <c r="J7" s="186">
        <v>0.4</v>
      </c>
      <c r="K7" s="186">
        <v>7.3</v>
      </c>
      <c r="L7" s="186">
        <v>6.7</v>
      </c>
      <c r="M7" s="186">
        <v>6.7</v>
      </c>
      <c r="N7" s="186">
        <v>6.3</v>
      </c>
      <c r="O7" s="186">
        <v>3.2</v>
      </c>
      <c r="P7" s="186"/>
      <c r="Q7" s="188"/>
      <c r="R7" s="37">
        <f>'13'!$Z$30</f>
        <v>839</v>
      </c>
      <c r="S7" s="187">
        <f>'13'!$AB$30</f>
        <v>62.01758481170247</v>
      </c>
      <c r="T7" s="37">
        <f>'13'!$Y$30</f>
        <v>2499</v>
      </c>
      <c r="U7" s="33" t="str">
        <f>IF('14'!AA6=1,'14'!AR6,'14'!AR7)</f>
        <v>S.A.L</v>
      </c>
      <c r="V7" s="1022">
        <f>ESCALA!$C$15</f>
        <v>0</v>
      </c>
      <c r="W7" s="1022"/>
      <c r="X7" s="13">
        <v>8.3333333333333301E-2</v>
      </c>
      <c r="Y7" s="54">
        <v>2519</v>
      </c>
      <c r="Z7" s="173">
        <v>839</v>
      </c>
      <c r="AA7" s="15">
        <v>1</v>
      </c>
      <c r="AB7" s="58">
        <f>IF('14'!AA7=1,(('14'!Z7*'14'!$AS$6*'14'!$AT$6)/('14'!Y7*0.0036)),IF('14'!AA7=2,(('14'!Z7*'14'!$AS$7*'14'!$AT$7)/('14'!Y7*0.0036))))</f>
        <v>61.525186361430904</v>
      </c>
      <c r="AC7" s="58"/>
      <c r="AD7" s="18">
        <f>(('14'!AC7*'14'!$Q$10*1000000))/('14'!Y7*3600)</f>
        <v>0</v>
      </c>
      <c r="AE7" s="281"/>
      <c r="AF7" s="184">
        <f>('14'!AE7/24)*0.454</f>
        <v>0</v>
      </c>
      <c r="AG7" s="19"/>
      <c r="AH7" s="184">
        <f>('14'!AG7/24)*0.454</f>
        <v>0</v>
      </c>
      <c r="AI7" s="281">
        <v>4400</v>
      </c>
      <c r="AJ7" s="184">
        <f>('14'!AI7/24)*0.454</f>
        <v>83.233333333333334</v>
      </c>
      <c r="AK7" s="21"/>
      <c r="AL7" s="185">
        <f>('14'!AK7/24)*0.454</f>
        <v>0</v>
      </c>
      <c r="AM7" s="21"/>
      <c r="AN7" s="185">
        <f>('14'!AM7/24)*0.454</f>
        <v>0</v>
      </c>
      <c r="AO7" s="21"/>
      <c r="AP7" s="185">
        <f>('14'!AO7/24)*0.454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5" customHeight="1">
      <c r="A8" s="28">
        <v>8.3333333333333301E-2</v>
      </c>
      <c r="B8" s="186">
        <v>70</v>
      </c>
      <c r="C8" s="186">
        <v>10</v>
      </c>
      <c r="D8" s="186">
        <v>10</v>
      </c>
      <c r="E8" s="186">
        <v>2.5</v>
      </c>
      <c r="F8" s="186">
        <v>10.6</v>
      </c>
      <c r="G8" s="186">
        <v>1.4</v>
      </c>
      <c r="H8" s="186">
        <v>1.4</v>
      </c>
      <c r="I8" s="186">
        <v>0.3</v>
      </c>
      <c r="J8" s="186">
        <v>0.4</v>
      </c>
      <c r="K8" s="186">
        <v>7.3</v>
      </c>
      <c r="L8" s="186">
        <v>6.7</v>
      </c>
      <c r="M8" s="186">
        <v>6.7</v>
      </c>
      <c r="N8" s="186">
        <v>6.3</v>
      </c>
      <c r="O8" s="186">
        <v>3.2</v>
      </c>
      <c r="P8" s="186"/>
      <c r="Q8" s="188"/>
      <c r="R8" s="282">
        <f>'14'!Z7</f>
        <v>839</v>
      </c>
      <c r="S8" s="36">
        <f>'14'!AB7</f>
        <v>61.525186361430904</v>
      </c>
      <c r="T8" s="59">
        <f>'14'!Y7</f>
        <v>2519</v>
      </c>
      <c r="U8" s="33" t="str">
        <f>IF('14'!AA7=1,'14'!AR6,'14'!AR7)</f>
        <v>S.A.L</v>
      </c>
      <c r="V8" s="1022"/>
      <c r="W8" s="1022"/>
      <c r="X8" s="13">
        <v>0.125</v>
      </c>
      <c r="Y8" s="54">
        <v>2556</v>
      </c>
      <c r="Z8" s="173">
        <v>839</v>
      </c>
      <c r="AA8" s="15">
        <v>1</v>
      </c>
      <c r="AB8" s="58">
        <f>IF('14'!AA8=1,(('14'!Z8*'14'!$AS$6*'14'!$AT$6)/('14'!Y8*0.0036)),IF('14'!AA8=2,(('14'!Z8*'14'!$AS$7*'14'!$AT$7)/('14'!Y8*0.0036))))</f>
        <v>60.634563554164508</v>
      </c>
      <c r="AC8" s="58"/>
      <c r="AD8" s="18">
        <f>(('14'!AC8*'14'!$Q$10*1000000))/('14'!Y8*3600)</f>
        <v>0</v>
      </c>
      <c r="AE8" s="281"/>
      <c r="AF8" s="184">
        <f>('14'!AE8/24)*0.454</f>
        <v>0</v>
      </c>
      <c r="AG8" s="19"/>
      <c r="AH8" s="184">
        <f>('14'!AG8/24)*0.454</f>
        <v>0</v>
      </c>
      <c r="AI8" s="281">
        <v>4400</v>
      </c>
      <c r="AJ8" s="184">
        <f>('14'!AI8/24)*0.454</f>
        <v>83.233333333333334</v>
      </c>
      <c r="AK8" s="21"/>
      <c r="AL8" s="185">
        <f>('14'!AK8/24)*0.454</f>
        <v>0</v>
      </c>
      <c r="AM8" s="21"/>
      <c r="AN8" s="185">
        <f>('14'!AM8/24)*0.454</f>
        <v>0</v>
      </c>
      <c r="AO8" s="21"/>
      <c r="AP8" s="185">
        <f>('14'!AO8/24)*0.454</f>
        <v>0</v>
      </c>
      <c r="AQ8" s="941" t="s">
        <v>50</v>
      </c>
      <c r="AR8" s="941"/>
      <c r="AS8" s="941"/>
      <c r="AT8" s="941"/>
    </row>
    <row r="9" spans="1:47" ht="15" customHeight="1">
      <c r="A9" s="28">
        <v>0.16666666666666699</v>
      </c>
      <c r="B9" s="186">
        <v>80</v>
      </c>
      <c r="C9" s="186">
        <v>10</v>
      </c>
      <c r="D9" s="186">
        <v>10</v>
      </c>
      <c r="E9" s="186">
        <v>2.5</v>
      </c>
      <c r="F9" s="186">
        <v>11.3</v>
      </c>
      <c r="G9" s="186">
        <v>1.4</v>
      </c>
      <c r="H9" s="186">
        <v>1.4</v>
      </c>
      <c r="I9" s="186">
        <v>0.3</v>
      </c>
      <c r="J9" s="186">
        <v>0.4</v>
      </c>
      <c r="K9" s="186">
        <v>7.3</v>
      </c>
      <c r="L9" s="186">
        <v>6.7</v>
      </c>
      <c r="M9" s="186">
        <v>6.7</v>
      </c>
      <c r="N9" s="186">
        <v>6.3</v>
      </c>
      <c r="O9" s="186">
        <v>3.2</v>
      </c>
      <c r="P9" s="186"/>
      <c r="Q9" s="188"/>
      <c r="R9" s="282">
        <f>'14'!Z9</f>
        <v>839</v>
      </c>
      <c r="S9" s="36">
        <f>'14'!AB9</f>
        <v>61.185134008860821</v>
      </c>
      <c r="T9" s="59">
        <f>'14'!Y9</f>
        <v>2533</v>
      </c>
      <c r="U9" s="33" t="str">
        <f>IF('14'!AA9=1,'14'!AR6,'14'!AR7)</f>
        <v>S.A.L</v>
      </c>
      <c r="V9" s="1022"/>
      <c r="W9" s="1022"/>
      <c r="X9" s="13">
        <v>0.16666666666666699</v>
      </c>
      <c r="Y9" s="54">
        <v>2533</v>
      </c>
      <c r="Z9" s="173">
        <v>839</v>
      </c>
      <c r="AA9" s="15">
        <v>1</v>
      </c>
      <c r="AB9" s="58">
        <f>IF('14'!AA9=1,(('14'!Z9*'14'!$AS$6*'14'!$AT$6)/('14'!Y9*0.0036)),IF('14'!AA9=2,(('14'!Z9*'14'!$AS$7*'14'!$AT$7)/('14'!Y9*0.0036))))</f>
        <v>61.185134008860821</v>
      </c>
      <c r="AC9" s="58"/>
      <c r="AD9" s="18">
        <f>(('14'!AC9*'14'!$Q$10*1000000))/('14'!Y9*3600)</f>
        <v>0</v>
      </c>
      <c r="AE9" s="281"/>
      <c r="AF9" s="184">
        <f>('14'!AE9/24)*0.454</f>
        <v>0</v>
      </c>
      <c r="AG9" s="19"/>
      <c r="AH9" s="184">
        <f>('14'!AG9/24)*0.454</f>
        <v>0</v>
      </c>
      <c r="AI9" s="281">
        <v>4400</v>
      </c>
      <c r="AJ9" s="184">
        <f>('14'!AI9/24)*0.454</f>
        <v>83.233333333333334</v>
      </c>
      <c r="AK9" s="21"/>
      <c r="AL9" s="185">
        <f>('14'!AK9/24)*0.454</f>
        <v>0</v>
      </c>
      <c r="AM9" s="21"/>
      <c r="AN9" s="185">
        <f>('14'!AM9/24)*0.454</f>
        <v>0</v>
      </c>
      <c r="AO9" s="21"/>
      <c r="AP9" s="185">
        <f>('14'!AO9/24)*0.454</f>
        <v>0</v>
      </c>
      <c r="AQ9" s="942" t="s">
        <v>37</v>
      </c>
      <c r="AR9" s="942"/>
      <c r="AS9" s="942"/>
      <c r="AT9" s="38" t="s">
        <v>39</v>
      </c>
    </row>
    <row r="10" spans="1:47" ht="15" customHeight="1">
      <c r="A10" s="28">
        <v>0.25</v>
      </c>
      <c r="B10" s="186">
        <v>80</v>
      </c>
      <c r="C10" s="186">
        <v>10</v>
      </c>
      <c r="D10" s="186">
        <v>10</v>
      </c>
      <c r="E10" s="186">
        <v>2.5</v>
      </c>
      <c r="F10" s="186">
        <v>12.2</v>
      </c>
      <c r="G10" s="186">
        <v>1.5</v>
      </c>
      <c r="H10" s="186">
        <v>1.4</v>
      </c>
      <c r="I10" s="186">
        <v>0.3</v>
      </c>
      <c r="J10" s="186">
        <v>0.4</v>
      </c>
      <c r="K10" s="186">
        <v>7.3</v>
      </c>
      <c r="L10" s="186">
        <v>6.7</v>
      </c>
      <c r="M10" s="186">
        <v>6.7</v>
      </c>
      <c r="N10" s="186">
        <v>6.3</v>
      </c>
      <c r="O10" s="186">
        <v>3.2</v>
      </c>
      <c r="P10" s="186"/>
      <c r="Q10" s="188"/>
      <c r="R10" s="282">
        <f>'14'!Z11</f>
        <v>839</v>
      </c>
      <c r="S10" s="36">
        <f>'14'!AB11</f>
        <v>61.967990581545166</v>
      </c>
      <c r="T10" s="59">
        <f>'14'!Y11</f>
        <v>2501</v>
      </c>
      <c r="U10" s="33" t="str">
        <f>IF('14'!AA11=1,'14'!AR6,'14'!AR7)</f>
        <v>S.A.L</v>
      </c>
      <c r="V10" s="1022"/>
      <c r="W10" s="1022"/>
      <c r="X10" s="13">
        <v>0.20833333333333301</v>
      </c>
      <c r="Y10" s="54">
        <v>2503</v>
      </c>
      <c r="Z10" s="173">
        <v>839</v>
      </c>
      <c r="AA10" s="15">
        <v>1</v>
      </c>
      <c r="AB10" s="58">
        <f>IF('14'!AA10=1,(('14'!Z10*'14'!$AS$6*'14'!$AT$6)/('14'!Y10*0.0036)),IF('14'!AA10=2,(('14'!Z10*'14'!$AS$7*'14'!$AT$7)/('14'!Y10*0.0036))))</f>
        <v>61.918475607049331</v>
      </c>
      <c r="AC10" s="58"/>
      <c r="AD10" s="18">
        <f>(('14'!AC10*'14'!$Q$10*1000000))/('14'!Y10*3600)</f>
        <v>0</v>
      </c>
      <c r="AE10" s="281"/>
      <c r="AF10" s="184">
        <f>('14'!AE10/24)*0.454</f>
        <v>0</v>
      </c>
      <c r="AG10" s="19"/>
      <c r="AH10" s="184">
        <f>('14'!AG10/24)*0.454</f>
        <v>0</v>
      </c>
      <c r="AI10" s="281">
        <v>4400</v>
      </c>
      <c r="AJ10" s="184">
        <f>('14'!AI10/24)*0.454</f>
        <v>83.233333333333334</v>
      </c>
      <c r="AK10" s="21"/>
      <c r="AL10" s="185">
        <f>('14'!AK10/24)*0.454</f>
        <v>0</v>
      </c>
      <c r="AM10" s="21"/>
      <c r="AN10" s="185">
        <f>('14'!AM10/24)*0.454</f>
        <v>0</v>
      </c>
      <c r="AO10" s="21"/>
      <c r="AP10" s="185">
        <f>('14'!AO10/24)*0.454</f>
        <v>0</v>
      </c>
      <c r="AQ10" s="943" t="s">
        <v>51</v>
      </c>
      <c r="AR10" s="943"/>
      <c r="AS10" s="943"/>
      <c r="AT10" s="41">
        <v>2E-3</v>
      </c>
    </row>
    <row r="11" spans="1:47" ht="15" customHeight="1">
      <c r="A11" s="28">
        <v>0.33333333333333298</v>
      </c>
      <c r="B11" s="186">
        <v>80</v>
      </c>
      <c r="C11" s="186">
        <v>10</v>
      </c>
      <c r="D11" s="186">
        <v>10</v>
      </c>
      <c r="E11" s="186">
        <v>2.5</v>
      </c>
      <c r="F11" s="186">
        <v>11.6</v>
      </c>
      <c r="G11" s="186">
        <v>1.6</v>
      </c>
      <c r="H11" s="186">
        <v>1.1000000000000001</v>
      </c>
      <c r="I11" s="186">
        <v>0.5</v>
      </c>
      <c r="J11" s="186">
        <v>0.5</v>
      </c>
      <c r="K11" s="186">
        <v>7.3</v>
      </c>
      <c r="L11" s="186">
        <v>6.4</v>
      </c>
      <c r="M11" s="186">
        <v>6.6</v>
      </c>
      <c r="N11" s="186">
        <v>6.3</v>
      </c>
      <c r="O11" s="186">
        <v>3.2</v>
      </c>
      <c r="P11" s="186"/>
      <c r="Q11" s="188"/>
      <c r="R11" s="282">
        <f>'14'!Z13</f>
        <v>839</v>
      </c>
      <c r="S11" s="36">
        <f>'14'!AB13</f>
        <v>62.669609561036992</v>
      </c>
      <c r="T11" s="59">
        <f>'14'!Y13</f>
        <v>2473</v>
      </c>
      <c r="U11" s="33" t="str">
        <f>IF('14'!AA13=1,'14'!AR6,'14'!AR7)</f>
        <v>S.A.L</v>
      </c>
      <c r="V11" s="1022"/>
      <c r="W11" s="1022"/>
      <c r="X11" s="13">
        <v>0.25</v>
      </c>
      <c r="Y11" s="54">
        <v>2501</v>
      </c>
      <c r="Z11" s="173">
        <v>839</v>
      </c>
      <c r="AA11" s="15">
        <v>1</v>
      </c>
      <c r="AB11" s="58">
        <f>IF('14'!AA11=1,(('14'!Z11*'14'!$AS$6*'14'!$AT$6)/('14'!Y11*0.0036)),IF('14'!AA11=2,(('14'!Z11*'14'!$AS$7*'14'!$AT$7)/('14'!Y11*0.0036))))</f>
        <v>61.967990581545166</v>
      </c>
      <c r="AC11" s="58"/>
      <c r="AD11" s="18">
        <f>(('14'!AC11*'14'!$Q$10*1000000))/('14'!Y11*3600)</f>
        <v>0</v>
      </c>
      <c r="AE11" s="281"/>
      <c r="AF11" s="184">
        <f>('14'!AE11/24)*0.454</f>
        <v>0</v>
      </c>
      <c r="AG11" s="19"/>
      <c r="AH11" s="184">
        <f>('14'!AG11/24)*0.454</f>
        <v>0</v>
      </c>
      <c r="AI11" s="281">
        <v>4400</v>
      </c>
      <c r="AJ11" s="184">
        <f>('14'!AI11/24)*0.454</f>
        <v>83.233333333333334</v>
      </c>
      <c r="AK11" s="21"/>
      <c r="AL11" s="185">
        <f>('14'!AK11/24)*0.454</f>
        <v>0</v>
      </c>
      <c r="AM11" s="21"/>
      <c r="AN11" s="185">
        <f>('14'!AM11/24)*0.454</f>
        <v>0</v>
      </c>
      <c r="AO11" s="21"/>
      <c r="AP11" s="185">
        <f>('14'!AO11/24)*0.454</f>
        <v>0</v>
      </c>
    </row>
    <row r="12" spans="1:47" ht="15" customHeight="1">
      <c r="A12" s="28">
        <v>0.41666666666666702</v>
      </c>
      <c r="B12" s="186">
        <v>80</v>
      </c>
      <c r="C12" s="186">
        <v>10</v>
      </c>
      <c r="D12" s="186">
        <v>10</v>
      </c>
      <c r="E12" s="186">
        <v>2.5</v>
      </c>
      <c r="F12" s="186">
        <v>11.8</v>
      </c>
      <c r="G12" s="186">
        <v>1.6</v>
      </c>
      <c r="H12" s="186">
        <v>1.1000000000000001</v>
      </c>
      <c r="I12" s="186">
        <v>0.5</v>
      </c>
      <c r="J12" s="186">
        <v>0.5</v>
      </c>
      <c r="K12" s="186">
        <v>7.3</v>
      </c>
      <c r="L12" s="186">
        <v>6.4</v>
      </c>
      <c r="M12" s="186">
        <v>6.6</v>
      </c>
      <c r="N12" s="186">
        <v>6.3</v>
      </c>
      <c r="O12" s="186">
        <v>3.2</v>
      </c>
      <c r="P12" s="186">
        <v>3.7</v>
      </c>
      <c r="Q12" s="188">
        <v>0.2</v>
      </c>
      <c r="R12" s="282">
        <f>'14'!Z15</f>
        <v>839</v>
      </c>
      <c r="S12" s="36">
        <f>'14'!AB15</f>
        <v>64.602727988513735</v>
      </c>
      <c r="T12" s="59">
        <f>'14'!Y15</f>
        <v>2399</v>
      </c>
      <c r="U12" s="33" t="str">
        <f>IF('14'!AA15=1,'14'!AR6,'14'!AR7)</f>
        <v>S.A.L</v>
      </c>
      <c r="V12" s="944">
        <f>ESCALA!$B$16</f>
        <v>0</v>
      </c>
      <c r="W12" s="944"/>
      <c r="X12" s="13">
        <v>0.29166666666666702</v>
      </c>
      <c r="Y12" s="54">
        <v>2501</v>
      </c>
      <c r="Z12" s="173">
        <v>839</v>
      </c>
      <c r="AA12" s="15">
        <v>1</v>
      </c>
      <c r="AB12" s="58">
        <f>IF('14'!AA12=1,(('14'!Z12*'14'!$AS$6*'14'!$AT$6)/('14'!Y12*0.0036)),IF('14'!AA12=2,(('14'!Z12*'14'!$AS$7*'14'!$AT$7)/('14'!Y12*0.0036))))</f>
        <v>61.967990581545166</v>
      </c>
      <c r="AC12" s="58"/>
      <c r="AD12" s="18">
        <f>(('14'!AC12*'14'!$Q$10*1000000))/('14'!Y12*3600)</f>
        <v>0</v>
      </c>
      <c r="AE12" s="281"/>
      <c r="AF12" s="184">
        <f>('14'!AE12/24)*0.454</f>
        <v>0</v>
      </c>
      <c r="AG12" s="19"/>
      <c r="AH12" s="184">
        <f>('14'!AG12/24)*0.454</f>
        <v>0</v>
      </c>
      <c r="AI12" s="281">
        <v>4400</v>
      </c>
      <c r="AJ12" s="184">
        <f>('14'!AI12/24)*0.454</f>
        <v>83.233333333333334</v>
      </c>
      <c r="AK12" s="21"/>
      <c r="AL12" s="185">
        <f>('14'!AK12/24)*0.454</f>
        <v>0</v>
      </c>
      <c r="AM12" s="21"/>
      <c r="AN12" s="185">
        <f>('14'!AM12/24)*0.454</f>
        <v>0</v>
      </c>
      <c r="AO12" s="21"/>
      <c r="AP12" s="185">
        <f>('14'!AO12/24)*0.454</f>
        <v>0</v>
      </c>
    </row>
    <row r="13" spans="1:47" ht="15" customHeight="1">
      <c r="A13" s="28">
        <v>0.5</v>
      </c>
      <c r="B13" s="186">
        <v>80</v>
      </c>
      <c r="C13" s="186">
        <v>10</v>
      </c>
      <c r="D13" s="186">
        <v>10</v>
      </c>
      <c r="E13" s="186">
        <v>2.5</v>
      </c>
      <c r="F13" s="186">
        <v>11.8</v>
      </c>
      <c r="G13" s="186">
        <v>1.6</v>
      </c>
      <c r="H13" s="186">
        <v>1.1000000000000001</v>
      </c>
      <c r="I13" s="186">
        <v>0.3</v>
      </c>
      <c r="J13" s="186">
        <v>0.3</v>
      </c>
      <c r="K13" s="186">
        <v>7.3</v>
      </c>
      <c r="L13" s="186">
        <v>6.4</v>
      </c>
      <c r="M13" s="186">
        <v>6.6</v>
      </c>
      <c r="N13" s="186">
        <v>6.3</v>
      </c>
      <c r="O13" s="186">
        <v>2.5</v>
      </c>
      <c r="P13" s="186">
        <v>3.7</v>
      </c>
      <c r="Q13" s="188">
        <v>0.5</v>
      </c>
      <c r="R13" s="282">
        <f>'14'!Z17</f>
        <v>839</v>
      </c>
      <c r="S13" s="36">
        <f>'14'!AB17</f>
        <v>62.492719534050195</v>
      </c>
      <c r="T13" s="59">
        <f>'14'!Y17</f>
        <v>2480</v>
      </c>
      <c r="U13" s="33" t="str">
        <f>IF('14'!AA17=1,'14'!AR6,'14'!AR7)</f>
        <v>S.A.L</v>
      </c>
      <c r="V13" s="944"/>
      <c r="W13" s="944"/>
      <c r="X13" s="13">
        <v>0.33333333333333298</v>
      </c>
      <c r="Y13" s="54">
        <v>2473</v>
      </c>
      <c r="Z13" s="173">
        <v>839</v>
      </c>
      <c r="AA13" s="15">
        <v>1</v>
      </c>
      <c r="AB13" s="58">
        <f>IF('14'!AA13=1,(('14'!Z13*'14'!$AS$6*'14'!$AT$6)/('14'!Y13*0.0036)),IF('14'!AA13=2,(('14'!Z13*'14'!$AS$7*'14'!$AT$7)/('14'!Y13*0.0036))))</f>
        <v>62.669609561036992</v>
      </c>
      <c r="AC13" s="58"/>
      <c r="AD13" s="18">
        <f>(('14'!AC13*'14'!$Q$10*1000000))/('14'!Y13*3600)</f>
        <v>0</v>
      </c>
      <c r="AE13" s="281"/>
      <c r="AF13" s="184">
        <f>('14'!AE13/24)*0.454</f>
        <v>0</v>
      </c>
      <c r="AG13" s="19"/>
      <c r="AH13" s="184">
        <f>('14'!AG13/24)*0.454</f>
        <v>0</v>
      </c>
      <c r="AI13" s="182">
        <v>4400</v>
      </c>
      <c r="AJ13" s="184">
        <f>('14'!AI13/24)*0.454</f>
        <v>83.233333333333334</v>
      </c>
      <c r="AK13" s="21"/>
      <c r="AL13" s="185">
        <f>('14'!AK13/24)*0.454</f>
        <v>0</v>
      </c>
      <c r="AM13" s="21"/>
      <c r="AN13" s="185">
        <f>('14'!AM13/24)*0.454</f>
        <v>0</v>
      </c>
      <c r="AO13" s="21"/>
      <c r="AP13" s="185">
        <f>('14'!AO13/24)*0.454</f>
        <v>0</v>
      </c>
    </row>
    <row r="14" spans="1:47" ht="15" customHeight="1">
      <c r="A14" s="28">
        <v>0.58333333333333304</v>
      </c>
      <c r="B14" s="186">
        <v>80</v>
      </c>
      <c r="C14" s="186">
        <v>10</v>
      </c>
      <c r="D14" s="186">
        <v>10</v>
      </c>
      <c r="E14" s="186">
        <v>2.5</v>
      </c>
      <c r="F14" s="186">
        <v>11.9</v>
      </c>
      <c r="G14" s="186">
        <v>1.6</v>
      </c>
      <c r="H14" s="186">
        <v>1.1000000000000001</v>
      </c>
      <c r="I14" s="186">
        <v>0.3</v>
      </c>
      <c r="J14" s="186">
        <v>0.3</v>
      </c>
      <c r="K14" s="186">
        <v>7.3</v>
      </c>
      <c r="L14" s="186">
        <v>6.4</v>
      </c>
      <c r="M14" s="186">
        <v>6.6</v>
      </c>
      <c r="N14" s="186">
        <v>6.3</v>
      </c>
      <c r="O14" s="186">
        <v>2.5</v>
      </c>
      <c r="P14" s="186">
        <v>2.5</v>
      </c>
      <c r="Q14" s="188">
        <v>0.6</v>
      </c>
      <c r="R14" s="282">
        <f>'14'!Z19</f>
        <v>839</v>
      </c>
      <c r="S14" s="36">
        <f>'14'!AB19</f>
        <v>63.831113856855211</v>
      </c>
      <c r="T14" s="59">
        <f>'14'!Y19</f>
        <v>2428</v>
      </c>
      <c r="U14" s="33" t="str">
        <f>IF('14'!AA19=1,'14'!AR6,'14'!AR7)</f>
        <v>S.A.L</v>
      </c>
      <c r="V14" s="944"/>
      <c r="W14" s="944"/>
      <c r="X14" s="13">
        <v>0.375</v>
      </c>
      <c r="Y14" s="54">
        <v>2397</v>
      </c>
      <c r="Z14" s="173">
        <v>839</v>
      </c>
      <c r="AA14" s="15">
        <v>1</v>
      </c>
      <c r="AB14" s="58">
        <f>IF('14'!AA14=1,(('14'!Z14*'14'!$AS$6*'14'!$AT$6)/('14'!Y14*0.0036)),IF('14'!AA14=2,(('14'!Z14*'14'!$AS$7*'14'!$AT$7)/('14'!Y14*0.0036))))</f>
        <v>64.65663097390258</v>
      </c>
      <c r="AC14" s="58"/>
      <c r="AD14" s="18">
        <f>(('14'!AC14*'14'!$Q$10*1000000))/('14'!Y14*3600)</f>
        <v>0</v>
      </c>
      <c r="AE14" s="281"/>
      <c r="AF14" s="184">
        <f>('14'!AE14/24)*0.454</f>
        <v>0</v>
      </c>
      <c r="AG14" s="19"/>
      <c r="AH14" s="184">
        <f>('14'!AG14/24)*0.454</f>
        <v>0</v>
      </c>
      <c r="AI14" s="182">
        <v>2000</v>
      </c>
      <c r="AJ14" s="184">
        <f>('14'!AI14/24)*0.454</f>
        <v>37.833333333333336</v>
      </c>
      <c r="AK14" s="21">
        <v>1250</v>
      </c>
      <c r="AL14" s="185">
        <f>('14'!AK14/24)*0.454</f>
        <v>23.645833333333336</v>
      </c>
      <c r="AM14" s="21">
        <v>1250</v>
      </c>
      <c r="AN14" s="185">
        <f>('14'!AM14/24)*0.454</f>
        <v>23.645833333333336</v>
      </c>
      <c r="AO14" s="21"/>
      <c r="AP14" s="185">
        <f>('14'!AO14/24)*0.454</f>
        <v>0</v>
      </c>
    </row>
    <row r="15" spans="1:47" ht="15" customHeight="1">
      <c r="A15" s="28">
        <v>0.66666666666666696</v>
      </c>
      <c r="B15" s="186">
        <v>80</v>
      </c>
      <c r="C15" s="186">
        <v>10</v>
      </c>
      <c r="D15" s="186">
        <v>10</v>
      </c>
      <c r="E15" s="186">
        <v>2.5</v>
      </c>
      <c r="F15" s="186">
        <v>14</v>
      </c>
      <c r="G15" s="186">
        <v>1.6</v>
      </c>
      <c r="H15" s="186">
        <v>1</v>
      </c>
      <c r="I15" s="186">
        <v>0.3</v>
      </c>
      <c r="J15" s="186">
        <v>0.4</v>
      </c>
      <c r="K15" s="186">
        <v>7.3</v>
      </c>
      <c r="L15" s="186">
        <v>6.4</v>
      </c>
      <c r="M15" s="186">
        <v>6.6</v>
      </c>
      <c r="N15" s="186">
        <v>6.3</v>
      </c>
      <c r="O15" s="186">
        <v>3.7</v>
      </c>
      <c r="P15" s="186"/>
      <c r="Q15" s="188"/>
      <c r="R15" s="282">
        <f>'14'!Z21</f>
        <v>839</v>
      </c>
      <c r="S15" s="36">
        <f>'14'!AB21</f>
        <v>62.241744756804998</v>
      </c>
      <c r="T15" s="59">
        <f>'14'!Y21</f>
        <v>2490</v>
      </c>
      <c r="U15" s="33" t="str">
        <f>IF('14'!AA21=1,'14'!AR6,'14'!AR7)</f>
        <v>S.A.L</v>
      </c>
      <c r="V15" s="944"/>
      <c r="W15" s="944"/>
      <c r="X15" s="13">
        <v>0.41666666666666702</v>
      </c>
      <c r="Y15" s="173">
        <v>2399</v>
      </c>
      <c r="Z15" s="173">
        <v>839</v>
      </c>
      <c r="AA15" s="15">
        <v>1</v>
      </c>
      <c r="AB15" s="58">
        <f>IF('14'!AA15=1,(('14'!Z15*'14'!$AS$6*'14'!$AT$6)/('14'!Y15*0.0036)),IF('14'!AA15=2,(('14'!Z15*'14'!$AS$7*'14'!$AT$7)/('14'!Y15*0.0036))))</f>
        <v>64.602727988513735</v>
      </c>
      <c r="AC15" s="58"/>
      <c r="AD15" s="18">
        <f>(('14'!AC15*'14'!$Q$10*1000000))/('14'!Y15*3600)</f>
        <v>0</v>
      </c>
      <c r="AE15" s="281"/>
      <c r="AF15" s="184">
        <f>('14'!AE15/24)*0.454</f>
        <v>0</v>
      </c>
      <c r="AG15" s="19"/>
      <c r="AH15" s="184">
        <f>('14'!AG15/24)*0.454</f>
        <v>0</v>
      </c>
      <c r="AI15" s="182">
        <v>2000</v>
      </c>
      <c r="AJ15" s="184">
        <f>('14'!AI15/24)*0.454</f>
        <v>37.833333333333336</v>
      </c>
      <c r="AK15" s="21">
        <v>1250</v>
      </c>
      <c r="AL15" s="185">
        <f>('14'!AK15/24)*0.454</f>
        <v>23.645833333333336</v>
      </c>
      <c r="AM15" s="21">
        <v>1250</v>
      </c>
      <c r="AN15" s="185">
        <f>('14'!AM15/24)*0.454</f>
        <v>23.645833333333336</v>
      </c>
      <c r="AO15" s="21"/>
      <c r="AP15" s="185">
        <f>('14'!AO15/24)*0.454</f>
        <v>0</v>
      </c>
    </row>
    <row r="16" spans="1:47" ht="15" customHeight="1">
      <c r="A16" s="28">
        <v>0.75</v>
      </c>
      <c r="B16" s="186">
        <v>80</v>
      </c>
      <c r="C16" s="186">
        <v>10</v>
      </c>
      <c r="D16" s="186">
        <v>10</v>
      </c>
      <c r="E16" s="186">
        <v>2.5</v>
      </c>
      <c r="F16" s="186">
        <v>13.9</v>
      </c>
      <c r="G16" s="186">
        <v>1.5</v>
      </c>
      <c r="H16" s="186">
        <v>1.2</v>
      </c>
      <c r="I16" s="186">
        <v>0.3</v>
      </c>
      <c r="J16" s="186">
        <v>0.4</v>
      </c>
      <c r="K16" s="186">
        <v>7.3</v>
      </c>
      <c r="L16" s="186">
        <v>6.4</v>
      </c>
      <c r="M16" s="186">
        <v>6.6</v>
      </c>
      <c r="N16" s="186">
        <v>6.3</v>
      </c>
      <c r="O16" s="186">
        <v>3.7</v>
      </c>
      <c r="P16" s="186"/>
      <c r="Q16" s="188"/>
      <c r="R16" s="282">
        <f>'14'!Z23</f>
        <v>839</v>
      </c>
      <c r="S16" s="36">
        <f>'14'!AB23</f>
        <v>79.764253445416614</v>
      </c>
      <c r="T16" s="59">
        <f>'14'!Y23</f>
        <v>1943</v>
      </c>
      <c r="U16" s="33" t="str">
        <f>IF('14'!AA23=1,'14'!AR6,'14'!AR7)</f>
        <v>S.A.L</v>
      </c>
      <c r="V16" s="944"/>
      <c r="W16" s="944"/>
      <c r="X16" s="13">
        <v>0.45833333333333298</v>
      </c>
      <c r="Y16" s="173">
        <v>2463</v>
      </c>
      <c r="Z16" s="173">
        <v>839</v>
      </c>
      <c r="AA16" s="15">
        <v>1</v>
      </c>
      <c r="AB16" s="58">
        <f>IF('14'!AA16=1,(('14'!Z16*'14'!$AS$6*'14'!$AT$6)/('14'!Y16*0.0036)),IF('14'!AA16=2,(('14'!Z16*'14'!$AS$7*'14'!$AT$7)/('14'!Y16*0.0036))))</f>
        <v>62.924053773627477</v>
      </c>
      <c r="AC16" s="58"/>
      <c r="AD16" s="18">
        <f>(('14'!AC16*'14'!$Q$10*1000000))/('14'!Y16*3600)</f>
        <v>0</v>
      </c>
      <c r="AE16" s="281"/>
      <c r="AF16" s="184">
        <f>('14'!AE16/24)*0.454</f>
        <v>0</v>
      </c>
      <c r="AG16" s="19"/>
      <c r="AH16" s="184">
        <f>('14'!AG16/24)*0.454</f>
        <v>0</v>
      </c>
      <c r="AI16" s="182">
        <v>2000</v>
      </c>
      <c r="AJ16" s="184">
        <f>('14'!AI16/24)*0.454</f>
        <v>37.833333333333336</v>
      </c>
      <c r="AK16" s="21">
        <v>1250</v>
      </c>
      <c r="AL16" s="185">
        <f>('14'!AK16/24)*0.454</f>
        <v>23.645833333333336</v>
      </c>
      <c r="AM16" s="21">
        <v>1250</v>
      </c>
      <c r="AN16" s="185">
        <f>('14'!AM16/24)*0.454</f>
        <v>23.645833333333336</v>
      </c>
      <c r="AO16" s="21"/>
      <c r="AP16" s="185">
        <f>('14'!AO16/24)*0.454</f>
        <v>0</v>
      </c>
    </row>
    <row r="17" spans="1:42" ht="15" customHeight="1">
      <c r="A17" s="28">
        <v>0.83333333333333304</v>
      </c>
      <c r="B17" s="186">
        <v>80</v>
      </c>
      <c r="C17" s="186">
        <v>10</v>
      </c>
      <c r="D17" s="186">
        <v>10</v>
      </c>
      <c r="E17" s="186">
        <v>2.5</v>
      </c>
      <c r="F17" s="186">
        <v>12</v>
      </c>
      <c r="G17" s="186">
        <v>1.4</v>
      </c>
      <c r="H17" s="186">
        <v>1.1000000000000001</v>
      </c>
      <c r="I17" s="186">
        <v>0.3</v>
      </c>
      <c r="J17" s="186">
        <v>0.3</v>
      </c>
      <c r="K17" s="186">
        <v>6.5</v>
      </c>
      <c r="L17" s="186">
        <v>6.5</v>
      </c>
      <c r="M17" s="186">
        <v>6.5</v>
      </c>
      <c r="N17" s="186">
        <v>6.3</v>
      </c>
      <c r="O17" s="186">
        <v>3.5</v>
      </c>
      <c r="P17" s="186"/>
      <c r="Q17" s="188"/>
      <c r="R17" s="282">
        <f>'14'!Z25</f>
        <v>839</v>
      </c>
      <c r="S17" s="36">
        <f>'14'!AB25</f>
        <v>64.388011817384481</v>
      </c>
      <c r="T17" s="59">
        <f>'14'!Y25</f>
        <v>2407</v>
      </c>
      <c r="U17" s="33" t="str">
        <f>IF('14'!AA25=1,'14'!AR6,'14'!AR7)</f>
        <v>S.A.L</v>
      </c>
      <c r="V17" s="945">
        <f>ESCALA!$C$16</f>
        <v>0</v>
      </c>
      <c r="W17" s="945"/>
      <c r="X17" s="13">
        <v>0.5</v>
      </c>
      <c r="Y17" s="173">
        <v>2480</v>
      </c>
      <c r="Z17" s="173">
        <v>839</v>
      </c>
      <c r="AA17" s="15">
        <v>1</v>
      </c>
      <c r="AB17" s="58">
        <f>IF('14'!AA17=1,(('14'!Z17*'14'!$AS$6*'14'!$AT$6)/('14'!Y17*0.0036)),IF('14'!AA17=2,(('14'!Z17*'14'!$AS$7*'14'!$AT$7)/('14'!Y17*0.0036))))</f>
        <v>62.492719534050195</v>
      </c>
      <c r="AC17" s="58"/>
      <c r="AD17" s="18">
        <f>(('14'!AC17*'14'!$Q$10*1000000))/('14'!Y17*3600)</f>
        <v>0</v>
      </c>
      <c r="AE17" s="281"/>
      <c r="AF17" s="184">
        <f>('14'!AE17/24)*0.454</f>
        <v>0</v>
      </c>
      <c r="AG17" s="19"/>
      <c r="AH17" s="184">
        <f>('14'!AG17/24)*0.454</f>
        <v>0</v>
      </c>
      <c r="AI17" s="182">
        <v>2000</v>
      </c>
      <c r="AJ17" s="184">
        <f>('14'!AI17/24)*0.454</f>
        <v>37.833333333333336</v>
      </c>
      <c r="AK17" s="21">
        <v>1250</v>
      </c>
      <c r="AL17" s="185">
        <f>('14'!AK17/24)*0.454</f>
        <v>23.645833333333336</v>
      </c>
      <c r="AM17" s="21">
        <v>1250</v>
      </c>
      <c r="AN17" s="185">
        <f>('14'!AM17/24)*0.454</f>
        <v>23.645833333333336</v>
      </c>
      <c r="AO17" s="21"/>
      <c r="AP17" s="185">
        <f>('14'!AO17/24)*0.454</f>
        <v>0</v>
      </c>
    </row>
    <row r="18" spans="1:42" ht="15" customHeight="1">
      <c r="A18" s="28">
        <v>0.91666666666666696</v>
      </c>
      <c r="B18" s="186">
        <v>80</v>
      </c>
      <c r="C18" s="186">
        <v>10</v>
      </c>
      <c r="D18" s="186">
        <v>10</v>
      </c>
      <c r="E18" s="186">
        <v>2.5</v>
      </c>
      <c r="F18" s="186">
        <v>12</v>
      </c>
      <c r="G18" s="186">
        <v>1.4</v>
      </c>
      <c r="H18" s="186">
        <v>1.1000000000000001</v>
      </c>
      <c r="I18" s="186">
        <v>0.3</v>
      </c>
      <c r="J18" s="186">
        <v>0.3</v>
      </c>
      <c r="K18" s="186">
        <v>6.5</v>
      </c>
      <c r="L18" s="186">
        <v>6.5</v>
      </c>
      <c r="M18" s="186">
        <v>6.5</v>
      </c>
      <c r="N18" s="186">
        <v>6.3</v>
      </c>
      <c r="O18" s="186">
        <v>3.5</v>
      </c>
      <c r="P18" s="186"/>
      <c r="Q18" s="188"/>
      <c r="R18" s="282">
        <f>'14'!Z27</f>
        <v>839</v>
      </c>
      <c r="S18" s="36">
        <f>'14'!AB27</f>
        <v>64.015673046032404</v>
      </c>
      <c r="T18" s="59">
        <f>'14'!Y27</f>
        <v>2421</v>
      </c>
      <c r="U18" s="33" t="str">
        <f>IF('14'!AA27=1,'14'!AR6,'14'!AR7)</f>
        <v>S.A.L</v>
      </c>
      <c r="V18" s="945"/>
      <c r="W18" s="945"/>
      <c r="X18" s="13">
        <v>0.54166666666666696</v>
      </c>
      <c r="Y18" s="173">
        <v>2468</v>
      </c>
      <c r="Z18" s="173">
        <v>839</v>
      </c>
      <c r="AA18" s="15">
        <v>1</v>
      </c>
      <c r="AB18" s="58">
        <f>IF('14'!AA18=1,(('14'!Z18*'14'!$AS$6*'14'!$AT$6)/('14'!Y18*0.0036)),IF('14'!AA18=2,(('14'!Z18*'14'!$AS$7*'14'!$AT$7)/('14'!Y18*0.0036))))</f>
        <v>62.796573924005045</v>
      </c>
      <c r="AC18" s="58"/>
      <c r="AD18" s="18">
        <f>(('14'!AC18*'14'!$Q$10*1000000))/('14'!Y18*3600)</f>
        <v>0</v>
      </c>
      <c r="AE18" s="281"/>
      <c r="AF18" s="184">
        <f>('14'!AE18/24)*0.454</f>
        <v>0</v>
      </c>
      <c r="AG18" s="19"/>
      <c r="AH18" s="184">
        <f>('14'!AG18/24)*0.454</f>
        <v>0</v>
      </c>
      <c r="AI18" s="182">
        <v>2000</v>
      </c>
      <c r="AJ18" s="184">
        <f>('14'!AI18/24)*0.454</f>
        <v>37.833333333333336</v>
      </c>
      <c r="AK18" s="21">
        <v>1250</v>
      </c>
      <c r="AL18" s="185">
        <f>('14'!AK18/24)*0.454</f>
        <v>23.645833333333336</v>
      </c>
      <c r="AM18" s="21">
        <v>1250</v>
      </c>
      <c r="AN18" s="185">
        <f>('14'!AM18/24)*0.454</f>
        <v>23.645833333333336</v>
      </c>
      <c r="AO18" s="21"/>
      <c r="AP18" s="185">
        <f>('14'!AO18/24)*0.454</f>
        <v>0</v>
      </c>
    </row>
    <row r="19" spans="1:42" ht="14.65" customHeight="1">
      <c r="A19" s="10" t="s">
        <v>52</v>
      </c>
      <c r="B19" s="189">
        <f t="array" ref="B19">IF('14'!B7:B18&gt;0.01,AVERAGE('14'!B7:B18),"")</f>
        <v>78.333333333333329</v>
      </c>
      <c r="C19" s="69">
        <f t="array" ref="C19">IF('14'!C7:C18&gt;0.01,AVERAGE('14'!C7:C18),"")</f>
        <v>10</v>
      </c>
      <c r="D19" s="69">
        <f t="array" ref="D19">IF('14'!D7:D18&gt;0.01,AVERAGE('14'!D7:D18),"")</f>
        <v>10</v>
      </c>
      <c r="E19" s="69">
        <f t="array" ref="E19">IF('14'!E7:E18&gt;0.01,AVERAGE('14'!E7:E18),"")</f>
        <v>2.5</v>
      </c>
      <c r="F19" s="69">
        <f t="array" ref="F19">IF('14'!F7:F18&gt;0.01,AVERAGE('14'!F7:F18),"")</f>
        <v>11.908333333333333</v>
      </c>
      <c r="G19" s="69">
        <f t="array" ref="G19">IF('14'!G7:G18&gt;0.01,AVERAGE('14'!G7:G18),"")</f>
        <v>1.4999999999999998</v>
      </c>
      <c r="H19" s="69">
        <f t="array" ref="H19">IF('14'!H7:H18&gt;0.01,AVERAGE('14'!H7:H18),"")</f>
        <v>1.1999999999999997</v>
      </c>
      <c r="I19" s="69">
        <f t="array" ref="I19">IF('14'!I7:I18&gt;0.01,AVERAGE('14'!I7:I18),"")</f>
        <v>0.33333333333333326</v>
      </c>
      <c r="J19" s="69">
        <f t="array" ref="J19">IF('14'!J7:J18&gt;0.01,AVERAGE('14'!J7:J18),"")</f>
        <v>0.3833333333333333</v>
      </c>
      <c r="K19" s="69">
        <f t="array" ref="K19">IF('14'!K7:K18&gt;0.01,AVERAGE('14'!K7:K18),"")</f>
        <v>7.1666666666666652</v>
      </c>
      <c r="L19" s="69">
        <f t="array" ref="L19">IF('14'!L7:L18&gt;0.01,AVERAGE('14'!L7:L18),"")</f>
        <v>6.5166666666666666</v>
      </c>
      <c r="M19" s="69">
        <f t="array" ref="M19">IF('14'!M7:M18&gt;0.01,AVERAGE('14'!M7:M18),"")</f>
        <v>6.6166666666666671</v>
      </c>
      <c r="N19" s="69">
        <f t="array" ref="N19">IF('14'!N7:N18&gt;0.01,AVERAGE('14'!N7:N18),"")</f>
        <v>6.299999999999998</v>
      </c>
      <c r="O19" s="69">
        <f t="array" ref="O19">IF('14'!O7:O18&gt;0.01,AVERAGE('14'!O7:O18),"")</f>
        <v>3.2166666666666663</v>
      </c>
      <c r="P19" s="190" t="str">
        <f t="array" ref="P19">IF('14'!P7:P18&gt;0.01,AVERAGE('14'!P7:P18),"")</f>
        <v/>
      </c>
      <c r="Q19" s="191" t="str">
        <f t="array" ref="Q19">IF('14'!Q7:Q18&gt;0.01,AVERAGE('14'!Q7:Q18),"")</f>
        <v/>
      </c>
      <c r="R19" s="191">
        <f t="array" ref="R19">IF('14'!R7:R18&gt;0.01,AVERAGE('14'!R7:R18),"")</f>
        <v>839</v>
      </c>
      <c r="S19" s="191">
        <f t="array" ref="S19">IF('14'!S7:S18&gt;0.01,AVERAGE('14'!S7:S18),"")</f>
        <v>64.22514581413617</v>
      </c>
      <c r="T19" s="946"/>
      <c r="U19" s="946"/>
      <c r="W19" s="50"/>
      <c r="X19" s="13">
        <v>0.58333333333333304</v>
      </c>
      <c r="Y19" s="173">
        <v>2428</v>
      </c>
      <c r="Z19" s="173">
        <v>839</v>
      </c>
      <c r="AA19" s="15">
        <v>1</v>
      </c>
      <c r="AB19" s="58">
        <f>IF('14'!AA19=1,(('14'!Z19*'14'!$AS$6*'14'!$AT$6)/('14'!Y19*0.0036)),IF('14'!AA19=2,(('14'!Z19*'14'!$AS$7*'14'!$AT$7)/('14'!Y19*0.0036))))</f>
        <v>63.831113856855211</v>
      </c>
      <c r="AC19" s="58"/>
      <c r="AD19" s="18">
        <f>(('14'!AC19*'14'!$Q$10*1000000))/('14'!Y19*3600)</f>
        <v>0</v>
      </c>
      <c r="AE19" s="281"/>
      <c r="AF19" s="184">
        <f>('14'!AE19/24)*0.454</f>
        <v>0</v>
      </c>
      <c r="AG19" s="19"/>
      <c r="AH19" s="184">
        <f>('14'!AG19/24)*0.454</f>
        <v>0</v>
      </c>
      <c r="AI19" s="182">
        <v>3000</v>
      </c>
      <c r="AJ19" s="184">
        <f>('14'!AI19/24)*0.454</f>
        <v>56.75</v>
      </c>
      <c r="AK19" s="21">
        <v>1000</v>
      </c>
      <c r="AL19" s="185">
        <f>('14'!AK19/24)*0.454</f>
        <v>18.916666666666668</v>
      </c>
      <c r="AM19" s="21">
        <v>1000</v>
      </c>
      <c r="AN19" s="185">
        <f>('14'!AM19/24)*0.454</f>
        <v>18.916666666666668</v>
      </c>
      <c r="AO19" s="21"/>
      <c r="AP19" s="185">
        <f>('14'!AO19/24)*0.454</f>
        <v>0</v>
      </c>
    </row>
    <row r="20" spans="1:42" ht="14.65" customHeight="1">
      <c r="A20" s="10" t="s">
        <v>53</v>
      </c>
      <c r="B20" s="189">
        <f>MAX('14'!B7:B18)</f>
        <v>80</v>
      </c>
      <c r="C20" s="69">
        <f>MAX('14'!C7:C18)</f>
        <v>10</v>
      </c>
      <c r="D20" s="69">
        <f>MAX('14'!D7:D18)</f>
        <v>10</v>
      </c>
      <c r="E20" s="69">
        <f>MAX('14'!E7:E18)</f>
        <v>2.5</v>
      </c>
      <c r="F20" s="69">
        <f>MAX('14'!F7:F18)</f>
        <v>14</v>
      </c>
      <c r="G20" s="69">
        <f>MAX('14'!G7:G18)</f>
        <v>1.6</v>
      </c>
      <c r="H20" s="69">
        <f>MAX('14'!H7:H18)</f>
        <v>1.4</v>
      </c>
      <c r="I20" s="69">
        <f>MAX('14'!I7:I18)</f>
        <v>0.5</v>
      </c>
      <c r="J20" s="69">
        <f>MAX('14'!J7:J18)</f>
        <v>0.5</v>
      </c>
      <c r="K20" s="69">
        <f>MAX('14'!K7:K18)</f>
        <v>7.3</v>
      </c>
      <c r="L20" s="69">
        <f>MAX('14'!L7:L18)</f>
        <v>6.7</v>
      </c>
      <c r="M20" s="69">
        <f>MAX('14'!M7:M18)</f>
        <v>6.7</v>
      </c>
      <c r="N20" s="69">
        <f>MAX('14'!N7:N18)</f>
        <v>6.3</v>
      </c>
      <c r="O20" s="70">
        <f>MAX('14'!O7:O18)</f>
        <v>3.7</v>
      </c>
      <c r="P20" s="70">
        <f>MAX('14'!P7:P18)</f>
        <v>3.7</v>
      </c>
      <c r="Q20" s="70">
        <f>MAX('14'!Q7:Q18)</f>
        <v>0.6</v>
      </c>
      <c r="R20" s="70">
        <f>MAX('14'!R7:R18)</f>
        <v>839</v>
      </c>
      <c r="S20" s="70">
        <f>MAX('14'!S7:S18)</f>
        <v>79.764253445416614</v>
      </c>
      <c r="T20" s="946"/>
      <c r="U20" s="946"/>
      <c r="X20" s="13">
        <v>0.625</v>
      </c>
      <c r="Y20" s="173">
        <v>2478</v>
      </c>
      <c r="Z20" s="173">
        <v>839</v>
      </c>
      <c r="AA20" s="15">
        <v>1</v>
      </c>
      <c r="AB20" s="58">
        <f>IF('14'!AA20=1,(('14'!Z20*'14'!$AS$6*'14'!$AT$6)/('14'!Y20*0.0036)),IF('14'!AA20=2,(('14'!Z20*'14'!$AS$7*'14'!$AT$7)/('14'!Y20*0.0036))))</f>
        <v>62.543157564344014</v>
      </c>
      <c r="AC20" s="58"/>
      <c r="AD20" s="18">
        <f>(('14'!AC20*'14'!$Q$10*1000000))/('14'!Y20*3600)</f>
        <v>0</v>
      </c>
      <c r="AE20" s="281"/>
      <c r="AF20" s="184">
        <f>('14'!AE20/24)*0.454</f>
        <v>0</v>
      </c>
      <c r="AG20" s="19"/>
      <c r="AH20" s="184">
        <f>('14'!AG20/24)*0.454</f>
        <v>0</v>
      </c>
      <c r="AI20" s="182">
        <v>3000</v>
      </c>
      <c r="AJ20" s="184">
        <f>('14'!AI20/24)*0.454</f>
        <v>56.75</v>
      </c>
      <c r="AK20" s="21">
        <v>1000</v>
      </c>
      <c r="AL20" s="185">
        <f>('14'!AK20/24)*0.454</f>
        <v>18.916666666666668</v>
      </c>
      <c r="AM20" s="21">
        <v>1000</v>
      </c>
      <c r="AN20" s="185">
        <f>('14'!AM20/24)*0.454</f>
        <v>18.916666666666668</v>
      </c>
      <c r="AO20" s="21"/>
      <c r="AP20" s="185">
        <f>('14'!AO20/24)*0.454</f>
        <v>0</v>
      </c>
    </row>
    <row r="21" spans="1:42" ht="14.65" customHeight="1">
      <c r="A21" s="10" t="s">
        <v>54</v>
      </c>
      <c r="B21" s="189">
        <f>MIN('14'!B7:B18)</f>
        <v>70</v>
      </c>
      <c r="C21" s="69">
        <f>MIN('14'!C7:C18)</f>
        <v>10</v>
      </c>
      <c r="D21" s="69">
        <f>MIN('14'!D7:D18)</f>
        <v>10</v>
      </c>
      <c r="E21" s="69">
        <f>MIN('14'!E7:E18)</f>
        <v>2.5</v>
      </c>
      <c r="F21" s="69">
        <f>MIN('14'!F7:F18)</f>
        <v>9.8000000000000007</v>
      </c>
      <c r="G21" s="192">
        <f>MIN('14'!G7:G18)</f>
        <v>1.4</v>
      </c>
      <c r="H21" s="192">
        <f>MIN('14'!H7:H18)</f>
        <v>1</v>
      </c>
      <c r="I21" s="192">
        <f>MIN('14'!I7:I18)</f>
        <v>0.3</v>
      </c>
      <c r="J21" s="192">
        <f>MIN('14'!J7:J18)</f>
        <v>0.3</v>
      </c>
      <c r="K21" s="192">
        <f>MIN('14'!K7:K18)</f>
        <v>6.5</v>
      </c>
      <c r="L21" s="192">
        <f>MIN('14'!L7:L18)</f>
        <v>6.4</v>
      </c>
      <c r="M21" s="192">
        <f>MIN('14'!M7:M18)</f>
        <v>6.5</v>
      </c>
      <c r="N21" s="192">
        <f>MIN('14'!N7:N18)</f>
        <v>6.3</v>
      </c>
      <c r="O21" s="193">
        <f>MIN('14'!O7:O18)</f>
        <v>2.5</v>
      </c>
      <c r="P21" s="193">
        <f>MIN('14'!P7:P18)</f>
        <v>2.5</v>
      </c>
      <c r="Q21" s="193">
        <f>MIN('14'!Q7:Q18)</f>
        <v>0.2</v>
      </c>
      <c r="R21" s="193">
        <f>MIN('14'!R7:R18)</f>
        <v>839</v>
      </c>
      <c r="S21" s="193">
        <f>MIN('14'!S7:S18)</f>
        <v>61.185134008860821</v>
      </c>
      <c r="T21" s="946"/>
      <c r="U21" s="946"/>
      <c r="X21" s="13">
        <v>0.66666666666666696</v>
      </c>
      <c r="Y21" s="173">
        <v>2490</v>
      </c>
      <c r="Z21" s="173">
        <v>839</v>
      </c>
      <c r="AA21" s="15">
        <v>1</v>
      </c>
      <c r="AB21" s="58">
        <f>IF('14'!AA21=1,(('14'!Z21*'14'!$AS$6*'14'!$AT$6)/('14'!Y21*0.0036)),IF('14'!AA21=2,(('14'!Z21*'14'!$AS$7*'14'!$AT$7)/('14'!Y21*0.0036))))</f>
        <v>62.241744756804998</v>
      </c>
      <c r="AC21" s="58"/>
      <c r="AD21" s="18">
        <f>(('14'!AC21*'14'!$Q$10*1000000))/('14'!Y21*3600)</f>
        <v>0</v>
      </c>
      <c r="AE21" s="281"/>
      <c r="AF21" s="184">
        <f>('14'!AE21/24)*0.454</f>
        <v>0</v>
      </c>
      <c r="AG21" s="19"/>
      <c r="AH21" s="184">
        <f>('14'!AG21/24)*0.454</f>
        <v>0</v>
      </c>
      <c r="AI21" s="182">
        <v>4400</v>
      </c>
      <c r="AJ21" s="184">
        <f>('14'!AI21/24)*0.454</f>
        <v>83.233333333333334</v>
      </c>
      <c r="AK21" s="21"/>
      <c r="AL21" s="185">
        <f>('14'!AK21/24)*0.454</f>
        <v>0</v>
      </c>
      <c r="AM21" s="21"/>
      <c r="AN21" s="185">
        <f>('14'!AM21/24)*0.454</f>
        <v>0</v>
      </c>
      <c r="AO21" s="21"/>
      <c r="AP21" s="185">
        <f>('14'!AO21/24)*0.454</f>
        <v>0</v>
      </c>
    </row>
    <row r="22" spans="1:42" ht="13.9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173">
        <v>2471</v>
      </c>
      <c r="Z22" s="173">
        <v>839</v>
      </c>
      <c r="AA22" s="15">
        <v>1</v>
      </c>
      <c r="AB22" s="58">
        <f>IF('14'!AA22=1,(('14'!Z22*'14'!$AS$6*'14'!$AT$6)/('14'!Y22*0.0036)),IF('14'!AA22=2,(('14'!Z22*'14'!$AS$7*'14'!$AT$7)/('14'!Y22*0.0036))))</f>
        <v>62.720333648095696</v>
      </c>
      <c r="AC22" s="58"/>
      <c r="AD22" s="18">
        <f>(('14'!AC22*'14'!$Q$10*1000000))/('14'!Y22*3600)</f>
        <v>0</v>
      </c>
      <c r="AE22" s="281"/>
      <c r="AF22" s="184">
        <f>('14'!AE22/24)*0.454</f>
        <v>0</v>
      </c>
      <c r="AG22" s="19"/>
      <c r="AH22" s="184">
        <f>('14'!AG22/24)*0.454</f>
        <v>0</v>
      </c>
      <c r="AI22" s="182">
        <v>4400</v>
      </c>
      <c r="AJ22" s="184">
        <f>('14'!AI22/24)*0.454</f>
        <v>83.233333333333334</v>
      </c>
      <c r="AK22" s="21"/>
      <c r="AL22" s="185">
        <f>('14'!AK22/24)*0.454</f>
        <v>0</v>
      </c>
      <c r="AM22" s="21"/>
      <c r="AN22" s="185">
        <f>('14'!AM22/24)*0.454</f>
        <v>0</v>
      </c>
      <c r="AO22" s="21"/>
      <c r="AP22" s="185">
        <f>('14'!AO22/24)*0.454</f>
        <v>0</v>
      </c>
    </row>
    <row r="23" spans="1:42" ht="13.9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173">
        <v>1943</v>
      </c>
      <c r="Z23" s="173">
        <v>839</v>
      </c>
      <c r="AA23" s="15">
        <v>1</v>
      </c>
      <c r="AB23" s="58">
        <f>IF('14'!AA23=1,(('14'!Z23*'14'!$AS$6*'14'!$AT$6)/('14'!Y23*0.0036)),IF('14'!AA23=2,(('14'!Z23*'14'!$AS$7*'14'!$AT$7)/('14'!Y23*0.0036))))</f>
        <v>79.764253445416614</v>
      </c>
      <c r="AC23" s="58"/>
      <c r="AD23" s="18">
        <f>(('14'!AC23*'14'!$Q$10*1000000))/('14'!Y23*3600)</f>
        <v>0</v>
      </c>
      <c r="AE23" s="281"/>
      <c r="AF23" s="184">
        <f>('14'!AE23/24)*0.454</f>
        <v>0</v>
      </c>
      <c r="AG23" s="19"/>
      <c r="AH23" s="184">
        <f>('14'!AG23/24)*0.454</f>
        <v>0</v>
      </c>
      <c r="AI23" s="182">
        <v>4400</v>
      </c>
      <c r="AJ23" s="184">
        <f>('14'!AI23/24)*0.454</f>
        <v>83.233333333333334</v>
      </c>
      <c r="AK23" s="21"/>
      <c r="AL23" s="185">
        <f>('14'!AK23/24)*0.454</f>
        <v>0</v>
      </c>
      <c r="AM23" s="21"/>
      <c r="AN23" s="185">
        <f>('14'!AM23/24)*0.454</f>
        <v>0</v>
      </c>
      <c r="AO23" s="21"/>
      <c r="AP23" s="185">
        <f>('14'!AO23/24)*0.454</f>
        <v>0</v>
      </c>
    </row>
    <row r="24" spans="1:42" ht="13.9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173">
        <v>2422</v>
      </c>
      <c r="Z24" s="173">
        <v>839</v>
      </c>
      <c r="AA24" s="15">
        <v>1</v>
      </c>
      <c r="AB24" s="58">
        <f>IF('14'!AA24=1,(('14'!Z24*'14'!$AS$6*'14'!$AT$6)/('14'!Y24*0.0036)),IF('14'!AA24=2,(('14'!Z24*'14'!$AS$7*'14'!$AT$7)/('14'!Y24*0.0036))))</f>
        <v>63.989242132305733</v>
      </c>
      <c r="AC24" s="16"/>
      <c r="AD24" s="194">
        <f>(('14'!AC24*'14'!$Q$10*1000000))/('14'!Y24*3600)</f>
        <v>0</v>
      </c>
      <c r="AE24" s="281"/>
      <c r="AF24" s="195">
        <f>('14'!AE24/24)*0.454</f>
        <v>0</v>
      </c>
      <c r="AG24" s="173"/>
      <c r="AH24" s="195">
        <f>('14'!AG24/24)*0.454</f>
        <v>0</v>
      </c>
      <c r="AI24" s="182">
        <v>4400</v>
      </c>
      <c r="AJ24" s="195">
        <f>('14'!AI24/24)*0.454</f>
        <v>83.233333333333334</v>
      </c>
      <c r="AK24" s="21"/>
      <c r="AL24" s="196">
        <f>('14'!AK24/24)*0.454</f>
        <v>0</v>
      </c>
      <c r="AM24" s="197"/>
      <c r="AN24" s="196">
        <f>('14'!AM24/24)*0.454</f>
        <v>0</v>
      </c>
      <c r="AO24" s="21"/>
      <c r="AP24" s="196">
        <f>('14'!AO24/24)*0.454</f>
        <v>0</v>
      </c>
    </row>
    <row r="25" spans="1:42" ht="19.5" customHeight="1">
      <c r="A25" s="64">
        <v>0.41666666666666702</v>
      </c>
      <c r="B25" s="261"/>
      <c r="C25" s="261">
        <v>0.4</v>
      </c>
      <c r="D25" s="261">
        <v>0.46</v>
      </c>
      <c r="E25" s="199">
        <v>0.39</v>
      </c>
      <c r="F25" s="199">
        <v>0.49</v>
      </c>
      <c r="G25" s="199">
        <v>0.54</v>
      </c>
      <c r="H25" s="199">
        <v>0.41</v>
      </c>
      <c r="I25" s="199">
        <v>0.4</v>
      </c>
      <c r="J25" s="199">
        <v>0.54</v>
      </c>
      <c r="K25" s="199">
        <v>0.42</v>
      </c>
      <c r="L25" s="199">
        <v>0.54</v>
      </c>
      <c r="M25" s="199">
        <v>0.45</v>
      </c>
      <c r="N25" s="199">
        <v>0.35</v>
      </c>
      <c r="O25" s="199">
        <v>0.63</v>
      </c>
      <c r="P25" s="199">
        <v>0.38</v>
      </c>
      <c r="Q25" s="199"/>
      <c r="R25" s="65" t="e">
        <f>#DIV/0!</f>
        <v>#DIV/0!</v>
      </c>
      <c r="S25" s="66"/>
      <c r="T25" s="1082" t="s">
        <v>0</v>
      </c>
      <c r="U25" s="1053">
        <f>ESCALA!$A$16</f>
        <v>43904</v>
      </c>
      <c r="X25" s="13">
        <v>0.83333333333333304</v>
      </c>
      <c r="Y25" s="173">
        <v>2407</v>
      </c>
      <c r="Z25" s="173">
        <v>839</v>
      </c>
      <c r="AA25" s="15">
        <v>1</v>
      </c>
      <c r="AB25" s="58">
        <f>IF('14'!AA25=1,(('14'!Z25*'14'!$AS$6*'14'!$AT$6)/('14'!Y25*0.0036)),IF('14'!AA25=2,(('14'!Z25*'14'!$AS$7*'14'!$AT$7)/('14'!Y25*0.0036))))</f>
        <v>64.388011817384481</v>
      </c>
      <c r="AC25" s="58"/>
      <c r="AD25" s="18">
        <f>(('14'!AC25*'14'!$Q$10*1000000))/('14'!Y25*3600)</f>
        <v>0</v>
      </c>
      <c r="AE25" s="281"/>
      <c r="AF25" s="184">
        <f>('14'!AE25/24)*0.454</f>
        <v>0</v>
      </c>
      <c r="AG25" s="19"/>
      <c r="AH25" s="184">
        <f>('14'!AG25/24)*0.454</f>
        <v>0</v>
      </c>
      <c r="AI25" s="182">
        <v>4400</v>
      </c>
      <c r="AJ25" s="184">
        <f>('14'!AI25/24)*0.454</f>
        <v>83.233333333333334</v>
      </c>
      <c r="AK25" s="21"/>
      <c r="AL25" s="185">
        <f>('14'!AK25/24)*0.454</f>
        <v>0</v>
      </c>
      <c r="AM25" s="21"/>
      <c r="AN25" s="185">
        <f>('14'!AM25/24)*0.454</f>
        <v>0</v>
      </c>
      <c r="AO25" s="21"/>
      <c r="AP25" s="185">
        <f>('14'!AO25/24)*0.454</f>
        <v>0</v>
      </c>
    </row>
    <row r="26" spans="1:42" ht="19.5" customHeight="1">
      <c r="A26" s="64">
        <v>0.66666666666666696</v>
      </c>
      <c r="B26" s="261"/>
      <c r="C26" s="261"/>
      <c r="D26" s="283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5" t="e">
        <f>#DIV/0!</f>
        <v>#DIV/0!</v>
      </c>
      <c r="S26" s="284"/>
      <c r="T26" s="1082"/>
      <c r="U26" s="1053"/>
      <c r="X26" s="13">
        <v>0.875</v>
      </c>
      <c r="Y26" s="173">
        <v>2432</v>
      </c>
      <c r="Z26" s="173">
        <v>839</v>
      </c>
      <c r="AA26" s="15">
        <v>1</v>
      </c>
      <c r="AB26" s="58">
        <f>IF('14'!AA26=1,(('14'!Z26*'14'!$AS$6*'14'!$AT$6)/('14'!Y26*0.0036)),IF('14'!AA26=2,(('14'!Z26*'14'!$AS$7*'14'!$AT$7)/('14'!Y26*0.0036))))</f>
        <v>63.726128472222229</v>
      </c>
      <c r="AC26" s="58"/>
      <c r="AD26" s="18">
        <f>(('14'!AC26*'14'!$Q$10*1000000))/('14'!Y26*3600)</f>
        <v>0</v>
      </c>
      <c r="AE26" s="281"/>
      <c r="AF26" s="184">
        <f>('14'!AE26/24)*0.454</f>
        <v>0</v>
      </c>
      <c r="AG26" s="19"/>
      <c r="AH26" s="184">
        <f>('14'!AG26/24)*0.454</f>
        <v>0</v>
      </c>
      <c r="AI26" s="182">
        <v>4400</v>
      </c>
      <c r="AJ26" s="184">
        <f>('14'!AI26/24)*0.454</f>
        <v>83.233333333333334</v>
      </c>
      <c r="AK26" s="21"/>
      <c r="AL26" s="185">
        <f>('14'!AK26/24)*0.454</f>
        <v>0</v>
      </c>
      <c r="AM26" s="21"/>
      <c r="AN26" s="185">
        <f>('14'!AM26/24)*0.454</f>
        <v>0</v>
      </c>
      <c r="AO26" s="21"/>
      <c r="AP26" s="185">
        <f>('14'!AO26/24)*0.454</f>
        <v>0</v>
      </c>
    </row>
    <row r="27" spans="1:42" ht="13.9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69" t="e">
        <f>#DIV/0!</f>
        <v>#DIV/0!</v>
      </c>
      <c r="R27" s="946"/>
      <c r="S27" s="946"/>
      <c r="T27" s="946"/>
      <c r="U27" s="946"/>
      <c r="X27" s="13">
        <v>0.91666666666666696</v>
      </c>
      <c r="Y27" s="173">
        <v>2421</v>
      </c>
      <c r="Z27" s="173">
        <v>839</v>
      </c>
      <c r="AA27" s="15">
        <v>1</v>
      </c>
      <c r="AB27" s="58">
        <f>IF('14'!AA27=1,(('14'!Z27*'14'!$AS$6*'14'!$AT$6)/('14'!Y27*0.0036)),IF('14'!AA27=2,(('14'!Z27*'14'!$AS$7*'14'!$AT$7)/('14'!Y27*0.0036))))</f>
        <v>64.015673046032404</v>
      </c>
      <c r="AC27" s="58"/>
      <c r="AD27" s="18">
        <f>(('14'!AC27*'14'!$Q$10*1000000))/('14'!Y27*3600)</f>
        <v>0</v>
      </c>
      <c r="AE27" s="281"/>
      <c r="AF27" s="184">
        <f>('14'!AE27/24)*0.454</f>
        <v>0</v>
      </c>
      <c r="AG27" s="19"/>
      <c r="AH27" s="184">
        <f>('14'!AG27/24)*0.454</f>
        <v>0</v>
      </c>
      <c r="AI27" s="182">
        <v>4400</v>
      </c>
      <c r="AJ27" s="184">
        <f>('14'!AI27/24)*0.454</f>
        <v>83.233333333333334</v>
      </c>
      <c r="AK27" s="21"/>
      <c r="AL27" s="185">
        <f>('14'!AK27/24)*0.454</f>
        <v>0</v>
      </c>
      <c r="AM27" s="21"/>
      <c r="AN27" s="185">
        <f>('14'!AM27/24)*0.454</f>
        <v>0</v>
      </c>
      <c r="AO27" s="21"/>
      <c r="AP27" s="185">
        <f>('14'!AO27/24)*0.454</f>
        <v>0</v>
      </c>
    </row>
    <row r="28" spans="1:42" ht="17.4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3">
        <v>2414</v>
      </c>
      <c r="Z28" s="173">
        <v>839</v>
      </c>
      <c r="AA28" s="15">
        <v>1</v>
      </c>
      <c r="AB28" s="58">
        <f>IF('14'!AA28=1,(('14'!Z28*'14'!$AS$6*'14'!$AT$6)/('14'!Y28*0.0036)),IF('14'!AA28=2,(('14'!Z28*'14'!$AS$7*'14'!$AT$7)/('14'!Y28*0.0036))))</f>
        <v>64.201302586762409</v>
      </c>
      <c r="AC28" s="58"/>
      <c r="AD28" s="18">
        <f>(('14'!AC28*'14'!$Q$10*1000000))/('14'!Y28*3600)</f>
        <v>0</v>
      </c>
      <c r="AE28" s="281"/>
      <c r="AF28" s="184">
        <f>('14'!AE28/24)*0.454</f>
        <v>0</v>
      </c>
      <c r="AG28" s="19"/>
      <c r="AH28" s="184">
        <f>('14'!AG28/24)*0.454</f>
        <v>0</v>
      </c>
      <c r="AI28" s="182">
        <v>4400</v>
      </c>
      <c r="AJ28" s="184">
        <f>('14'!AI28/24)*0.454</f>
        <v>83.233333333333334</v>
      </c>
      <c r="AK28" s="21"/>
      <c r="AL28" s="185">
        <f>('14'!AK28/24)*0.454</f>
        <v>0</v>
      </c>
      <c r="AM28" s="21"/>
      <c r="AN28" s="185">
        <f>('14'!AM28/24)*0.454</f>
        <v>0</v>
      </c>
      <c r="AO28" s="21"/>
      <c r="AP28" s="185">
        <f>('14'!AO28/24)*0.454</f>
        <v>0</v>
      </c>
    </row>
    <row r="29" spans="1:42" ht="13.9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3">
        <v>2402</v>
      </c>
      <c r="Z29" s="173">
        <v>839</v>
      </c>
      <c r="AA29" s="15">
        <v>1</v>
      </c>
      <c r="AB29" s="58">
        <f>IF('14'!AA29=1,(('14'!Z29*'14'!$AS$6*'14'!$AT$6)/('14'!Y29*0.0036)),IF('14'!AA29=2,(('14'!Z29*'14'!$AS$7*'14'!$AT$7)/('14'!Y29*0.0036))))</f>
        <v>64.52204181700435</v>
      </c>
      <c r="AC29" s="58"/>
      <c r="AD29" s="18">
        <f>(('14'!AC29*'14'!$Q$10*1000000))/('14'!Y29*3600)</f>
        <v>0</v>
      </c>
      <c r="AE29" s="281"/>
      <c r="AF29" s="184">
        <f>('14'!AE29/24)*0.454</f>
        <v>0</v>
      </c>
      <c r="AG29" s="19"/>
      <c r="AH29" s="184">
        <f>('14'!AG29/24)*0.454</f>
        <v>0</v>
      </c>
      <c r="AI29" s="182">
        <v>4400</v>
      </c>
      <c r="AJ29" s="184">
        <f>('14'!AI29/24)*0.454</f>
        <v>83.233333333333334</v>
      </c>
      <c r="AK29" s="21"/>
      <c r="AL29" s="185">
        <f>('14'!AK29/24)*0.454</f>
        <v>0</v>
      </c>
      <c r="AM29" s="21"/>
      <c r="AN29" s="185">
        <f>('14'!AM29/24)*0.454</f>
        <v>0</v>
      </c>
      <c r="AO29" s="21"/>
      <c r="AP29" s="185">
        <f>('14'!AO29/24)*0.454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SUM('14'!Y6:Y29)*3.6</f>
        <v>211089.6</v>
      </c>
      <c r="Z30" s="285">
        <f>SUM('14'!Z6:Z29)</f>
        <v>20136</v>
      </c>
      <c r="AA30" s="78"/>
      <c r="AB30" s="79"/>
      <c r="AC30" s="78"/>
      <c r="AD30" s="79"/>
      <c r="AE30" s="34"/>
      <c r="AF30" s="184">
        <f>SUM('14'!AF6:AF29)</f>
        <v>0</v>
      </c>
      <c r="AG30" s="34"/>
      <c r="AH30" s="184">
        <f>SUM('14'!AH6:AH29)</f>
        <v>0</v>
      </c>
      <c r="AI30" s="184"/>
      <c r="AJ30" s="184">
        <f>SUM('14'!AJ6:AJ29)</f>
        <v>1717.6333333333337</v>
      </c>
      <c r="AK30" s="80"/>
      <c r="AL30" s="185">
        <f>SUM('14'!AL6:AL29)</f>
        <v>156.0625</v>
      </c>
      <c r="AM30" s="80"/>
      <c r="AN30" s="185">
        <f>SUM('14'!AN6:AN29)</f>
        <v>156.0625</v>
      </c>
      <c r="AO30" s="80"/>
      <c r="AP30" s="185">
        <f>SUM('14'!AP6:AP29)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SUMIF('14'!AA6:AA29,"=1",'14'!Z6:Z29)</f>
        <v>20136</v>
      </c>
      <c r="AA32" s="82">
        <f>'14'!Z32*'14'!AS6</f>
        <v>26780.880000000001</v>
      </c>
      <c r="AB32" s="83">
        <f>SUMIF('14'!$AA$6:$AA$29,"=1",'14'!$AB$6:$AB$29)/COUNTIF('14'!$AA$6:$AA$29,"=1")</f>
        <v>63.600896721114367</v>
      </c>
      <c r="AC32" s="84">
        <f>SUMIF('14'!AA6:AA29,"=1",'14'!AC6:AC29)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SUMIF('14'!AA6:AA29,"=2",'14'!Z6:Z29)</f>
        <v>0</v>
      </c>
      <c r="AA33" s="82">
        <f>'14'!Z33*'14'!AS7</f>
        <v>0</v>
      </c>
      <c r="AB33" s="83" t="e">
        <f>SUMIF('14'!$AA$6:$AA$29,"=2",'14'!$AB$6:$AB$29)/COUNTIF('14'!$AA$6:$AA$29,"=2")</f>
        <v>#DIV/0!</v>
      </c>
      <c r="AC33" s="89">
        <f>SUMIF('14'!AA6:AA29,"=2",'14'!AC6:AC29)</f>
        <v>0</v>
      </c>
      <c r="AD33" s="89"/>
      <c r="AE33" s="90"/>
      <c r="AF33" s="91"/>
      <c r="AG33" s="90"/>
      <c r="AH33" s="91"/>
      <c r="AI33" s="90"/>
      <c r="AJ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AVERAGE('14'!Y6:Y29)</f>
        <v>2443.1666666666665</v>
      </c>
      <c r="Z34" s="96">
        <f>AVERAGE('14'!Z6:Z29)</f>
        <v>839</v>
      </c>
      <c r="AA34" s="97"/>
      <c r="AB34" s="97"/>
      <c r="AC34" s="98">
        <f>SUM('14'!AC6:AC29)/COUNTIF('14'!AC6:AC29,"&lt;&gt;0")</f>
        <v>0</v>
      </c>
      <c r="AD34" s="99" t="e">
        <f>SUM('14'!AD6:AD29)/COUNTIF('14'!AD6:AD29,"&lt;&gt;0")</f>
        <v>#DIV/0!</v>
      </c>
      <c r="AE34" s="78"/>
      <c r="AF34" s="98">
        <f>AVERAGE('14'!AF6:AF29)</f>
        <v>0</v>
      </c>
      <c r="AG34" s="98"/>
      <c r="AH34" s="98">
        <f>AVERAGE('14'!AH6:AH29)</f>
        <v>0</v>
      </c>
      <c r="AI34" s="98"/>
      <c r="AJ34" s="98">
        <f>'14'!AJ30/24</f>
        <v>71.568055555555574</v>
      </c>
      <c r="AK34" s="98"/>
      <c r="AL34" s="98">
        <f>AVERAGE('14'!AL6:AL29)</f>
        <v>6.502604166666667</v>
      </c>
      <c r="AM34" s="98"/>
      <c r="AN34" s="98">
        <f>AVERAGE('14'!AN6:AN29)</f>
        <v>6.502604166666667</v>
      </c>
      <c r="AO34" s="98"/>
      <c r="AP34" s="98">
        <f>AVERAGE('14'!AP6:AP29)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50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50"/>
      <c r="X36" s="105" t="s">
        <v>73</v>
      </c>
      <c r="Y36" s="106"/>
      <c r="Z36" s="107"/>
      <c r="AA36" s="108" t="s">
        <v>74</v>
      </c>
      <c r="AB36" s="106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86.7</v>
      </c>
      <c r="D37" s="186">
        <v>60.5</v>
      </c>
      <c r="E37" s="186">
        <v>54.4</v>
      </c>
      <c r="F37" s="186">
        <v>1</v>
      </c>
      <c r="G37" s="186">
        <v>0.1</v>
      </c>
      <c r="H37" s="186">
        <v>0.1</v>
      </c>
      <c r="I37" s="183">
        <v>0.1</v>
      </c>
      <c r="J37" s="183">
        <v>0.06</v>
      </c>
      <c r="K37" s="183">
        <v>0.05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36">
        <f>'14'!V12</f>
        <v>0</v>
      </c>
      <c r="X37" s="962" t="s">
        <v>75</v>
      </c>
      <c r="Y37" s="962"/>
      <c r="Z37" s="110">
        <f>COUNTA('14'!Z6:Z29)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SUM('14'!AF30+'14'!AH30)</f>
        <v>0</v>
      </c>
      <c r="AL38" s="210" t="s">
        <v>78</v>
      </c>
      <c r="AM38" s="212">
        <f>SUM('14'!AL30+'14'!AN30)</f>
        <v>312.125</v>
      </c>
      <c r="AO38" s="210" t="s">
        <v>78</v>
      </c>
      <c r="AP38" s="211">
        <f>AJ30</f>
        <v>1717.6333333333337</v>
      </c>
      <c r="AQ38" s="210" t="s">
        <v>78</v>
      </c>
      <c r="AR38" s="212">
        <f>'14'!AP30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286"/>
      <c r="X39" s="112"/>
      <c r="Y39" s="112"/>
      <c r="Z39" s="113"/>
      <c r="AA39" s="111"/>
      <c r="AB39" s="111"/>
      <c r="AJ39" s="213" t="s">
        <v>86</v>
      </c>
      <c r="AK39" s="214">
        <f>('14'!AK38/'14'!Y30)*1000</f>
        <v>0</v>
      </c>
      <c r="AL39" s="215" t="s">
        <v>86</v>
      </c>
      <c r="AM39" s="216">
        <f>('14'!AM38/'14'!Y30)*1000</f>
        <v>1.4786375074849731</v>
      </c>
      <c r="AO39" s="213" t="s">
        <v>86</v>
      </c>
      <c r="AP39" s="214">
        <f>('14'!AP38/'14'!Y30)*1000</f>
        <v>8.1369870108870046</v>
      </c>
      <c r="AQ39" s="215" t="s">
        <v>86</v>
      </c>
      <c r="AR39" s="216">
        <f>('14'!AR38/'14'!Y30)*1000</f>
        <v>0</v>
      </c>
    </row>
    <row r="40" spans="1:44" ht="15.7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287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SUM('14'!AK38,'14'!AM38)</f>
        <v>312.125</v>
      </c>
      <c r="AM40" s="975"/>
      <c r="AO40" s="976" t="s">
        <v>90</v>
      </c>
      <c r="AP40" s="976"/>
      <c r="AQ40" s="977">
        <f>SUM('14'!AP38,'14'!AR38)</f>
        <v>1717.6333333333337</v>
      </c>
      <c r="AR40" s="977"/>
    </row>
    <row r="41" spans="1:44" ht="16.5" customHeight="1">
      <c r="A41" s="133">
        <f>COUNTA('14'!E7:E18)</f>
        <v>12</v>
      </c>
      <c r="B41" s="134">
        <f>COUNTA('14'!I7:I18)</f>
        <v>12</v>
      </c>
      <c r="C41" s="978">
        <f>COUNTA('14'!J7:J18)</f>
        <v>12</v>
      </c>
      <c r="D41" s="978">
        <f>COUNTA('14'!K7:K18)</f>
        <v>12</v>
      </c>
      <c r="E41" s="978">
        <f>COUNTIF('14'!E7:E18,"&gt;15")</f>
        <v>0</v>
      </c>
      <c r="F41" s="978"/>
      <c r="G41" s="978">
        <f>COUNTIF('14'!J7:J18,"&gt;1")</f>
        <v>0</v>
      </c>
      <c r="H41" s="978"/>
      <c r="I41" s="135"/>
      <c r="J41" s="978">
        <f>'14'!A41-'14'!E41</f>
        <v>12</v>
      </c>
      <c r="K41" s="978"/>
      <c r="L41" s="978">
        <f>'14'!C41-'14'!G41</f>
        <v>12</v>
      </c>
      <c r="M41" s="978"/>
      <c r="N41" s="135"/>
      <c r="O41" s="979">
        <f>COUNTIF('14'!J7:J18,"&lt;=0,5")</f>
        <v>12</v>
      </c>
      <c r="P41" s="979"/>
      <c r="Q41" s="979"/>
      <c r="R41" s="969"/>
      <c r="S41" s="980">
        <f>COUNTIF('14'!J7:J18,"&lt;=1,0")</f>
        <v>12</v>
      </c>
      <c r="T41" s="980"/>
      <c r="U41" s="136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SUM(('14'!AK38+'14'!AM38)/'14'!Y30)*1000</f>
        <v>1.4786375074849731</v>
      </c>
      <c r="AM41" s="981"/>
      <c r="AO41" s="976" t="s">
        <v>91</v>
      </c>
      <c r="AP41" s="976"/>
      <c r="AQ41" s="981">
        <f>SUM(('14'!AP38+'14'!AR38)/'14'!Y30)*1000</f>
        <v>8.1369870108870046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/>
      <c r="Z44" s="144" t="s">
        <v>101</v>
      </c>
      <c r="AA44" s="145"/>
      <c r="AB44" s="144" t="s">
        <v>101</v>
      </c>
      <c r="AC44" s="145"/>
      <c r="AD44" s="988"/>
      <c r="AE44" s="988"/>
      <c r="AF44" s="989" t="s">
        <v>102</v>
      </c>
      <c r="AG44" s="990">
        <f>SUM('14'!Y45,'14'!AA45,'14'!AC45,'14'!AE45)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.75" customHeight="1">
      <c r="H45" s="992">
        <f>COUNTIF('14'!I7:I18,"&lt;=5,0")</f>
        <v>12</v>
      </c>
      <c r="I45" s="992"/>
      <c r="J45" s="992"/>
      <c r="K45" s="135"/>
      <c r="L45" s="974">
        <f>COUNTA('14'!L37)</f>
        <v>1</v>
      </c>
      <c r="M45" s="974"/>
      <c r="O45" s="146"/>
      <c r="P45" s="147"/>
      <c r="Q45" s="993">
        <f>'14'!S41-'14'!O41</f>
        <v>0</v>
      </c>
      <c r="R45" s="993"/>
      <c r="S45" s="993"/>
      <c r="T45" s="148"/>
      <c r="X45" s="149" t="s">
        <v>104</v>
      </c>
      <c r="Y45" s="150">
        <f>'14'!Y44*275.3</f>
        <v>0</v>
      </c>
      <c r="Z45" s="149" t="s">
        <v>104</v>
      </c>
      <c r="AA45" s="150">
        <f>262.4*'14'!AA44</f>
        <v>0</v>
      </c>
      <c r="AB45" s="149" t="s">
        <v>104</v>
      </c>
      <c r="AC45" s="150">
        <f>'14'!AC44*277.7</f>
        <v>0</v>
      </c>
      <c r="AD45" s="149" t="s">
        <v>104</v>
      </c>
      <c r="AE45" s="151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3.9" customHeight="1">
      <c r="F46" s="152"/>
      <c r="X46" s="153" t="s">
        <v>105</v>
      </c>
      <c r="Y46" s="154">
        <f>'14'!AS6</f>
        <v>1.33</v>
      </c>
      <c r="Z46" s="153" t="s">
        <v>105</v>
      </c>
      <c r="AA46" s="155">
        <f>'14'!Y46</f>
        <v>1.33</v>
      </c>
      <c r="AB46" s="153" t="s">
        <v>105</v>
      </c>
      <c r="AC46" s="155">
        <f>'14'!Y46</f>
        <v>1.33</v>
      </c>
      <c r="AD46" s="153" t="s">
        <v>105</v>
      </c>
      <c r="AE46" s="156">
        <f>'14'!Y46</f>
        <v>1.33</v>
      </c>
      <c r="AF46" s="995" t="s">
        <v>106</v>
      </c>
      <c r="AG46" s="996">
        <f>SUM('14'!Y47,'14'!AA47,'14'!AC47,'14'!AE47)</f>
        <v>0</v>
      </c>
      <c r="AI46" s="144" t="s">
        <v>101</v>
      </c>
      <c r="AJ46" s="145"/>
      <c r="AK46" s="144" t="s">
        <v>101</v>
      </c>
      <c r="AL46" s="145"/>
      <c r="AM46" s="144" t="s">
        <v>101</v>
      </c>
      <c r="AN46" s="145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'14'!Y45*'14'!Y46</f>
        <v>0</v>
      </c>
      <c r="Z47" s="149" t="s">
        <v>108</v>
      </c>
      <c r="AA47" s="150">
        <f>'14'!AA45*'14'!AA46</f>
        <v>0</v>
      </c>
      <c r="AB47" s="149" t="s">
        <v>108</v>
      </c>
      <c r="AC47" s="150">
        <f>'14'!AC45*'14'!AC46</f>
        <v>0</v>
      </c>
      <c r="AD47" s="149" t="s">
        <v>108</v>
      </c>
      <c r="AE47" s="150">
        <f>'14'!AE45*'14'!AE46</f>
        <v>0</v>
      </c>
      <c r="AF47" s="995"/>
      <c r="AG47" s="996"/>
      <c r="AI47" s="149" t="s">
        <v>104</v>
      </c>
      <c r="AJ47" s="150">
        <f>AJ46*275.3</f>
        <v>0</v>
      </c>
      <c r="AK47" s="149" t="s">
        <v>104</v>
      </c>
      <c r="AL47" s="150">
        <f>262.4*'3'!AL46</f>
        <v>0</v>
      </c>
      <c r="AM47" s="149" t="s">
        <v>104</v>
      </c>
      <c r="AN47" s="150">
        <f>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Y46</f>
        <v>1.33</v>
      </c>
      <c r="AK48" s="160" t="s">
        <v>105</v>
      </c>
      <c r="AL48" s="154">
        <f>'3'!AJ48</f>
        <v>1.33</v>
      </c>
      <c r="AM48" s="160" t="s">
        <v>105</v>
      </c>
      <c r="AN48" s="154">
        <f>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AJ47*AJ48</f>
        <v>0</v>
      </c>
      <c r="AK49" s="149" t="s">
        <v>108</v>
      </c>
      <c r="AL49" s="150">
        <f>'3'!AL47*'3'!AL48</f>
        <v>0</v>
      </c>
      <c r="AM49" s="149" t="s">
        <v>108</v>
      </c>
      <c r="AN49" s="150">
        <f>AN47*AN48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COUNTA('14'!O7:O18)</f>
        <v>12</v>
      </c>
      <c r="P51" s="974">
        <f>COUNTA('14'!W17:W28)</f>
        <v>0</v>
      </c>
      <c r="R51" s="992">
        <f>COUNTIF('14'!O7:O18,"&gt;=0,5")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SUM('14'!Y53,'14'!AA53,'14'!AC53,'14'!AE53)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'14'!Y52*275.3</f>
        <v>0</v>
      </c>
      <c r="Z53" s="149" t="s">
        <v>104</v>
      </c>
      <c r="AA53" s="150">
        <f>262.4*'14'!AA52</f>
        <v>0</v>
      </c>
      <c r="AB53" s="149" t="s">
        <v>104</v>
      </c>
      <c r="AC53" s="167">
        <f>'14'!AC52*277.7</f>
        <v>0</v>
      </c>
      <c r="AD53" s="149" t="s">
        <v>104</v>
      </c>
      <c r="AE53" s="230"/>
      <c r="AF53" s="989"/>
      <c r="AG53" s="1002"/>
      <c r="AI53" s="144" t="s">
        <v>101</v>
      </c>
      <c r="AJ53" s="166"/>
      <c r="AK53" s="144" t="s">
        <v>101</v>
      </c>
      <c r="AL53" s="164"/>
      <c r="AM53" s="144" t="s">
        <v>101</v>
      </c>
      <c r="AN53" s="164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'14'!AS7</f>
        <v>1.377</v>
      </c>
      <c r="Z54" s="153" t="s">
        <v>105</v>
      </c>
      <c r="AA54" s="155">
        <f>'14'!Y54</f>
        <v>1.377</v>
      </c>
      <c r="AB54" s="153" t="s">
        <v>105</v>
      </c>
      <c r="AC54" s="155">
        <f>'14'!Y54</f>
        <v>1.377</v>
      </c>
      <c r="AD54" s="153" t="s">
        <v>105</v>
      </c>
      <c r="AE54" s="156">
        <f>'14'!Y54</f>
        <v>1.377</v>
      </c>
      <c r="AF54" s="995" t="s">
        <v>106</v>
      </c>
      <c r="AG54" s="996">
        <f>SUM('14'!Y55,'14'!AA55,'14'!AC55,'14'!AE55)</f>
        <v>0</v>
      </c>
      <c r="AI54" s="149" t="s">
        <v>104</v>
      </c>
      <c r="AJ54" s="150">
        <f>AJ53*275.3</f>
        <v>0</v>
      </c>
      <c r="AK54" s="149" t="s">
        <v>104</v>
      </c>
      <c r="AL54" s="150">
        <f>262.4*AL53</f>
        <v>0</v>
      </c>
      <c r="AM54" s="149" t="s">
        <v>104</v>
      </c>
      <c r="AN54" s="167">
        <f>AN53*277.7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'14'!Y53*'14'!Y54</f>
        <v>0</v>
      </c>
      <c r="Z55" s="149" t="s">
        <v>108</v>
      </c>
      <c r="AA55" s="150">
        <f>'14'!AA53*'14'!AA54</f>
        <v>0</v>
      </c>
      <c r="AB55" s="149" t="s">
        <v>108</v>
      </c>
      <c r="AC55" s="150">
        <f>'14'!AC53*'14'!AC54</f>
        <v>0</v>
      </c>
      <c r="AD55" s="149" t="s">
        <v>108</v>
      </c>
      <c r="AE55" s="150">
        <f>'14'!AE53*'14'!AE54</f>
        <v>0</v>
      </c>
      <c r="AF55" s="995"/>
      <c r="AG55" s="996"/>
      <c r="AI55" s="153" t="s">
        <v>105</v>
      </c>
      <c r="AJ55" s="154">
        <f>Y54</f>
        <v>1.377</v>
      </c>
      <c r="AK55" s="153" t="s">
        <v>105</v>
      </c>
      <c r="AL55" s="154">
        <f>AJ55</f>
        <v>1.377</v>
      </c>
      <c r="AM55" s="153" t="s">
        <v>105</v>
      </c>
      <c r="AN55" s="154">
        <f>AJ55</f>
        <v>1.377</v>
      </c>
      <c r="AO55" s="1036" t="s">
        <v>105</v>
      </c>
      <c r="AP55" s="1036">
        <f>'3'!AJ55</f>
        <v>1.377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AJ54*AJ55</f>
        <v>0</v>
      </c>
      <c r="AK56" s="149" t="s">
        <v>108</v>
      </c>
      <c r="AL56" s="150">
        <f>AL54*AL55</f>
        <v>0</v>
      </c>
      <c r="AM56" s="149" t="s">
        <v>108</v>
      </c>
      <c r="AN56" s="150">
        <f>AN54*AN55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 ht="15.75" customHeight="1">
      <c r="O57" s="1003">
        <f>COUNTA('14'!N7:N18)</f>
        <v>12</v>
      </c>
      <c r="P57" s="1003"/>
      <c r="R57" s="1004">
        <f>COUNTIF('14'!N7:N18,"&gt;=6")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  <c r="AK58">
        <v>1</v>
      </c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81">
        <f>AA32</f>
        <v>26780.880000000001</v>
      </c>
      <c r="AR62" s="1081"/>
    </row>
    <row r="63" spans="15:44" ht="15" customHeight="1">
      <c r="X63" s="170" t="s">
        <v>124</v>
      </c>
      <c r="Y63" s="171">
        <v>0</v>
      </c>
      <c r="Z63" s="1013"/>
      <c r="AA63" s="1013"/>
      <c r="AB63" s="172" t="s">
        <v>124</v>
      </c>
      <c r="AC63" s="173">
        <v>0</v>
      </c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-26780.880000000001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>
        <f>'13'!$Y$69</f>
        <v>-13060.066666666668</v>
      </c>
      <c r="Z65" s="1013"/>
      <c r="AA65" s="1013"/>
      <c r="AB65" s="176" t="s">
        <v>126</v>
      </c>
      <c r="AC65" s="241">
        <f>'13'!$AC$69</f>
        <v>-945.83333333333348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280">
        <f>SUM('14'!AK38,'14'!AP38)</f>
        <v>1717.6333333333337</v>
      </c>
      <c r="Z67" s="1013"/>
      <c r="AA67" s="1013"/>
      <c r="AB67" s="172" t="s">
        <v>124</v>
      </c>
      <c r="AC67" s="169">
        <f>SUM('14'!AM38,'14'!AR38)</f>
        <v>312.125</v>
      </c>
    </row>
    <row r="68" spans="24:29" ht="15.75" customHeight="1">
      <c r="X68" s="170" t="s">
        <v>128</v>
      </c>
      <c r="Y68" s="179">
        <f>SUM('14'!Y63,'14'!Y65)-'14'!Y67</f>
        <v>-14777.7</v>
      </c>
      <c r="Z68" s="1013"/>
      <c r="AA68" s="1013"/>
      <c r="AB68" s="172" t="s">
        <v>128</v>
      </c>
      <c r="AC68" s="180">
        <f>SUM('14'!AC63,'14'!AC65)-'14'!AC67</f>
        <v>-1257.9583333333335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conditionalFormatting sqref="O19">
    <cfRule type="cellIs" priority="4" operator="lessThan">
      <formula>2.5</formula>
    </cfRule>
    <cfRule type="cellIs" priority="5" operator="greaterThan">
      <formula>3</formula>
    </cfRule>
    <cfRule type="cellIs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O16" zoomScaleNormal="100" workbookViewId="0">
      <selection activeCell="AE53" sqref="AE53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83" t="s">
        <v>5</v>
      </c>
      <c r="E2" s="1083"/>
      <c r="F2" s="1083"/>
      <c r="G2" s="1083"/>
      <c r="H2" s="1083"/>
      <c r="I2" s="1083"/>
      <c r="J2" s="1083"/>
      <c r="K2" s="1083"/>
      <c r="L2" s="1083"/>
      <c r="M2" s="1083"/>
      <c r="N2" s="1083"/>
      <c r="O2" s="1083"/>
      <c r="P2" s="1083"/>
      <c r="Q2" s="1083"/>
      <c r="R2" s="1083"/>
      <c r="S2" s="1083"/>
      <c r="T2" s="1083"/>
      <c r="U2" s="108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83"/>
      <c r="E3" s="1083"/>
      <c r="F3" s="1083"/>
      <c r="G3" s="1083"/>
      <c r="H3" s="1083"/>
      <c r="I3" s="1083"/>
      <c r="J3" s="1083"/>
      <c r="K3" s="1083"/>
      <c r="L3" s="1083"/>
      <c r="M3" s="1083"/>
      <c r="N3" s="1083"/>
      <c r="O3" s="1083"/>
      <c r="P3" s="1083"/>
      <c r="Q3" s="1083"/>
      <c r="R3" s="1083"/>
      <c r="S3" s="1083"/>
      <c r="T3" s="1083"/>
      <c r="U3" s="108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1084" t="s">
        <v>12</v>
      </c>
      <c r="S4" s="1084"/>
      <c r="T4" s="93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1084"/>
      <c r="S5" s="1084"/>
      <c r="T5" s="93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3.9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6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173">
        <v>2418</v>
      </c>
      <c r="Z6" s="270">
        <v>839</v>
      </c>
      <c r="AA6" s="15">
        <v>1</v>
      </c>
      <c r="AB6" s="58">
        <f>IF('15'!AA6=1,(('15'!Z6*'15'!$AS$6*'15'!$AT$6)/('15'!Y6*0.0036)),IF('15'!AA6=2,(('15'!Z6*'15'!$AS$7*'15'!$AT$7)/('15'!Y6*0.0036))))</f>
        <v>64.095096958000184</v>
      </c>
      <c r="AC6" s="58"/>
      <c r="AD6" s="18">
        <f>(('15'!AC6*'15'!$Q$10*1000000))/('15'!Y6*3600)</f>
        <v>0</v>
      </c>
      <c r="AE6" s="183"/>
      <c r="AF6" s="184">
        <f>('15'!AE6/24)*0.454</f>
        <v>0</v>
      </c>
      <c r="AG6" s="19"/>
      <c r="AH6" s="184">
        <f>('15'!AG6/24)*0.454</f>
        <v>0</v>
      </c>
      <c r="AI6" s="183">
        <v>4400</v>
      </c>
      <c r="AJ6" s="184">
        <f>('15'!AI6/24)*0.454</f>
        <v>83.233333333333334</v>
      </c>
      <c r="AK6" s="21"/>
      <c r="AL6" s="185">
        <f>('15'!AK6/24)*0.454</f>
        <v>0</v>
      </c>
      <c r="AM6" s="21"/>
      <c r="AN6" s="185">
        <f>('15'!AM6/24)*0.454</f>
        <v>0</v>
      </c>
      <c r="AO6" s="21"/>
      <c r="AP6" s="185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6">
        <v>80</v>
      </c>
      <c r="C7" s="186">
        <v>10</v>
      </c>
      <c r="D7" s="186">
        <v>10</v>
      </c>
      <c r="E7" s="186">
        <v>2.5</v>
      </c>
      <c r="F7" s="186">
        <v>13</v>
      </c>
      <c r="G7" s="186">
        <v>1.4</v>
      </c>
      <c r="H7" s="186">
        <v>1.1000000000000001</v>
      </c>
      <c r="I7" s="186">
        <v>0.3</v>
      </c>
      <c r="J7" s="186">
        <v>0.3</v>
      </c>
      <c r="K7" s="186">
        <v>7.3</v>
      </c>
      <c r="L7" s="186">
        <v>6.5</v>
      </c>
      <c r="M7" s="186">
        <v>6.5</v>
      </c>
      <c r="N7" s="186">
        <v>6.3</v>
      </c>
      <c r="O7" s="186">
        <v>3.2</v>
      </c>
      <c r="P7" s="186"/>
      <c r="Q7" s="186"/>
      <c r="R7" s="37">
        <f>'14'!$Z$29</f>
        <v>839</v>
      </c>
      <c r="S7" s="187">
        <f>'14'!$AB$29</f>
        <v>64.52204181700435</v>
      </c>
      <c r="T7" s="37">
        <f>'14'!$Y$29</f>
        <v>2402</v>
      </c>
      <c r="U7" s="33" t="str">
        <f>IF('15'!AA6=1,'15'!AR6,'15'!AR7)</f>
        <v>S.A.L</v>
      </c>
      <c r="V7" s="1022">
        <f>ESCALA!$C$16</f>
        <v>0</v>
      </c>
      <c r="W7" s="1022"/>
      <c r="X7" s="13">
        <v>8.3333333333333301E-2</v>
      </c>
      <c r="Y7" s="173">
        <v>2401</v>
      </c>
      <c r="Z7" s="270">
        <v>839</v>
      </c>
      <c r="AA7" s="15">
        <v>1</v>
      </c>
      <c r="AB7" s="58">
        <f>IF('15'!AA7=1,(('15'!Z7*'15'!$AS$6*'15'!$AT$6)/('15'!Y7*0.0036)),IF('15'!AA7=2,(('15'!Z7*'15'!$AS$7*'15'!$AT$7)/('15'!Y7*0.0036))))</f>
        <v>64.54891480401686</v>
      </c>
      <c r="AC7" s="58"/>
      <c r="AD7" s="18">
        <f>(('15'!AC7*'15'!$Q$10*1000000))/('15'!Y7*3600)</f>
        <v>0</v>
      </c>
      <c r="AE7" s="183"/>
      <c r="AF7" s="184">
        <f>('15'!AE7/24)*0.454</f>
        <v>0</v>
      </c>
      <c r="AG7" s="19"/>
      <c r="AH7" s="184">
        <f>('15'!AG7/24)*0.454</f>
        <v>0</v>
      </c>
      <c r="AI7" s="183">
        <v>4400</v>
      </c>
      <c r="AJ7" s="184">
        <f>('15'!AI7/24)*0.454</f>
        <v>83.233333333333334</v>
      </c>
      <c r="AK7" s="21"/>
      <c r="AL7" s="185">
        <f>('15'!AK7/24)*0.454</f>
        <v>0</v>
      </c>
      <c r="AM7" s="21"/>
      <c r="AN7" s="185">
        <f>('15'!AM7/24)*0.454</f>
        <v>0</v>
      </c>
      <c r="AO7" s="21"/>
      <c r="AP7" s="185">
        <f>('15'!AO7/24)*0.454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5" customHeight="1">
      <c r="A8" s="28">
        <v>8.3333333333333301E-2</v>
      </c>
      <c r="B8" s="186">
        <v>80</v>
      </c>
      <c r="C8" s="186">
        <v>10</v>
      </c>
      <c r="D8" s="186">
        <v>10</v>
      </c>
      <c r="E8" s="186">
        <v>2.5</v>
      </c>
      <c r="F8" s="186">
        <v>13</v>
      </c>
      <c r="G8" s="186">
        <v>1.5</v>
      </c>
      <c r="H8" s="186">
        <v>1.1000000000000001</v>
      </c>
      <c r="I8" s="186">
        <v>0.3</v>
      </c>
      <c r="J8" s="186">
        <v>0.4</v>
      </c>
      <c r="K8" s="186">
        <v>7.3</v>
      </c>
      <c r="L8" s="186">
        <v>6.5</v>
      </c>
      <c r="M8" s="186">
        <v>6.5</v>
      </c>
      <c r="N8" s="186">
        <v>6.3</v>
      </c>
      <c r="O8" s="186">
        <v>3.2</v>
      </c>
      <c r="P8" s="186"/>
      <c r="Q8" s="186"/>
      <c r="R8" s="35">
        <f>'15'!Z7</f>
        <v>839</v>
      </c>
      <c r="S8" s="36">
        <f>'15'!AB7</f>
        <v>64.54891480401686</v>
      </c>
      <c r="T8" s="37">
        <f>'15'!Y8</f>
        <v>2388</v>
      </c>
      <c r="U8" s="33" t="str">
        <f>IF('15'!AA7=1,'15'!AR6,'15'!AR7)</f>
        <v>S.A.L</v>
      </c>
      <c r="V8" s="1022"/>
      <c r="W8" s="1022"/>
      <c r="X8" s="13">
        <v>0.125</v>
      </c>
      <c r="Y8" s="173">
        <v>2388</v>
      </c>
      <c r="Z8" s="270">
        <v>839</v>
      </c>
      <c r="AA8" s="15">
        <v>1</v>
      </c>
      <c r="AB8" s="58">
        <f>IF('15'!AA8=1,(('15'!Z8*'15'!$AS$6*'15'!$AT$6)/('15'!Y8*0.0036)),IF('15'!AA8=2,(('15'!Z8*'15'!$AS$7*'15'!$AT$7)/('15'!Y8*0.0036))))</f>
        <v>64.900311743904709</v>
      </c>
      <c r="AC8" s="58"/>
      <c r="AD8" s="18">
        <f>(('15'!AC8*'15'!$Q$10*1000000))/('15'!Y8*3600)</f>
        <v>0</v>
      </c>
      <c r="AE8" s="183"/>
      <c r="AF8" s="184">
        <f>('15'!AE8/24)*0.454</f>
        <v>0</v>
      </c>
      <c r="AG8" s="19"/>
      <c r="AH8" s="184">
        <f>('15'!AG8/24)*0.454</f>
        <v>0</v>
      </c>
      <c r="AI8" s="183">
        <v>4400</v>
      </c>
      <c r="AJ8" s="184">
        <f>('15'!AI8/24)*0.454</f>
        <v>83.233333333333334</v>
      </c>
      <c r="AK8" s="21"/>
      <c r="AL8" s="185">
        <f>('15'!AK8/24)*0.454</f>
        <v>0</v>
      </c>
      <c r="AM8" s="21"/>
      <c r="AN8" s="185">
        <f>('15'!AM8/24)*0.454</f>
        <v>0</v>
      </c>
      <c r="AO8" s="21"/>
      <c r="AP8" s="185">
        <f>('15'!AO8/24)*0.454</f>
        <v>0</v>
      </c>
      <c r="AQ8" s="941" t="s">
        <v>50</v>
      </c>
      <c r="AR8" s="941"/>
      <c r="AS8" s="941"/>
      <c r="AT8" s="941"/>
    </row>
    <row r="9" spans="1:47" ht="15" customHeight="1">
      <c r="A9" s="28">
        <v>0.16666666666666699</v>
      </c>
      <c r="B9" s="186">
        <v>80</v>
      </c>
      <c r="C9" s="186">
        <v>10</v>
      </c>
      <c r="D9" s="186">
        <v>10</v>
      </c>
      <c r="E9" s="186">
        <v>2.5</v>
      </c>
      <c r="F9" s="186">
        <v>14</v>
      </c>
      <c r="G9" s="186">
        <v>1.5</v>
      </c>
      <c r="H9" s="186">
        <v>1.1000000000000001</v>
      </c>
      <c r="I9" s="186">
        <v>0.3</v>
      </c>
      <c r="J9" s="186">
        <v>0.4</v>
      </c>
      <c r="K9" s="186">
        <v>7.3</v>
      </c>
      <c r="L9" s="186">
        <v>6.5</v>
      </c>
      <c r="M9" s="186">
        <v>6.5</v>
      </c>
      <c r="N9" s="186">
        <v>6.3</v>
      </c>
      <c r="O9" s="186">
        <v>3</v>
      </c>
      <c r="P9" s="186"/>
      <c r="Q9" s="186"/>
      <c r="R9" s="282">
        <f>'15'!Z9</f>
        <v>839</v>
      </c>
      <c r="S9" s="36">
        <f>'15'!AB9</f>
        <v>64.57581018518519</v>
      </c>
      <c r="T9" s="37">
        <f>'15'!Y10</f>
        <v>2426</v>
      </c>
      <c r="U9" s="33" t="str">
        <f>IF('15'!AA9=1,'15'!AR6,'15'!AR7)</f>
        <v>S.A.L</v>
      </c>
      <c r="V9" s="1022"/>
      <c r="W9" s="1022"/>
      <c r="X9" s="13">
        <v>0.16666666666666699</v>
      </c>
      <c r="Y9" s="173">
        <v>2400</v>
      </c>
      <c r="Z9" s="270">
        <v>839</v>
      </c>
      <c r="AA9" s="15">
        <v>1</v>
      </c>
      <c r="AB9" s="58">
        <f>IF('15'!AA9=1,(('15'!Z9*'15'!$AS$6*'15'!$AT$6)/('15'!Y9*0.0036)),IF('15'!AA9=2,(('15'!Z9*'15'!$AS$7*'15'!$AT$7)/('15'!Y9*0.0036))))</f>
        <v>64.57581018518519</v>
      </c>
      <c r="AC9" s="58"/>
      <c r="AD9" s="18">
        <f>(('15'!AC9*'15'!$Q$10*1000000))/('15'!Y9*3600)</f>
        <v>0</v>
      </c>
      <c r="AE9" s="183"/>
      <c r="AF9" s="184">
        <f>('15'!AE9/24)*0.454</f>
        <v>0</v>
      </c>
      <c r="AG9" s="19"/>
      <c r="AH9" s="184">
        <f>('15'!AG9/24)*0.454</f>
        <v>0</v>
      </c>
      <c r="AI9" s="183">
        <v>4400</v>
      </c>
      <c r="AJ9" s="184">
        <f>('15'!AI9/24)*0.454</f>
        <v>83.233333333333334</v>
      </c>
      <c r="AK9" s="21"/>
      <c r="AL9" s="185">
        <f>('15'!AK9/24)*0.454</f>
        <v>0</v>
      </c>
      <c r="AM9" s="21"/>
      <c r="AN9" s="185">
        <f>('15'!AM9/24)*0.454</f>
        <v>0</v>
      </c>
      <c r="AO9" s="21"/>
      <c r="AP9" s="185">
        <f>('15'!AO9/24)*0.454</f>
        <v>0</v>
      </c>
      <c r="AQ9" s="942" t="s">
        <v>37</v>
      </c>
      <c r="AR9" s="942"/>
      <c r="AS9" s="942"/>
      <c r="AT9" s="38" t="s">
        <v>39</v>
      </c>
    </row>
    <row r="10" spans="1:47" ht="15" customHeight="1">
      <c r="A10" s="28">
        <v>0.25</v>
      </c>
      <c r="B10" s="186">
        <v>80</v>
      </c>
      <c r="C10" s="186">
        <v>10</v>
      </c>
      <c r="D10" s="186">
        <v>10</v>
      </c>
      <c r="E10" s="186">
        <v>2.5</v>
      </c>
      <c r="F10" s="186">
        <v>14</v>
      </c>
      <c r="G10" s="186">
        <v>1.6</v>
      </c>
      <c r="H10" s="186">
        <v>1.1000000000000001</v>
      </c>
      <c r="I10" s="186">
        <v>0.3</v>
      </c>
      <c r="J10" s="186">
        <v>0.4</v>
      </c>
      <c r="K10" s="186">
        <v>7.3</v>
      </c>
      <c r="L10" s="186">
        <v>6.5</v>
      </c>
      <c r="M10" s="186">
        <v>6.5</v>
      </c>
      <c r="N10" s="186">
        <v>6.3</v>
      </c>
      <c r="O10" s="186">
        <v>3</v>
      </c>
      <c r="P10" s="186"/>
      <c r="Q10" s="186"/>
      <c r="R10" s="282">
        <f>'15'!Z11</f>
        <v>839</v>
      </c>
      <c r="S10" s="36">
        <f>'15'!AB11</f>
        <v>64.015673046032404</v>
      </c>
      <c r="T10" s="37">
        <f>'15'!Y12</f>
        <v>2401</v>
      </c>
      <c r="U10" s="33" t="str">
        <f>IF('15'!AA11=1,'15'!AR6,'15'!AR7)</f>
        <v>S.A.L</v>
      </c>
      <c r="V10" s="1022"/>
      <c r="W10" s="1022"/>
      <c r="X10" s="13">
        <v>0.20833333333333301</v>
      </c>
      <c r="Y10" s="173">
        <v>2426</v>
      </c>
      <c r="Z10" s="270">
        <v>839</v>
      </c>
      <c r="AA10" s="15">
        <v>1</v>
      </c>
      <c r="AB10" s="58">
        <f>IF('15'!AA10=1,(('15'!Z10*'15'!$AS$6*'15'!$AT$6)/('15'!Y10*0.0036)),IF('15'!AA10=2,(('15'!Z10*'15'!$AS$7*'15'!$AT$7)/('15'!Y10*0.0036))))</f>
        <v>63.883736374461861</v>
      </c>
      <c r="AC10" s="58"/>
      <c r="AD10" s="18">
        <f>(('15'!AC10*'15'!$Q$10*1000000))/('15'!Y10*3600)</f>
        <v>0</v>
      </c>
      <c r="AE10" s="183"/>
      <c r="AF10" s="184">
        <f>('15'!AE10/24)*0.454</f>
        <v>0</v>
      </c>
      <c r="AG10" s="19"/>
      <c r="AH10" s="184">
        <f>('15'!AG10/24)*0.454</f>
        <v>0</v>
      </c>
      <c r="AI10" s="183">
        <v>4400</v>
      </c>
      <c r="AJ10" s="184">
        <f>('15'!AI10/24)*0.454</f>
        <v>83.233333333333334</v>
      </c>
      <c r="AK10" s="21"/>
      <c r="AL10" s="185">
        <f>('15'!AK10/24)*0.454</f>
        <v>0</v>
      </c>
      <c r="AM10" s="21"/>
      <c r="AN10" s="185">
        <f>('15'!AM10/24)*0.454</f>
        <v>0</v>
      </c>
      <c r="AO10" s="21"/>
      <c r="AP10" s="185">
        <f>('15'!AO10/24)*0.454</f>
        <v>0</v>
      </c>
      <c r="AQ10" s="943" t="s">
        <v>51</v>
      </c>
      <c r="AR10" s="943"/>
      <c r="AS10" s="943"/>
      <c r="AT10" s="41">
        <v>2E-3</v>
      </c>
    </row>
    <row r="11" spans="1:47" ht="15" customHeight="1">
      <c r="A11" s="28">
        <v>0.33333333333333298</v>
      </c>
      <c r="B11" s="186">
        <v>80</v>
      </c>
      <c r="C11" s="186">
        <v>10</v>
      </c>
      <c r="D11" s="186">
        <v>10</v>
      </c>
      <c r="E11" s="186">
        <v>2.5</v>
      </c>
      <c r="F11" s="186">
        <v>15</v>
      </c>
      <c r="G11" s="186">
        <v>1.8</v>
      </c>
      <c r="H11" s="186">
        <v>1.6</v>
      </c>
      <c r="I11" s="186">
        <v>0.3</v>
      </c>
      <c r="J11" s="186">
        <v>0.4</v>
      </c>
      <c r="K11" s="186">
        <v>7.3</v>
      </c>
      <c r="L11" s="186">
        <v>6.5</v>
      </c>
      <c r="M11" s="186">
        <v>6.5</v>
      </c>
      <c r="N11" s="186">
        <v>6.3</v>
      </c>
      <c r="O11" s="186">
        <v>3</v>
      </c>
      <c r="P11" s="186"/>
      <c r="Q11" s="186"/>
      <c r="R11" s="282">
        <f>'15'!Z13</f>
        <v>839</v>
      </c>
      <c r="S11" s="36">
        <f>'15'!AB13</f>
        <v>64.954712675793999</v>
      </c>
      <c r="T11" s="37">
        <f>'15'!Y14</f>
        <v>2378</v>
      </c>
      <c r="U11" s="33" t="str">
        <f>IF('15'!AA13=1,'15'!AR6,'15'!AR7)</f>
        <v>S.A.L</v>
      </c>
      <c r="V11" s="1022"/>
      <c r="W11" s="1022"/>
      <c r="X11" s="13">
        <v>0.25</v>
      </c>
      <c r="Y11" s="173">
        <v>2421</v>
      </c>
      <c r="Z11" s="270">
        <v>839</v>
      </c>
      <c r="AA11" s="15">
        <v>1</v>
      </c>
      <c r="AB11" s="58">
        <f>IF('15'!AA11=1,(('15'!Z11*'15'!$AS$6*'15'!$AT$6)/('15'!Y11*0.0036)),IF('15'!AA11=2,(('15'!Z11*'15'!$AS$7*'15'!$AT$7)/('15'!Y11*0.0036))))</f>
        <v>64.015673046032404</v>
      </c>
      <c r="AC11" s="58"/>
      <c r="AD11" s="18">
        <f>(('15'!AC11*'15'!$Q$10*1000000))/('15'!Y11*3600)</f>
        <v>0</v>
      </c>
      <c r="AE11" s="183"/>
      <c r="AF11" s="184">
        <f>('15'!AE11/24)*0.454</f>
        <v>0</v>
      </c>
      <c r="AG11" s="19"/>
      <c r="AH11" s="184">
        <f>('15'!AG11/24)*0.454</f>
        <v>0</v>
      </c>
      <c r="AI11" s="183">
        <v>4400</v>
      </c>
      <c r="AJ11" s="184">
        <f>('15'!AI11/24)*0.454</f>
        <v>83.233333333333334</v>
      </c>
      <c r="AK11" s="21"/>
      <c r="AL11" s="185">
        <f>('15'!AK11/24)*0.454</f>
        <v>0</v>
      </c>
      <c r="AM11" s="21"/>
      <c r="AN11" s="185">
        <f>('15'!AM11/24)*0.454</f>
        <v>0</v>
      </c>
      <c r="AO11" s="21"/>
      <c r="AP11" s="185">
        <f>('15'!AO11/24)*0.454</f>
        <v>0</v>
      </c>
    </row>
    <row r="12" spans="1:47" ht="15" customHeight="1">
      <c r="A12" s="28">
        <v>0.41666666666666702</v>
      </c>
      <c r="B12" s="186">
        <v>80</v>
      </c>
      <c r="C12" s="186">
        <v>10</v>
      </c>
      <c r="D12" s="186">
        <v>10</v>
      </c>
      <c r="E12" s="186">
        <v>2.5</v>
      </c>
      <c r="F12" s="186">
        <v>16</v>
      </c>
      <c r="G12" s="186">
        <v>1.8</v>
      </c>
      <c r="H12" s="186">
        <v>1.6</v>
      </c>
      <c r="I12" s="186">
        <v>0.3</v>
      </c>
      <c r="J12" s="186">
        <v>0.5</v>
      </c>
      <c r="K12" s="186">
        <v>7.3</v>
      </c>
      <c r="L12" s="186">
        <v>6.5</v>
      </c>
      <c r="M12" s="186">
        <v>6.5</v>
      </c>
      <c r="N12" s="186">
        <v>6.3</v>
      </c>
      <c r="O12" s="186">
        <v>3</v>
      </c>
      <c r="P12" s="186"/>
      <c r="Q12" s="186"/>
      <c r="R12" s="282">
        <f>'15'!Z15</f>
        <v>839</v>
      </c>
      <c r="S12" s="36">
        <f>'15'!AB15</f>
        <v>64.254537497696717</v>
      </c>
      <c r="T12" s="37">
        <f>'15'!Y16</f>
        <v>2406</v>
      </c>
      <c r="U12" s="33" t="str">
        <f>IF('15'!AA15=1,'15'!AR6,'15'!AR7)</f>
        <v>S.A.L</v>
      </c>
      <c r="V12" s="944">
        <f>ESCALA!$B$17</f>
        <v>0</v>
      </c>
      <c r="W12" s="944"/>
      <c r="X12" s="13">
        <v>0.29166666666666702</v>
      </c>
      <c r="Y12" s="173">
        <v>2401</v>
      </c>
      <c r="Z12" s="270">
        <v>839</v>
      </c>
      <c r="AA12" s="15">
        <v>1</v>
      </c>
      <c r="AB12" s="58">
        <f>IF('15'!AA12=1,(('15'!Z12*'15'!$AS$6*'15'!$AT$6)/('15'!Y12*0.0036)),IF('15'!AA12=2,(('15'!Z12*'15'!$AS$7*'15'!$AT$7)/('15'!Y12*0.0036))))</f>
        <v>64.54891480401686</v>
      </c>
      <c r="AC12" s="58"/>
      <c r="AD12" s="18">
        <f>(('15'!AC12*'15'!$Q$10*1000000))/('15'!Y12*3600)</f>
        <v>0</v>
      </c>
      <c r="AE12" s="183"/>
      <c r="AF12" s="184">
        <f>('15'!AE12/24)*0.454</f>
        <v>0</v>
      </c>
      <c r="AG12" s="19"/>
      <c r="AH12" s="184">
        <f>('15'!AG12/24)*0.454</f>
        <v>0</v>
      </c>
      <c r="AI12" s="183">
        <v>4400</v>
      </c>
      <c r="AJ12" s="184">
        <f>('15'!AI12/24)*0.454</f>
        <v>83.233333333333334</v>
      </c>
      <c r="AK12" s="21"/>
      <c r="AL12" s="185">
        <f>('15'!AK12/24)*0.454</f>
        <v>0</v>
      </c>
      <c r="AM12" s="21"/>
      <c r="AN12" s="185">
        <f>('15'!AM12/24)*0.454</f>
        <v>0</v>
      </c>
      <c r="AO12" s="21"/>
      <c r="AP12" s="185">
        <f>('15'!AO12/24)*0.454</f>
        <v>0</v>
      </c>
    </row>
    <row r="13" spans="1:47" ht="15" customHeight="1">
      <c r="A13" s="28">
        <v>0.5</v>
      </c>
      <c r="B13" s="186">
        <v>80</v>
      </c>
      <c r="C13" s="186">
        <v>10</v>
      </c>
      <c r="D13" s="186">
        <v>10</v>
      </c>
      <c r="E13" s="186">
        <v>2.5</v>
      </c>
      <c r="F13" s="186">
        <v>16</v>
      </c>
      <c r="G13" s="186">
        <v>1.9</v>
      </c>
      <c r="H13" s="186">
        <v>1.6</v>
      </c>
      <c r="I13" s="186">
        <v>0.4</v>
      </c>
      <c r="J13" s="186">
        <v>0.5</v>
      </c>
      <c r="K13" s="186">
        <v>7.3</v>
      </c>
      <c r="L13" s="186">
        <v>6.5</v>
      </c>
      <c r="M13" s="186">
        <v>6.5</v>
      </c>
      <c r="N13" s="186">
        <v>6.3</v>
      </c>
      <c r="O13" s="186">
        <v>3</v>
      </c>
      <c r="P13" s="186"/>
      <c r="Q13" s="186"/>
      <c r="R13" s="282">
        <f>'15'!Z17</f>
        <v>839</v>
      </c>
      <c r="S13" s="36">
        <f>'15'!AB17</f>
        <v>63.857414274595989</v>
      </c>
      <c r="T13" s="37">
        <f>'15'!Y18</f>
        <v>2445</v>
      </c>
      <c r="U13" s="33" t="str">
        <f>IF('15'!AA17=1,'15'!AR6,'15'!AR7)</f>
        <v>S.A.L</v>
      </c>
      <c r="V13" s="944"/>
      <c r="W13" s="944"/>
      <c r="X13" s="13">
        <v>0.33333333333333298</v>
      </c>
      <c r="Y13" s="173">
        <v>2386</v>
      </c>
      <c r="Z13" s="270">
        <v>839</v>
      </c>
      <c r="AA13" s="15">
        <v>1</v>
      </c>
      <c r="AB13" s="58">
        <f>IF('15'!AA13=1,(('15'!Z13*'15'!$AS$6*'15'!$AT$6)/('15'!Y13*0.0036)),IF('15'!AA13=2,(('15'!Z13*'15'!$AS$7*'15'!$AT$7)/('15'!Y13*0.0036))))</f>
        <v>64.954712675793999</v>
      </c>
      <c r="AC13" s="58"/>
      <c r="AD13" s="18">
        <f>(('15'!AC13*'15'!$Q$10*1000000))/('15'!Y13*3600)</f>
        <v>0</v>
      </c>
      <c r="AE13" s="183"/>
      <c r="AF13" s="184">
        <f>('15'!AE13/24)*0.454</f>
        <v>0</v>
      </c>
      <c r="AG13" s="19"/>
      <c r="AH13" s="184">
        <f>('15'!AG13/24)*0.454</f>
        <v>0</v>
      </c>
      <c r="AI13" s="183">
        <v>4400</v>
      </c>
      <c r="AJ13" s="184">
        <f>('15'!AI13/24)*0.454</f>
        <v>83.233333333333334</v>
      </c>
      <c r="AK13" s="21"/>
      <c r="AL13" s="185">
        <f>('15'!AK13/24)*0.454</f>
        <v>0</v>
      </c>
      <c r="AM13" s="21"/>
      <c r="AN13" s="185">
        <f>('15'!AM13/24)*0.454</f>
        <v>0</v>
      </c>
      <c r="AO13" s="21"/>
      <c r="AP13" s="185">
        <f>('15'!AO13/24)*0.454</f>
        <v>0</v>
      </c>
    </row>
    <row r="14" spans="1:47" ht="15" customHeight="1">
      <c r="A14" s="28">
        <v>0.58333333333333304</v>
      </c>
      <c r="B14" s="186">
        <v>80</v>
      </c>
      <c r="C14" s="186">
        <v>10</v>
      </c>
      <c r="D14" s="186">
        <v>10</v>
      </c>
      <c r="E14" s="186">
        <v>2.5</v>
      </c>
      <c r="F14" s="186">
        <v>14</v>
      </c>
      <c r="G14" s="186">
        <v>1.9</v>
      </c>
      <c r="H14" s="186">
        <v>1.6</v>
      </c>
      <c r="I14" s="186">
        <v>0.4</v>
      </c>
      <c r="J14" s="186">
        <v>0.5</v>
      </c>
      <c r="K14" s="186">
        <v>7.3</v>
      </c>
      <c r="L14" s="186">
        <v>6.5</v>
      </c>
      <c r="M14" s="186">
        <v>6.5</v>
      </c>
      <c r="N14" s="186">
        <v>6.3</v>
      </c>
      <c r="O14" s="186">
        <v>3</v>
      </c>
      <c r="P14" s="186"/>
      <c r="Q14" s="186"/>
      <c r="R14" s="282">
        <f>'15'!Z19</f>
        <v>839</v>
      </c>
      <c r="S14" s="36">
        <f>'15'!AB19</f>
        <v>61.549620510105029</v>
      </c>
      <c r="T14" s="37">
        <f>'15'!Y20</f>
        <v>2467</v>
      </c>
      <c r="U14" s="33" t="str">
        <f>IF('15'!AA19=1,'15'!AR6,'15'!AR7)</f>
        <v>S.A.L</v>
      </c>
      <c r="V14" s="944"/>
      <c r="W14" s="944"/>
      <c r="X14" s="13">
        <v>0.375</v>
      </c>
      <c r="Y14" s="173">
        <v>2378</v>
      </c>
      <c r="Z14" s="270">
        <v>839</v>
      </c>
      <c r="AA14" s="15">
        <v>1</v>
      </c>
      <c r="AB14" s="58">
        <f>IF('15'!AA14=1,(('15'!Z14*'15'!$AS$6*'15'!$AT$6)/('15'!Y14*0.0036)),IF('15'!AA14=2,(('15'!Z14*'15'!$AS$7*'15'!$AT$7)/('15'!Y14*0.0036))))</f>
        <v>65.173231473694045</v>
      </c>
      <c r="AC14" s="58"/>
      <c r="AD14" s="18">
        <f>(('15'!AC14*'15'!$Q$10*1000000))/('15'!Y14*3600)</f>
        <v>0</v>
      </c>
      <c r="AE14" s="183"/>
      <c r="AF14" s="184">
        <f>('15'!AE14/24)*0.454</f>
        <v>0</v>
      </c>
      <c r="AG14" s="19"/>
      <c r="AH14" s="184">
        <f>('15'!AG14/24)*0.454</f>
        <v>0</v>
      </c>
      <c r="AI14" s="183">
        <v>4400</v>
      </c>
      <c r="AJ14" s="184">
        <f>('15'!AI14/24)*0.454</f>
        <v>83.233333333333334</v>
      </c>
      <c r="AK14" s="21"/>
      <c r="AL14" s="185">
        <f>('15'!AK14/24)*0.454</f>
        <v>0</v>
      </c>
      <c r="AM14" s="21"/>
      <c r="AN14" s="185">
        <f>('15'!AM14/24)*0.454</f>
        <v>0</v>
      </c>
      <c r="AO14" s="21"/>
      <c r="AP14" s="185">
        <f>('15'!AO14/24)*0.454</f>
        <v>0</v>
      </c>
    </row>
    <row r="15" spans="1:47" ht="15" customHeight="1">
      <c r="A15" s="28">
        <v>0.66666666666666696</v>
      </c>
      <c r="B15" s="186">
        <v>80</v>
      </c>
      <c r="C15" s="186">
        <v>10</v>
      </c>
      <c r="D15" s="186">
        <v>10</v>
      </c>
      <c r="E15" s="186">
        <v>2.5</v>
      </c>
      <c r="F15" s="186">
        <v>13</v>
      </c>
      <c r="G15" s="186">
        <v>1.8</v>
      </c>
      <c r="H15" s="186">
        <v>1.5</v>
      </c>
      <c r="I15" s="186">
        <v>0.4</v>
      </c>
      <c r="J15" s="186">
        <v>0.5</v>
      </c>
      <c r="K15" s="186">
        <v>7.3</v>
      </c>
      <c r="L15" s="186">
        <v>6.5</v>
      </c>
      <c r="M15" s="186">
        <v>6.5</v>
      </c>
      <c r="N15" s="186">
        <v>6.3</v>
      </c>
      <c r="O15" s="186">
        <v>3.2</v>
      </c>
      <c r="P15" s="186"/>
      <c r="Q15" s="186"/>
      <c r="R15" s="282">
        <f>'15'!Z21</f>
        <v>839</v>
      </c>
      <c r="S15" s="36">
        <f>'15'!AB21</f>
        <v>63.491169375028463</v>
      </c>
      <c r="T15" s="37">
        <f>'15'!Y22</f>
        <v>2416</v>
      </c>
      <c r="U15" s="33" t="str">
        <f>IF('15'!AA21=1,'15'!AR6,'15'!AR7)</f>
        <v>S.A.L</v>
      </c>
      <c r="V15" s="944"/>
      <c r="W15" s="944"/>
      <c r="X15" s="13">
        <v>0.41666666666666702</v>
      </c>
      <c r="Y15" s="173">
        <v>2412</v>
      </c>
      <c r="Z15" s="270">
        <v>839</v>
      </c>
      <c r="AA15" s="15">
        <v>1</v>
      </c>
      <c r="AB15" s="58">
        <f>IF('15'!AA15=1,(('15'!Z15*'15'!$AS$6*'15'!$AT$6)/('15'!Y15*0.0036)),IF('15'!AA15=2,(('15'!Z15*'15'!$AS$7*'15'!$AT$7)/('15'!Y15*0.0036))))</f>
        <v>64.254537497696717</v>
      </c>
      <c r="AC15" s="58"/>
      <c r="AD15" s="18">
        <f>(('15'!AC15*'15'!$Q$10*1000000))/('15'!Y15*3600)</f>
        <v>0</v>
      </c>
      <c r="AE15" s="183"/>
      <c r="AF15" s="184">
        <f>('15'!AE15/24)*0.454</f>
        <v>0</v>
      </c>
      <c r="AG15" s="19"/>
      <c r="AH15" s="184">
        <f>('15'!AG15/24)*0.454</f>
        <v>0</v>
      </c>
      <c r="AI15" s="183">
        <v>4400</v>
      </c>
      <c r="AJ15" s="184">
        <f>('15'!AI15/24)*0.454</f>
        <v>83.233333333333334</v>
      </c>
      <c r="AK15" s="21"/>
      <c r="AL15" s="185">
        <f>('15'!AK15/24)*0.454</f>
        <v>0</v>
      </c>
      <c r="AM15" s="21"/>
      <c r="AN15" s="185">
        <f>('15'!AM15/24)*0.454</f>
        <v>0</v>
      </c>
      <c r="AO15" s="21"/>
      <c r="AP15" s="185">
        <f>('15'!AO15/24)*0.454</f>
        <v>0</v>
      </c>
    </row>
    <row r="16" spans="1:47" ht="15" customHeight="1">
      <c r="A16" s="28">
        <v>0.75</v>
      </c>
      <c r="B16" s="186">
        <v>80</v>
      </c>
      <c r="C16" s="186">
        <v>10</v>
      </c>
      <c r="D16" s="186">
        <v>10</v>
      </c>
      <c r="E16" s="186">
        <v>2.5</v>
      </c>
      <c r="F16" s="186">
        <v>12</v>
      </c>
      <c r="G16" s="186">
        <v>1.8</v>
      </c>
      <c r="H16" s="186">
        <v>1.3</v>
      </c>
      <c r="I16" s="186">
        <v>0.5</v>
      </c>
      <c r="J16" s="186">
        <v>0.5</v>
      </c>
      <c r="K16" s="186">
        <v>7.3</v>
      </c>
      <c r="L16" s="186">
        <v>6.5</v>
      </c>
      <c r="M16" s="186">
        <v>6.5</v>
      </c>
      <c r="N16" s="186">
        <v>6.3</v>
      </c>
      <c r="O16" s="186">
        <v>3.2</v>
      </c>
      <c r="P16" s="186"/>
      <c r="Q16" s="186"/>
      <c r="R16" s="282">
        <f>'15'!Z23</f>
        <v>839</v>
      </c>
      <c r="S16" s="36">
        <f>'15'!AB23</f>
        <v>65.893683862433875</v>
      </c>
      <c r="T16" s="37">
        <f>'15'!Y24</f>
        <v>2397</v>
      </c>
      <c r="U16" s="33" t="str">
        <f>IF('15'!AA23=1,'15'!AR6,'15'!AR7)</f>
        <v>S.A.L</v>
      </c>
      <c r="V16" s="944"/>
      <c r="W16" s="944"/>
      <c r="X16" s="13">
        <v>0.45833333333333298</v>
      </c>
      <c r="Y16" s="173">
        <v>2406</v>
      </c>
      <c r="Z16" s="270">
        <v>839</v>
      </c>
      <c r="AA16" s="15">
        <v>1</v>
      </c>
      <c r="AB16" s="58">
        <f>IF('15'!AA16=1,(('15'!Z16*'15'!$AS$6*'15'!$AT$6)/('15'!Y16*0.0036)),IF('15'!AA16=2,(('15'!Z16*'15'!$AS$7*'15'!$AT$7)/('15'!Y16*0.0036))))</f>
        <v>64.414773252055056</v>
      </c>
      <c r="AC16" s="58"/>
      <c r="AD16" s="18">
        <f>(('15'!AC16*'15'!$Q$10*1000000))/('15'!Y16*3600)</f>
        <v>0</v>
      </c>
      <c r="AE16" s="183"/>
      <c r="AF16" s="184">
        <f>('15'!AE16/24)*0.454</f>
        <v>0</v>
      </c>
      <c r="AG16" s="19"/>
      <c r="AH16" s="184">
        <f>('15'!AG16/24)*0.454</f>
        <v>0</v>
      </c>
      <c r="AI16" s="183">
        <v>4400</v>
      </c>
      <c r="AJ16" s="184">
        <f>('15'!AI16/24)*0.454</f>
        <v>83.233333333333334</v>
      </c>
      <c r="AK16" s="21"/>
      <c r="AL16" s="185">
        <f>('15'!AK16/24)*0.454</f>
        <v>0</v>
      </c>
      <c r="AM16" s="21"/>
      <c r="AN16" s="185">
        <f>('15'!AM16/24)*0.454</f>
        <v>0</v>
      </c>
      <c r="AO16" s="21"/>
      <c r="AP16" s="185">
        <f>('15'!AO16/24)*0.454</f>
        <v>0</v>
      </c>
    </row>
    <row r="17" spans="1:42" ht="15" customHeight="1">
      <c r="A17" s="28">
        <v>0.83333333333333304</v>
      </c>
      <c r="B17" s="186">
        <v>80</v>
      </c>
      <c r="C17" s="186">
        <v>10</v>
      </c>
      <c r="D17" s="186">
        <v>10</v>
      </c>
      <c r="E17" s="186">
        <v>2.5</v>
      </c>
      <c r="F17" s="186">
        <v>11.3</v>
      </c>
      <c r="G17" s="186">
        <v>1.7</v>
      </c>
      <c r="H17" s="186">
        <v>1.2</v>
      </c>
      <c r="I17" s="186">
        <v>0.4</v>
      </c>
      <c r="J17" s="186">
        <v>0.5</v>
      </c>
      <c r="K17" s="186">
        <v>7.3</v>
      </c>
      <c r="L17" s="186">
        <v>6.5</v>
      </c>
      <c r="M17" s="186">
        <v>6.5</v>
      </c>
      <c r="N17" s="186">
        <v>6.3</v>
      </c>
      <c r="O17" s="186">
        <v>3.5</v>
      </c>
      <c r="P17" s="186"/>
      <c r="Q17" s="186"/>
      <c r="R17" s="282">
        <f>'15'!Z25</f>
        <v>839</v>
      </c>
      <c r="S17" s="36">
        <f>'15'!AB25</f>
        <v>62.568407123312262</v>
      </c>
      <c r="T17" s="37">
        <f>'15'!Y26</f>
        <v>2487</v>
      </c>
      <c r="U17" s="33" t="str">
        <f>IF('15'!AA25=1,'15'!AR6,'15'!AR7)</f>
        <v>S.A.L</v>
      </c>
      <c r="V17" s="945">
        <f>ESCALA!$C$17</f>
        <v>0</v>
      </c>
      <c r="W17" s="945"/>
      <c r="X17" s="13">
        <v>0.5</v>
      </c>
      <c r="Y17" s="173">
        <v>2427</v>
      </c>
      <c r="Z17" s="270">
        <v>839</v>
      </c>
      <c r="AA17" s="15">
        <v>1</v>
      </c>
      <c r="AB17" s="58">
        <f>IF('15'!AA17=1,(('15'!Z17*'15'!$AS$6*'15'!$AT$6)/('15'!Y17*0.0036)),IF('15'!AA17=2,(('15'!Z17*'15'!$AS$7*'15'!$AT$7)/('15'!Y17*0.0036))))</f>
        <v>63.857414274595989</v>
      </c>
      <c r="AC17" s="58"/>
      <c r="AD17" s="18">
        <f>(('15'!AC17*'15'!$Q$10*1000000))/('15'!Y17*3600)</f>
        <v>0</v>
      </c>
      <c r="AE17" s="183"/>
      <c r="AF17" s="184">
        <f>('15'!AE17/24)*0.454</f>
        <v>0</v>
      </c>
      <c r="AG17" s="19"/>
      <c r="AH17" s="184">
        <f>('15'!AG17/24)*0.454</f>
        <v>0</v>
      </c>
      <c r="AI17" s="183">
        <v>4400</v>
      </c>
      <c r="AJ17" s="184">
        <f>('15'!AI17/24)*0.454</f>
        <v>83.233333333333334</v>
      </c>
      <c r="AK17" s="21"/>
      <c r="AL17" s="185">
        <f>('15'!AK17/24)*0.454</f>
        <v>0</v>
      </c>
      <c r="AM17" s="21"/>
      <c r="AN17" s="185">
        <f>('15'!AM17/24)*0.454</f>
        <v>0</v>
      </c>
      <c r="AO17" s="21"/>
      <c r="AP17" s="185">
        <f>('15'!AO17/24)*0.454</f>
        <v>0</v>
      </c>
    </row>
    <row r="18" spans="1:42" ht="15" customHeight="1">
      <c r="A18" s="28">
        <v>0.91666666666666696</v>
      </c>
      <c r="B18" s="186">
        <v>80</v>
      </c>
      <c r="C18" s="186">
        <v>10</v>
      </c>
      <c r="D18" s="186">
        <v>10</v>
      </c>
      <c r="E18" s="186">
        <v>2.5</v>
      </c>
      <c r="F18" s="186">
        <v>12.9</v>
      </c>
      <c r="G18" s="186">
        <v>1.7</v>
      </c>
      <c r="H18" s="186">
        <v>1.4</v>
      </c>
      <c r="I18" s="186">
        <v>0.4</v>
      </c>
      <c r="J18" s="186">
        <v>0.5</v>
      </c>
      <c r="K18" s="186">
        <v>7.3</v>
      </c>
      <c r="L18" s="186">
        <v>6.5</v>
      </c>
      <c r="M18" s="186">
        <v>6.5</v>
      </c>
      <c r="N18" s="186">
        <v>6.3</v>
      </c>
      <c r="O18" s="186">
        <v>3.5</v>
      </c>
      <c r="P18" s="186"/>
      <c r="Q18" s="186"/>
      <c r="R18" s="282">
        <f>'15'!Z27</f>
        <v>839</v>
      </c>
      <c r="S18" s="36">
        <f>'15'!AB27</f>
        <v>62.694961344839989</v>
      </c>
      <c r="T18" s="37">
        <f>'15'!Y28</f>
        <v>2373</v>
      </c>
      <c r="U18" s="33" t="str">
        <f>IF('15'!AA27=1,'15'!AR6,'15'!AR7)</f>
        <v>S.A.L</v>
      </c>
      <c r="V18" s="945"/>
      <c r="W18" s="945"/>
      <c r="X18" s="13">
        <v>0.54166666666666696</v>
      </c>
      <c r="Y18" s="173">
        <v>2445</v>
      </c>
      <c r="Z18" s="270">
        <v>839</v>
      </c>
      <c r="AA18" s="15">
        <v>1</v>
      </c>
      <c r="AB18" s="58">
        <f>IF('15'!AA18=1,(('15'!Z18*'15'!$AS$6*'15'!$AT$6)/('15'!Y18*0.0036)),IF('15'!AA18=2,(('15'!Z18*'15'!$AS$7*'15'!$AT$7)/('15'!Y18*0.0036))))</f>
        <v>63.387298341286083</v>
      </c>
      <c r="AC18" s="58"/>
      <c r="AD18" s="18">
        <f>(('15'!AC18*'15'!$Q$10*1000000))/('15'!Y18*3600)</f>
        <v>0</v>
      </c>
      <c r="AE18" s="183"/>
      <c r="AF18" s="184">
        <f>('15'!AE18/24)*0.454</f>
        <v>0</v>
      </c>
      <c r="AG18" s="19"/>
      <c r="AH18" s="184">
        <f>('15'!AG18/24)*0.454</f>
        <v>0</v>
      </c>
      <c r="AI18" s="183">
        <v>4400</v>
      </c>
      <c r="AJ18" s="184">
        <f>('15'!AI18/24)*0.454</f>
        <v>83.233333333333334</v>
      </c>
      <c r="AK18" s="21"/>
      <c r="AL18" s="185">
        <f>('15'!AK18/24)*0.454</f>
        <v>0</v>
      </c>
      <c r="AM18" s="21"/>
      <c r="AN18" s="185">
        <f>('15'!AM18/24)*0.454</f>
        <v>0</v>
      </c>
      <c r="AO18" s="21"/>
      <c r="AP18" s="185">
        <f>('15'!AO18/24)*0.454</f>
        <v>0</v>
      </c>
    </row>
    <row r="19" spans="1:42" ht="14.45" customHeight="1">
      <c r="A19" s="10" t="s">
        <v>52</v>
      </c>
      <c r="B19" s="189">
        <f t="array" ref="B19">IF('15'!B7:B18&gt;0.01,AVERAGE('15'!B7:B18),"")</f>
        <v>80</v>
      </c>
      <c r="C19" s="69">
        <f t="array" ref="C19">IF('15'!C7:C18&gt;0.01,AVERAGE('15'!C7:C18),"")</f>
        <v>10</v>
      </c>
      <c r="D19" s="69">
        <f t="array" ref="D19">IF('15'!D7:D18&gt;0.01,AVERAGE('15'!D7:D18),"")</f>
        <v>10</v>
      </c>
      <c r="E19" s="69">
        <f t="array" ref="E19">IF('15'!E7:E18&gt;0.01,AVERAGE('15'!E7:E18),"")</f>
        <v>2.5</v>
      </c>
      <c r="F19" s="69">
        <f t="array" ref="F19">IF('15'!F7:F18&gt;0.01,AVERAGE('15'!F7:F18),"")</f>
        <v>13.683333333333335</v>
      </c>
      <c r="G19" s="69">
        <f t="array" ref="G19">IF('15'!G7:G18&gt;0.01,AVERAGE('15'!G7:G18),"")</f>
        <v>1.7</v>
      </c>
      <c r="H19" s="69">
        <f t="array" ref="H19">IF('15'!H7:H18&gt;0.01,AVERAGE('15'!H7:H18),"")</f>
        <v>1.3499999999999999</v>
      </c>
      <c r="I19" s="69">
        <f t="array" ref="I19">IF('15'!I7:I18&gt;0.01,AVERAGE('15'!I7:I18),"")</f>
        <v>0.35833333333333334</v>
      </c>
      <c r="J19" s="69">
        <f t="array" ref="J19">IF('15'!J7:J18&gt;0.01,AVERAGE('15'!J7:J18),"")</f>
        <v>0.45</v>
      </c>
      <c r="K19" s="69">
        <f t="array" ref="K19">IF('15'!K7:K18&gt;0.01,AVERAGE('15'!K7:K18),"")</f>
        <v>7.299999999999998</v>
      </c>
      <c r="L19" s="69">
        <f t="array" ref="L19">IF('15'!L7:L18&gt;0.01,AVERAGE('15'!L7:L18),"")</f>
        <v>6.5</v>
      </c>
      <c r="M19" s="69">
        <f t="array" ref="M19">IF('15'!M7:M18&gt;0.01,AVERAGE('15'!M7:M18),"")</f>
        <v>6.5</v>
      </c>
      <c r="N19" s="69">
        <f t="array" ref="N19">IF('15'!N7:N18&gt;0.01,AVERAGE('15'!N7:N18),"")</f>
        <v>6.299999999999998</v>
      </c>
      <c r="O19" s="69">
        <f t="array" ref="O19">IF('15'!O7:O18&gt;0.01,AVERAGE('15'!O7:O18),"")</f>
        <v>3.15</v>
      </c>
      <c r="P19" s="190" t="str">
        <f t="array" ref="P19">IF('15'!P7:P18&gt;0.01,AVERAGE('15'!P7:P18),"")</f>
        <v/>
      </c>
      <c r="Q19" s="191" t="str">
        <f t="array" ref="Q19">IF('15'!Q7:Q18&gt;0.01,AVERAGE('15'!Q7:Q18),"")</f>
        <v/>
      </c>
      <c r="R19" s="191">
        <f t="array" ref="R19">IF('15'!R7:R18&gt;0.01,AVERAGE('15'!R7:R18),"")</f>
        <v>839</v>
      </c>
      <c r="S19" s="191">
        <f t="array" ref="S19">IF('15'!S7:S18&gt;0.01,AVERAGE('15'!S7:S18),"")</f>
        <v>63.910578876337077</v>
      </c>
      <c r="T19" s="946"/>
      <c r="U19" s="946"/>
      <c r="V19" s="49"/>
      <c r="W19" s="50"/>
      <c r="X19" s="13">
        <v>0.58333333333333304</v>
      </c>
      <c r="Y19" s="173">
        <v>2518</v>
      </c>
      <c r="Z19" s="270">
        <v>839</v>
      </c>
      <c r="AA19" s="15">
        <v>1</v>
      </c>
      <c r="AB19" s="58">
        <f>IF('15'!AA19=1,(('15'!Z19*'15'!$AS$6*'15'!$AT$6)/('15'!Y19*0.0036)),IF('15'!AA19=2,(('15'!Z19*'15'!$AS$7*'15'!$AT$7)/('15'!Y19*0.0036))))</f>
        <v>61.549620510105029</v>
      </c>
      <c r="AC19" s="58"/>
      <c r="AD19" s="18">
        <f>(('15'!AC19*'15'!$Q$10*1000000))/('15'!Y19*3600)</f>
        <v>0</v>
      </c>
      <c r="AE19" s="183"/>
      <c r="AF19" s="184">
        <f>('15'!AE19/24)*0.454</f>
        <v>0</v>
      </c>
      <c r="AG19" s="19"/>
      <c r="AH19" s="184">
        <f>('15'!AG19/24)*0.454</f>
        <v>0</v>
      </c>
      <c r="AI19" s="183">
        <v>4400</v>
      </c>
      <c r="AJ19" s="184">
        <f>('15'!AI19/24)*0.454</f>
        <v>83.233333333333334</v>
      </c>
      <c r="AK19" s="21"/>
      <c r="AL19" s="185">
        <f>('15'!AK19/24)*0.454</f>
        <v>0</v>
      </c>
      <c r="AM19" s="21"/>
      <c r="AN19" s="185">
        <f>('15'!AM19/24)*0.454</f>
        <v>0</v>
      </c>
      <c r="AO19" s="21"/>
      <c r="AP19" s="185">
        <f>('15'!AO19/24)*0.454</f>
        <v>0</v>
      </c>
    </row>
    <row r="20" spans="1:42" ht="14.45" customHeight="1">
      <c r="A20" s="10" t="s">
        <v>53</v>
      </c>
      <c r="B20" s="189">
        <f>MAX('15'!B7:B18)</f>
        <v>80</v>
      </c>
      <c r="C20" s="69">
        <f>MAX('15'!C7:C18)</f>
        <v>10</v>
      </c>
      <c r="D20" s="69">
        <f>MAX('15'!D7:D18)</f>
        <v>10</v>
      </c>
      <c r="E20" s="69">
        <f>MAX('15'!E7:E18)</f>
        <v>2.5</v>
      </c>
      <c r="F20" s="69">
        <f>MAX('15'!F7:F18)</f>
        <v>16</v>
      </c>
      <c r="G20" s="69">
        <f>MAX('15'!G7:G18)</f>
        <v>1.9</v>
      </c>
      <c r="H20" s="69">
        <f>MAX('15'!H7:H18)</f>
        <v>1.6</v>
      </c>
      <c r="I20" s="69">
        <f>MAX('15'!I7:I18)</f>
        <v>0.5</v>
      </c>
      <c r="J20" s="69">
        <f>MAX('15'!J7:J18)</f>
        <v>0.5</v>
      </c>
      <c r="K20" s="69">
        <f>MAX('15'!K7:K18)</f>
        <v>7.3</v>
      </c>
      <c r="L20" s="69">
        <f>MAX('15'!L7:L18)</f>
        <v>6.5</v>
      </c>
      <c r="M20" s="69">
        <f>MAX('15'!M7:M18)</f>
        <v>6.5</v>
      </c>
      <c r="N20" s="69">
        <f>MAX('15'!N7:N18)</f>
        <v>6.3</v>
      </c>
      <c r="O20" s="70">
        <f>MAX('15'!O7:O18)</f>
        <v>3.5</v>
      </c>
      <c r="P20" s="70">
        <f>MAX('15'!P7:P18)</f>
        <v>0</v>
      </c>
      <c r="Q20" s="70">
        <f>MAX('15'!Q7:Q18)</f>
        <v>0</v>
      </c>
      <c r="R20" s="70">
        <f>MAX('15'!R7:R18)</f>
        <v>839</v>
      </c>
      <c r="S20" s="70">
        <f>MAX('15'!S7:S18)</f>
        <v>65.893683862433875</v>
      </c>
      <c r="T20" s="946"/>
      <c r="U20" s="946"/>
      <c r="X20" s="13">
        <v>0.625</v>
      </c>
      <c r="Y20" s="173">
        <v>2467</v>
      </c>
      <c r="Z20" s="270">
        <v>839</v>
      </c>
      <c r="AA20" s="15">
        <v>1</v>
      </c>
      <c r="AB20" s="58">
        <f>IF('15'!AA20=1,(('15'!Z20*'15'!$AS$6*'15'!$AT$6)/('15'!Y20*0.0036)),IF('15'!AA20=2,(('15'!Z20*'15'!$AS$7*'15'!$AT$7)/('15'!Y20*0.0036))))</f>
        <v>62.822028554699827</v>
      </c>
      <c r="AC20" s="58"/>
      <c r="AD20" s="18">
        <f>(('15'!AC20*'15'!$Q$10*1000000))/('15'!Y20*3600)</f>
        <v>0</v>
      </c>
      <c r="AE20" s="183"/>
      <c r="AF20" s="184">
        <f>('15'!AE20/24)*0.454</f>
        <v>0</v>
      </c>
      <c r="AG20" s="19"/>
      <c r="AH20" s="184">
        <f>('15'!AG20/24)*0.454</f>
        <v>0</v>
      </c>
      <c r="AI20" s="183">
        <v>4400</v>
      </c>
      <c r="AJ20" s="184">
        <f>('15'!AI20/24)*0.454</f>
        <v>83.233333333333334</v>
      </c>
      <c r="AK20" s="21"/>
      <c r="AL20" s="185">
        <f>('15'!AK20/24)*0.454</f>
        <v>0</v>
      </c>
      <c r="AM20" s="21"/>
      <c r="AN20" s="185">
        <f>('15'!AM20/24)*0.454</f>
        <v>0</v>
      </c>
      <c r="AO20" s="21"/>
      <c r="AP20" s="185">
        <f>('15'!AO20/24)*0.454</f>
        <v>0</v>
      </c>
    </row>
    <row r="21" spans="1:42" ht="14.45" customHeight="1">
      <c r="A21" s="10" t="s">
        <v>54</v>
      </c>
      <c r="B21" s="189">
        <f>MIN('15'!B7:B18)</f>
        <v>80</v>
      </c>
      <c r="C21" s="69">
        <f>MIN('15'!C7:C18)</f>
        <v>10</v>
      </c>
      <c r="D21" s="69">
        <f>MIN('15'!D7:D18)</f>
        <v>10</v>
      </c>
      <c r="E21" s="69">
        <f>MIN('15'!E7:E18)</f>
        <v>2.5</v>
      </c>
      <c r="F21" s="69">
        <f>MIN('15'!F7:F18)</f>
        <v>11.3</v>
      </c>
      <c r="G21" s="192">
        <f>MIN('15'!G7:G18)</f>
        <v>1.4</v>
      </c>
      <c r="H21" s="192">
        <f>MIN('15'!H7:H18)</f>
        <v>1.1000000000000001</v>
      </c>
      <c r="I21" s="192">
        <f>MIN('15'!I7:I18)</f>
        <v>0.3</v>
      </c>
      <c r="J21" s="192">
        <f>MIN('15'!J7:J18)</f>
        <v>0.3</v>
      </c>
      <c r="K21" s="192">
        <f>MIN('15'!K7:K18)</f>
        <v>7.3</v>
      </c>
      <c r="L21" s="192">
        <f>MIN('15'!L7:L18)</f>
        <v>6.5</v>
      </c>
      <c r="M21" s="192">
        <f>MIN('15'!M7:M18)</f>
        <v>6.5</v>
      </c>
      <c r="N21" s="192">
        <f>MIN('15'!N7:N18)</f>
        <v>6.3</v>
      </c>
      <c r="O21" s="193">
        <f>MIN('15'!O7:O18)</f>
        <v>3</v>
      </c>
      <c r="P21" s="193">
        <f>MIN('15'!P7:P18)</f>
        <v>0</v>
      </c>
      <c r="Q21" s="193">
        <f>MIN('15'!Q7:Q18)</f>
        <v>0</v>
      </c>
      <c r="R21" s="193">
        <f>MIN('15'!R7:R18)</f>
        <v>839</v>
      </c>
      <c r="S21" s="193">
        <f>MIN('15'!S7:S18)</f>
        <v>61.549620510105029</v>
      </c>
      <c r="T21" s="946"/>
      <c r="U21" s="946"/>
      <c r="X21" s="13">
        <v>0.66666666666666696</v>
      </c>
      <c r="Y21" s="173">
        <v>2441</v>
      </c>
      <c r="Z21" s="270">
        <v>839</v>
      </c>
      <c r="AA21" s="15">
        <v>1</v>
      </c>
      <c r="AB21" s="58">
        <f>IF('15'!AA21=1,(('15'!Z21*'15'!$AS$6*'15'!$AT$6)/('15'!Y21*0.0036)),IF('15'!AA21=2,(('15'!Z21*'15'!$AS$7*'15'!$AT$7)/('15'!Y21*0.0036))))</f>
        <v>63.491169375028463</v>
      </c>
      <c r="AC21" s="58"/>
      <c r="AD21" s="18">
        <f>(('15'!AC21*'15'!$Q$10*1000000))/('15'!Y21*3600)</f>
        <v>0</v>
      </c>
      <c r="AE21" s="183"/>
      <c r="AF21" s="184">
        <f>('15'!AE21/24)*0.454</f>
        <v>0</v>
      </c>
      <c r="AG21" s="19"/>
      <c r="AH21" s="184">
        <f>('15'!AG21/24)*0.454</f>
        <v>0</v>
      </c>
      <c r="AI21" s="183">
        <v>4400</v>
      </c>
      <c r="AJ21" s="184">
        <f>('15'!AI21/24)*0.454</f>
        <v>83.233333333333334</v>
      </c>
      <c r="AK21" s="21"/>
      <c r="AL21" s="185">
        <f>('15'!AK21/24)*0.454</f>
        <v>0</v>
      </c>
      <c r="AM21" s="21"/>
      <c r="AN21" s="185">
        <f>('15'!AM21/24)*0.454</f>
        <v>0</v>
      </c>
      <c r="AO21" s="21"/>
      <c r="AP21" s="185">
        <f>('15'!AO21/24)*0.454</f>
        <v>0</v>
      </c>
    </row>
    <row r="22" spans="1:42" ht="13.9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173">
        <v>2416</v>
      </c>
      <c r="Z22" s="270">
        <v>839</v>
      </c>
      <c r="AA22" s="15">
        <v>1</v>
      </c>
      <c r="AB22" s="58">
        <f>IF('15'!AA22=1,(('15'!Z22*'15'!$AS$6*'15'!$AT$6)/('15'!Y22*0.0036)),IF('15'!AA22=2,(('15'!Z22*'15'!$AS$7*'15'!$AT$7)/('15'!Y22*0.0036))))</f>
        <v>64.148155813097873</v>
      </c>
      <c r="AC22" s="58"/>
      <c r="AD22" s="18">
        <f>(('15'!AC22*'15'!$Q$10*1000000))/('15'!Y22*3600)</f>
        <v>0</v>
      </c>
      <c r="AE22" s="183"/>
      <c r="AF22" s="184">
        <f>('15'!AE22/24)*0.454</f>
        <v>0</v>
      </c>
      <c r="AG22" s="19"/>
      <c r="AH22" s="184">
        <f>('15'!AG22/24)*0.454</f>
        <v>0</v>
      </c>
      <c r="AI22" s="183">
        <v>4400</v>
      </c>
      <c r="AJ22" s="184">
        <f>('15'!AI22/24)*0.454</f>
        <v>83.233333333333334</v>
      </c>
      <c r="AK22" s="21"/>
      <c r="AL22" s="185">
        <f>('15'!AK22/24)*0.454</f>
        <v>0</v>
      </c>
      <c r="AM22" s="21"/>
      <c r="AN22" s="185">
        <f>('15'!AM22/24)*0.454</f>
        <v>0</v>
      </c>
      <c r="AO22" s="21"/>
      <c r="AP22" s="185">
        <f>('15'!AO22/24)*0.454</f>
        <v>0</v>
      </c>
    </row>
    <row r="23" spans="1:42" ht="13.9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173">
        <v>2352</v>
      </c>
      <c r="Z23" s="270">
        <v>839</v>
      </c>
      <c r="AA23" s="15">
        <v>1</v>
      </c>
      <c r="AB23" s="58">
        <f>IF('15'!AA23=1,(('15'!Z23*'15'!$AS$6*'15'!$AT$6)/('15'!Y23*0.0036)),IF('15'!AA23=2,(('15'!Z23*'15'!$AS$7*'15'!$AT$7)/('15'!Y23*0.0036))))</f>
        <v>65.893683862433875</v>
      </c>
      <c r="AC23" s="58"/>
      <c r="AD23" s="18">
        <f>(('15'!AC23*'15'!$Q$10*1000000))/('15'!Y23*3600)</f>
        <v>0</v>
      </c>
      <c r="AE23" s="183"/>
      <c r="AF23" s="184">
        <f>('15'!AE23/24)*0.454</f>
        <v>0</v>
      </c>
      <c r="AG23" s="19"/>
      <c r="AH23" s="184">
        <f>('15'!AG23/24)*0.454</f>
        <v>0</v>
      </c>
      <c r="AI23" s="183">
        <v>4400</v>
      </c>
      <c r="AJ23" s="184">
        <f>('15'!AI23/24)*0.454</f>
        <v>83.233333333333334</v>
      </c>
      <c r="AK23" s="21"/>
      <c r="AL23" s="185">
        <f>('15'!AK23/24)*0.454</f>
        <v>0</v>
      </c>
      <c r="AM23" s="21"/>
      <c r="AN23" s="185">
        <f>('15'!AM23/24)*0.454</f>
        <v>0</v>
      </c>
      <c r="AO23" s="21"/>
      <c r="AP23" s="185">
        <f>('15'!AO23/24)*0.454</f>
        <v>0</v>
      </c>
    </row>
    <row r="24" spans="1:42" ht="13.9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173">
        <v>2397</v>
      </c>
      <c r="Z24" s="270">
        <v>839</v>
      </c>
      <c r="AA24" s="15">
        <v>1</v>
      </c>
      <c r="AB24" s="16">
        <f>IF('15'!AA24=1,(('15'!Z24*'15'!$AS$6*'15'!$AT$6)/('15'!Y24*0.0036)),IF('15'!AA24=2,(('15'!Z24*'15'!$AS$7*'15'!$AT$7)/('15'!Y24*0.0036))))</f>
        <v>64.65663097390258</v>
      </c>
      <c r="AC24" s="16"/>
      <c r="AD24" s="194">
        <f>(('15'!AC24*'15'!$Q$10*1000000))/('15'!Y24*3600)</f>
        <v>0</v>
      </c>
      <c r="AE24" s="183"/>
      <c r="AF24" s="195">
        <f>('15'!AE24/24)*0.454</f>
        <v>0</v>
      </c>
      <c r="AG24" s="173"/>
      <c r="AH24" s="195">
        <f>('15'!AG24/24)*0.454</f>
        <v>0</v>
      </c>
      <c r="AI24" s="183">
        <v>4400</v>
      </c>
      <c r="AJ24" s="184">
        <f>('15'!AI24/24)*0.454</f>
        <v>83.233333333333334</v>
      </c>
      <c r="AK24" s="21"/>
      <c r="AL24" s="196">
        <f>('15'!AK24/24)*0.454</f>
        <v>0</v>
      </c>
      <c r="AM24" s="197"/>
      <c r="AN24" s="196">
        <f>('15'!AM24/24)*0.454</f>
        <v>0</v>
      </c>
      <c r="AO24" s="21"/>
      <c r="AP24" s="196">
        <f>('15'!AO24/24)*0.454</f>
        <v>0</v>
      </c>
    </row>
    <row r="25" spans="1:42" ht="19.5" customHeight="1">
      <c r="A25" s="64">
        <v>0.41666666666666702</v>
      </c>
      <c r="B25" s="261" t="s">
        <v>131</v>
      </c>
      <c r="C25" s="261">
        <v>0.48</v>
      </c>
      <c r="D25" s="261">
        <v>0.5</v>
      </c>
      <c r="E25" s="199">
        <v>0.43</v>
      </c>
      <c r="F25" s="199">
        <v>0.44</v>
      </c>
      <c r="G25" s="199">
        <v>0.52</v>
      </c>
      <c r="H25" s="199">
        <v>0.49</v>
      </c>
      <c r="I25" s="199">
        <v>0.43</v>
      </c>
      <c r="J25" s="199">
        <v>0.47</v>
      </c>
      <c r="K25" s="199">
        <v>0.45</v>
      </c>
      <c r="L25" s="199">
        <v>0.48</v>
      </c>
      <c r="M25" s="199">
        <v>0.47</v>
      </c>
      <c r="N25" s="199">
        <v>0.41</v>
      </c>
      <c r="O25" s="199">
        <v>0.46</v>
      </c>
      <c r="P25" s="199">
        <v>0.41</v>
      </c>
      <c r="Q25" s="199" t="s">
        <v>131</v>
      </c>
      <c r="R25" s="65" t="e">
        <f>#DIV/0!</f>
        <v>#DIV/0!</v>
      </c>
      <c r="S25" s="66"/>
      <c r="T25" s="1085" t="s">
        <v>0</v>
      </c>
      <c r="U25" s="1053">
        <f>ESCALA!$A$17</f>
        <v>43905</v>
      </c>
      <c r="X25" s="13">
        <v>0.83333333333333304</v>
      </c>
      <c r="Y25" s="173">
        <v>2477</v>
      </c>
      <c r="Z25" s="270">
        <v>839</v>
      </c>
      <c r="AA25" s="15">
        <v>1</v>
      </c>
      <c r="AB25" s="58">
        <f>IF('15'!AA25=1,(('15'!Z25*'15'!$AS$6*'15'!$AT$6)/('15'!Y25*0.0036)),IF('15'!AA25=2,(('15'!Z25*'15'!$AS$7*'15'!$AT$7)/('15'!Y25*0.0036))))</f>
        <v>62.568407123312262</v>
      </c>
      <c r="AC25" s="58"/>
      <c r="AD25" s="18">
        <f>(('15'!AC25*'15'!$Q$10*1000000))/('15'!Y25*3600)</f>
        <v>0</v>
      </c>
      <c r="AE25" s="183"/>
      <c r="AF25" s="184">
        <f>('15'!AE25/24)*0.454</f>
        <v>0</v>
      </c>
      <c r="AG25" s="19"/>
      <c r="AH25" s="184">
        <f>('15'!AG25/24)*0.454</f>
        <v>0</v>
      </c>
      <c r="AI25" s="183">
        <v>4400</v>
      </c>
      <c r="AJ25" s="184">
        <f>('15'!AI25/24)*0.454</f>
        <v>83.233333333333334</v>
      </c>
      <c r="AK25" s="21"/>
      <c r="AL25" s="185">
        <f>('15'!AK25/24)*0.454</f>
        <v>0</v>
      </c>
      <c r="AM25" s="21"/>
      <c r="AN25" s="185">
        <f>('15'!AM25/24)*0.454</f>
        <v>0</v>
      </c>
      <c r="AO25" s="21"/>
      <c r="AP25" s="185">
        <f>('15'!AO25/24)*0.454</f>
        <v>0</v>
      </c>
    </row>
    <row r="26" spans="1:42" ht="19.5" customHeight="1">
      <c r="A26" s="64">
        <v>0.66666666666666696</v>
      </c>
      <c r="B26" s="259"/>
      <c r="C26" s="259"/>
      <c r="D26" s="259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65" t="e">
        <f>#DIV/0!</f>
        <v>#DIV/0!</v>
      </c>
      <c r="S26" s="67"/>
      <c r="T26" s="1085"/>
      <c r="U26" s="1053"/>
      <c r="X26" s="13">
        <v>0.875</v>
      </c>
      <c r="Y26" s="173">
        <v>2487</v>
      </c>
      <c r="Z26" s="270">
        <v>839</v>
      </c>
      <c r="AA26" s="15">
        <v>1</v>
      </c>
      <c r="AB26" s="58">
        <f>IF('15'!AA26=1,(('15'!Z26*'15'!$AS$6*'15'!$AT$6)/('15'!Y26*0.0036)),IF('15'!AA26=2,(('15'!Z26*'15'!$AS$7*'15'!$AT$7)/('15'!Y26*0.0036))))</f>
        <v>62.316825269177514</v>
      </c>
      <c r="AC26" s="58"/>
      <c r="AD26" s="18">
        <f>(('15'!AC26*'15'!$Q$10*1000000))/('15'!Y26*3600)</f>
        <v>0</v>
      </c>
      <c r="AE26" s="183"/>
      <c r="AF26" s="184">
        <f>('15'!AE26/24)*0.454</f>
        <v>0</v>
      </c>
      <c r="AG26" s="19"/>
      <c r="AH26" s="184">
        <f>('15'!AG26/24)*0.454</f>
        <v>0</v>
      </c>
      <c r="AI26" s="183">
        <v>4400</v>
      </c>
      <c r="AJ26" s="184">
        <f>('15'!AI26/24)*0.454</f>
        <v>83.233333333333334</v>
      </c>
      <c r="AK26" s="21"/>
      <c r="AL26" s="185">
        <f>('15'!AK26/24)*0.454</f>
        <v>0</v>
      </c>
      <c r="AM26" s="21"/>
      <c r="AN26" s="185">
        <f>('15'!AM26/24)*0.454</f>
        <v>0</v>
      </c>
      <c r="AO26" s="21"/>
      <c r="AP26" s="185">
        <f>('15'!AO26/24)*0.454</f>
        <v>0</v>
      </c>
    </row>
    <row r="27" spans="1:42" ht="13.9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173">
        <v>2472</v>
      </c>
      <c r="Z27" s="270">
        <v>839</v>
      </c>
      <c r="AA27" s="15">
        <v>1</v>
      </c>
      <c r="AB27" s="58">
        <f>IF('15'!AA27=1,(('15'!Z27*'15'!$AS$6*'15'!$AT$6)/('15'!Y27*0.0036)),IF('15'!AA27=2,(('15'!Z27*'15'!$AS$7*'15'!$AT$7)/('15'!Y27*0.0036))))</f>
        <v>62.694961344839989</v>
      </c>
      <c r="AC27" s="58"/>
      <c r="AD27" s="18">
        <f>(('15'!AC27*'15'!$Q$10*1000000))/('15'!Y27*3600)</f>
        <v>0</v>
      </c>
      <c r="AE27" s="183"/>
      <c r="AF27" s="184">
        <f>('15'!AE27/24)*0.454</f>
        <v>0</v>
      </c>
      <c r="AG27" s="19"/>
      <c r="AH27" s="184">
        <f>('15'!AG27/24)*0.454</f>
        <v>0</v>
      </c>
      <c r="AI27" s="183">
        <v>4400</v>
      </c>
      <c r="AJ27" s="184">
        <f>('15'!AI27/24)*0.454</f>
        <v>83.233333333333334</v>
      </c>
      <c r="AK27" s="21"/>
      <c r="AL27" s="185">
        <f>('15'!AK27/24)*0.454</f>
        <v>0</v>
      </c>
      <c r="AM27" s="21"/>
      <c r="AN27" s="185">
        <f>('15'!AM27/24)*0.454</f>
        <v>0</v>
      </c>
      <c r="AO27" s="21"/>
      <c r="AP27" s="185">
        <f>('15'!AO27/24)*0.454</f>
        <v>0</v>
      </c>
    </row>
    <row r="28" spans="1:42" ht="17.4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3">
        <v>2373</v>
      </c>
      <c r="Z28" s="270">
        <v>839</v>
      </c>
      <c r="AA28" s="15">
        <v>1</v>
      </c>
      <c r="AB28" s="58">
        <f>IF('15'!AA28=1,(('15'!Z28*'15'!$AS$6*'15'!$AT$6)/('15'!Y28*0.0036)),IF('15'!AA28=2,(('15'!Z28*'15'!$AS$7*'15'!$AT$7)/('15'!Y28*0.0036))))</f>
        <v>65.310553916748617</v>
      </c>
      <c r="AC28" s="58"/>
      <c r="AD28" s="18">
        <f>(('15'!AC28*'15'!$Q$10*1000000))/('15'!Y28*3600)</f>
        <v>0</v>
      </c>
      <c r="AE28" s="183"/>
      <c r="AF28" s="184">
        <f>('15'!AE28/24)*0.454</f>
        <v>0</v>
      </c>
      <c r="AG28" s="19"/>
      <c r="AH28" s="184">
        <f>('15'!AG28/24)*0.454</f>
        <v>0</v>
      </c>
      <c r="AI28" s="183">
        <v>4400</v>
      </c>
      <c r="AJ28" s="184">
        <f>('15'!AI28/24)*0.454</f>
        <v>83.233333333333334</v>
      </c>
      <c r="AK28" s="21"/>
      <c r="AL28" s="185">
        <f>('15'!AK28/24)*0.454</f>
        <v>0</v>
      </c>
      <c r="AM28" s="21"/>
      <c r="AN28" s="185">
        <f>('15'!AM28/24)*0.454</f>
        <v>0</v>
      </c>
      <c r="AO28" s="21"/>
      <c r="AP28" s="185">
        <f>('15'!AO28/24)*0.454</f>
        <v>0</v>
      </c>
    </row>
    <row r="29" spans="1:42" ht="13.9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3">
        <v>2393</v>
      </c>
      <c r="Z29" s="270">
        <v>839</v>
      </c>
      <c r="AA29" s="15">
        <v>1</v>
      </c>
      <c r="AB29" s="58">
        <f>IF('15'!AA29=1,(('15'!Z29*'15'!$AS$6*'15'!$AT$6)/('15'!Y29*0.0036)),IF('15'!AA29=2,(('15'!Z29*'15'!$AS$7*'15'!$AT$7)/('15'!Y29*0.0036))))</f>
        <v>64.764707247991836</v>
      </c>
      <c r="AC29" s="58"/>
      <c r="AD29" s="18">
        <f>(('15'!AC29*'15'!$Q$10*1000000))/('15'!Y29*3600)</f>
        <v>0</v>
      </c>
      <c r="AE29" s="183"/>
      <c r="AF29" s="184">
        <f>('15'!AE29/24)*0.454</f>
        <v>0</v>
      </c>
      <c r="AG29" s="19"/>
      <c r="AH29" s="184">
        <f>('15'!AG29/24)*0.454</f>
        <v>0</v>
      </c>
      <c r="AI29" s="183">
        <v>4400</v>
      </c>
      <c r="AJ29" s="184">
        <f>('15'!AI29/24)*0.454</f>
        <v>83.233333333333334</v>
      </c>
      <c r="AK29" s="21"/>
      <c r="AL29" s="185">
        <f>('15'!AK29/24)*0.454</f>
        <v>0</v>
      </c>
      <c r="AM29" s="21"/>
      <c r="AN29" s="185">
        <f>('15'!AM29/24)*0.454</f>
        <v>0</v>
      </c>
      <c r="AO29" s="21"/>
      <c r="AP29" s="185">
        <f>('15'!AO29/24)*0.454</f>
        <v>0</v>
      </c>
    </row>
    <row r="30" spans="1:42" ht="13.9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34">
        <f>SUM('15'!Y6:Y29)*3.6</f>
        <v>209167.2</v>
      </c>
      <c r="Z30" s="82">
        <f>SUM('15'!Z6:Z29)</f>
        <v>20136</v>
      </c>
      <c r="AA30" s="78"/>
      <c r="AB30" s="79"/>
      <c r="AC30" s="78"/>
      <c r="AD30" s="79"/>
      <c r="AE30" s="34"/>
      <c r="AF30" s="184">
        <f>SUM('15'!AF6:AF29)</f>
        <v>0</v>
      </c>
      <c r="AG30" s="34"/>
      <c r="AH30" s="184">
        <f>SUM('15'!AH6:AH29)</f>
        <v>0</v>
      </c>
      <c r="AI30" s="184"/>
      <c r="AJ30" s="264">
        <f>SUM('15'!AJ6:AJ29)</f>
        <v>1997.6000000000001</v>
      </c>
      <c r="AK30" s="80"/>
      <c r="AL30" s="185">
        <f>SUM('15'!AL6:AL29)</f>
        <v>0</v>
      </c>
      <c r="AM30" s="80"/>
      <c r="AN30" s="185">
        <f>SUM('15'!AN6:AN29)</f>
        <v>0</v>
      </c>
      <c r="AO30" s="80"/>
      <c r="AP30" s="185">
        <f>SUM('15'!AP6:AP29)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SUMIF('15'!AA6:AA29,"=1",'15'!Z6:Z29)</f>
        <v>20136</v>
      </c>
      <c r="AA32" s="82">
        <f>'15'!Z32*'15'!AS6</f>
        <v>26780.880000000001</v>
      </c>
      <c r="AB32" s="83">
        <f>SUMIF('15'!$AA$6:$AA$29,"=1",'15'!$AB$6:$AB$29)/COUNTIF('15'!$AA$6:$AA$29,"=1")</f>
        <v>64.034465392586569</v>
      </c>
      <c r="AC32" s="84">
        <f>SUMIF('15'!AA6:AA29,"=1",'15'!AC6:AC29)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SUMIF('15'!AA6:AA29,"=2",'15'!Z6:Z29)</f>
        <v>0</v>
      </c>
      <c r="AA33" s="82">
        <f>'15'!Z33*'15'!AS7</f>
        <v>0</v>
      </c>
      <c r="AB33" s="83" t="e">
        <f>SUMIF('15'!$AA$6:$AA$29,"=2",'15'!$AB$6:$AB$29)/COUNTIF('15'!$AA$6:$AA$29,"=2")</f>
        <v>#DIV/0!</v>
      </c>
      <c r="AC33" s="89">
        <f>SUMIF('15'!AA6:AA29,"=2",'15'!AC6:AC29)</f>
        <v>0</v>
      </c>
      <c r="AD33" s="89"/>
      <c r="AE33" s="90"/>
      <c r="AF33" s="91"/>
      <c r="AG33" s="90"/>
      <c r="AH33" s="91"/>
      <c r="AI33" s="90"/>
      <c r="AJ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AVERAGE('15'!Y6:Y29)</f>
        <v>2420.9166666666665</v>
      </c>
      <c r="Z34" s="96">
        <f>AVERAGE('15'!Z6:Z29)</f>
        <v>839</v>
      </c>
      <c r="AA34" s="97"/>
      <c r="AB34" s="97"/>
      <c r="AC34" s="98">
        <f>SUM('15'!AC6:AC29)/COUNTIF('15'!AC6:AC29,"&lt;&gt;0")</f>
        <v>0</v>
      </c>
      <c r="AD34" s="99" t="e">
        <f>SUM('15'!AD6:AD29)/COUNTIF('15'!AD6:AD29,"&lt;&gt;0")</f>
        <v>#DIV/0!</v>
      </c>
      <c r="AE34" s="78"/>
      <c r="AF34" s="98">
        <f>AVERAGE('15'!AF6:AF29)</f>
        <v>0</v>
      </c>
      <c r="AG34" s="98"/>
      <c r="AH34" s="98">
        <f>AVERAGE('15'!AH6:AH29)</f>
        <v>0</v>
      </c>
      <c r="AI34" s="98"/>
      <c r="AJ34" s="98">
        <f>'15'!AJ30/24</f>
        <v>83.233333333333334</v>
      </c>
      <c r="AK34" s="98"/>
      <c r="AL34" s="98">
        <f>AVERAGE('15'!AL6:AL29)</f>
        <v>0</v>
      </c>
      <c r="AM34" s="98"/>
      <c r="AN34" s="98">
        <f>AVERAGE('15'!AN6:AN29)</f>
        <v>0</v>
      </c>
      <c r="AO34" s="98"/>
      <c r="AP34" s="98">
        <f>AVERAGE('15'!AP6:AP29)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66" t="s">
        <v>15</v>
      </c>
      <c r="X35" s="958" t="s">
        <v>66</v>
      </c>
      <c r="Y35" s="958"/>
      <c r="Z35" s="103"/>
      <c r="AA35" s="958" t="s">
        <v>67</v>
      </c>
      <c r="AB35" s="958"/>
      <c r="AJ35" s="1030" t="s">
        <v>68</v>
      </c>
      <c r="AK35" s="1030"/>
      <c r="AL35" s="1030"/>
      <c r="AM35" s="1030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66"/>
      <c r="X36" s="105" t="s">
        <v>73</v>
      </c>
      <c r="Y36" s="106"/>
      <c r="Z36" s="107"/>
      <c r="AA36" s="108" t="s">
        <v>74</v>
      </c>
      <c r="AB36" s="106">
        <v>4</v>
      </c>
      <c r="AJ36" s="1030"/>
      <c r="AK36" s="1030"/>
      <c r="AL36" s="1030"/>
      <c r="AM36" s="1030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87.7</v>
      </c>
      <c r="D37" s="186">
        <v>56.4</v>
      </c>
      <c r="E37" s="186">
        <v>50.4</v>
      </c>
      <c r="F37" s="186">
        <v>1</v>
      </c>
      <c r="G37" s="183">
        <v>0.1</v>
      </c>
      <c r="H37" s="183">
        <v>0</v>
      </c>
      <c r="I37" s="183">
        <v>0.1</v>
      </c>
      <c r="J37" s="183">
        <v>0.06</v>
      </c>
      <c r="K37" s="183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88">
        <f>'15'!V12</f>
        <v>0</v>
      </c>
      <c r="X37" s="1031" t="s">
        <v>75</v>
      </c>
      <c r="Y37" s="1031"/>
      <c r="Z37" s="110">
        <f>COUNTA('15'!Z6:Z29)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SUM('15'!AF30+'15'!AH30)</f>
        <v>0</v>
      </c>
      <c r="AL38" s="210" t="s">
        <v>78</v>
      </c>
      <c r="AM38" s="212">
        <f>SUM('15'!AL30+'15'!AN30)</f>
        <v>0</v>
      </c>
      <c r="AO38" s="210" t="s">
        <v>78</v>
      </c>
      <c r="AP38" s="211">
        <f>'15'!AJ30</f>
        <v>1997.6000000000001</v>
      </c>
      <c r="AQ38" s="210" t="s">
        <v>78</v>
      </c>
      <c r="AR38" s="212">
        <f>'15'!AP30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('15'!AK38/'15'!Y30)*1000</f>
        <v>0</v>
      </c>
      <c r="AL39" s="215" t="s">
        <v>86</v>
      </c>
      <c r="AM39" s="216">
        <f>('15'!AM38/'15'!Y30)*1000</f>
        <v>0</v>
      </c>
      <c r="AO39" s="213" t="s">
        <v>86</v>
      </c>
      <c r="AP39" s="214">
        <f>('15'!AP38/'15'!Y30)*1000</f>
        <v>9.5502545332155329</v>
      </c>
      <c r="AQ39" s="215" t="s">
        <v>86</v>
      </c>
      <c r="AR39" s="216">
        <f>('15'!AR38/'15'!Y30)*1000</f>
        <v>0</v>
      </c>
    </row>
    <row r="40" spans="1:44" ht="15.7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SUM('15'!AK38,'15'!AM38)</f>
        <v>0</v>
      </c>
      <c r="AM40" s="975"/>
      <c r="AO40" s="976" t="s">
        <v>90</v>
      </c>
      <c r="AP40" s="976"/>
      <c r="AQ40" s="977">
        <f>SUM('15'!AP38,'15'!AR38)</f>
        <v>1997.6000000000001</v>
      </c>
      <c r="AR40" s="977"/>
    </row>
    <row r="41" spans="1:44" ht="16.5" customHeight="1">
      <c r="A41" s="133">
        <f>COUNTA('15'!E7:E18)</f>
        <v>12</v>
      </c>
      <c r="B41" s="134">
        <f>COUNTA('15'!I7:I18)</f>
        <v>12</v>
      </c>
      <c r="C41" s="978">
        <f>COUNTA('15'!J7:J18)</f>
        <v>12</v>
      </c>
      <c r="D41" s="978">
        <f>COUNTA('15'!K7:K18)</f>
        <v>12</v>
      </c>
      <c r="E41" s="978">
        <f>COUNTIF('15'!E7:E18,"&gt;15")</f>
        <v>0</v>
      </c>
      <c r="F41" s="978"/>
      <c r="G41" s="978">
        <f>COUNTIF('15'!J7:J18,"&gt;1")</f>
        <v>0</v>
      </c>
      <c r="H41" s="978"/>
      <c r="I41" s="135"/>
      <c r="J41" s="978">
        <f>'15'!A41-'15'!E41</f>
        <v>12</v>
      </c>
      <c r="K41" s="978"/>
      <c r="L41" s="978">
        <f>'15'!C41-'15'!G41</f>
        <v>12</v>
      </c>
      <c r="M41" s="978"/>
      <c r="N41" s="135"/>
      <c r="O41" s="979">
        <f>COUNTIF('15'!J7:J18,"&lt;=0,5")</f>
        <v>12</v>
      </c>
      <c r="P41" s="979"/>
      <c r="Q41" s="979"/>
      <c r="R41" s="969"/>
      <c r="S41" s="980">
        <f>COUNTIF('15'!J7:J18,"&lt;=1,0")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SUM(('15'!AK38+'15'!AM38)/'15'!Y30)*1000</f>
        <v>0</v>
      </c>
      <c r="AM41" s="981"/>
      <c r="AO41" s="976" t="s">
        <v>91</v>
      </c>
      <c r="AP41" s="976"/>
      <c r="AQ41" s="981">
        <f>SUM(('15'!AP38+'15'!AR38)/'15'!Y30)*1000</f>
        <v>9.5502545332155329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>
        <v>97</v>
      </c>
      <c r="Z44" s="144" t="s">
        <v>101</v>
      </c>
      <c r="AA44" s="145"/>
      <c r="AB44" s="144" t="s">
        <v>101</v>
      </c>
      <c r="AC44" s="145">
        <v>131</v>
      </c>
      <c r="AD44" s="988"/>
      <c r="AE44" s="988"/>
      <c r="AF44" s="989" t="s">
        <v>102</v>
      </c>
      <c r="AG44" s="1002">
        <f>SUM('15'!Y45,'15'!AA45,'15'!AC45,'15'!AE45)</f>
        <v>209582.8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COUNTIF('15'!I7:I18,"&lt;=5,0")</f>
        <v>12</v>
      </c>
      <c r="I45" s="992"/>
      <c r="J45" s="992"/>
      <c r="K45" s="135"/>
      <c r="L45" s="974">
        <f>COUNTA('15'!L37)</f>
        <v>1</v>
      </c>
      <c r="M45" s="974"/>
      <c r="O45" s="146"/>
      <c r="P45" s="147"/>
      <c r="Q45" s="993">
        <f>'15'!S41-'15'!O41</f>
        <v>0</v>
      </c>
      <c r="R45" s="993"/>
      <c r="S45" s="993"/>
      <c r="T45" s="148"/>
      <c r="X45" s="149" t="s">
        <v>104</v>
      </c>
      <c r="Y45" s="150">
        <f>Y44*275.3</f>
        <v>26704.100000000002</v>
      </c>
      <c r="Z45" s="149" t="s">
        <v>104</v>
      </c>
      <c r="AA45" s="150">
        <f>262.4*'15'!AA44</f>
        <v>0</v>
      </c>
      <c r="AB45" s="149" t="s">
        <v>104</v>
      </c>
      <c r="AC45" s="150">
        <f>AC44*277.7</f>
        <v>36378.699999999997</v>
      </c>
      <c r="AD45" s="149" t="s">
        <v>104</v>
      </c>
      <c r="AE45" s="151">
        <v>146500</v>
      </c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" customHeight="1">
      <c r="F46" s="152"/>
      <c r="X46" s="153" t="s">
        <v>105</v>
      </c>
      <c r="Y46" s="154">
        <f>AS6</f>
        <v>1.33</v>
      </c>
      <c r="Z46" s="153" t="s">
        <v>105</v>
      </c>
      <c r="AA46" s="154">
        <f>Y46</f>
        <v>1.33</v>
      </c>
      <c r="AB46" s="153" t="s">
        <v>105</v>
      </c>
      <c r="AC46" s="154">
        <f>Y46</f>
        <v>1.33</v>
      </c>
      <c r="AD46" s="153" t="s">
        <v>105</v>
      </c>
      <c r="AE46" s="256">
        <f>Y46</f>
        <v>1.33</v>
      </c>
      <c r="AF46" s="995" t="s">
        <v>106</v>
      </c>
      <c r="AG46" s="996">
        <f>SUM('15'!Y47,'15'!AA47,'15'!AC47,'15'!AE47)</f>
        <v>230361.45300000001</v>
      </c>
      <c r="AI46" s="144" t="s">
        <v>101</v>
      </c>
      <c r="AJ46" s="145">
        <v>24</v>
      </c>
      <c r="AK46" s="144" t="s">
        <v>101</v>
      </c>
      <c r="AL46" s="145"/>
      <c r="AM46" s="144" t="s">
        <v>101</v>
      </c>
      <c r="AN46" s="145">
        <v>44</v>
      </c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Y45*Y46</f>
        <v>35516.453000000001</v>
      </c>
      <c r="Z47" s="149" t="s">
        <v>108</v>
      </c>
      <c r="AA47" s="150">
        <f>'15'!AA45*'15'!AA46</f>
        <v>0</v>
      </c>
      <c r="AB47" s="149" t="s">
        <v>108</v>
      </c>
      <c r="AC47" s="150">
        <f>C45*AC46</f>
        <v>0</v>
      </c>
      <c r="AD47" s="149" t="s">
        <v>108</v>
      </c>
      <c r="AE47" s="150">
        <f>'15'!AE45*'15'!AE46</f>
        <v>194845</v>
      </c>
      <c r="AF47" s="995"/>
      <c r="AG47" s="996"/>
      <c r="AI47" s="149" t="s">
        <v>104</v>
      </c>
      <c r="AJ47" s="150">
        <f>AJ46*275.3</f>
        <v>6607.2000000000007</v>
      </c>
      <c r="AK47" s="149" t="s">
        <v>104</v>
      </c>
      <c r="AL47" s="150">
        <f>262.4*'3'!AL46</f>
        <v>0</v>
      </c>
      <c r="AM47" s="149" t="s">
        <v>104</v>
      </c>
      <c r="AN47" s="150">
        <f>AN46*277.7</f>
        <v>12218.8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Y46</f>
        <v>1.33</v>
      </c>
      <c r="AK48" s="160" t="s">
        <v>105</v>
      </c>
      <c r="AL48" s="154">
        <f>AJ48</f>
        <v>1.33</v>
      </c>
      <c r="AM48" s="160" t="s">
        <v>105</v>
      </c>
      <c r="AN48" s="154">
        <f>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AJ47*AJ48</f>
        <v>8787.5760000000009</v>
      </c>
      <c r="AK49" s="149" t="s">
        <v>108</v>
      </c>
      <c r="AL49" s="150">
        <f>AL47*AL48</f>
        <v>0</v>
      </c>
      <c r="AM49" s="149" t="s">
        <v>108</v>
      </c>
      <c r="AN49" s="150">
        <f>AN47*AN48</f>
        <v>16251.003999999999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COUNTA('15'!O7:O18)</f>
        <v>12</v>
      </c>
      <c r="P51" s="974">
        <f>COUNTA('15'!W17:W28)</f>
        <v>0</v>
      </c>
      <c r="R51" s="992">
        <f>COUNTIF('15'!O7:O18,"&gt;=0,5")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SUM('15'!Y53,'15'!AA53,'15'!AC53,'15'!AE53)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'15'!Y52*275.3</f>
        <v>0</v>
      </c>
      <c r="Z53" s="149" t="s">
        <v>104</v>
      </c>
      <c r="AA53" s="150">
        <f>262.4*'15'!AA52</f>
        <v>0</v>
      </c>
      <c r="AB53" s="149" t="s">
        <v>104</v>
      </c>
      <c r="AC53" s="167">
        <f>'15'!AC52*277.7</f>
        <v>0</v>
      </c>
      <c r="AD53" s="149" t="s">
        <v>104</v>
      </c>
      <c r="AE53" s="230"/>
      <c r="AF53" s="989"/>
      <c r="AG53" s="1002"/>
      <c r="AI53" s="144" t="s">
        <v>101</v>
      </c>
      <c r="AJ53" s="166">
        <v>0</v>
      </c>
      <c r="AK53" s="144" t="s">
        <v>101</v>
      </c>
      <c r="AL53" s="164"/>
      <c r="AM53" s="144" t="s">
        <v>101</v>
      </c>
      <c r="AN53" s="164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'15'!AS7</f>
        <v>1.377</v>
      </c>
      <c r="Z54" s="153" t="s">
        <v>105</v>
      </c>
      <c r="AA54" s="155">
        <f>'15'!Y54</f>
        <v>1.377</v>
      </c>
      <c r="AB54" s="153" t="s">
        <v>105</v>
      </c>
      <c r="AC54" s="155">
        <f>'15'!Y54</f>
        <v>1.377</v>
      </c>
      <c r="AD54" s="153" t="s">
        <v>105</v>
      </c>
      <c r="AE54" s="156">
        <f>'15'!Y54</f>
        <v>1.377</v>
      </c>
      <c r="AF54" s="995" t="s">
        <v>106</v>
      </c>
      <c r="AG54" s="996">
        <f>SUM('15'!Y55,'15'!AA55,'15'!AC55,'15'!AE55)</f>
        <v>0</v>
      </c>
      <c r="AI54" s="149" t="s">
        <v>104</v>
      </c>
      <c r="AJ54" s="150">
        <f>AJ53*275.3</f>
        <v>0</v>
      </c>
      <c r="AK54" s="149" t="s">
        <v>104</v>
      </c>
      <c r="AL54" s="150">
        <f>262.4*'3'!AL53</f>
        <v>0</v>
      </c>
      <c r="AM54" s="149" t="s">
        <v>104</v>
      </c>
      <c r="AN54" s="167">
        <f>AN53*277.7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'15'!Y53*'15'!Y54</f>
        <v>0</v>
      </c>
      <c r="Z55" s="149" t="s">
        <v>108</v>
      </c>
      <c r="AA55" s="150">
        <f>'15'!AA53*'15'!AA54</f>
        <v>0</v>
      </c>
      <c r="AB55" s="149" t="s">
        <v>108</v>
      </c>
      <c r="AC55" s="150">
        <f>'15'!AC53*'15'!AC54</f>
        <v>0</v>
      </c>
      <c r="AD55" s="149" t="s">
        <v>108</v>
      </c>
      <c r="AE55" s="150">
        <f>'15'!AE53*'15'!AE54</f>
        <v>0</v>
      </c>
      <c r="AF55" s="995"/>
      <c r="AG55" s="996"/>
      <c r="AI55" s="153" t="s">
        <v>105</v>
      </c>
      <c r="AJ55" s="154">
        <f>Y54</f>
        <v>1.377</v>
      </c>
      <c r="AK55" s="153" t="s">
        <v>105</v>
      </c>
      <c r="AL55" s="154">
        <f>AJ55</f>
        <v>1.377</v>
      </c>
      <c r="AM55" s="153" t="s">
        <v>105</v>
      </c>
      <c r="AN55" s="154">
        <f>AJ55</f>
        <v>1.377</v>
      </c>
      <c r="AO55" s="1036" t="s">
        <v>105</v>
      </c>
      <c r="AP55" s="1036">
        <f>'3'!AJ55</f>
        <v>1.377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AJ54*AJ55</f>
        <v>0</v>
      </c>
      <c r="AK56" s="149" t="s">
        <v>108</v>
      </c>
      <c r="AL56" s="150">
        <f>'3'!AL54*'3'!AL55</f>
        <v>0</v>
      </c>
      <c r="AM56" s="149" t="s">
        <v>108</v>
      </c>
      <c r="AN56" s="150">
        <f>AN54*AN55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 ht="15.75" customHeight="1">
      <c r="O57" s="1003">
        <f>COUNTA('15'!N7:N18)</f>
        <v>12</v>
      </c>
      <c r="P57" s="1003"/>
      <c r="R57" s="1004">
        <f>COUNTIF('15'!N7:N18,"&gt;=6")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U59" t="s">
        <v>142</v>
      </c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25038.58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26780.880000000001</v>
      </c>
      <c r="AR62" s="1016"/>
    </row>
    <row r="63" spans="15:44" ht="15" customHeight="1">
      <c r="X63" s="170" t="s">
        <v>124</v>
      </c>
      <c r="Y63" s="171">
        <v>0</v>
      </c>
      <c r="Z63" s="1013"/>
      <c r="AA63" s="1013"/>
      <c r="AB63" s="172" t="s">
        <v>124</v>
      </c>
      <c r="AC63" s="173">
        <v>0</v>
      </c>
      <c r="AE63" s="49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-1742.2999999999993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  <c r="AI64" s="1086" t="s">
        <v>143</v>
      </c>
      <c r="AJ64" s="1086"/>
      <c r="AK64" s="1086"/>
      <c r="AL64" s="1087"/>
      <c r="AM64" s="1087"/>
      <c r="AN64" s="1086" t="s">
        <v>143</v>
      </c>
      <c r="AO64" s="1086"/>
      <c r="AP64" s="1086"/>
      <c r="AQ64" s="1087"/>
      <c r="AR64" s="1087"/>
    </row>
    <row r="65" spans="24:29" ht="39" customHeight="1">
      <c r="X65" s="174" t="s">
        <v>126</v>
      </c>
      <c r="Y65" s="217">
        <f>'14'!$Y$68</f>
        <v>-14777.7</v>
      </c>
      <c r="Z65" s="1013"/>
      <c r="AA65" s="1013"/>
      <c r="AB65" s="176" t="s">
        <v>126</v>
      </c>
      <c r="AC65" s="241">
        <f>'14'!$AC$68</f>
        <v>-1257.9583333333335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280">
        <f>SUM('15'!AK38,'15'!AP38)</f>
        <v>1997.6000000000001</v>
      </c>
      <c r="Z67" s="1013"/>
      <c r="AA67" s="1013"/>
      <c r="AB67" s="172" t="s">
        <v>124</v>
      </c>
      <c r="AC67" s="169">
        <f>SUM('15'!AM38,'15'!AR38)</f>
        <v>0</v>
      </c>
    </row>
    <row r="68" spans="24:29" ht="15.75" customHeight="1">
      <c r="X68" s="170" t="s">
        <v>128</v>
      </c>
      <c r="Y68" s="179">
        <f>SUM('15'!Y63,'15'!Y65)-'15'!Y67</f>
        <v>-16775.3</v>
      </c>
      <c r="Z68" s="1013"/>
      <c r="AA68" s="1013"/>
      <c r="AB68" s="172" t="s">
        <v>128</v>
      </c>
      <c r="AC68" s="180">
        <f>SUM('15'!AC63,'15'!AC65)-'15'!AC67</f>
        <v>-1257.9583333333335</v>
      </c>
    </row>
  </sheetData>
  <sheetProtection password="E1DF" sheet="1" objects="1" scenarios="1" selectLockedCells="1"/>
  <mergeCells count="175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conditionalFormatting sqref="O19">
    <cfRule type="cellIs" priority="4" operator="lessThan">
      <formula>2.5</formula>
    </cfRule>
    <cfRule type="cellIs" priority="5" operator="greaterThan">
      <formula>3</formula>
    </cfRule>
    <cfRule type="cellIs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M1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182">
        <v>2314</v>
      </c>
      <c r="Z6" s="182">
        <v>839</v>
      </c>
      <c r="AA6" s="15">
        <v>1</v>
      </c>
      <c r="AB6" s="58">
        <f>IF('16'!AA6=1,(('16'!Z6*'16'!$AS$6*'16'!$AT$6)/('16'!Y6*0.0036)),IF('16'!AA6=2,(('16'!Z6*'16'!$AS$7*'16'!$AT$7)/('16'!Y6*0.0036))))</f>
        <v>66.975775472966504</v>
      </c>
      <c r="AC6" s="58"/>
      <c r="AD6" s="18">
        <f>(('16'!AC6*'16'!$O$9*1000000))/('16'!Y6*3600)</f>
        <v>0</v>
      </c>
      <c r="AE6" s="183"/>
      <c r="AF6" s="184">
        <f>('16'!AE6/24)*0.454</f>
        <v>0</v>
      </c>
      <c r="AG6" s="19"/>
      <c r="AH6" s="184">
        <f>('16'!AG6/24)*0.454</f>
        <v>0</v>
      </c>
      <c r="AI6" s="267">
        <v>4400</v>
      </c>
      <c r="AJ6" s="184">
        <f>('16'!AI6/24)*0.454</f>
        <v>83.233333333333334</v>
      </c>
      <c r="AK6" s="21"/>
      <c r="AL6" s="185">
        <f>('16'!AK6/24)*0.454</f>
        <v>0</v>
      </c>
      <c r="AM6" s="21"/>
      <c r="AN6" s="185">
        <f>('16'!AM6/24)*0.454</f>
        <v>0</v>
      </c>
      <c r="AO6" s="23"/>
      <c r="AP6" s="185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6">
        <v>80</v>
      </c>
      <c r="C7" s="186">
        <v>10</v>
      </c>
      <c r="D7" s="186">
        <v>10</v>
      </c>
      <c r="E7" s="186">
        <v>2.5</v>
      </c>
      <c r="F7" s="186">
        <v>12.9</v>
      </c>
      <c r="G7" s="186">
        <v>1.7</v>
      </c>
      <c r="H7" s="186">
        <v>1.4</v>
      </c>
      <c r="I7" s="186">
        <v>0.4</v>
      </c>
      <c r="J7" s="186">
        <v>0.5</v>
      </c>
      <c r="K7" s="186">
        <v>7.3</v>
      </c>
      <c r="L7" s="186">
        <v>6.5</v>
      </c>
      <c r="M7" s="186">
        <v>6.5</v>
      </c>
      <c r="N7" s="186">
        <v>6.3</v>
      </c>
      <c r="O7" s="186">
        <v>3.5</v>
      </c>
      <c r="P7" s="186"/>
      <c r="Q7" s="188"/>
      <c r="R7" s="37">
        <f>'15'!$Z$29</f>
        <v>839</v>
      </c>
      <c r="S7" s="187">
        <f>'15'!$AB$29</f>
        <v>64.764707247991836</v>
      </c>
      <c r="T7" s="37">
        <f>'15'!$Y$29</f>
        <v>2393</v>
      </c>
      <c r="U7" s="33" t="str">
        <f>IF('16'!AA6=1,'16'!AR6,'16'!AR7)</f>
        <v>S.A.L</v>
      </c>
      <c r="V7" s="1022">
        <f>ESCALA!$C$17</f>
        <v>0</v>
      </c>
      <c r="W7" s="1022"/>
      <c r="X7" s="13">
        <v>8.3333333333333301E-2</v>
      </c>
      <c r="Y7" s="182">
        <v>2354</v>
      </c>
      <c r="Z7" s="182">
        <v>839</v>
      </c>
      <c r="AA7" s="15">
        <v>1</v>
      </c>
      <c r="AB7" s="58">
        <f>IF('16'!AA7=1,(('16'!Z7*'16'!$AS$6*'16'!$AT$6)/('16'!Y7*0.0036)),IF('16'!AA7=2,(('16'!Z7*'16'!$AS$7*'16'!$AT$7)/('16'!Y7*0.0036))))</f>
        <v>65.837699424148042</v>
      </c>
      <c r="AC7" s="58"/>
      <c r="AD7" s="18">
        <f>(('16'!AC7*'16'!$O$9*1000000))/('16'!Y7*3600)</f>
        <v>0</v>
      </c>
      <c r="AE7" s="183"/>
      <c r="AF7" s="184">
        <f>('16'!AE7/24)*0.454</f>
        <v>0</v>
      </c>
      <c r="AG7" s="19"/>
      <c r="AH7" s="184">
        <f>('16'!AG7/24)*0.454</f>
        <v>0</v>
      </c>
      <c r="AI7" s="267">
        <v>4400</v>
      </c>
      <c r="AJ7" s="184">
        <f>('16'!AI7/24)*0.454</f>
        <v>83.233333333333334</v>
      </c>
      <c r="AK7" s="21"/>
      <c r="AL7" s="185">
        <f>('16'!AK7/24)*0.454</f>
        <v>0</v>
      </c>
      <c r="AM7" s="21"/>
      <c r="AN7" s="185">
        <f>('16'!AM7/24)*0.454</f>
        <v>0</v>
      </c>
      <c r="AO7" s="21"/>
      <c r="AP7" s="185">
        <f>('16'!AO7/24)*0.454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5" customHeight="1">
      <c r="A8" s="28">
        <v>8.3333333333333301E-2</v>
      </c>
      <c r="B8" s="186">
        <v>80</v>
      </c>
      <c r="C8" s="186">
        <v>10</v>
      </c>
      <c r="D8" s="186">
        <v>10</v>
      </c>
      <c r="E8" s="186">
        <v>2.5</v>
      </c>
      <c r="F8" s="186">
        <v>12.8</v>
      </c>
      <c r="G8" s="186">
        <v>1.6</v>
      </c>
      <c r="H8" s="186">
        <v>1.3</v>
      </c>
      <c r="I8" s="186">
        <v>0.4</v>
      </c>
      <c r="J8" s="186">
        <v>0.5</v>
      </c>
      <c r="K8" s="186">
        <v>7.3</v>
      </c>
      <c r="L8" s="186">
        <v>6.5</v>
      </c>
      <c r="M8" s="186">
        <v>6.5</v>
      </c>
      <c r="N8" s="186">
        <v>6.3</v>
      </c>
      <c r="O8" s="186">
        <v>3.5</v>
      </c>
      <c r="P8" s="186"/>
      <c r="Q8" s="188"/>
      <c r="R8" s="37">
        <f>'16'!Z7</f>
        <v>839</v>
      </c>
      <c r="S8" s="36">
        <f>'16'!AB7</f>
        <v>65.837699424148042</v>
      </c>
      <c r="T8" s="37">
        <f>'16'!Y7</f>
        <v>2354</v>
      </c>
      <c r="U8" s="33" t="str">
        <f>IF('16'!AA7=1,'16'!AR6,'16'!AR7)</f>
        <v>S.A.L</v>
      </c>
      <c r="V8" s="1022"/>
      <c r="W8" s="1022"/>
      <c r="X8" s="13">
        <v>0.125</v>
      </c>
      <c r="Y8" s="182">
        <v>2365</v>
      </c>
      <c r="Z8" s="182">
        <v>839</v>
      </c>
      <c r="AA8" s="15">
        <v>1</v>
      </c>
      <c r="AB8" s="58">
        <f>IF('16'!AA8=1,(('16'!Z8*'16'!$AS$6*'16'!$AT$6)/('16'!Y8*0.0036)),IF('16'!AA8=2,(('16'!Z8*'16'!$AS$7*'16'!$AT$7)/('16'!Y8*0.0036))))</f>
        <v>65.531477566361303</v>
      </c>
      <c r="AC8" s="58"/>
      <c r="AD8" s="18">
        <f>(('16'!AC8*'16'!$O$9*1000000))/('16'!Y8*3600)</f>
        <v>0</v>
      </c>
      <c r="AE8" s="183"/>
      <c r="AF8" s="184">
        <f>('16'!AE8/24)*0.454</f>
        <v>0</v>
      </c>
      <c r="AG8" s="19"/>
      <c r="AH8" s="184">
        <f>('16'!AG8/24)*0.454</f>
        <v>0</v>
      </c>
      <c r="AI8" s="267">
        <v>4400</v>
      </c>
      <c r="AJ8" s="184">
        <f>('16'!AI8/24)*0.454</f>
        <v>83.233333333333334</v>
      </c>
      <c r="AK8" s="21"/>
      <c r="AL8" s="185">
        <f>('16'!AK8/24)*0.454</f>
        <v>0</v>
      </c>
      <c r="AM8" s="21"/>
      <c r="AN8" s="185">
        <f>('16'!AM8/24)*0.454</f>
        <v>0</v>
      </c>
      <c r="AO8" s="21"/>
      <c r="AP8" s="185">
        <f>('16'!AO8/24)*0.454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80</v>
      </c>
      <c r="C9" s="186">
        <v>10</v>
      </c>
      <c r="D9" s="186">
        <v>10</v>
      </c>
      <c r="E9" s="186">
        <v>2.5</v>
      </c>
      <c r="F9" s="186">
        <v>12.8</v>
      </c>
      <c r="G9" s="186">
        <v>1.6</v>
      </c>
      <c r="H9" s="186">
        <v>1.3</v>
      </c>
      <c r="I9" s="186">
        <v>0.4</v>
      </c>
      <c r="J9" s="186">
        <v>0.5</v>
      </c>
      <c r="K9" s="186">
        <v>7.3</v>
      </c>
      <c r="L9" s="186">
        <v>6.5</v>
      </c>
      <c r="M9" s="186">
        <v>6.5</v>
      </c>
      <c r="N9" s="186">
        <v>6.3</v>
      </c>
      <c r="O9" s="186">
        <v>3.5</v>
      </c>
      <c r="P9" s="186"/>
      <c r="Q9" s="188"/>
      <c r="R9" s="37">
        <f>'16'!Z9</f>
        <v>839</v>
      </c>
      <c r="S9" s="36">
        <f>'16'!AB9</f>
        <v>65.97783926966558</v>
      </c>
      <c r="T9" s="37">
        <f>'16'!Y9</f>
        <v>2349</v>
      </c>
      <c r="U9" s="33" t="str">
        <f>IF('16'!AA9=1,'16'!AR6,'16'!AR7)</f>
        <v>S.A.L</v>
      </c>
      <c r="V9" s="1022"/>
      <c r="W9" s="1022"/>
      <c r="X9" s="13">
        <v>0.16666666666666699</v>
      </c>
      <c r="Y9" s="182">
        <v>2349</v>
      </c>
      <c r="Z9" s="182">
        <v>839</v>
      </c>
      <c r="AA9" s="15">
        <v>1</v>
      </c>
      <c r="AB9" s="58">
        <f>IF('16'!AA9=1,(('16'!Z9*'16'!$AS$6*'16'!$AT$6)/('16'!Y9*0.0036)),IF('16'!AA9=2,(('16'!Z9*'16'!$AS$7*'16'!$AT$7)/('16'!Y9*0.0036))))</f>
        <v>65.97783926966558</v>
      </c>
      <c r="AC9" s="58"/>
      <c r="AD9" s="18">
        <f>(('16'!AC9*'16'!$O$9*1000000))/('16'!Y9*3600)</f>
        <v>0</v>
      </c>
      <c r="AE9" s="183"/>
      <c r="AF9" s="184">
        <f>('16'!AE9/24)*0.454</f>
        <v>0</v>
      </c>
      <c r="AG9" s="19"/>
      <c r="AH9" s="184">
        <f>('16'!AG9/24)*0.454</f>
        <v>0</v>
      </c>
      <c r="AI9" s="267">
        <v>4400</v>
      </c>
      <c r="AJ9" s="184">
        <f>('16'!AI9/24)*0.454</f>
        <v>83.233333333333334</v>
      </c>
      <c r="AK9" s="21"/>
      <c r="AL9" s="185">
        <f>('16'!AK9/24)*0.454</f>
        <v>0</v>
      </c>
      <c r="AM9" s="21"/>
      <c r="AN9" s="185">
        <f>('16'!AM9/24)*0.454</f>
        <v>0</v>
      </c>
      <c r="AO9" s="21"/>
      <c r="AP9" s="185">
        <f>('16'!AO9/24)*0.454</f>
        <v>0</v>
      </c>
      <c r="AQ9" s="942" t="s">
        <v>37</v>
      </c>
      <c r="AR9" s="942"/>
      <c r="AS9" s="942"/>
      <c r="AT9" s="38" t="s">
        <v>39</v>
      </c>
    </row>
    <row r="10" spans="1:47" ht="15" customHeight="1">
      <c r="A10" s="28">
        <v>0.25</v>
      </c>
      <c r="B10" s="186">
        <v>80</v>
      </c>
      <c r="C10" s="186">
        <v>10</v>
      </c>
      <c r="D10" s="186">
        <v>10</v>
      </c>
      <c r="E10" s="186">
        <v>2.5</v>
      </c>
      <c r="F10" s="186">
        <v>12.7</v>
      </c>
      <c r="G10" s="186">
        <v>1.6</v>
      </c>
      <c r="H10" s="186">
        <v>1.2</v>
      </c>
      <c r="I10" s="186">
        <v>0.4</v>
      </c>
      <c r="J10" s="186">
        <v>0.5</v>
      </c>
      <c r="K10" s="186">
        <v>7.3</v>
      </c>
      <c r="L10" s="186">
        <v>6.5</v>
      </c>
      <c r="M10" s="186">
        <v>6.5</v>
      </c>
      <c r="N10" s="186">
        <v>6.3</v>
      </c>
      <c r="O10" s="186">
        <v>3.5</v>
      </c>
      <c r="P10" s="186"/>
      <c r="Q10" s="188"/>
      <c r="R10" s="37">
        <f>'16'!Z11</f>
        <v>839</v>
      </c>
      <c r="S10" s="36">
        <f>'16'!AB11</f>
        <v>63.491169375028463</v>
      </c>
      <c r="T10" s="37">
        <f>'16'!Y11</f>
        <v>2441</v>
      </c>
      <c r="U10" s="33" t="str">
        <f>IF('16'!AA11=1,'16'!AR6,'16'!AR7)</f>
        <v>S.A.L</v>
      </c>
      <c r="V10" s="1022"/>
      <c r="W10" s="1022"/>
      <c r="X10" s="13">
        <v>0.20833333333333301</v>
      </c>
      <c r="Y10" s="182">
        <v>2353</v>
      </c>
      <c r="Z10" s="182">
        <v>839</v>
      </c>
      <c r="AA10" s="15">
        <v>1</v>
      </c>
      <c r="AB10" s="58">
        <f>IF('16'!AA10=1,(('16'!Z10*'16'!$AS$6*'16'!$AT$6)/('16'!Y10*0.0036)),IF('16'!AA10=2,(('16'!Z10*'16'!$AS$7*'16'!$AT$7)/('16'!Y10*0.0036))))</f>
        <v>65.865679746895225</v>
      </c>
      <c r="AC10" s="58"/>
      <c r="AD10" s="18">
        <f>(('16'!AC10*'16'!$O$9*1000000))/('16'!Y10*3600)</f>
        <v>0</v>
      </c>
      <c r="AE10" s="183"/>
      <c r="AF10" s="184">
        <f>('16'!AE10/24)*0.454</f>
        <v>0</v>
      </c>
      <c r="AG10" s="19"/>
      <c r="AH10" s="184">
        <f>('16'!AG10/24)*0.454</f>
        <v>0</v>
      </c>
      <c r="AI10" s="267">
        <v>4400</v>
      </c>
      <c r="AJ10" s="184">
        <f>('16'!AI10/24)*0.454</f>
        <v>83.233333333333334</v>
      </c>
      <c r="AK10" s="21"/>
      <c r="AL10" s="185">
        <f>('16'!AK10/24)*0.454</f>
        <v>0</v>
      </c>
      <c r="AM10" s="21"/>
      <c r="AN10" s="185">
        <f>('16'!AM10/24)*0.454</f>
        <v>0</v>
      </c>
      <c r="AO10" s="21"/>
      <c r="AP10" s="185">
        <f>('16'!AO10/24)*0.454</f>
        <v>0</v>
      </c>
      <c r="AQ10" s="943" t="s">
        <v>51</v>
      </c>
      <c r="AR10" s="943"/>
      <c r="AS10" s="943"/>
      <c r="AT10" s="41">
        <v>2E-3</v>
      </c>
    </row>
    <row r="11" spans="1:47" ht="15" customHeight="1">
      <c r="A11" s="28">
        <v>0.33333333333333298</v>
      </c>
      <c r="B11" s="186">
        <v>80</v>
      </c>
      <c r="C11" s="186">
        <v>12.5</v>
      </c>
      <c r="D11" s="186">
        <v>10</v>
      </c>
      <c r="E11" s="186">
        <v>2.5</v>
      </c>
      <c r="F11" s="186">
        <v>13.3</v>
      </c>
      <c r="G11" s="186">
        <v>1.7</v>
      </c>
      <c r="H11" s="186">
        <v>1.3</v>
      </c>
      <c r="I11" s="186">
        <v>0.4</v>
      </c>
      <c r="J11" s="186">
        <v>0.5</v>
      </c>
      <c r="K11" s="186">
        <v>7.3</v>
      </c>
      <c r="L11" s="186">
        <v>6.5</v>
      </c>
      <c r="M11" s="186">
        <v>6.5</v>
      </c>
      <c r="N11" s="186">
        <v>6.3</v>
      </c>
      <c r="O11" s="186">
        <v>3.5</v>
      </c>
      <c r="P11" s="186"/>
      <c r="Q11" s="188"/>
      <c r="R11" s="37">
        <f>'16'!Z13</f>
        <v>839</v>
      </c>
      <c r="S11" s="36">
        <f>'16'!AB13</f>
        <v>63.154826586978182</v>
      </c>
      <c r="T11" s="37">
        <f>'16'!Y13</f>
        <v>2454</v>
      </c>
      <c r="U11" s="33" t="str">
        <f>IF('16'!AA13=1,'16'!AR6,'16'!AR7)</f>
        <v>S.A.L</v>
      </c>
      <c r="V11" s="1022"/>
      <c r="W11" s="1022"/>
      <c r="X11" s="13">
        <v>0.25</v>
      </c>
      <c r="Y11" s="182">
        <v>2441</v>
      </c>
      <c r="Z11" s="182">
        <v>839</v>
      </c>
      <c r="AA11" s="15">
        <v>1</v>
      </c>
      <c r="AB11" s="58">
        <f>IF('16'!AA11=1,(('16'!Z11*'16'!$AS$6*'16'!$AT$6)/('16'!Y11*0.0036)),IF('16'!AA11=2,(('16'!Z11*'16'!$AS$7*'16'!$AT$7)/('16'!Y11*0.0036))))</f>
        <v>63.491169375028463</v>
      </c>
      <c r="AC11" s="58"/>
      <c r="AD11" s="18">
        <f>(('16'!AC11*'16'!$O$9*1000000))/('16'!Y11*3600)</f>
        <v>0</v>
      </c>
      <c r="AE11" s="183"/>
      <c r="AF11" s="184">
        <f>('16'!AE11/24)*0.454</f>
        <v>0</v>
      </c>
      <c r="AG11" s="19"/>
      <c r="AH11" s="184">
        <f>('16'!AG11/24)*0.454</f>
        <v>0</v>
      </c>
      <c r="AI11" s="267">
        <v>4400</v>
      </c>
      <c r="AJ11" s="184">
        <f>('16'!AI11/24)*0.454</f>
        <v>83.233333333333334</v>
      </c>
      <c r="AK11" s="21"/>
      <c r="AL11" s="185">
        <f>('16'!AK11/24)*0.454</f>
        <v>0</v>
      </c>
      <c r="AM11" s="21"/>
      <c r="AN11" s="185">
        <f>('16'!AM11/24)*0.454</f>
        <v>0</v>
      </c>
      <c r="AO11" s="21"/>
      <c r="AP11" s="185">
        <f>('16'!AO11/24)*0.454</f>
        <v>0</v>
      </c>
    </row>
    <row r="12" spans="1:47" ht="15" customHeight="1">
      <c r="A12" s="28">
        <v>0.41666666666666702</v>
      </c>
      <c r="B12" s="186">
        <v>80</v>
      </c>
      <c r="C12" s="186">
        <v>10</v>
      </c>
      <c r="D12" s="186">
        <v>10</v>
      </c>
      <c r="E12" s="186">
        <v>2.5</v>
      </c>
      <c r="F12" s="186">
        <v>13</v>
      </c>
      <c r="G12" s="186">
        <v>1.53</v>
      </c>
      <c r="H12" s="186">
        <v>1.4</v>
      </c>
      <c r="I12" s="186">
        <v>0.4</v>
      </c>
      <c r="J12" s="186">
        <v>0.5</v>
      </c>
      <c r="K12" s="186">
        <v>7.3</v>
      </c>
      <c r="L12" s="186">
        <v>6.5</v>
      </c>
      <c r="M12" s="186">
        <v>6.5</v>
      </c>
      <c r="N12" s="186">
        <v>6.3</v>
      </c>
      <c r="O12" s="186">
        <v>3.5</v>
      </c>
      <c r="P12" s="186"/>
      <c r="Q12" s="188"/>
      <c r="R12" s="37">
        <f>'16'!Z15</f>
        <v>839</v>
      </c>
      <c r="S12" s="36">
        <f>'16'!AB15</f>
        <v>63.64761578827288</v>
      </c>
      <c r="T12" s="37">
        <f>'16'!Y15</f>
        <v>2435</v>
      </c>
      <c r="U12" s="33" t="str">
        <f>IF('16'!AA15=1,'16'!AR6,'16'!AR7)</f>
        <v>S.A.L</v>
      </c>
      <c r="V12" s="944">
        <f>ESCALA!$B$18</f>
        <v>0</v>
      </c>
      <c r="W12" s="944"/>
      <c r="X12" s="13">
        <v>0.29166666666666702</v>
      </c>
      <c r="Y12" s="182">
        <v>2470</v>
      </c>
      <c r="Z12" s="182">
        <v>839</v>
      </c>
      <c r="AA12" s="15">
        <v>1</v>
      </c>
      <c r="AB12" s="58">
        <f>IF('16'!AA12=1,(('16'!Z12*'16'!$AS$6*'16'!$AT$6)/('16'!Y12*0.0036)),IF('16'!AA12=2,(('16'!Z12*'16'!$AS$7*'16'!$AT$7)/('16'!Y12*0.0036))))</f>
        <v>62.745726495726508</v>
      </c>
      <c r="AC12" s="58"/>
      <c r="AD12" s="18">
        <f>(('16'!AC12*'16'!$O$9*1000000))/('16'!Y12*3600)</f>
        <v>0</v>
      </c>
      <c r="AE12" s="183"/>
      <c r="AF12" s="184">
        <f>('16'!AE12/24)*0.454</f>
        <v>0</v>
      </c>
      <c r="AG12" s="19"/>
      <c r="AH12" s="184">
        <f>('16'!AG12/24)*0.454</f>
        <v>0</v>
      </c>
      <c r="AI12" s="267">
        <v>4400</v>
      </c>
      <c r="AJ12" s="184">
        <f>('16'!AI12/24)*0.454</f>
        <v>83.233333333333334</v>
      </c>
      <c r="AK12" s="21"/>
      <c r="AL12" s="185">
        <f>('16'!AK12/24)*0.454</f>
        <v>0</v>
      </c>
      <c r="AM12" s="21"/>
      <c r="AN12" s="185">
        <f>('16'!AM12/24)*0.454</f>
        <v>0</v>
      </c>
      <c r="AO12" s="21"/>
      <c r="AP12" s="185">
        <f>('16'!AO12/24)*0.454</f>
        <v>0</v>
      </c>
    </row>
    <row r="13" spans="1:47" ht="15" customHeight="1">
      <c r="A13" s="28">
        <v>0.5</v>
      </c>
      <c r="B13" s="186">
        <v>80</v>
      </c>
      <c r="C13" s="186">
        <v>10</v>
      </c>
      <c r="D13" s="186">
        <v>10</v>
      </c>
      <c r="E13" s="186">
        <v>2.5</v>
      </c>
      <c r="F13" s="186">
        <v>12.5</v>
      </c>
      <c r="G13" s="186">
        <v>1.5</v>
      </c>
      <c r="H13" s="186">
        <v>1.3</v>
      </c>
      <c r="I13" s="186">
        <v>0.4</v>
      </c>
      <c r="J13" s="186">
        <v>0.5</v>
      </c>
      <c r="K13" s="186">
        <v>7.3</v>
      </c>
      <c r="L13" s="186">
        <v>6.5</v>
      </c>
      <c r="M13" s="186">
        <v>6.5</v>
      </c>
      <c r="N13" s="186">
        <v>6.3</v>
      </c>
      <c r="O13" s="186">
        <v>3.5</v>
      </c>
      <c r="P13" s="186"/>
      <c r="Q13" s="188"/>
      <c r="R13" s="37">
        <f>'16'!Z17</f>
        <v>839</v>
      </c>
      <c r="S13" s="36">
        <f>'16'!AB17</f>
        <v>65.726015455659237</v>
      </c>
      <c r="T13" s="37">
        <f>'16'!Y17</f>
        <v>2358</v>
      </c>
      <c r="U13" s="33" t="str">
        <f>IF('16'!AA17=1,'16'!AR6,'16'!AR7)</f>
        <v>S.A.L</v>
      </c>
      <c r="V13" s="944"/>
      <c r="W13" s="944"/>
      <c r="X13" s="13">
        <v>0.33333333333333298</v>
      </c>
      <c r="Y13" s="182">
        <v>2454</v>
      </c>
      <c r="Z13" s="182">
        <v>839</v>
      </c>
      <c r="AA13" s="15">
        <v>1</v>
      </c>
      <c r="AB13" s="58">
        <f>IF('16'!AA13=1,(('16'!Z13*'16'!$AS$6*'16'!$AT$6)/('16'!Y13*0.0036)),IF('16'!AA13=2,(('16'!Z13*'16'!$AS$7*'16'!$AT$7)/('16'!Y13*0.0036))))</f>
        <v>63.154826586978182</v>
      </c>
      <c r="AC13" s="58"/>
      <c r="AD13" s="18">
        <f>(('16'!AC13*'16'!$O$9*1000000))/('16'!Y13*3600)</f>
        <v>0</v>
      </c>
      <c r="AE13" s="183"/>
      <c r="AF13" s="184">
        <f>('16'!AE13/24)*0.454</f>
        <v>0</v>
      </c>
      <c r="AG13" s="19"/>
      <c r="AH13" s="184">
        <f>('16'!AG13/24)*0.454</f>
        <v>0</v>
      </c>
      <c r="AI13" s="267">
        <v>4400</v>
      </c>
      <c r="AJ13" s="184">
        <f>('16'!AI13/24)*0.454</f>
        <v>83.233333333333334</v>
      </c>
      <c r="AK13" s="21"/>
      <c r="AL13" s="185">
        <f>('16'!AK13/24)*0.454</f>
        <v>0</v>
      </c>
      <c r="AM13" s="21"/>
      <c r="AN13" s="185">
        <f>('16'!AM13/24)*0.454</f>
        <v>0</v>
      </c>
      <c r="AO13" s="21"/>
      <c r="AP13" s="185">
        <f>('16'!AO13/24)*0.454</f>
        <v>0</v>
      </c>
    </row>
    <row r="14" spans="1:47" ht="15" customHeight="1">
      <c r="A14" s="28">
        <v>0.58333333333333304</v>
      </c>
      <c r="B14" s="186">
        <v>80</v>
      </c>
      <c r="C14" s="186">
        <v>10</v>
      </c>
      <c r="D14" s="186">
        <v>10</v>
      </c>
      <c r="E14" s="186">
        <v>2.5</v>
      </c>
      <c r="F14" s="186">
        <v>12.4</v>
      </c>
      <c r="G14" s="186">
        <v>1.5</v>
      </c>
      <c r="H14" s="186">
        <v>1.4</v>
      </c>
      <c r="I14" s="186">
        <v>0.4</v>
      </c>
      <c r="J14" s="186">
        <v>0.5</v>
      </c>
      <c r="K14" s="186">
        <v>7.3</v>
      </c>
      <c r="L14" s="186">
        <v>6.7</v>
      </c>
      <c r="M14" s="186">
        <v>6.7</v>
      </c>
      <c r="N14" s="186">
        <v>6.5</v>
      </c>
      <c r="O14" s="186">
        <v>3.5</v>
      </c>
      <c r="P14" s="186"/>
      <c r="Q14" s="188"/>
      <c r="R14" s="37">
        <f>'16'!Z19</f>
        <v>839</v>
      </c>
      <c r="S14" s="36">
        <f>'16'!AB19</f>
        <v>64.201302586762409</v>
      </c>
      <c r="T14" s="37">
        <f>'16'!Y19</f>
        <v>2414</v>
      </c>
      <c r="U14" s="33" t="str">
        <f>IF('16'!AA19=1,'16'!AR6,'16'!AR7)</f>
        <v>S.A.L</v>
      </c>
      <c r="V14" s="944"/>
      <c r="W14" s="944"/>
      <c r="X14" s="13">
        <v>0.375</v>
      </c>
      <c r="Y14" s="182">
        <v>2392</v>
      </c>
      <c r="Z14" s="182">
        <v>839</v>
      </c>
      <c r="AA14" s="15">
        <v>1</v>
      </c>
      <c r="AB14" s="58">
        <f>IF('16'!AA14=1,(('16'!Z14*'16'!$AS$6*'16'!$AT$6)/('16'!Y14*0.0036)),IF('16'!AA14=2,(('16'!Z14*'16'!$AS$7*'16'!$AT$7)/('16'!Y14*0.0036))))</f>
        <v>64.791782794500193</v>
      </c>
      <c r="AC14" s="58"/>
      <c r="AD14" s="18">
        <f>(('16'!AC14*'16'!$O$9*1000000))/('16'!Y14*3600)</f>
        <v>0</v>
      </c>
      <c r="AE14" s="183"/>
      <c r="AF14" s="184">
        <f>('16'!AE14/24)*0.454</f>
        <v>0</v>
      </c>
      <c r="AG14" s="19"/>
      <c r="AH14" s="184">
        <f>('16'!AG14/24)*0.454</f>
        <v>0</v>
      </c>
      <c r="AI14" s="267">
        <v>4400</v>
      </c>
      <c r="AJ14" s="184">
        <f>('16'!AI14/24)*0.454</f>
        <v>83.233333333333334</v>
      </c>
      <c r="AK14" s="21"/>
      <c r="AL14" s="185">
        <f>('16'!AK14/24)*0.454</f>
        <v>0</v>
      </c>
      <c r="AM14" s="21"/>
      <c r="AN14" s="185">
        <f>('16'!AM14/24)*0.454</f>
        <v>0</v>
      </c>
      <c r="AO14" s="21"/>
      <c r="AP14" s="185">
        <f>('16'!AO14/24)*0.454</f>
        <v>0</v>
      </c>
    </row>
    <row r="15" spans="1:47" ht="15" customHeight="1">
      <c r="A15" s="28">
        <v>0.66666666666666696</v>
      </c>
      <c r="B15" s="186">
        <v>80</v>
      </c>
      <c r="C15" s="186">
        <v>12.5</v>
      </c>
      <c r="D15" s="186">
        <v>10</v>
      </c>
      <c r="E15" s="186">
        <v>2.5</v>
      </c>
      <c r="F15" s="186">
        <v>12.2</v>
      </c>
      <c r="G15" s="186">
        <v>1.8</v>
      </c>
      <c r="H15" s="186">
        <v>1.5</v>
      </c>
      <c r="I15" s="186">
        <v>0.4</v>
      </c>
      <c r="J15" s="186">
        <v>0.5</v>
      </c>
      <c r="K15" s="186">
        <v>7.3</v>
      </c>
      <c r="L15" s="186">
        <v>6.8</v>
      </c>
      <c r="M15" s="186">
        <v>6.8</v>
      </c>
      <c r="N15" s="186">
        <v>6.5</v>
      </c>
      <c r="O15" s="186">
        <v>3.5</v>
      </c>
      <c r="P15" s="186"/>
      <c r="Q15" s="188"/>
      <c r="R15" s="37">
        <f>'16'!Z21</f>
        <v>839</v>
      </c>
      <c r="S15" s="36">
        <f>'16'!AB21</f>
        <v>63.910080183276065</v>
      </c>
      <c r="T15" s="37">
        <f>'16'!Y21</f>
        <v>2425</v>
      </c>
      <c r="U15" s="33" t="str">
        <f>IF('16'!AA21=1,'16'!AR6,'16'!AR7)</f>
        <v>S.A.L</v>
      </c>
      <c r="V15" s="944"/>
      <c r="W15" s="944"/>
      <c r="X15" s="13">
        <v>0.41666666666666702</v>
      </c>
      <c r="Y15" s="182">
        <v>2435</v>
      </c>
      <c r="Z15" s="182">
        <v>839</v>
      </c>
      <c r="AA15" s="15">
        <v>1</v>
      </c>
      <c r="AB15" s="58">
        <f>IF('16'!AA15=1,(('16'!Z15*'16'!$AS$6*'16'!$AT$6)/('16'!Y15*0.0036)),IF('16'!AA15=2,(('16'!Z15*'16'!$AS$7*'16'!$AT$7)/('16'!Y15*0.0036))))</f>
        <v>63.64761578827288</v>
      </c>
      <c r="AC15" s="58"/>
      <c r="AD15" s="18">
        <f>(('16'!AC15*'16'!$O$9*1000000))/('16'!Y15*3600)</f>
        <v>0</v>
      </c>
      <c r="AE15" s="183"/>
      <c r="AF15" s="184">
        <f>('16'!AE15/24)*0.454</f>
        <v>0</v>
      </c>
      <c r="AG15" s="19"/>
      <c r="AH15" s="184">
        <f>('16'!AG15/24)*0.454</f>
        <v>0</v>
      </c>
      <c r="AI15" s="267">
        <v>4400</v>
      </c>
      <c r="AJ15" s="184">
        <f>('16'!AI15/24)*0.454</f>
        <v>83.233333333333334</v>
      </c>
      <c r="AK15" s="21"/>
      <c r="AL15" s="185">
        <f>('16'!AK15/24)*0.454</f>
        <v>0</v>
      </c>
      <c r="AM15" s="21"/>
      <c r="AN15" s="185">
        <f>('16'!AM15/24)*0.454</f>
        <v>0</v>
      </c>
      <c r="AO15" s="21"/>
      <c r="AP15" s="185">
        <f>('16'!AO15/24)*0.454</f>
        <v>0</v>
      </c>
    </row>
    <row r="16" spans="1:47" ht="15" customHeight="1">
      <c r="A16" s="28">
        <v>0.75</v>
      </c>
      <c r="B16" s="186">
        <v>80</v>
      </c>
      <c r="C16" s="186">
        <v>10</v>
      </c>
      <c r="D16" s="186">
        <v>10</v>
      </c>
      <c r="E16" s="186">
        <v>2.5</v>
      </c>
      <c r="F16" s="186">
        <v>12.5</v>
      </c>
      <c r="G16" s="186">
        <v>1.8</v>
      </c>
      <c r="H16" s="186">
        <v>4.5999999999999996</v>
      </c>
      <c r="I16" s="186">
        <v>0.4</v>
      </c>
      <c r="J16" s="186">
        <v>0.5</v>
      </c>
      <c r="K16" s="186">
        <v>7.3</v>
      </c>
      <c r="L16" s="186">
        <v>6.8</v>
      </c>
      <c r="M16" s="186">
        <v>6.8</v>
      </c>
      <c r="N16" s="186">
        <v>6.5</v>
      </c>
      <c r="O16" s="186">
        <v>3.5</v>
      </c>
      <c r="P16" s="186"/>
      <c r="Q16" s="188"/>
      <c r="R16" s="37">
        <f>'16'!Z23</f>
        <v>839</v>
      </c>
      <c r="S16" s="36">
        <f>'16'!AB23</f>
        <v>63.361383664940497</v>
      </c>
      <c r="T16" s="37">
        <f>'16'!Y23</f>
        <v>2446</v>
      </c>
      <c r="U16" s="33" t="str">
        <f>IF('16'!AA23=1,'16'!AR6,'16'!AR7)</f>
        <v>S.A.L</v>
      </c>
      <c r="V16" s="944"/>
      <c r="W16" s="944"/>
      <c r="X16" s="13">
        <v>0.45833333333333298</v>
      </c>
      <c r="Y16" s="182">
        <v>2440</v>
      </c>
      <c r="Z16" s="182">
        <v>839</v>
      </c>
      <c r="AA16" s="15">
        <v>1</v>
      </c>
      <c r="AB16" s="58">
        <f>IF('16'!AA16=1,(('16'!Z16*'16'!$AS$6*'16'!$AT$6)/('16'!Y16*0.0036)),IF('16'!AA16=2,(('16'!Z16*'16'!$AS$7*'16'!$AT$7)/('16'!Y16*0.0036))))</f>
        <v>63.517190346083801</v>
      </c>
      <c r="AC16" s="58"/>
      <c r="AD16" s="18">
        <f>(('16'!AC16*'16'!$O$9*1000000))/('16'!Y16*3600)</f>
        <v>0</v>
      </c>
      <c r="AE16" s="183"/>
      <c r="AF16" s="184">
        <f>('16'!AE16/24)*0.454</f>
        <v>0</v>
      </c>
      <c r="AG16" s="19"/>
      <c r="AH16" s="184">
        <f>('16'!AG16/24)*0.454</f>
        <v>0</v>
      </c>
      <c r="AI16" s="267">
        <v>4400</v>
      </c>
      <c r="AJ16" s="184">
        <f>('16'!AI16/24)*0.454</f>
        <v>83.233333333333334</v>
      </c>
      <c r="AK16" s="21"/>
      <c r="AL16" s="185">
        <f>('16'!AK16/24)*0.454</f>
        <v>0</v>
      </c>
      <c r="AM16" s="21"/>
      <c r="AN16" s="185">
        <f>('16'!AM16/24)*0.454</f>
        <v>0</v>
      </c>
      <c r="AO16" s="21"/>
      <c r="AP16" s="185">
        <f>('16'!AO16/24)*0.454</f>
        <v>0</v>
      </c>
    </row>
    <row r="17" spans="1:42" ht="15" customHeight="1">
      <c r="A17" s="28">
        <v>0.83333333333333304</v>
      </c>
      <c r="B17" s="186">
        <v>80</v>
      </c>
      <c r="C17" s="186">
        <v>12.5</v>
      </c>
      <c r="D17" s="186">
        <v>12.5</v>
      </c>
      <c r="E17" s="186">
        <v>2.5</v>
      </c>
      <c r="F17" s="186">
        <v>11.7</v>
      </c>
      <c r="G17" s="186">
        <v>1.9</v>
      </c>
      <c r="H17" s="186">
        <v>1.6</v>
      </c>
      <c r="I17" s="186">
        <v>0.5</v>
      </c>
      <c r="J17" s="186">
        <v>0.5</v>
      </c>
      <c r="K17" s="186">
        <v>7.3</v>
      </c>
      <c r="L17" s="186">
        <v>6.7</v>
      </c>
      <c r="M17" s="186">
        <v>6.7</v>
      </c>
      <c r="N17" s="186">
        <v>6.3</v>
      </c>
      <c r="O17" s="186">
        <v>1.5</v>
      </c>
      <c r="P17" s="186"/>
      <c r="Q17" s="188"/>
      <c r="R17" s="37">
        <f>'16'!Z25</f>
        <v>839</v>
      </c>
      <c r="S17" s="36">
        <f>'16'!AB25</f>
        <v>62.117011801380549</v>
      </c>
      <c r="T17" s="37">
        <f>'16'!Y25</f>
        <v>2495</v>
      </c>
      <c r="U17" s="33" t="str">
        <f>IF('16'!AA25=1,'16'!AR6,'16'!AR7)</f>
        <v>S.A.L</v>
      </c>
      <c r="V17" s="945">
        <f>ESCALA!$C$18</f>
        <v>0</v>
      </c>
      <c r="W17" s="945"/>
      <c r="X17" s="13">
        <v>0.5</v>
      </c>
      <c r="Y17" s="182">
        <v>2358</v>
      </c>
      <c r="Z17" s="182">
        <v>839</v>
      </c>
      <c r="AA17" s="15">
        <v>1</v>
      </c>
      <c r="AB17" s="58">
        <f>IF('16'!AA17=1,(('16'!Z17*'16'!$AS$6*'16'!$AT$6)/('16'!Y17*0.0036)),IF('16'!AA17=2,(('16'!Z17*'16'!$AS$7*'16'!$AT$7)/('16'!Y17*0.0036))))</f>
        <v>65.726015455659237</v>
      </c>
      <c r="AC17" s="58"/>
      <c r="AD17" s="18">
        <f>(('16'!AC17*'16'!$O$9*1000000))/('16'!Y17*3600)</f>
        <v>0</v>
      </c>
      <c r="AE17" s="183"/>
      <c r="AF17" s="184">
        <f>('16'!AE17/24)*0.454</f>
        <v>0</v>
      </c>
      <c r="AG17" s="19"/>
      <c r="AH17" s="184">
        <f>('16'!AG17/24)*0.454</f>
        <v>0</v>
      </c>
      <c r="AI17" s="267">
        <v>4400</v>
      </c>
      <c r="AJ17" s="184">
        <f>('16'!AI17/24)*0.454</f>
        <v>83.233333333333334</v>
      </c>
      <c r="AK17" s="21"/>
      <c r="AL17" s="185">
        <f>('16'!AK17/24)*0.454</f>
        <v>0</v>
      </c>
      <c r="AM17" s="21"/>
      <c r="AN17" s="185">
        <f>('16'!AM17/24)*0.454</f>
        <v>0</v>
      </c>
      <c r="AO17" s="21"/>
      <c r="AP17" s="185">
        <f>('16'!AO17/24)*0.454</f>
        <v>0</v>
      </c>
    </row>
    <row r="18" spans="1:42" ht="19.5" customHeight="1">
      <c r="A18" s="28">
        <v>0.91666666666666696</v>
      </c>
      <c r="B18" s="186">
        <v>80</v>
      </c>
      <c r="C18" s="186">
        <v>12.5</v>
      </c>
      <c r="D18" s="186">
        <v>12.5</v>
      </c>
      <c r="E18" s="186">
        <v>2.5</v>
      </c>
      <c r="F18" s="186">
        <v>12.3</v>
      </c>
      <c r="G18" s="186">
        <v>1.9</v>
      </c>
      <c r="H18" s="186">
        <v>1.4</v>
      </c>
      <c r="I18" s="186">
        <v>0.5</v>
      </c>
      <c r="J18" s="186">
        <v>0.5</v>
      </c>
      <c r="K18" s="186">
        <v>7.3</v>
      </c>
      <c r="L18" s="186">
        <v>6.7</v>
      </c>
      <c r="M18" s="186">
        <v>6.7</v>
      </c>
      <c r="N18" s="186">
        <v>6.3</v>
      </c>
      <c r="O18" s="186">
        <v>2</v>
      </c>
      <c r="P18" s="186"/>
      <c r="Q18" s="188"/>
      <c r="R18" s="37">
        <f>'16'!Z27</f>
        <v>839</v>
      </c>
      <c r="S18" s="36">
        <f>'16'!AB27</f>
        <v>64.54891480401686</v>
      </c>
      <c r="T18" s="37">
        <f>'16'!Y27</f>
        <v>2401</v>
      </c>
      <c r="U18" s="33" t="str">
        <f>IF('16'!AA27=1,'16'!AR6,'16'!AR7)</f>
        <v>S.A.L</v>
      </c>
      <c r="V18" s="945"/>
      <c r="W18" s="945"/>
      <c r="X18" s="13">
        <v>0.54166666666666696</v>
      </c>
      <c r="Y18" s="182">
        <v>2425</v>
      </c>
      <c r="Z18" s="182">
        <v>839</v>
      </c>
      <c r="AA18" s="15">
        <v>1</v>
      </c>
      <c r="AB18" s="58">
        <f>IF('16'!AA18=1,(('16'!Z18*'16'!$AS$6*'16'!$AT$6)/('16'!Y18*0.0036)),IF('16'!AA18=2,(('16'!Z18*'16'!$AS$7*'16'!$AT$7)/('16'!Y18*0.0036))))</f>
        <v>63.910080183276065</v>
      </c>
      <c r="AC18" s="58"/>
      <c r="AD18" s="18">
        <f>(('16'!AC18*'16'!$O$9*1000000))/('16'!Y18*3600)</f>
        <v>0</v>
      </c>
      <c r="AE18" s="183"/>
      <c r="AF18" s="184">
        <f>('16'!AE18/24)*0.454</f>
        <v>0</v>
      </c>
      <c r="AG18" s="19"/>
      <c r="AH18" s="184">
        <f>('16'!AG18/24)*0.454</f>
        <v>0</v>
      </c>
      <c r="AI18" s="267">
        <v>4400</v>
      </c>
      <c r="AJ18" s="184">
        <f>('16'!AI18/24)*0.454</f>
        <v>83.233333333333334</v>
      </c>
      <c r="AK18" s="21"/>
      <c r="AL18" s="185">
        <f>('16'!AK18/24)*0.454</f>
        <v>0</v>
      </c>
      <c r="AM18" s="21"/>
      <c r="AN18" s="185">
        <f>('16'!AM18/24)*0.454</f>
        <v>0</v>
      </c>
      <c r="AO18" s="21"/>
      <c r="AP18" s="185">
        <f>('16'!AO18/24)*0.454</f>
        <v>0</v>
      </c>
    </row>
    <row r="19" spans="1:42" ht="18.75" customHeight="1">
      <c r="A19" s="10" t="s">
        <v>52</v>
      </c>
      <c r="B19" s="189">
        <f t="array" ref="B19">IF('16'!B7:B18&gt;0.01,AVERAGE('16'!B7:B18),"")</f>
        <v>80</v>
      </c>
      <c r="C19" s="69">
        <f t="array" ref="C19">IF('16'!C7:C18&gt;0.01,AVERAGE('16'!C7:C18),"")</f>
        <v>10.833333333333334</v>
      </c>
      <c r="D19" s="69">
        <f t="array" ref="D19">IF('16'!D7:D18&gt;0.01,AVERAGE('16'!D7:D18),"")</f>
        <v>10.416666666666666</v>
      </c>
      <c r="E19" s="69">
        <f t="array" ref="E19">IF('16'!E7:E18&gt;0.01,AVERAGE('16'!E7:E18),"")</f>
        <v>2.5</v>
      </c>
      <c r="F19" s="189">
        <f t="array" ref="F19">IF('16'!F7:F18&gt;0.01,AVERAGE('16'!F7:F18),"")</f>
        <v>12.591666666666669</v>
      </c>
      <c r="G19" s="69">
        <f t="array" ref="G19">IF('16'!G7:G18&gt;0.01,AVERAGE('16'!G7:G18),"")</f>
        <v>1.6774999999999995</v>
      </c>
      <c r="H19" s="69">
        <f t="array" ref="H19">IF('16'!H7:H18&gt;0.01,AVERAGE('16'!H7:H18),"")</f>
        <v>1.6416666666666668</v>
      </c>
      <c r="I19" s="69">
        <f t="array" ref="I19">IF('16'!I7:I18&gt;0.01,AVERAGE('16'!I7:I18),"")</f>
        <v>0.41666666666666669</v>
      </c>
      <c r="J19" s="69">
        <f t="array" ref="J19">IF('16'!J7:J18&gt;0.01,AVERAGE('16'!J7:J18),"")</f>
        <v>0.5</v>
      </c>
      <c r="K19" s="69">
        <f t="array" ref="K19">IF('16'!K7:K18&gt;0.01,AVERAGE('16'!K7:K18),"")</f>
        <v>7.299999999999998</v>
      </c>
      <c r="L19" s="69">
        <f t="array" ref="L19">IF('16'!L7:L18&gt;0.01,AVERAGE('16'!L7:L18),"")</f>
        <v>6.6000000000000005</v>
      </c>
      <c r="M19" s="69">
        <f t="array" ref="M19">IF('16'!M7:M18&gt;0.01,AVERAGE('16'!M7:M18),"")</f>
        <v>6.6000000000000005</v>
      </c>
      <c r="N19" s="69">
        <f t="array" ref="N19">IF('16'!N7:N18&gt;0.01,AVERAGE('16'!N7:N18),"")</f>
        <v>6.3499999999999988</v>
      </c>
      <c r="O19" s="69">
        <f t="array" ref="O19">IF('16'!O7:O18&gt;0.01,AVERAGE('16'!O7:O18),"")</f>
        <v>3.2083333333333335</v>
      </c>
      <c r="P19" s="190" t="str">
        <f t="array" ref="P19">IF('16'!P7:P18&gt;0.01,AVERAGE('16'!P7:P18),"")</f>
        <v/>
      </c>
      <c r="Q19" s="191" t="str">
        <f t="array" ref="Q19">IF('16'!Q7:Q18&gt;0.01,AVERAGE('16'!Q7:Q18),"")</f>
        <v/>
      </c>
      <c r="R19" s="191">
        <f t="array" ref="R19">IF('16'!R7:R18&gt;0.01,AVERAGE('16'!R7:R18),"")</f>
        <v>839</v>
      </c>
      <c r="S19" s="191">
        <f t="array" ref="S19">IF('16'!S7:S18&gt;0.01,AVERAGE('16'!S7:S18),"")</f>
        <v>64.228213849010032</v>
      </c>
      <c r="T19" s="946"/>
      <c r="U19" s="946"/>
      <c r="V19" s="49"/>
      <c r="W19" s="50"/>
      <c r="X19" s="13">
        <v>0.58333333333333304</v>
      </c>
      <c r="Y19" s="182">
        <v>2414</v>
      </c>
      <c r="Z19" s="182">
        <v>839</v>
      </c>
      <c r="AA19" s="15">
        <v>1</v>
      </c>
      <c r="AB19" s="58">
        <f>IF('16'!AA19=1,(('16'!Z19*'16'!$AS$6*'16'!$AT$6)/('16'!Y19*0.0036)),IF('16'!AA19=2,(('16'!Z19*'16'!$AS$7*'16'!$AT$7)/('16'!Y19*0.0036))))</f>
        <v>64.201302586762409</v>
      </c>
      <c r="AC19" s="58"/>
      <c r="AD19" s="18">
        <f>(('16'!AC19*'16'!$O$9*1000000))/('16'!Y19*3600)</f>
        <v>0</v>
      </c>
      <c r="AE19" s="183"/>
      <c r="AF19" s="184">
        <f>('16'!AE19/24)*0.454</f>
        <v>0</v>
      </c>
      <c r="AG19" s="19"/>
      <c r="AH19" s="184">
        <f>('16'!AG19/24)*0.454</f>
        <v>0</v>
      </c>
      <c r="AI19" s="267">
        <v>4400</v>
      </c>
      <c r="AJ19" s="184">
        <f>('16'!AI19/24)*0.454</f>
        <v>83.233333333333334</v>
      </c>
      <c r="AK19" s="21"/>
      <c r="AL19" s="185">
        <f>('16'!AK19/24)*0.454</f>
        <v>0</v>
      </c>
      <c r="AM19" s="21"/>
      <c r="AN19" s="185">
        <f>('16'!AM19/24)*0.454</f>
        <v>0</v>
      </c>
      <c r="AO19" s="21"/>
      <c r="AP19" s="185">
        <f>('16'!AO19/24)*0.454</f>
        <v>0</v>
      </c>
    </row>
    <row r="20" spans="1:42" ht="18.75" customHeight="1">
      <c r="A20" s="10" t="s">
        <v>53</v>
      </c>
      <c r="B20" s="189">
        <f>MAX('16'!B7:B18)</f>
        <v>80</v>
      </c>
      <c r="C20" s="189">
        <f>MAX('16'!C7:C18)</f>
        <v>12.5</v>
      </c>
      <c r="D20" s="69">
        <f>MAX('16'!D7:D18)</f>
        <v>12.5</v>
      </c>
      <c r="E20" s="69">
        <f>MAX('16'!E7:E18)</f>
        <v>2.5</v>
      </c>
      <c r="F20" s="69">
        <f>MAX('16'!F7:F18)</f>
        <v>13.3</v>
      </c>
      <c r="G20" s="69">
        <f>MAX('16'!G7:G18)</f>
        <v>1.9</v>
      </c>
      <c r="H20" s="69">
        <f>MAX('16'!H7:H18)</f>
        <v>4.5999999999999996</v>
      </c>
      <c r="I20" s="69">
        <f>MAX('16'!I7:I18)</f>
        <v>0.5</v>
      </c>
      <c r="J20" s="69">
        <f>MAX('16'!J7:J18)</f>
        <v>0.5</v>
      </c>
      <c r="K20" s="69">
        <f>MAX('16'!K7:K18)</f>
        <v>7.3</v>
      </c>
      <c r="L20" s="69">
        <f>MAX('16'!L7:L18)</f>
        <v>6.8</v>
      </c>
      <c r="M20" s="69">
        <f>MAX('16'!M7:M18)</f>
        <v>6.8</v>
      </c>
      <c r="N20" s="69">
        <f>MAX('16'!N7:N18)</f>
        <v>6.5</v>
      </c>
      <c r="O20" s="70">
        <f>MAX('16'!O7:O18)</f>
        <v>3.5</v>
      </c>
      <c r="P20" s="70">
        <f>MAX('16'!P7:P18)</f>
        <v>0</v>
      </c>
      <c r="Q20" s="70">
        <f>MAX('16'!Q7:Q18)</f>
        <v>0</v>
      </c>
      <c r="R20" s="70">
        <f>MAX('16'!R7:R18)</f>
        <v>839</v>
      </c>
      <c r="S20" s="70">
        <f>MAX('16'!S7:S18)</f>
        <v>65.97783926966558</v>
      </c>
      <c r="T20" s="946"/>
      <c r="U20" s="946"/>
      <c r="X20" s="13">
        <v>0.625</v>
      </c>
      <c r="Y20" s="182">
        <v>2433</v>
      </c>
      <c r="Z20" s="182">
        <v>839</v>
      </c>
      <c r="AA20" s="15">
        <v>1</v>
      </c>
      <c r="AB20" s="58">
        <f>IF('16'!AA20=1,(('16'!Z20*'16'!$AS$6*'16'!$AT$6)/('16'!Y20*0.0036)),IF('16'!AA20=2,(('16'!Z20*'16'!$AS$7*'16'!$AT$7)/('16'!Y20*0.0036))))</f>
        <v>63.699936064301056</v>
      </c>
      <c r="AC20" s="58"/>
      <c r="AD20" s="18">
        <f>(('16'!AC20*'16'!$O$9*1000000))/('16'!Y20*3600)</f>
        <v>0</v>
      </c>
      <c r="AE20" s="183"/>
      <c r="AF20" s="184">
        <f>('16'!AE20/24)*0.454</f>
        <v>0</v>
      </c>
      <c r="AG20" s="19"/>
      <c r="AH20" s="184">
        <f>('16'!AG20/24)*0.454</f>
        <v>0</v>
      </c>
      <c r="AI20" s="267">
        <v>4400</v>
      </c>
      <c r="AJ20" s="184">
        <f>('16'!AI20/24)*0.454</f>
        <v>83.233333333333334</v>
      </c>
      <c r="AK20" s="21"/>
      <c r="AL20" s="185">
        <f>('16'!AK20/24)*0.454</f>
        <v>0</v>
      </c>
      <c r="AM20" s="21"/>
      <c r="AN20" s="185">
        <f>('16'!AM20/24)*0.454</f>
        <v>0</v>
      </c>
      <c r="AO20" s="21"/>
      <c r="AP20" s="185">
        <f>('16'!AO20/24)*0.454</f>
        <v>0</v>
      </c>
    </row>
    <row r="21" spans="1:42" ht="19.5" customHeight="1">
      <c r="A21" s="10" t="s">
        <v>54</v>
      </c>
      <c r="B21" s="189">
        <f>MIN('16'!B7:B18)</f>
        <v>80</v>
      </c>
      <c r="C21" s="69">
        <f>MIN('16'!C7:C18)</f>
        <v>10</v>
      </c>
      <c r="D21" s="69">
        <f>MIN('16'!D7:D18)</f>
        <v>10</v>
      </c>
      <c r="E21" s="69">
        <f>MIN('16'!E7:E18)</f>
        <v>2.5</v>
      </c>
      <c r="F21" s="69">
        <f>MIN('16'!F7:F18)</f>
        <v>11.7</v>
      </c>
      <c r="G21" s="192">
        <f>MIN('16'!G7:G18)</f>
        <v>1.5</v>
      </c>
      <c r="H21" s="192">
        <f>MIN('16'!H7:H18)</f>
        <v>1.2</v>
      </c>
      <c r="I21" s="192">
        <f>MIN('16'!I7:I18)</f>
        <v>0.4</v>
      </c>
      <c r="J21" s="192">
        <f>MIN('16'!J7:J18)</f>
        <v>0.5</v>
      </c>
      <c r="K21" s="192">
        <f>MIN('16'!K7:K18)</f>
        <v>7.3</v>
      </c>
      <c r="L21" s="192">
        <f>MIN('16'!L7:L18)</f>
        <v>6.5</v>
      </c>
      <c r="M21" s="192">
        <f>MIN('16'!M7:M18)</f>
        <v>6.5</v>
      </c>
      <c r="N21" s="192">
        <f>MIN('16'!N7:N18)</f>
        <v>6.3</v>
      </c>
      <c r="O21" s="193">
        <f>MIN('16'!O7:O18)</f>
        <v>1.5</v>
      </c>
      <c r="P21" s="193">
        <f>MIN('16'!P7:P18)</f>
        <v>0</v>
      </c>
      <c r="Q21" s="193">
        <f>MIN('16'!Q7:Q18)</f>
        <v>0</v>
      </c>
      <c r="R21" s="193">
        <f>MIN('16'!R7:R18)</f>
        <v>839</v>
      </c>
      <c r="S21" s="193">
        <f>MIN('16'!S7:S18)</f>
        <v>62.117011801380549</v>
      </c>
      <c r="T21" s="946"/>
      <c r="U21" s="946"/>
      <c r="X21" s="13">
        <v>0.66666666666666696</v>
      </c>
      <c r="Y21" s="182">
        <v>2425</v>
      </c>
      <c r="Z21" s="182">
        <v>839</v>
      </c>
      <c r="AA21" s="15">
        <v>1</v>
      </c>
      <c r="AB21" s="58">
        <f>IF('16'!AA21=1,(('16'!Z21*'16'!$AS$6*'16'!$AT$6)/('16'!Y21*0.0036)),IF('16'!AA21=2,(('16'!Z21*'16'!$AS$7*'16'!$AT$7)/('16'!Y21*0.0036))))</f>
        <v>63.910080183276065</v>
      </c>
      <c r="AC21" s="58"/>
      <c r="AD21" s="18">
        <f>(('16'!AC21*'16'!$O$9*1000000))/('16'!Y21*3600)</f>
        <v>0</v>
      </c>
      <c r="AE21" s="183"/>
      <c r="AF21" s="184">
        <f>('16'!AE21/24)*0.454</f>
        <v>0</v>
      </c>
      <c r="AG21" s="19"/>
      <c r="AH21" s="184">
        <f>('16'!AG21/24)*0.454</f>
        <v>0</v>
      </c>
      <c r="AI21" s="267">
        <v>4400</v>
      </c>
      <c r="AJ21" s="184">
        <f>('16'!AI21/24)*0.454</f>
        <v>83.233333333333334</v>
      </c>
      <c r="AK21" s="21"/>
      <c r="AL21" s="185">
        <f>('16'!AK21/24)*0.454</f>
        <v>0</v>
      </c>
      <c r="AM21" s="21"/>
      <c r="AN21" s="185">
        <f>('16'!AM21/24)*0.454</f>
        <v>0</v>
      </c>
      <c r="AO21" s="21"/>
      <c r="AP21" s="185">
        <f>('16'!AO21/24)*0.454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182">
        <v>2475</v>
      </c>
      <c r="Z22" s="182">
        <v>839</v>
      </c>
      <c r="AA22" s="15">
        <v>1</v>
      </c>
      <c r="AB22" s="58">
        <f>IF('16'!AA22=1,(('16'!Z22*'16'!$AS$6*'16'!$AT$6)/('16'!Y22*0.0036)),IF('16'!AA22=2,(('16'!Z22*'16'!$AS$7*'16'!$AT$7)/('16'!Y22*0.0036))))</f>
        <v>62.618967452300794</v>
      </c>
      <c r="AC22" s="58"/>
      <c r="AD22" s="18">
        <f>(('16'!AC22*'16'!$O$9*1000000))/('16'!Y22*3600)</f>
        <v>0</v>
      </c>
      <c r="AE22" s="183"/>
      <c r="AF22" s="184">
        <f>('16'!AE22/24)*0.454</f>
        <v>0</v>
      </c>
      <c r="AG22" s="19"/>
      <c r="AH22" s="184">
        <f>('16'!AG22/24)*0.454</f>
        <v>0</v>
      </c>
      <c r="AI22" s="267">
        <v>4400</v>
      </c>
      <c r="AJ22" s="184">
        <f>('16'!AI22/24)*0.454</f>
        <v>83.233333333333334</v>
      </c>
      <c r="AK22" s="21"/>
      <c r="AL22" s="185">
        <f>('16'!AK22/24)*0.454</f>
        <v>0</v>
      </c>
      <c r="AM22" s="21"/>
      <c r="AN22" s="185">
        <f>('16'!AM22/24)*0.454</f>
        <v>0</v>
      </c>
      <c r="AO22" s="21"/>
      <c r="AP22" s="185">
        <f>('16'!AO22/24)*0.454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182">
        <v>2446</v>
      </c>
      <c r="Z23" s="182">
        <v>839</v>
      </c>
      <c r="AA23" s="15">
        <v>1</v>
      </c>
      <c r="AB23" s="58">
        <f>IF('16'!AA23=1,(('16'!Z23*'16'!$AS$6*'16'!$AT$6)/('16'!Y23*0.0036)),IF('16'!AA23=2,(('16'!Z23*'16'!$AS$7*'16'!$AT$7)/('16'!Y23*0.0036))))</f>
        <v>63.361383664940497</v>
      </c>
      <c r="AC23" s="58"/>
      <c r="AD23" s="18">
        <f>(('16'!AC23*'16'!$O$9*1000000))/('16'!Y23*3600)</f>
        <v>0</v>
      </c>
      <c r="AE23" s="183"/>
      <c r="AF23" s="184">
        <f>('16'!AE23/24)*0.454</f>
        <v>0</v>
      </c>
      <c r="AG23" s="19"/>
      <c r="AH23" s="184">
        <f>('16'!AG23/24)*0.454</f>
        <v>0</v>
      </c>
      <c r="AI23" s="267">
        <v>4400</v>
      </c>
      <c r="AJ23" s="184">
        <f>('16'!AI23/24)*0.454</f>
        <v>83.233333333333334</v>
      </c>
      <c r="AK23" s="21"/>
      <c r="AL23" s="185">
        <f>('16'!AK23/24)*0.454</f>
        <v>0</v>
      </c>
      <c r="AM23" s="21"/>
      <c r="AN23" s="185">
        <f>('16'!AM23/24)*0.454</f>
        <v>0</v>
      </c>
      <c r="AO23" s="21"/>
      <c r="AP23" s="185">
        <f>('16'!AO23/24)*0.454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182">
        <v>2513</v>
      </c>
      <c r="Z24" s="182">
        <v>839</v>
      </c>
      <c r="AA24" s="15">
        <v>1</v>
      </c>
      <c r="AB24" s="16">
        <f>IF('16'!AA24=1,(('16'!Z24*'16'!$AS$6*'16'!$AT$6)/('16'!Y24*0.0036)),IF('16'!AA24=2,(('16'!Z24*'16'!$AS$7*'16'!$AT$7)/('16'!Y24*0.0036))))</f>
        <v>61.672082946456214</v>
      </c>
      <c r="AC24" s="16"/>
      <c r="AD24" s="194">
        <f>(('16'!AC24*'16'!$O$9*1000000))/('16'!Y24*3600)</f>
        <v>0</v>
      </c>
      <c r="AE24" s="183"/>
      <c r="AF24" s="195">
        <f>('16'!AE24/24)*0.454</f>
        <v>0</v>
      </c>
      <c r="AG24" s="173"/>
      <c r="AH24" s="195">
        <f>('16'!AG24/24)*0.454</f>
        <v>0</v>
      </c>
      <c r="AI24" s="267">
        <v>4400</v>
      </c>
      <c r="AJ24" s="184">
        <f>('16'!AI24/24)*0.454</f>
        <v>83.233333333333334</v>
      </c>
      <c r="AK24" s="21"/>
      <c r="AL24" s="196">
        <f>('16'!AK24/24)*0.454</f>
        <v>0</v>
      </c>
      <c r="AM24" s="197"/>
      <c r="AN24" s="196">
        <f>('16'!AM24/24)*0.454</f>
        <v>0</v>
      </c>
      <c r="AO24" s="21"/>
      <c r="AP24" s="196">
        <f>('16'!AO24/24)*0.454</f>
        <v>0</v>
      </c>
    </row>
    <row r="25" spans="1:42" ht="19.5" customHeight="1">
      <c r="A25" s="64">
        <v>0.41666666666666702</v>
      </c>
      <c r="B25" s="261">
        <v>0.65</v>
      </c>
      <c r="C25" s="261">
        <v>0.48</v>
      </c>
      <c r="D25" s="261">
        <v>0.53</v>
      </c>
      <c r="E25" s="199">
        <v>0.54</v>
      </c>
      <c r="F25" s="199">
        <v>0.51</v>
      </c>
      <c r="G25" s="199">
        <v>0.47</v>
      </c>
      <c r="H25" s="199">
        <v>0.46</v>
      </c>
      <c r="I25" s="199">
        <v>0.43</v>
      </c>
      <c r="J25" s="199">
        <v>0.64</v>
      </c>
      <c r="K25" s="199">
        <v>0.48</v>
      </c>
      <c r="L25" s="199">
        <v>0.47</v>
      </c>
      <c r="M25" s="199">
        <v>0.52</v>
      </c>
      <c r="N25" s="199">
        <v>0.53</v>
      </c>
      <c r="O25" s="199"/>
      <c r="P25" s="199">
        <v>0.42</v>
      </c>
      <c r="Q25" s="199">
        <v>0.28000000000000003</v>
      </c>
      <c r="R25" s="65" t="e">
        <f>#DIV/0!</f>
        <v>#DIV/0!</v>
      </c>
      <c r="S25" s="66"/>
      <c r="T25" s="1042" t="s">
        <v>0</v>
      </c>
      <c r="U25" s="1049">
        <f>ESCALA!$A$18</f>
        <v>43906</v>
      </c>
      <c r="X25" s="13">
        <v>0.83333333333333304</v>
      </c>
      <c r="Y25" s="182">
        <v>2495</v>
      </c>
      <c r="Z25" s="182">
        <v>839</v>
      </c>
      <c r="AA25" s="15">
        <v>1</v>
      </c>
      <c r="AB25" s="58">
        <f>IF('16'!AA25=1,(('16'!Z25*'16'!$AS$6*'16'!$AT$6)/('16'!Y25*0.0036)),IF('16'!AA25=2,(('16'!Z25*'16'!$AS$7*'16'!$AT$7)/('16'!Y25*0.0036))))</f>
        <v>62.117011801380549</v>
      </c>
      <c r="AC25" s="58"/>
      <c r="AD25" s="18">
        <f>(('16'!AC25*'16'!$O$9*1000000))/('16'!Y25*3600)</f>
        <v>0</v>
      </c>
      <c r="AE25" s="183"/>
      <c r="AF25" s="184">
        <f>('16'!AE25/24)*0.454</f>
        <v>0</v>
      </c>
      <c r="AG25" s="19"/>
      <c r="AH25" s="184">
        <f>('16'!AG25/24)*0.454</f>
        <v>0</v>
      </c>
      <c r="AI25" s="267">
        <v>4400</v>
      </c>
      <c r="AJ25" s="184">
        <f>('16'!AI25/24)*0.454</f>
        <v>83.233333333333334</v>
      </c>
      <c r="AK25" s="21"/>
      <c r="AL25" s="185">
        <f>('16'!AK25/24)*0.454</f>
        <v>0</v>
      </c>
      <c r="AM25" s="21"/>
      <c r="AN25" s="185">
        <f>('16'!AM25/24)*0.454</f>
        <v>0</v>
      </c>
      <c r="AO25" s="21"/>
      <c r="AP25" s="185">
        <f>('16'!AO25/24)*0.454</f>
        <v>0</v>
      </c>
    </row>
    <row r="26" spans="1:42" ht="19.5" customHeight="1">
      <c r="A26" s="64">
        <v>0.66666666666666696</v>
      </c>
      <c r="B26" s="261"/>
      <c r="C26" s="261"/>
      <c r="D26" s="261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>
        <v>0.38</v>
      </c>
      <c r="Q26" s="262"/>
      <c r="R26" s="65" t="e">
        <f>#DIV/0!</f>
        <v>#DIV/0!</v>
      </c>
      <c r="S26" s="67"/>
      <c r="T26" s="1042"/>
      <c r="U26" s="1049"/>
      <c r="X26" s="13">
        <v>0.875</v>
      </c>
      <c r="Y26" s="182">
        <v>2493</v>
      </c>
      <c r="Z26" s="182">
        <v>839</v>
      </c>
      <c r="AA26" s="15">
        <v>1</v>
      </c>
      <c r="AB26" s="58">
        <f>IF('16'!AA26=1,(('16'!Z26*'16'!$AS$6*'16'!$AT$6)/('16'!Y26*0.0036)),IF('16'!AA26=2,(('16'!Z26*'16'!$AS$7*'16'!$AT$7)/('16'!Y26*0.0036))))</f>
        <v>62.166844943619921</v>
      </c>
      <c r="AC26" s="58"/>
      <c r="AD26" s="18">
        <f>(('16'!AC26*'16'!$O$9*1000000))/('16'!Y26*3600)</f>
        <v>0</v>
      </c>
      <c r="AE26" s="183"/>
      <c r="AF26" s="184">
        <f>('16'!AE26/24)*0.454</f>
        <v>0</v>
      </c>
      <c r="AG26" s="19"/>
      <c r="AH26" s="184">
        <f>('16'!AG26/24)*0.454</f>
        <v>0</v>
      </c>
      <c r="AI26" s="267">
        <v>4400</v>
      </c>
      <c r="AJ26" s="184">
        <f>('16'!AI26/24)*0.454</f>
        <v>83.233333333333334</v>
      </c>
      <c r="AK26" s="21"/>
      <c r="AL26" s="185">
        <f>('16'!AK26/24)*0.454</f>
        <v>0</v>
      </c>
      <c r="AM26" s="21"/>
      <c r="AN26" s="185">
        <f>('16'!AM26/24)*0.454</f>
        <v>0</v>
      </c>
      <c r="AO26" s="21"/>
      <c r="AP26" s="185">
        <f>('16'!AO26/24)*0.454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#NAME?</f>
        <v>#NAME?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182">
        <v>2401</v>
      </c>
      <c r="Z27" s="182">
        <v>839</v>
      </c>
      <c r="AA27" s="15">
        <v>1</v>
      </c>
      <c r="AB27" s="58">
        <f>IF('16'!AA27=1,(('16'!Z27*'16'!$AS$6*'16'!$AT$6)/('16'!Y27*0.0036)),IF('16'!AA27=2,(('16'!Z27*'16'!$AS$7*'16'!$AT$7)/('16'!Y27*0.0036))))</f>
        <v>64.54891480401686</v>
      </c>
      <c r="AC27" s="58"/>
      <c r="AD27" s="18">
        <f>(('16'!AC27*'16'!$O$9*1000000))/('16'!Y27*3600)</f>
        <v>0</v>
      </c>
      <c r="AE27" s="183"/>
      <c r="AF27" s="184">
        <f>('16'!AE27/24)*0.454</f>
        <v>0</v>
      </c>
      <c r="AG27" s="19"/>
      <c r="AH27" s="184">
        <f>('16'!AG27/24)*0.454</f>
        <v>0</v>
      </c>
      <c r="AI27" s="267">
        <v>4400</v>
      </c>
      <c r="AJ27" s="184">
        <f>('16'!AI27/24)*0.454</f>
        <v>83.233333333333334</v>
      </c>
      <c r="AK27" s="21"/>
      <c r="AL27" s="185">
        <f>('16'!AK27/24)*0.454</f>
        <v>0</v>
      </c>
      <c r="AM27" s="21"/>
      <c r="AN27" s="185">
        <f>('16'!AM27/24)*0.454</f>
        <v>0</v>
      </c>
      <c r="AO27" s="21"/>
      <c r="AP27" s="185">
        <f>('16'!AO27/24)*0.454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82">
        <v>2505</v>
      </c>
      <c r="Z28" s="182">
        <v>839</v>
      </c>
      <c r="AA28" s="15">
        <v>1</v>
      </c>
      <c r="AB28" s="58">
        <f>IF('16'!AA28=1,(('16'!Z28*'16'!$AS$6*'16'!$AT$6)/('16'!Y28*0.0036)),IF('16'!AA28=2,(('16'!Z28*'16'!$AS$7*'16'!$AT$7)/('16'!Y28*0.0036))))</f>
        <v>61.86903969838103</v>
      </c>
      <c r="AC28" s="58"/>
      <c r="AD28" s="18">
        <f>(('16'!AC28*'16'!$O$9*1000000))/('16'!Y28*3600)</f>
        <v>0</v>
      </c>
      <c r="AE28" s="183"/>
      <c r="AF28" s="184">
        <f>('16'!AE28/24)*0.454</f>
        <v>0</v>
      </c>
      <c r="AG28" s="19"/>
      <c r="AH28" s="184">
        <f>('16'!AG28/24)*0.454</f>
        <v>0</v>
      </c>
      <c r="AI28" s="267">
        <v>4400</v>
      </c>
      <c r="AJ28" s="184">
        <f>('16'!AI28/24)*0.454</f>
        <v>83.233333333333334</v>
      </c>
      <c r="AK28" s="21"/>
      <c r="AL28" s="185">
        <f>('16'!AK28/24)*0.454</f>
        <v>0</v>
      </c>
      <c r="AM28" s="21"/>
      <c r="AN28" s="185">
        <f>('16'!AM28/24)*0.454</f>
        <v>0</v>
      </c>
      <c r="AO28" s="21"/>
      <c r="AP28" s="185">
        <f>('16'!AO28/24)*0.454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82">
        <v>2510</v>
      </c>
      <c r="Z29" s="182">
        <v>839</v>
      </c>
      <c r="AA29" s="15">
        <v>1</v>
      </c>
      <c r="AB29" s="58">
        <f>IF('16'!AA29=1,(('16'!Z29*'16'!$AS$6*'16'!$AT$6)/('16'!Y29*0.0036)),IF('16'!AA29=2,(('16'!Z29*'16'!$AS$7*'16'!$AT$7)/('16'!Y29*0.0036))))</f>
        <v>61.745794599380268</v>
      </c>
      <c r="AC29" s="58"/>
      <c r="AD29" s="18">
        <f>(('16'!AC29*'16'!$O$9*1000000))/('16'!Y29*3600)</f>
        <v>0</v>
      </c>
      <c r="AE29" s="183"/>
      <c r="AF29" s="184">
        <f>('16'!AE29/24)*0.454</f>
        <v>0</v>
      </c>
      <c r="AG29" s="19"/>
      <c r="AH29" s="184">
        <f>('16'!AG29/24)*0.454</f>
        <v>0</v>
      </c>
      <c r="AI29" s="267">
        <v>4400</v>
      </c>
      <c r="AJ29" s="184">
        <f>('16'!AI29/24)*0.454</f>
        <v>83.233333333333334</v>
      </c>
      <c r="AK29" s="21"/>
      <c r="AL29" s="185">
        <f>('16'!AK29/24)*0.454</f>
        <v>0</v>
      </c>
      <c r="AM29" s="21"/>
      <c r="AN29" s="185">
        <f>('16'!AM29/24)*0.454</f>
        <v>0</v>
      </c>
      <c r="AO29" s="21"/>
      <c r="AP29" s="185">
        <f>('16'!AO29/24)*0.454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SUM('16'!Y6:Y29)*3.6</f>
        <v>209736</v>
      </c>
      <c r="Z30" s="82">
        <f>SUM('16'!Z6:Z29)</f>
        <v>20136</v>
      </c>
      <c r="AA30" s="78"/>
      <c r="AB30" s="79"/>
      <c r="AC30" s="78"/>
      <c r="AD30" s="79"/>
      <c r="AE30" s="34"/>
      <c r="AF30" s="184">
        <f>SUM('16'!AF6:AF29)</f>
        <v>0</v>
      </c>
      <c r="AG30" s="34"/>
      <c r="AH30" s="184">
        <f>SUM('16'!AH6:AH29)</f>
        <v>0</v>
      </c>
      <c r="AI30" s="34"/>
      <c r="AJ30" s="184">
        <f>SUM('16'!AJ6:AJ29)</f>
        <v>1997.6000000000001</v>
      </c>
      <c r="AK30" s="80"/>
      <c r="AL30" s="185">
        <f>SUM('16'!AL6:AL29)</f>
        <v>0</v>
      </c>
      <c r="AM30" s="80"/>
      <c r="AN30" s="185">
        <f>SUM('16'!AN6:AN29)</f>
        <v>0</v>
      </c>
      <c r="AO30" s="80"/>
      <c r="AP30" s="185">
        <f>SUM('16'!AP6:AP29)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SUMIF('16'!AA6:AA29,"=1",'16'!Z6:Z29)</f>
        <v>20136</v>
      </c>
      <c r="AA32" s="82">
        <f>'16'!Z32*'16'!AS6</f>
        <v>26780.880000000001</v>
      </c>
      <c r="AB32" s="83">
        <f>SUMIF('16'!$AA$6:$AA$29,"=1",'16'!$AB$6:$AB$29)/COUNTIF('16'!$AA$6:$AA$29,"=1")</f>
        <v>63.878509885432408</v>
      </c>
      <c r="AC32" s="84">
        <f>SUMIF('16'!AA6:AA29,"=1",'16'!AC6:AC29)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SUMIF('16'!AA6:AA29,"=2",'16'!Z6:Z29)</f>
        <v>0</v>
      </c>
      <c r="AA33" s="82">
        <f>'16'!Z33*'16'!AS7</f>
        <v>0</v>
      </c>
      <c r="AB33" s="83" t="e">
        <f>SUMIF('16'!$AA$6:$AA$29,"=2",'16'!$AB$6:$AB$29)/COUNTIF('16'!$AA$6:$AA$29,"=2")</f>
        <v>#DIV/0!</v>
      </c>
      <c r="AC33" s="89">
        <f>SUMIF('16'!AA6:AA29,"=2",'16'!AC6:AC29)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AVERAGE('16'!Y6:Y29)</f>
        <v>2427.5</v>
      </c>
      <c r="Z34" s="96">
        <v>3081</v>
      </c>
      <c r="AA34" s="97"/>
      <c r="AB34" s="97"/>
      <c r="AC34" s="98">
        <f>SUM('16'!AC6:AC29)/COUNTIF('16'!AC6:AC29,"&lt;&gt;0")</f>
        <v>0</v>
      </c>
      <c r="AD34" s="99" t="e">
        <f>SUM('16'!AD6:AD29)/COUNTIF('16'!AD6:AD29,"&lt;&gt;0")</f>
        <v>#DIV/0!</v>
      </c>
      <c r="AE34" s="78"/>
      <c r="AF34" s="98">
        <f>AVERAGE('16'!AF6:AF29)</f>
        <v>0</v>
      </c>
      <c r="AG34" s="98"/>
      <c r="AH34" s="98">
        <f>AVERAGE('16'!AH6:AH29)</f>
        <v>0</v>
      </c>
      <c r="AI34" s="98"/>
      <c r="AJ34" s="98">
        <f>'16'!AJ30/24</f>
        <v>83.233333333333334</v>
      </c>
      <c r="AK34" s="98"/>
      <c r="AL34" s="98">
        <f>AVERAGE('16'!AL6:AL29)</f>
        <v>0</v>
      </c>
      <c r="AM34" s="98"/>
      <c r="AN34" s="98">
        <f>AVERAGE('16'!AN6:AN29)</f>
        <v>0</v>
      </c>
      <c r="AO34" s="98"/>
      <c r="AP34" s="98">
        <f>AVERAGE('16'!AP6:AP29)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50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50"/>
      <c r="X36" s="105" t="s">
        <v>73</v>
      </c>
      <c r="Y36" s="106"/>
      <c r="Z36" s="107"/>
      <c r="AA36" s="108" t="s">
        <v>74</v>
      </c>
      <c r="AB36" s="106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84.7</v>
      </c>
      <c r="D37" s="186">
        <v>62.5</v>
      </c>
      <c r="E37" s="186">
        <v>52.5</v>
      </c>
      <c r="F37" s="186">
        <v>0.6</v>
      </c>
      <c r="G37" s="183">
        <v>0</v>
      </c>
      <c r="H37" s="183">
        <v>0</v>
      </c>
      <c r="I37" s="183">
        <v>0.1</v>
      </c>
      <c r="J37" s="183">
        <v>0.08</v>
      </c>
      <c r="K37" s="183">
        <v>0.03</v>
      </c>
      <c r="L37" s="1026">
        <v>0</v>
      </c>
      <c r="M37" s="1026"/>
      <c r="N37" s="1026"/>
      <c r="O37" s="10"/>
      <c r="P37" s="10"/>
      <c r="Q37" s="10"/>
      <c r="R37" s="10"/>
      <c r="S37" s="10"/>
      <c r="T37" s="10"/>
      <c r="U37" s="289">
        <f>'16'!V12</f>
        <v>0</v>
      </c>
      <c r="X37" s="962" t="s">
        <v>75</v>
      </c>
      <c r="Y37" s="962"/>
      <c r="Z37" s="110">
        <f>COUNTA('16'!Z6:Z29)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>
        <v>3</v>
      </c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SUM('16'!AF30+'16'!AH30)</f>
        <v>0</v>
      </c>
      <c r="AL38" s="210" t="s">
        <v>78</v>
      </c>
      <c r="AM38" s="212">
        <f>SUM('16'!AL30+'16'!AN30)</f>
        <v>0</v>
      </c>
      <c r="AO38" s="210" t="s">
        <v>78</v>
      </c>
      <c r="AP38" s="211">
        <f>'16'!AJ30</f>
        <v>1997.6000000000001</v>
      </c>
      <c r="AQ38" s="210" t="s">
        <v>78</v>
      </c>
      <c r="AR38" s="290">
        <f>'16'!AP30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>
        <v>3053</v>
      </c>
      <c r="AA39" s="111"/>
      <c r="AB39" s="111"/>
      <c r="AJ39" s="213" t="s">
        <v>86</v>
      </c>
      <c r="AK39" s="214">
        <f>('16'!AK38/'16'!Y30)*1000</f>
        <v>0</v>
      </c>
      <c r="AL39" s="215" t="s">
        <v>86</v>
      </c>
      <c r="AM39" s="216">
        <f>('16'!AM38/'16'!Y30)*1000</f>
        <v>0</v>
      </c>
      <c r="AO39" s="213" t="s">
        <v>86</v>
      </c>
      <c r="AP39" s="214">
        <f>('16'!AP38/'16'!Y30)*1000</f>
        <v>9.5243544265171476</v>
      </c>
      <c r="AQ39" s="215" t="s">
        <v>86</v>
      </c>
      <c r="AR39" s="216">
        <f>('16'!AR38/'16'!Y30)*1000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>
        <v>3070</v>
      </c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SUM('16'!AK38,'16'!AM38)</f>
        <v>0</v>
      </c>
      <c r="AM40" s="975"/>
      <c r="AO40" s="976" t="s">
        <v>90</v>
      </c>
      <c r="AP40" s="976"/>
      <c r="AQ40" s="977">
        <f>SUM('16'!AP38,'16'!AR38)</f>
        <v>1997.6000000000001</v>
      </c>
      <c r="AR40" s="977"/>
    </row>
    <row r="41" spans="1:44" ht="16.5" customHeight="1">
      <c r="A41" s="133">
        <f>COUNTA('16'!E7:E18)</f>
        <v>12</v>
      </c>
      <c r="B41" s="134">
        <f>COUNTA('16'!I7:I18)</f>
        <v>12</v>
      </c>
      <c r="C41" s="978">
        <f>COUNTA('16'!J7:J18)</f>
        <v>12</v>
      </c>
      <c r="D41" s="978">
        <f>COUNTA('16'!K7:K18)</f>
        <v>12</v>
      </c>
      <c r="E41" s="978">
        <f>COUNTIF('16'!E7:E18,"&gt;15")</f>
        <v>0</v>
      </c>
      <c r="F41" s="978"/>
      <c r="G41" s="978">
        <f>COUNTIF('16'!J7:J18,"&gt;1")</f>
        <v>0</v>
      </c>
      <c r="H41" s="978"/>
      <c r="I41" s="135"/>
      <c r="J41" s="978">
        <f>'16'!A41-'16'!E41</f>
        <v>12</v>
      </c>
      <c r="K41" s="978"/>
      <c r="L41" s="978">
        <f>'16'!C41-'16'!G41</f>
        <v>12</v>
      </c>
      <c r="M41" s="978"/>
      <c r="N41" s="135"/>
      <c r="O41" s="979">
        <f>COUNTIF('16'!J7:J18,"&lt;=0,5")</f>
        <v>12</v>
      </c>
      <c r="P41" s="979"/>
      <c r="Q41" s="979"/>
      <c r="R41" s="969"/>
      <c r="S41" s="980">
        <f>COUNTIF('16'!J7:J18,"&lt;=1,0")</f>
        <v>12</v>
      </c>
      <c r="T41" s="980"/>
      <c r="U41" s="136"/>
      <c r="V41" s="122"/>
      <c r="X41" s="923"/>
      <c r="Y41" s="923"/>
      <c r="Z41" s="923">
        <v>3081</v>
      </c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SUM(('16'!AK38+'16'!AM38)/'16'!Y30)*1000</f>
        <v>0</v>
      </c>
      <c r="AM41" s="981"/>
      <c r="AO41" s="976" t="s">
        <v>91</v>
      </c>
      <c r="AP41" s="976"/>
      <c r="AQ41" s="981">
        <f>SUM(('16'!AP38+'16'!AR38)/'16'!Y30)*1000</f>
        <v>9.5243544265171476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>
        <v>3090</v>
      </c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/>
      <c r="Z44" s="144" t="s">
        <v>101</v>
      </c>
      <c r="AA44" s="145"/>
      <c r="AB44" s="144" t="s">
        <v>101</v>
      </c>
      <c r="AC44" s="145"/>
      <c r="AD44" s="988"/>
      <c r="AE44" s="988"/>
      <c r="AF44" s="989" t="s">
        <v>102</v>
      </c>
      <c r="AG44" s="1002">
        <f>SUM('16'!Y45,'16'!AA45,'16'!AC45,'16'!AE45)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COUNTIF('16'!I7:I18,"&lt;=5,0")</f>
        <v>12</v>
      </c>
      <c r="I45" s="992"/>
      <c r="J45" s="992"/>
      <c r="K45" s="135"/>
      <c r="L45" s="974">
        <f>COUNTA('16'!L37)</f>
        <v>1</v>
      </c>
      <c r="M45" s="974"/>
      <c r="O45" s="146"/>
      <c r="P45" s="147"/>
      <c r="Q45" s="993">
        <f>'16'!S41-'16'!O41</f>
        <v>0</v>
      </c>
      <c r="R45" s="993"/>
      <c r="S45" s="993"/>
      <c r="T45" s="148"/>
      <c r="X45" s="149" t="s">
        <v>104</v>
      </c>
      <c r="Y45" s="150">
        <f>'16'!Y44*275.3</f>
        <v>0</v>
      </c>
      <c r="Z45" s="149" t="s">
        <v>104</v>
      </c>
      <c r="AA45" s="150">
        <f>262.4*'16'!AA44</f>
        <v>0</v>
      </c>
      <c r="AB45" s="149" t="s">
        <v>104</v>
      </c>
      <c r="AC45" s="150">
        <f>'16'!AC44*277.7</f>
        <v>0</v>
      </c>
      <c r="AD45" s="149" t="s">
        <v>104</v>
      </c>
      <c r="AE45" s="151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2"/>
      <c r="X46" s="153" t="s">
        <v>105</v>
      </c>
      <c r="Y46" s="154">
        <f>'16'!AS6</f>
        <v>1.33</v>
      </c>
      <c r="Z46" s="153" t="s">
        <v>105</v>
      </c>
      <c r="AA46" s="155">
        <f>'16'!Y46</f>
        <v>1.33</v>
      </c>
      <c r="AB46" s="153" t="s">
        <v>105</v>
      </c>
      <c r="AC46" s="155">
        <f>'16'!Y46</f>
        <v>1.33</v>
      </c>
      <c r="AD46" s="153" t="s">
        <v>105</v>
      </c>
      <c r="AE46" s="156">
        <f>'16'!Y46</f>
        <v>1.33</v>
      </c>
      <c r="AF46" s="995" t="s">
        <v>106</v>
      </c>
      <c r="AG46" s="996">
        <f>SUM('16'!Y47,'16'!AA47,'16'!AC47,'16'!AE47)</f>
        <v>0</v>
      </c>
      <c r="AI46" s="144" t="s">
        <v>101</v>
      </c>
      <c r="AJ46" s="145"/>
      <c r="AK46" s="144" t="s">
        <v>101</v>
      </c>
      <c r="AL46" s="145"/>
      <c r="AM46" s="144" t="s">
        <v>101</v>
      </c>
      <c r="AN46" s="145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'16'!Y45*'16'!Y46</f>
        <v>0</v>
      </c>
      <c r="Z47" s="149" t="s">
        <v>108</v>
      </c>
      <c r="AA47" s="150">
        <f>'16'!AA45*'16'!AA46</f>
        <v>0</v>
      </c>
      <c r="AB47" s="149" t="s">
        <v>108</v>
      </c>
      <c r="AC47" s="150">
        <f>'16'!AC45*'16'!AC46</f>
        <v>0</v>
      </c>
      <c r="AD47" s="149" t="s">
        <v>108</v>
      </c>
      <c r="AE47" s="150">
        <f>'16'!AE45*'16'!AE46</f>
        <v>0</v>
      </c>
      <c r="AF47" s="995"/>
      <c r="AG47" s="996"/>
      <c r="AI47" s="149" t="s">
        <v>104</v>
      </c>
      <c r="AJ47" s="150">
        <f>AJ46*275.3</f>
        <v>0</v>
      </c>
      <c r="AK47" s="149" t="s">
        <v>104</v>
      </c>
      <c r="AL47" s="150">
        <f>262.4*'10'!AL46</f>
        <v>0</v>
      </c>
      <c r="AM47" s="149" t="s">
        <v>104</v>
      </c>
      <c r="AN47" s="150">
        <f>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Y46</f>
        <v>1.33</v>
      </c>
      <c r="AK48" s="160" t="s">
        <v>105</v>
      </c>
      <c r="AL48" s="154">
        <f>'10'!AJ48</f>
        <v>1.33</v>
      </c>
      <c r="AM48" s="160" t="s">
        <v>105</v>
      </c>
      <c r="AN48" s="154">
        <f>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AJ47*AJ48</f>
        <v>0</v>
      </c>
      <c r="AK49" s="149" t="s">
        <v>108</v>
      </c>
      <c r="AL49" s="150">
        <f>'10'!AL47*'10'!AL48</f>
        <v>0</v>
      </c>
      <c r="AM49" s="149" t="s">
        <v>108</v>
      </c>
      <c r="AN49" s="150">
        <f>AN47*AN48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COUNTA('16'!O7:O18)</f>
        <v>12</v>
      </c>
      <c r="P51" s="974">
        <f>COUNTA('16'!W17:W28)</f>
        <v>0</v>
      </c>
      <c r="R51" s="992">
        <f>COUNTIF('16'!O7:O18,"&gt;=0,5")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SUM('16'!Y53,'16'!AA53,'16'!AC53,'16'!AE53)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'16'!Y52*275.3</f>
        <v>0</v>
      </c>
      <c r="Z53" s="149" t="s">
        <v>104</v>
      </c>
      <c r="AA53" s="150">
        <f>262.4*'16'!AA52</f>
        <v>0</v>
      </c>
      <c r="AB53" s="149" t="s">
        <v>104</v>
      </c>
      <c r="AC53" s="167">
        <f>'16'!AC52*277.7</f>
        <v>0</v>
      </c>
      <c r="AD53" s="149" t="s">
        <v>104</v>
      </c>
      <c r="AE53" s="230"/>
      <c r="AF53" s="989"/>
      <c r="AG53" s="1002"/>
      <c r="AI53" s="144" t="s">
        <v>101</v>
      </c>
      <c r="AJ53" s="166">
        <v>0</v>
      </c>
      <c r="AK53" s="144" t="s">
        <v>101</v>
      </c>
      <c r="AL53" s="164"/>
      <c r="AM53" s="144" t="s">
        <v>101</v>
      </c>
      <c r="AN53" s="164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'16'!AS7</f>
        <v>1.377</v>
      </c>
      <c r="Z54" s="153" t="s">
        <v>105</v>
      </c>
      <c r="AA54" s="155">
        <f>'16'!Y54</f>
        <v>1.377</v>
      </c>
      <c r="AB54" s="153" t="s">
        <v>105</v>
      </c>
      <c r="AC54" s="155">
        <f>'16'!Y54</f>
        <v>1.377</v>
      </c>
      <c r="AD54" s="153" t="s">
        <v>105</v>
      </c>
      <c r="AE54" s="156">
        <f>'16'!Y54</f>
        <v>1.377</v>
      </c>
      <c r="AF54" s="995" t="s">
        <v>106</v>
      </c>
      <c r="AG54" s="996">
        <f>SUM('16'!Y55,'16'!AA55,'16'!AC55,'16'!AE55)</f>
        <v>0</v>
      </c>
      <c r="AI54" s="149" t="s">
        <v>104</v>
      </c>
      <c r="AJ54" s="150">
        <f>AJ53*275.3</f>
        <v>0</v>
      </c>
      <c r="AK54" s="149" t="s">
        <v>104</v>
      </c>
      <c r="AL54" s="150">
        <f>262.4*'10'!AL53</f>
        <v>0</v>
      </c>
      <c r="AM54" s="149" t="s">
        <v>104</v>
      </c>
      <c r="AN54" s="167">
        <f>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'16'!Y53*'16'!Y54</f>
        <v>0</v>
      </c>
      <c r="Z55" s="149" t="s">
        <v>108</v>
      </c>
      <c r="AA55" s="150">
        <f>'16'!AA53*'16'!AA54</f>
        <v>0</v>
      </c>
      <c r="AB55" s="149" t="s">
        <v>108</v>
      </c>
      <c r="AC55" s="150">
        <f>'16'!AC53*'16'!AC54</f>
        <v>0</v>
      </c>
      <c r="AD55" s="149" t="s">
        <v>108</v>
      </c>
      <c r="AE55" s="150">
        <f>'16'!AE53*'16'!AE54</f>
        <v>0</v>
      </c>
      <c r="AF55" s="995"/>
      <c r="AG55" s="996"/>
      <c r="AI55" s="153" t="s">
        <v>105</v>
      </c>
      <c r="AJ55" s="154">
        <f>Y54</f>
        <v>1.377</v>
      </c>
      <c r="AK55" s="153" t="s">
        <v>105</v>
      </c>
      <c r="AL55" s="154">
        <f>AJ55</f>
        <v>1.377</v>
      </c>
      <c r="AM55" s="153" t="s">
        <v>105</v>
      </c>
      <c r="AN55" s="154">
        <f>AJ55</f>
        <v>1.377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AJ54*AJ55</f>
        <v>0</v>
      </c>
      <c r="AK56" s="149" t="s">
        <v>108</v>
      </c>
      <c r="AL56" s="150">
        <f>'10'!AL54*'10'!AL55</f>
        <v>0</v>
      </c>
      <c r="AM56" s="149" t="s">
        <v>108</v>
      </c>
      <c r="AN56" s="150">
        <f>AN54*AN55</f>
        <v>0</v>
      </c>
      <c r="AO56" s="994"/>
      <c r="AP56" s="994"/>
      <c r="AQ56" s="994"/>
      <c r="AR56" s="994"/>
    </row>
    <row r="57" spans="15:44" ht="15.75" customHeight="1">
      <c r="O57" s="1003">
        <f>COUNTA('16'!N7:N18)</f>
        <v>12</v>
      </c>
      <c r="P57" s="1003"/>
      <c r="R57" s="1004">
        <f>COUNTIF('16'!N7:N18,"&gt;=6")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26780.880000000001</v>
      </c>
      <c r="AR62" s="1016"/>
    </row>
    <row r="63" spans="15:44" ht="15" customHeight="1">
      <c r="X63" s="170" t="s">
        <v>124</v>
      </c>
      <c r="Y63" s="171"/>
      <c r="Z63" s="1013"/>
      <c r="AA63" s="1013"/>
      <c r="AB63" s="172" t="s">
        <v>124</v>
      </c>
      <c r="AC63" s="173">
        <v>0</v>
      </c>
      <c r="AE63" s="49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-26780.880000000001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>
        <f>'15'!$Y$68</f>
        <v>-16775.3</v>
      </c>
      <c r="Z65" s="1013"/>
      <c r="AA65" s="1013"/>
      <c r="AB65" s="176" t="s">
        <v>126</v>
      </c>
      <c r="AC65" s="241">
        <f>'15'!$AC$68</f>
        <v>-1257.9583333333335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280">
        <f>SUM('16'!AK38,'16'!AP38)</f>
        <v>1997.6000000000001</v>
      </c>
      <c r="Z67" s="1013"/>
      <c r="AA67" s="1013"/>
      <c r="AB67" s="172" t="s">
        <v>124</v>
      </c>
      <c r="AC67" s="169">
        <f>SUM('16'!AM38,'16'!AR38)</f>
        <v>0</v>
      </c>
    </row>
    <row r="68" spans="24:29" ht="15.75" customHeight="1">
      <c r="X68" s="170" t="s">
        <v>128</v>
      </c>
      <c r="Y68" s="179">
        <f>SUM('16'!Y63,'16'!Y65)-'16'!Y67</f>
        <v>-18772.899999999998</v>
      </c>
      <c r="Z68" s="1013"/>
      <c r="AA68" s="1013"/>
      <c r="AB68" s="172" t="s">
        <v>128</v>
      </c>
      <c r="AC68" s="180">
        <f>SUM('16'!AC63,'16'!AC65)-'16'!AC67</f>
        <v>-1257.9583333333335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conditionalFormatting sqref="O19">
    <cfRule type="cellIs" priority="4" operator="lessThan">
      <formula>2.5</formula>
    </cfRule>
    <cfRule type="cellIs" priority="5" operator="greaterThan">
      <formula>3</formula>
    </cfRule>
    <cfRule type="cellIs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P1" zoomScaleNormal="100" workbookViewId="0">
      <selection activeCell="AI25" sqref="AI25:AI29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40" t="s">
        <v>13</v>
      </c>
      <c r="U4" s="108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40"/>
      <c r="U5" s="108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3.9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8"/>
      <c r="V6" s="932"/>
      <c r="W6" s="932"/>
      <c r="X6" s="13">
        <v>4.1666666666666699E-2</v>
      </c>
      <c r="Y6" s="173">
        <v>2490</v>
      </c>
      <c r="Z6" s="182">
        <v>839</v>
      </c>
      <c r="AA6" s="15">
        <v>1</v>
      </c>
      <c r="AB6" s="58">
        <f>IF('17'!AA6=1,(('17'!Z6*'17'!$AS$6*'17'!$AT$6)/('17'!Y6*0.0036)),IF('17'!AA6=2,(('17'!Z6*'17'!$AS$7*'17'!$AT$7)/('17'!Y6*0.0036))))</f>
        <v>62.241744756804998</v>
      </c>
      <c r="AC6" s="58"/>
      <c r="AD6" s="18">
        <f>(('17'!AC6*'17'!$Q$10*1000000))/('17'!Y6*3600)</f>
        <v>0</v>
      </c>
      <c r="AE6" s="183"/>
      <c r="AF6" s="184">
        <f>('17'!AE6/24)*0.454</f>
        <v>0</v>
      </c>
      <c r="AG6" s="19"/>
      <c r="AH6" s="184">
        <f>('17'!AG6/24)*0.454</f>
        <v>0</v>
      </c>
      <c r="AI6" s="183">
        <v>4400</v>
      </c>
      <c r="AJ6" s="184">
        <f>('17'!AI6/24)*0.454</f>
        <v>83.233333333333334</v>
      </c>
      <c r="AK6" s="21"/>
      <c r="AL6" s="185">
        <f>('17'!AK6/24)*0.454</f>
        <v>0</v>
      </c>
      <c r="AM6" s="21"/>
      <c r="AN6" s="185">
        <f>('17'!AM6/24)*0.454</f>
        <v>0</v>
      </c>
      <c r="AO6" s="21"/>
      <c r="AP6" s="185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6">
        <v>80</v>
      </c>
      <c r="C7" s="186">
        <v>12.5</v>
      </c>
      <c r="D7" s="186">
        <v>12.5</v>
      </c>
      <c r="E7" s="186">
        <v>2.5</v>
      </c>
      <c r="F7" s="186">
        <v>13</v>
      </c>
      <c r="G7" s="186">
        <v>1.8</v>
      </c>
      <c r="H7" s="186">
        <v>1.5</v>
      </c>
      <c r="I7" s="186">
        <v>0.5</v>
      </c>
      <c r="J7" s="186">
        <v>0.5</v>
      </c>
      <c r="K7" s="186">
        <v>7.3</v>
      </c>
      <c r="L7" s="186">
        <v>6.7</v>
      </c>
      <c r="M7" s="186">
        <v>6.7</v>
      </c>
      <c r="N7" s="186">
        <v>6.3</v>
      </c>
      <c r="O7" s="186">
        <v>2.5</v>
      </c>
      <c r="P7" s="186"/>
      <c r="Q7" s="188"/>
      <c r="R7" s="37">
        <f>'16'!$Z$29</f>
        <v>839</v>
      </c>
      <c r="S7" s="187">
        <f>'16'!$AB$29</f>
        <v>61.745794599380268</v>
      </c>
      <c r="T7" s="37">
        <f>'16'!$Y$29</f>
        <v>2510</v>
      </c>
      <c r="U7" s="33" t="str">
        <f>IF('17'!AA6=1,'17'!AR6,'17'!AR7)</f>
        <v>S.A.L</v>
      </c>
      <c r="V7" s="1022">
        <f>ESCALA!$C$18</f>
        <v>0</v>
      </c>
      <c r="W7" s="1022"/>
      <c r="X7" s="13">
        <v>8.3333333333333301E-2</v>
      </c>
      <c r="Y7" s="173">
        <v>2439</v>
      </c>
      <c r="Z7" s="182">
        <v>839</v>
      </c>
      <c r="AA7" s="15">
        <v>1</v>
      </c>
      <c r="AB7" s="58">
        <f>IF('17'!AA7=1,(('17'!Z7*'17'!$AS$6*'17'!$AT$6)/('17'!Y7*0.0036)),IF('17'!AA7=2,(('17'!Z7*'17'!$AS$7*'17'!$AT$7)/('17'!Y7*0.0036))))</f>
        <v>63.543232654548774</v>
      </c>
      <c r="AC7" s="58"/>
      <c r="AD7" s="18">
        <f>(('17'!AC7*'17'!$Q$10*1000000))/('17'!Y7*3600)</f>
        <v>0</v>
      </c>
      <c r="AE7" s="183"/>
      <c r="AF7" s="184">
        <f>('17'!AE7/24)*0.454</f>
        <v>0</v>
      </c>
      <c r="AG7" s="19"/>
      <c r="AH7" s="184">
        <f>('17'!AG7/24)*0.454</f>
        <v>0</v>
      </c>
      <c r="AI7" s="183">
        <v>4400</v>
      </c>
      <c r="AJ7" s="184">
        <f>('17'!AI7/24)*0.454</f>
        <v>83.233333333333334</v>
      </c>
      <c r="AK7" s="21"/>
      <c r="AL7" s="185">
        <f>('17'!AK7/24)*0.454</f>
        <v>0</v>
      </c>
      <c r="AM7" s="21"/>
      <c r="AN7" s="185">
        <f>('17'!AM7/24)*0.454</f>
        <v>0</v>
      </c>
      <c r="AO7" s="21"/>
      <c r="AP7" s="185">
        <f>('17'!AO7/24)*0.454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5" customHeight="1">
      <c r="A8" s="28">
        <v>8.3333333333333301E-2</v>
      </c>
      <c r="B8" s="186">
        <v>80</v>
      </c>
      <c r="C8" s="186">
        <v>12.5</v>
      </c>
      <c r="D8" s="186">
        <v>12.5</v>
      </c>
      <c r="E8" s="186">
        <v>2.5</v>
      </c>
      <c r="F8" s="186">
        <v>12</v>
      </c>
      <c r="G8" s="186">
        <v>1.9</v>
      </c>
      <c r="H8" s="186">
        <v>1.6</v>
      </c>
      <c r="I8" s="186">
        <v>0.5</v>
      </c>
      <c r="J8" s="186">
        <v>0.5</v>
      </c>
      <c r="K8" s="186">
        <v>7.3</v>
      </c>
      <c r="L8" s="186">
        <v>6.7</v>
      </c>
      <c r="M8" s="186">
        <v>6.7</v>
      </c>
      <c r="N8" s="186">
        <v>6.3</v>
      </c>
      <c r="O8" s="186">
        <v>3.2</v>
      </c>
      <c r="P8" s="186"/>
      <c r="Q8" s="188"/>
      <c r="R8" s="35">
        <f>'17'!Z7</f>
        <v>839</v>
      </c>
      <c r="S8" s="36">
        <f>'17'!AB7</f>
        <v>63.543232654548774</v>
      </c>
      <c r="T8" s="37">
        <f>'17'!Y7</f>
        <v>2439</v>
      </c>
      <c r="U8" s="33" t="str">
        <f>IF('17'!AA7=1,'17'!AR6,'17'!AR7)</f>
        <v>S.A.L</v>
      </c>
      <c r="V8" s="1022"/>
      <c r="W8" s="1022"/>
      <c r="X8" s="13">
        <v>0.125</v>
      </c>
      <c r="Y8" s="173">
        <v>2465</v>
      </c>
      <c r="Z8" s="182">
        <v>839</v>
      </c>
      <c r="AA8" s="15">
        <v>1</v>
      </c>
      <c r="AB8" s="58">
        <f>IF('17'!AA8=1,(('17'!Z8*'17'!$AS$6*'17'!$AT$6)/('17'!Y8*0.0036)),IF('17'!AA8=2,(('17'!Z8*'17'!$AS$7*'17'!$AT$7)/('17'!Y8*0.0036))))</f>
        <v>62.872999774622492</v>
      </c>
      <c r="AC8" s="58"/>
      <c r="AD8" s="18">
        <f>(('17'!AC8*'17'!$Q$10*1000000))/('17'!Y8*3600)</f>
        <v>0</v>
      </c>
      <c r="AE8" s="183"/>
      <c r="AF8" s="184">
        <f>('17'!AE8/24)*0.454</f>
        <v>0</v>
      </c>
      <c r="AG8" s="19"/>
      <c r="AH8" s="184">
        <f>('17'!AG8/24)*0.454</f>
        <v>0</v>
      </c>
      <c r="AI8" s="183">
        <v>4400</v>
      </c>
      <c r="AJ8" s="184">
        <f>('17'!AI8/24)*0.454</f>
        <v>83.233333333333334</v>
      </c>
      <c r="AK8" s="21"/>
      <c r="AL8" s="185">
        <f>('17'!AK8/24)*0.454</f>
        <v>0</v>
      </c>
      <c r="AM8" s="21"/>
      <c r="AN8" s="185">
        <f>('17'!AM8/24)*0.454</f>
        <v>0</v>
      </c>
      <c r="AO8" s="21"/>
      <c r="AP8" s="185">
        <f>('17'!AO8/24)*0.454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80</v>
      </c>
      <c r="C9" s="186">
        <v>12.5</v>
      </c>
      <c r="D9" s="186">
        <v>12.5</v>
      </c>
      <c r="E9" s="186">
        <v>2.5</v>
      </c>
      <c r="F9" s="186">
        <v>14</v>
      </c>
      <c r="G9" s="186">
        <v>1.9</v>
      </c>
      <c r="H9" s="186">
        <v>1.5</v>
      </c>
      <c r="I9" s="186">
        <v>0.5</v>
      </c>
      <c r="J9" s="186">
        <v>0.5</v>
      </c>
      <c r="K9" s="186">
        <v>7.3</v>
      </c>
      <c r="L9" s="186">
        <v>6.7</v>
      </c>
      <c r="M9" s="186">
        <v>6.7</v>
      </c>
      <c r="N9" s="186">
        <v>6.3</v>
      </c>
      <c r="O9" s="186">
        <v>3</v>
      </c>
      <c r="P9" s="186"/>
      <c r="Q9" s="188"/>
      <c r="R9" s="37">
        <f>'17'!Z9</f>
        <v>839</v>
      </c>
      <c r="S9" s="36">
        <f>'17'!AB9</f>
        <v>62.924053773627477</v>
      </c>
      <c r="T9" s="37">
        <f>'17'!Y9</f>
        <v>2463</v>
      </c>
      <c r="U9" s="33" t="str">
        <f>IF('17'!AA9=1,'17'!AR6,'17'!AR7)</f>
        <v>S.A.L</v>
      </c>
      <c r="V9" s="1022"/>
      <c r="W9" s="1022"/>
      <c r="X9" s="13">
        <v>0.16666666666666699</v>
      </c>
      <c r="Y9" s="173">
        <v>2463</v>
      </c>
      <c r="Z9" s="182">
        <v>839</v>
      </c>
      <c r="AA9" s="15">
        <v>1</v>
      </c>
      <c r="AB9" s="58">
        <f>IF('17'!AA9=1,(('17'!Z9*'17'!$AS$6*'17'!$AT$6)/('17'!Y9*0.0036)),IF('17'!AA9=2,(('17'!Z9*'17'!$AS$7*'17'!$AT$7)/('17'!Y9*0.0036))))</f>
        <v>62.924053773627477</v>
      </c>
      <c r="AC9" s="58"/>
      <c r="AD9" s="18">
        <f>(('17'!AC9*'17'!$Q$10*1000000))/('17'!Y9*3600)</f>
        <v>0</v>
      </c>
      <c r="AE9" s="183"/>
      <c r="AF9" s="184">
        <f>('17'!AE9/24)*0.454</f>
        <v>0</v>
      </c>
      <c r="AG9" s="19"/>
      <c r="AH9" s="184">
        <f>('17'!AG9/24)*0.454</f>
        <v>0</v>
      </c>
      <c r="AI9" s="183">
        <v>4400</v>
      </c>
      <c r="AJ9" s="184">
        <f>('17'!AI9/24)*0.454</f>
        <v>83.233333333333334</v>
      </c>
      <c r="AK9" s="21"/>
      <c r="AL9" s="185">
        <f>('17'!AK9/24)*0.454</f>
        <v>0</v>
      </c>
      <c r="AM9" s="21"/>
      <c r="AN9" s="185">
        <f>('17'!AM9/24)*0.454</f>
        <v>0</v>
      </c>
      <c r="AO9" s="21"/>
      <c r="AP9" s="185">
        <f>('17'!AO9/24)*0.454</f>
        <v>0</v>
      </c>
      <c r="AQ9" s="942" t="s">
        <v>37</v>
      </c>
      <c r="AR9" s="942"/>
      <c r="AS9" s="942"/>
      <c r="AT9" s="38" t="s">
        <v>39</v>
      </c>
    </row>
    <row r="10" spans="1:47" ht="15" customHeight="1">
      <c r="A10" s="28">
        <v>0.25</v>
      </c>
      <c r="B10" s="186">
        <v>80</v>
      </c>
      <c r="C10" s="186">
        <v>12.5</v>
      </c>
      <c r="D10" s="186">
        <v>12.5</v>
      </c>
      <c r="E10" s="186">
        <v>2.5</v>
      </c>
      <c r="F10" s="186">
        <v>13</v>
      </c>
      <c r="G10" s="186">
        <v>1.8</v>
      </c>
      <c r="H10" s="186">
        <v>1.6</v>
      </c>
      <c r="I10" s="186">
        <v>0.5</v>
      </c>
      <c r="J10" s="186">
        <v>0.5</v>
      </c>
      <c r="K10" s="186">
        <v>7.3</v>
      </c>
      <c r="L10" s="186">
        <v>6.7</v>
      </c>
      <c r="M10" s="186">
        <v>6.7</v>
      </c>
      <c r="N10" s="186">
        <v>6.3</v>
      </c>
      <c r="O10" s="186">
        <v>3</v>
      </c>
      <c r="P10" s="186"/>
      <c r="Q10" s="188"/>
      <c r="R10" s="37">
        <f>'17'!Z11</f>
        <v>839</v>
      </c>
      <c r="S10" s="36">
        <f>'17'!AB11</f>
        <v>62.720333648095696</v>
      </c>
      <c r="T10" s="37">
        <f>'17'!Y11</f>
        <v>2471</v>
      </c>
      <c r="U10" s="33" t="str">
        <f>IF('17'!AA11=1,'17'!AR6,'17'!AR7)</f>
        <v>S.A.L</v>
      </c>
      <c r="V10" s="1022"/>
      <c r="W10" s="1022"/>
      <c r="X10" s="13">
        <v>0.20833333333333301</v>
      </c>
      <c r="Y10" s="173">
        <v>2460</v>
      </c>
      <c r="Z10" s="182">
        <v>839</v>
      </c>
      <c r="AA10" s="15">
        <v>1</v>
      </c>
      <c r="AB10" s="58">
        <f>IF('17'!AA10=1,(('17'!Z10*'17'!$AS$6*'17'!$AT$6)/('17'!Y10*0.0036)),IF('17'!AA10=2,(('17'!Z10*'17'!$AS$7*'17'!$AT$7)/('17'!Y10*0.0036))))</f>
        <v>63.000790424570923</v>
      </c>
      <c r="AC10" s="58"/>
      <c r="AD10" s="18">
        <f>(('17'!AC10*'17'!$Q$10*1000000))/('17'!Y10*3600)</f>
        <v>0</v>
      </c>
      <c r="AE10" s="183"/>
      <c r="AF10" s="184">
        <f>('17'!AE10/24)*0.454</f>
        <v>0</v>
      </c>
      <c r="AG10" s="19"/>
      <c r="AH10" s="184">
        <f>('17'!AG10/24)*0.454</f>
        <v>0</v>
      </c>
      <c r="AI10" s="183">
        <v>4400</v>
      </c>
      <c r="AJ10" s="184">
        <f>('17'!AI10/24)*0.454</f>
        <v>83.233333333333334</v>
      </c>
      <c r="AK10" s="21"/>
      <c r="AL10" s="185">
        <f>('17'!AK10/24)*0.454</f>
        <v>0</v>
      </c>
      <c r="AM10" s="21"/>
      <c r="AN10" s="185">
        <f>('17'!AM10/24)*0.454</f>
        <v>0</v>
      </c>
      <c r="AO10" s="21"/>
      <c r="AP10" s="185">
        <f>('17'!AO10/24)*0.454</f>
        <v>0</v>
      </c>
      <c r="AQ10" s="943" t="s">
        <v>51</v>
      </c>
      <c r="AR10" s="943"/>
      <c r="AS10" s="943"/>
      <c r="AT10" s="41">
        <v>2E-3</v>
      </c>
    </row>
    <row r="11" spans="1:47" ht="15" customHeight="1">
      <c r="A11" s="28">
        <v>0.33333333333333298</v>
      </c>
      <c r="B11" s="186">
        <v>80</v>
      </c>
      <c r="C11" s="186">
        <v>12.5</v>
      </c>
      <c r="D11" s="186">
        <v>10</v>
      </c>
      <c r="E11" s="186">
        <v>2.5</v>
      </c>
      <c r="F11" s="186">
        <v>13</v>
      </c>
      <c r="G11" s="186">
        <v>1.5</v>
      </c>
      <c r="H11" s="186">
        <v>1.3</v>
      </c>
      <c r="I11" s="186">
        <v>0.4</v>
      </c>
      <c r="J11" s="186">
        <v>0.5</v>
      </c>
      <c r="K11" s="186">
        <v>7.3</v>
      </c>
      <c r="L11" s="186">
        <v>6.7</v>
      </c>
      <c r="M11" s="186">
        <v>6.7</v>
      </c>
      <c r="N11" s="186">
        <v>6.3</v>
      </c>
      <c r="O11" s="186">
        <v>3</v>
      </c>
      <c r="P11" s="186"/>
      <c r="Q11" s="188"/>
      <c r="R11" s="37">
        <f>'17'!Z13</f>
        <v>839</v>
      </c>
      <c r="S11" s="36">
        <f>'17'!AB13</f>
        <v>63.517190346083801</v>
      </c>
      <c r="T11" s="37">
        <f>'17'!Y13</f>
        <v>2440</v>
      </c>
      <c r="U11" s="33" t="str">
        <f>IF('17'!AA13=1,'17'!AR6,'17'!AR7)</f>
        <v>S.A.L</v>
      </c>
      <c r="V11" s="1022"/>
      <c r="W11" s="1022"/>
      <c r="X11" s="13">
        <v>0.25</v>
      </c>
      <c r="Y11" s="173">
        <v>2471</v>
      </c>
      <c r="Z11" s="182">
        <v>839</v>
      </c>
      <c r="AA11" s="15">
        <v>1</v>
      </c>
      <c r="AB11" s="58">
        <f>IF('17'!AA11=1,(('17'!Z11*'17'!$AS$6*'17'!$AT$6)/('17'!Y11*0.0036)),IF('17'!AA11=2,(('17'!Z11*'17'!$AS$7*'17'!$AT$7)/('17'!Y11*0.0036))))</f>
        <v>62.720333648095696</v>
      </c>
      <c r="AC11" s="58"/>
      <c r="AD11" s="18">
        <f>(('17'!AC11*'17'!$Q$10*1000000))/('17'!Y11*3600)</f>
        <v>0</v>
      </c>
      <c r="AE11" s="183"/>
      <c r="AF11" s="184">
        <f>('17'!AE11/24)*0.454</f>
        <v>0</v>
      </c>
      <c r="AG11" s="19"/>
      <c r="AH11" s="184">
        <f>('17'!AG11/24)*0.454</f>
        <v>0</v>
      </c>
      <c r="AI11" s="183">
        <v>4400</v>
      </c>
      <c r="AJ11" s="184">
        <f>('17'!AI11/24)*0.454</f>
        <v>83.233333333333334</v>
      </c>
      <c r="AK11" s="21"/>
      <c r="AL11" s="185">
        <f>('17'!AK11/24)*0.454</f>
        <v>0</v>
      </c>
      <c r="AM11" s="21"/>
      <c r="AN11" s="185">
        <f>('17'!AM11/24)*0.454</f>
        <v>0</v>
      </c>
      <c r="AO11" s="21"/>
      <c r="AP11" s="185">
        <f>('17'!AO11/24)*0.454</f>
        <v>0</v>
      </c>
    </row>
    <row r="12" spans="1:47" ht="15" customHeight="1">
      <c r="A12" s="28">
        <v>0.41666666666666702</v>
      </c>
      <c r="B12" s="186">
        <v>80</v>
      </c>
      <c r="C12" s="186">
        <v>12.5</v>
      </c>
      <c r="D12" s="186">
        <v>10</v>
      </c>
      <c r="E12" s="186">
        <v>2.5</v>
      </c>
      <c r="F12" s="186">
        <v>12</v>
      </c>
      <c r="G12" s="186">
        <v>1.4</v>
      </c>
      <c r="H12" s="186">
        <v>1.2</v>
      </c>
      <c r="I12" s="186">
        <v>0.4</v>
      </c>
      <c r="J12" s="186">
        <v>0.5</v>
      </c>
      <c r="K12" s="186">
        <v>7.3</v>
      </c>
      <c r="L12" s="186">
        <v>6.7</v>
      </c>
      <c r="M12" s="186">
        <v>6.7</v>
      </c>
      <c r="N12" s="186">
        <v>6.3</v>
      </c>
      <c r="O12" s="186">
        <v>3</v>
      </c>
      <c r="P12" s="186"/>
      <c r="Q12" s="188"/>
      <c r="R12" s="37">
        <f>'17'!Z15</f>
        <v>839</v>
      </c>
      <c r="S12" s="36">
        <f>'17'!AB15</f>
        <v>63.491169375028463</v>
      </c>
      <c r="T12" s="37">
        <f>'17'!Y15</f>
        <v>2441</v>
      </c>
      <c r="U12" s="33" t="str">
        <f>IF('17'!AA15=1,'17'!AR6,'17'!AR7)</f>
        <v>S.A.L</v>
      </c>
      <c r="V12" s="944">
        <f>ESCALA!$B$19</f>
        <v>0</v>
      </c>
      <c r="W12" s="944"/>
      <c r="X12" s="13">
        <v>0.29166666666666702</v>
      </c>
      <c r="Y12" s="173">
        <v>2504</v>
      </c>
      <c r="Z12" s="182">
        <v>839</v>
      </c>
      <c r="AA12" s="15">
        <v>1</v>
      </c>
      <c r="AB12" s="58">
        <f>IF('17'!AA12=1,(('17'!Z12*'17'!$AS$6*'17'!$AT$6)/('17'!Y12*0.0036)),IF('17'!AA12=2,(('17'!Z12*'17'!$AS$7*'17'!$AT$7)/('17'!Y12*0.0036))))</f>
        <v>61.893747781327662</v>
      </c>
      <c r="AC12" s="58"/>
      <c r="AD12" s="18">
        <f>(('17'!AC12*'17'!$Q$10*1000000))/('17'!Y12*3600)</f>
        <v>0</v>
      </c>
      <c r="AE12" s="183"/>
      <c r="AF12" s="184">
        <f>('17'!AE12/24)*0.454</f>
        <v>0</v>
      </c>
      <c r="AG12" s="19"/>
      <c r="AH12" s="184">
        <f>('17'!AG12/24)*0.454</f>
        <v>0</v>
      </c>
      <c r="AI12" s="183">
        <v>4400</v>
      </c>
      <c r="AJ12" s="184">
        <f>('17'!AI12/24)*0.454</f>
        <v>83.233333333333334</v>
      </c>
      <c r="AK12" s="21"/>
      <c r="AL12" s="185">
        <f>('17'!AK12/24)*0.454</f>
        <v>0</v>
      </c>
      <c r="AM12" s="21"/>
      <c r="AN12" s="185">
        <f>('17'!AM12/24)*0.454</f>
        <v>0</v>
      </c>
      <c r="AO12" s="21"/>
      <c r="AP12" s="185">
        <f>('17'!AO12/24)*0.454</f>
        <v>0</v>
      </c>
    </row>
    <row r="13" spans="1:47" ht="15" customHeight="1">
      <c r="A13" s="28">
        <v>0.5</v>
      </c>
      <c r="B13" s="186">
        <v>80</v>
      </c>
      <c r="C13" s="186">
        <v>12.5</v>
      </c>
      <c r="D13" s="186">
        <v>10</v>
      </c>
      <c r="E13" s="186">
        <v>2.5</v>
      </c>
      <c r="F13" s="186">
        <v>12</v>
      </c>
      <c r="G13" s="186">
        <v>1.4</v>
      </c>
      <c r="H13" s="186">
        <v>1.2</v>
      </c>
      <c r="I13" s="186">
        <v>0.4</v>
      </c>
      <c r="J13" s="186">
        <v>0.4</v>
      </c>
      <c r="K13" s="186">
        <v>7.3</v>
      </c>
      <c r="L13" s="186">
        <v>6.7</v>
      </c>
      <c r="M13" s="186">
        <v>6.7</v>
      </c>
      <c r="N13" s="186">
        <v>6.3</v>
      </c>
      <c r="O13" s="186">
        <v>2.8</v>
      </c>
      <c r="P13" s="186"/>
      <c r="Q13" s="188"/>
      <c r="R13" s="37">
        <f>'17'!Z17</f>
        <v>839</v>
      </c>
      <c r="S13" s="36">
        <f>'17'!AB17</f>
        <v>62.392087135444633</v>
      </c>
      <c r="T13" s="37">
        <f>'17'!Y17</f>
        <v>2484</v>
      </c>
      <c r="U13" s="33" t="str">
        <f>IF('17'!AA17=1,'17'!AR6,'17'!AR7)</f>
        <v>S.A.L</v>
      </c>
      <c r="V13" s="944"/>
      <c r="W13" s="944"/>
      <c r="X13" s="13">
        <v>0.33333333333333298</v>
      </c>
      <c r="Y13" s="173">
        <v>2440</v>
      </c>
      <c r="Z13" s="182">
        <v>839</v>
      </c>
      <c r="AA13" s="15">
        <v>1</v>
      </c>
      <c r="AB13" s="58">
        <f>IF('17'!AA13=1,(('17'!Z13*'17'!$AS$6*'17'!$AT$6)/('17'!Y13*0.0036)),IF('17'!AA13=2,(('17'!Z13*'17'!$AS$7*'17'!$AT$7)/('17'!Y13*0.0036))))</f>
        <v>63.517190346083801</v>
      </c>
      <c r="AC13" s="58"/>
      <c r="AD13" s="18">
        <f>(('17'!AC13*'17'!$Q$10*1000000))/('17'!Y13*3600)</f>
        <v>0</v>
      </c>
      <c r="AE13" s="183"/>
      <c r="AF13" s="184">
        <f>('17'!AE13/24)*0.454</f>
        <v>0</v>
      </c>
      <c r="AG13" s="19"/>
      <c r="AH13" s="184">
        <f>('17'!AG13/24)*0.454</f>
        <v>0</v>
      </c>
      <c r="AI13" s="183">
        <v>4400</v>
      </c>
      <c r="AJ13" s="184">
        <f>('17'!AI13/24)*0.454</f>
        <v>83.233333333333334</v>
      </c>
      <c r="AK13" s="21"/>
      <c r="AL13" s="185">
        <f>('17'!AK13/24)*0.454</f>
        <v>0</v>
      </c>
      <c r="AM13" s="21"/>
      <c r="AN13" s="185">
        <f>('17'!AM13/24)*0.454</f>
        <v>0</v>
      </c>
      <c r="AO13" s="21"/>
      <c r="AP13" s="185">
        <f>('17'!AO13/24)*0.454</f>
        <v>0</v>
      </c>
    </row>
    <row r="14" spans="1:47" ht="15" customHeight="1">
      <c r="A14" s="28">
        <v>0.58333333333333304</v>
      </c>
      <c r="B14" s="186">
        <v>80</v>
      </c>
      <c r="C14" s="186">
        <v>12.5</v>
      </c>
      <c r="D14" s="186">
        <v>10</v>
      </c>
      <c r="E14" s="186">
        <v>2.5</v>
      </c>
      <c r="F14" s="186">
        <v>13</v>
      </c>
      <c r="G14" s="186">
        <v>1.4</v>
      </c>
      <c r="H14" s="186">
        <v>1.2</v>
      </c>
      <c r="I14" s="186">
        <v>0.3</v>
      </c>
      <c r="J14" s="186">
        <v>0.3</v>
      </c>
      <c r="K14" s="186">
        <v>7.3</v>
      </c>
      <c r="L14" s="186">
        <v>6.7</v>
      </c>
      <c r="M14" s="186">
        <v>6.7</v>
      </c>
      <c r="N14" s="186">
        <v>6.3</v>
      </c>
      <c r="O14" s="186">
        <v>2.5</v>
      </c>
      <c r="P14" s="186"/>
      <c r="Q14" s="188"/>
      <c r="R14" s="37">
        <f>'17'!Z19</f>
        <v>839</v>
      </c>
      <c r="S14" s="36">
        <f>'17'!AB19</f>
        <v>62.366979655712058</v>
      </c>
      <c r="T14" s="37">
        <f>'17'!Y19</f>
        <v>2485</v>
      </c>
      <c r="U14" s="33" t="str">
        <f>IF('17'!AA19=1,'17'!AR6,'17'!AR7)</f>
        <v>S.A.L</v>
      </c>
      <c r="V14" s="944"/>
      <c r="W14" s="944"/>
      <c r="X14" s="13">
        <v>0.375</v>
      </c>
      <c r="Y14" s="173">
        <v>2459</v>
      </c>
      <c r="Z14" s="182">
        <v>839</v>
      </c>
      <c r="AA14" s="15">
        <v>1</v>
      </c>
      <c r="AB14" s="58">
        <f>IF('17'!AA14=1,(('17'!Z14*'17'!$AS$6*'17'!$AT$6)/('17'!Y14*0.0036)),IF('17'!AA14=2,(('17'!Z14*'17'!$AS$7*'17'!$AT$7)/('17'!Y14*0.0036))))</f>
        <v>63.026410916813532</v>
      </c>
      <c r="AC14" s="58"/>
      <c r="AD14" s="18">
        <f>(('17'!AC14*'17'!$Q$10*1000000))/('17'!Y14*3600)</f>
        <v>0</v>
      </c>
      <c r="AE14" s="183"/>
      <c r="AF14" s="184">
        <f>('17'!AE14/24)*0.454</f>
        <v>0</v>
      </c>
      <c r="AG14" s="19"/>
      <c r="AH14" s="184">
        <f>('17'!AG14/24)*0.454</f>
        <v>0</v>
      </c>
      <c r="AI14" s="183">
        <v>3500</v>
      </c>
      <c r="AJ14" s="184">
        <f>('17'!AI14/24)*0.454</f>
        <v>66.208333333333343</v>
      </c>
      <c r="AK14" s="21">
        <v>1250</v>
      </c>
      <c r="AL14" s="185">
        <f>('17'!AK14/24)*0.454</f>
        <v>23.645833333333336</v>
      </c>
      <c r="AM14" s="21">
        <v>1250</v>
      </c>
      <c r="AN14" s="185">
        <f>('17'!AM14/24)*0.454</f>
        <v>23.645833333333336</v>
      </c>
      <c r="AO14" s="21"/>
      <c r="AP14" s="185">
        <f>('17'!AO14/24)*0.454</f>
        <v>0</v>
      </c>
    </row>
    <row r="15" spans="1:47" ht="15" customHeight="1">
      <c r="A15" s="28">
        <v>0.66666666666666696</v>
      </c>
      <c r="B15" s="186">
        <v>80</v>
      </c>
      <c r="C15" s="186">
        <v>12.5</v>
      </c>
      <c r="D15" s="186">
        <v>10</v>
      </c>
      <c r="E15" s="186">
        <v>2.5</v>
      </c>
      <c r="F15" s="186">
        <v>13</v>
      </c>
      <c r="G15" s="186">
        <v>1.4</v>
      </c>
      <c r="H15" s="186">
        <v>1.1000000000000001</v>
      </c>
      <c r="I15" s="186">
        <v>0.3</v>
      </c>
      <c r="J15" s="186">
        <v>0.3</v>
      </c>
      <c r="K15" s="186">
        <v>7.3</v>
      </c>
      <c r="L15" s="186">
        <v>6.7</v>
      </c>
      <c r="M15" s="186">
        <v>6.7</v>
      </c>
      <c r="N15" s="186">
        <v>6.3</v>
      </c>
      <c r="O15" s="186">
        <v>2.6</v>
      </c>
      <c r="P15" s="186"/>
      <c r="Q15" s="188"/>
      <c r="R15" s="37">
        <f>'17'!Z21</f>
        <v>839</v>
      </c>
      <c r="S15" s="36">
        <f>'17'!AB21</f>
        <v>63.831113856855211</v>
      </c>
      <c r="T15" s="37">
        <f>'17'!Y21</f>
        <v>2428</v>
      </c>
      <c r="U15" s="33" t="str">
        <f>IF('17'!AA21=1,'17'!AR6,'17'!AR7)</f>
        <v>S.A.L</v>
      </c>
      <c r="V15" s="944"/>
      <c r="W15" s="944"/>
      <c r="X15" s="13">
        <v>0.41666666666666702</v>
      </c>
      <c r="Y15" s="173">
        <v>2441</v>
      </c>
      <c r="Z15" s="182">
        <v>839</v>
      </c>
      <c r="AA15" s="15">
        <v>1</v>
      </c>
      <c r="AB15" s="58">
        <f>IF('17'!AA15=1,(('17'!Z15*'17'!$AS$6*'17'!$AT$6)/('17'!Y15*0.0036)),IF('17'!AA15=2,(('17'!Z15*'17'!$AS$7*'17'!$AT$7)/('17'!Y15*0.0036))))</f>
        <v>63.491169375028463</v>
      </c>
      <c r="AC15" s="58"/>
      <c r="AD15" s="18">
        <f>(('17'!AC15*'17'!$Q$10*1000000))/('17'!Y15*3600)</f>
        <v>0</v>
      </c>
      <c r="AE15" s="183"/>
      <c r="AF15" s="184">
        <f>('17'!AE15/24)*0.454</f>
        <v>0</v>
      </c>
      <c r="AG15" s="19"/>
      <c r="AH15" s="184">
        <f>('17'!AG15/24)*0.454</f>
        <v>0</v>
      </c>
      <c r="AI15" s="183">
        <v>3500</v>
      </c>
      <c r="AJ15" s="184">
        <f>('17'!AI15/24)*0.454</f>
        <v>66.208333333333343</v>
      </c>
      <c r="AK15" s="21">
        <v>1250</v>
      </c>
      <c r="AL15" s="185">
        <f>('17'!AK15/24)*0.454</f>
        <v>23.645833333333336</v>
      </c>
      <c r="AM15" s="21">
        <v>1250</v>
      </c>
      <c r="AN15" s="185">
        <f>('17'!AM15/24)*0.454</f>
        <v>23.645833333333336</v>
      </c>
      <c r="AO15" s="21"/>
      <c r="AP15" s="185">
        <f>('17'!AO15/24)*0.454</f>
        <v>0</v>
      </c>
    </row>
    <row r="16" spans="1:47" ht="15" customHeight="1">
      <c r="A16" s="28">
        <v>0.75</v>
      </c>
      <c r="B16" s="186">
        <v>80</v>
      </c>
      <c r="C16" s="186">
        <v>12.5</v>
      </c>
      <c r="D16" s="186">
        <v>10</v>
      </c>
      <c r="E16" s="186">
        <v>2.5</v>
      </c>
      <c r="F16" s="186">
        <v>12</v>
      </c>
      <c r="G16" s="186">
        <v>1.4</v>
      </c>
      <c r="H16" s="186">
        <v>1.1000000000000001</v>
      </c>
      <c r="I16" s="186">
        <v>0.3</v>
      </c>
      <c r="J16" s="186">
        <v>0.4</v>
      </c>
      <c r="K16" s="186">
        <v>7.3</v>
      </c>
      <c r="L16" s="186">
        <v>6.7</v>
      </c>
      <c r="M16" s="186">
        <v>6.7</v>
      </c>
      <c r="N16" s="186">
        <v>6.3</v>
      </c>
      <c r="O16" s="186">
        <v>2.6</v>
      </c>
      <c r="P16" s="186"/>
      <c r="Q16" s="188"/>
      <c r="R16" s="37">
        <f>'17'!Z23</f>
        <v>839</v>
      </c>
      <c r="S16" s="36">
        <f>'17'!AB23</f>
        <v>63.026410916813532</v>
      </c>
      <c r="T16" s="37">
        <f>'17'!Y23</f>
        <v>2459</v>
      </c>
      <c r="U16" s="33" t="str">
        <f>IF('17'!AA23=1,'17'!AR6,'17'!AR7)</f>
        <v>S.A.L</v>
      </c>
      <c r="V16" s="944"/>
      <c r="W16" s="944"/>
      <c r="X16" s="13">
        <v>0.45833333333333298</v>
      </c>
      <c r="Y16" s="173">
        <v>2416</v>
      </c>
      <c r="Z16" s="182">
        <v>839</v>
      </c>
      <c r="AA16" s="15">
        <v>1</v>
      </c>
      <c r="AB16" s="58">
        <f>IF('17'!AA16=1,(('17'!Z16*'17'!$AS$6*'17'!$AT$6)/('17'!Y16*0.0036)),IF('17'!AA16=2,(('17'!Z16*'17'!$AS$7*'17'!$AT$7)/('17'!Y16*0.0036))))</f>
        <v>64.148155813097873</v>
      </c>
      <c r="AC16" s="58"/>
      <c r="AD16" s="18">
        <f>(('17'!AC16*'17'!$Q$10*1000000))/('17'!Y16*3600)</f>
        <v>0</v>
      </c>
      <c r="AE16" s="183"/>
      <c r="AF16" s="184">
        <f>('17'!AE16/24)*0.454</f>
        <v>0</v>
      </c>
      <c r="AG16" s="19"/>
      <c r="AH16" s="184">
        <f>('17'!AG16/24)*0.454</f>
        <v>0</v>
      </c>
      <c r="AI16" s="183">
        <v>3500</v>
      </c>
      <c r="AJ16" s="184">
        <f>('17'!AI16/24)*0.454</f>
        <v>66.208333333333343</v>
      </c>
      <c r="AK16" s="21">
        <v>1250</v>
      </c>
      <c r="AL16" s="185">
        <f>('17'!AK16/24)*0.454</f>
        <v>23.645833333333336</v>
      </c>
      <c r="AM16" s="21">
        <v>1250</v>
      </c>
      <c r="AN16" s="185">
        <f>('17'!AM16/24)*0.454</f>
        <v>23.645833333333336</v>
      </c>
      <c r="AO16" s="21"/>
      <c r="AP16" s="185">
        <f>('17'!AO16/24)*0.454</f>
        <v>0</v>
      </c>
    </row>
    <row r="17" spans="1:42" ht="15" customHeight="1">
      <c r="A17" s="28">
        <v>0.83333333333333304</v>
      </c>
      <c r="B17" s="186">
        <v>80</v>
      </c>
      <c r="C17" s="186">
        <v>12.5</v>
      </c>
      <c r="D17" s="186">
        <v>10</v>
      </c>
      <c r="E17" s="186">
        <v>2.5</v>
      </c>
      <c r="F17" s="186">
        <v>11</v>
      </c>
      <c r="G17" s="186">
        <v>1.3</v>
      </c>
      <c r="H17" s="186">
        <v>1.2</v>
      </c>
      <c r="I17" s="186">
        <v>0.3</v>
      </c>
      <c r="J17" s="186">
        <v>0.4</v>
      </c>
      <c r="K17" s="186">
        <v>7.3</v>
      </c>
      <c r="L17" s="186">
        <v>6.7</v>
      </c>
      <c r="M17" s="186">
        <v>6.7</v>
      </c>
      <c r="N17" s="186">
        <v>6.3</v>
      </c>
      <c r="O17" s="186">
        <v>2.7</v>
      </c>
      <c r="P17" s="186"/>
      <c r="Q17" s="188"/>
      <c r="R17" s="37">
        <f>'17'!Z25</f>
        <v>839</v>
      </c>
      <c r="S17" s="36">
        <f>'17'!AB25</f>
        <v>63.206339496102963</v>
      </c>
      <c r="T17" s="37">
        <f>'17'!Y25</f>
        <v>2452</v>
      </c>
      <c r="U17" s="33" t="str">
        <f>IF('17'!AA25=1,'17'!AR6,'17'!AR7)</f>
        <v>S.A.L</v>
      </c>
      <c r="V17" s="945">
        <f>ESCALA!$C$19</f>
        <v>0</v>
      </c>
      <c r="W17" s="945"/>
      <c r="X17" s="13">
        <v>0.5</v>
      </c>
      <c r="Y17" s="173">
        <v>2484</v>
      </c>
      <c r="Z17" s="182">
        <v>839</v>
      </c>
      <c r="AA17" s="15">
        <v>1</v>
      </c>
      <c r="AB17" s="58">
        <f>IF('17'!AA17=1,(('17'!Z17*'17'!$AS$6*'17'!$AT$6)/('17'!Y17*0.0036)),IF('17'!AA17=2,(('17'!Z17*'17'!$AS$7*'17'!$AT$7)/('17'!Y17*0.0036))))</f>
        <v>62.392087135444633</v>
      </c>
      <c r="AC17" s="58"/>
      <c r="AD17" s="18">
        <f>(('17'!AC17*'17'!$Q$10*1000000))/('17'!Y17*3600)</f>
        <v>0</v>
      </c>
      <c r="AE17" s="183"/>
      <c r="AF17" s="184">
        <f>('17'!AE17/24)*0.454</f>
        <v>0</v>
      </c>
      <c r="AG17" s="19"/>
      <c r="AH17" s="184">
        <f>('17'!AG17/24)*0.454</f>
        <v>0</v>
      </c>
      <c r="AI17" s="183">
        <v>3500</v>
      </c>
      <c r="AJ17" s="184">
        <f>('17'!AI17/24)*0.454</f>
        <v>66.208333333333343</v>
      </c>
      <c r="AK17" s="21">
        <v>1250</v>
      </c>
      <c r="AL17" s="185">
        <f>('17'!AK17/24)*0.454</f>
        <v>23.645833333333336</v>
      </c>
      <c r="AM17" s="21">
        <v>1250</v>
      </c>
      <c r="AN17" s="185">
        <f>('17'!AM17/24)*0.454</f>
        <v>23.645833333333336</v>
      </c>
      <c r="AO17" s="21"/>
      <c r="AP17" s="185">
        <f>('17'!AO17/24)*0.454</f>
        <v>0</v>
      </c>
    </row>
    <row r="18" spans="1:42" ht="15" customHeight="1">
      <c r="A18" s="28">
        <v>0.91666666666666696</v>
      </c>
      <c r="B18" s="186">
        <v>80</v>
      </c>
      <c r="C18" s="186">
        <v>12.5</v>
      </c>
      <c r="D18" s="186">
        <v>10</v>
      </c>
      <c r="E18" s="186">
        <v>2.5</v>
      </c>
      <c r="F18" s="186">
        <v>11</v>
      </c>
      <c r="G18" s="186">
        <v>1.3</v>
      </c>
      <c r="H18" s="186">
        <v>1.2</v>
      </c>
      <c r="I18" s="186">
        <v>0.3</v>
      </c>
      <c r="J18" s="186">
        <v>0.4</v>
      </c>
      <c r="K18" s="186">
        <v>7.3</v>
      </c>
      <c r="L18" s="186">
        <v>6.7</v>
      </c>
      <c r="M18" s="186">
        <v>6.7</v>
      </c>
      <c r="N18" s="186">
        <v>6.3</v>
      </c>
      <c r="O18" s="186">
        <v>2.8</v>
      </c>
      <c r="P18" s="186"/>
      <c r="Q18" s="188"/>
      <c r="R18" s="37">
        <f>'17'!Z27</f>
        <v>839</v>
      </c>
      <c r="S18" s="36">
        <f>'17'!AB27</f>
        <v>62.975190753532893</v>
      </c>
      <c r="T18" s="37">
        <f>'17'!Y27</f>
        <v>2461</v>
      </c>
      <c r="U18" s="33" t="str">
        <f>IF('17'!AA27=1,'17'!AR6,'17'!AR7)</f>
        <v>S.A.L</v>
      </c>
      <c r="V18" s="945"/>
      <c r="W18" s="945"/>
      <c r="X18" s="13">
        <v>0.54166666666666696</v>
      </c>
      <c r="Y18" s="173">
        <v>2464</v>
      </c>
      <c r="Z18" s="182">
        <v>839</v>
      </c>
      <c r="AA18" s="15">
        <v>1</v>
      </c>
      <c r="AB18" s="58">
        <f>IF('17'!AA18=1,(('17'!Z18*'17'!$AS$6*'17'!$AT$6)/('17'!Y18*0.0036)),IF('17'!AA18=2,(('17'!Z18*'17'!$AS$7*'17'!$AT$7)/('17'!Y18*0.0036))))</f>
        <v>62.898516414141419</v>
      </c>
      <c r="AC18" s="58"/>
      <c r="AD18" s="18">
        <f>(('17'!AC18*'17'!$Q$10*1000000))/('17'!Y18*3600)</f>
        <v>0</v>
      </c>
      <c r="AE18" s="183"/>
      <c r="AF18" s="184">
        <f>('17'!AE18/24)*0.454</f>
        <v>0</v>
      </c>
      <c r="AG18" s="19"/>
      <c r="AH18" s="184">
        <f>('17'!AG18/24)*0.454</f>
        <v>0</v>
      </c>
      <c r="AI18" s="183">
        <v>3500</v>
      </c>
      <c r="AJ18" s="184">
        <f>('17'!AI18/24)*0.454</f>
        <v>66.208333333333343</v>
      </c>
      <c r="AK18" s="21">
        <v>1250</v>
      </c>
      <c r="AL18" s="185">
        <f>('17'!AK18/24)*0.454</f>
        <v>23.645833333333336</v>
      </c>
      <c r="AM18" s="21">
        <v>1250</v>
      </c>
      <c r="AN18" s="185">
        <f>('17'!AM18/24)*0.454</f>
        <v>23.645833333333336</v>
      </c>
      <c r="AO18" s="21"/>
      <c r="AP18" s="185">
        <f>('17'!AO18/24)*0.454</f>
        <v>0</v>
      </c>
    </row>
    <row r="19" spans="1:42" ht="14.85" customHeight="1">
      <c r="A19" s="10" t="s">
        <v>52</v>
      </c>
      <c r="B19" s="189">
        <f>AVERAGE('17'!B7:B18)</f>
        <v>80</v>
      </c>
      <c r="C19" s="69">
        <f>AVERAGE('17'!C7:C18)</f>
        <v>12.5</v>
      </c>
      <c r="D19" s="69">
        <f>AVERAGE('17'!D7:D18)</f>
        <v>10.833333333333334</v>
      </c>
      <c r="E19" s="69">
        <f>AVERAGE('17'!E7:E18)</f>
        <v>2.5</v>
      </c>
      <c r="F19" s="69">
        <f>AVERAGE('17'!F7:F18)</f>
        <v>12.416666666666666</v>
      </c>
      <c r="G19" s="69">
        <f>AVERAGE('17'!G8:G18)</f>
        <v>1.5181818181818185</v>
      </c>
      <c r="H19" s="69">
        <f>AVERAGE('17'!H7:H18)</f>
        <v>1.3083333333333329</v>
      </c>
      <c r="I19" s="69">
        <f>AVERAGE('17'!I7:I18)</f>
        <v>0.39166666666666661</v>
      </c>
      <c r="J19" s="69">
        <f>AVERAGE('17'!J7:J18)</f>
        <v>0.43333333333333335</v>
      </c>
      <c r="K19" s="69">
        <f>AVERAGE('17'!K7:K18)</f>
        <v>7.299999999999998</v>
      </c>
      <c r="L19" s="69">
        <f>AVERAGE('17'!L7:L18)</f>
        <v>6.700000000000002</v>
      </c>
      <c r="M19" s="69">
        <f>AVERAGE('17'!M7:M18)</f>
        <v>6.700000000000002</v>
      </c>
      <c r="N19" s="69">
        <f>AVERAGE('17'!N7:N18)</f>
        <v>6.299999999999998</v>
      </c>
      <c r="O19" s="69">
        <f>AVERAGE('17'!O7:O18)</f>
        <v>2.8083333333333336</v>
      </c>
      <c r="P19" s="190" t="e">
        <f>AVERAGE('17'!P7:P18)</f>
        <v>#DIV/0!</v>
      </c>
      <c r="Q19" s="191" t="e">
        <f>AVERAGE('17'!Q7:Q18)</f>
        <v>#DIV/0!</v>
      </c>
      <c r="R19" s="191">
        <f>AVERAGE('17'!R7:R18)</f>
        <v>839</v>
      </c>
      <c r="S19" s="191">
        <f>AVERAGE('17'!S7:S18)</f>
        <v>62.978324684268813</v>
      </c>
      <c r="T19" s="946"/>
      <c r="U19" s="946"/>
      <c r="V19" s="49"/>
      <c r="W19" s="50"/>
      <c r="X19" s="13">
        <v>0.58333333333333304</v>
      </c>
      <c r="Y19" s="173">
        <v>2485</v>
      </c>
      <c r="Z19" s="182">
        <v>839</v>
      </c>
      <c r="AA19" s="15">
        <v>1</v>
      </c>
      <c r="AB19" s="58">
        <f>IF('17'!AA19=1,(('17'!Z19*'17'!$AS$6*'17'!$AT$6)/('17'!Y19*0.0036)),IF('17'!AA19=2,(('17'!Z19*'17'!$AS$7*'17'!$AT$7)/('17'!Y19*0.0036))))</f>
        <v>62.366979655712058</v>
      </c>
      <c r="AC19" s="58"/>
      <c r="AD19" s="18">
        <f>(('17'!AC19*'17'!$Q$10*1000000))/('17'!Y19*3600)</f>
        <v>0</v>
      </c>
      <c r="AE19" s="183"/>
      <c r="AF19" s="184">
        <f>('17'!AE19/24)*0.454</f>
        <v>0</v>
      </c>
      <c r="AG19" s="19"/>
      <c r="AH19" s="184">
        <f>('17'!AG19/24)*0.454</f>
        <v>0</v>
      </c>
      <c r="AI19" s="183">
        <v>3500</v>
      </c>
      <c r="AJ19" s="184">
        <f>('17'!AI19/24)*0.454</f>
        <v>66.208333333333343</v>
      </c>
      <c r="AK19" s="21">
        <v>1250</v>
      </c>
      <c r="AL19" s="185">
        <f>('17'!AK19/24)*0.454</f>
        <v>23.645833333333336</v>
      </c>
      <c r="AM19" s="21">
        <v>1250</v>
      </c>
      <c r="AN19" s="185">
        <f>('17'!AM19/24)*0.454</f>
        <v>23.645833333333336</v>
      </c>
      <c r="AO19" s="21"/>
      <c r="AP19" s="185">
        <f>('17'!AO19/24)*0.454</f>
        <v>0</v>
      </c>
    </row>
    <row r="20" spans="1:42" ht="14.85" customHeight="1">
      <c r="A20" s="10" t="s">
        <v>53</v>
      </c>
      <c r="B20" s="189">
        <f>MAX('17'!B7:B18)</f>
        <v>80</v>
      </c>
      <c r="C20" s="69">
        <f>MAX('17'!C7:C18)</f>
        <v>12.5</v>
      </c>
      <c r="D20" s="69">
        <f>MAX('17'!D7:D18)</f>
        <v>12.5</v>
      </c>
      <c r="E20" s="69">
        <f>MAX('17'!E7:E18)</f>
        <v>2.5</v>
      </c>
      <c r="F20" s="69">
        <f>MAX('17'!F7:F18)</f>
        <v>14</v>
      </c>
      <c r="G20" s="69">
        <f>MAX('17'!G8:G18)</f>
        <v>1.9</v>
      </c>
      <c r="H20" s="69">
        <f>MAX('17'!H7:H18)</f>
        <v>1.6</v>
      </c>
      <c r="I20" s="69">
        <f>MAX('17'!I7:I18)</f>
        <v>0.5</v>
      </c>
      <c r="J20" s="69">
        <f>MAX('17'!J7:J18)</f>
        <v>0.5</v>
      </c>
      <c r="K20" s="69">
        <f>MAX('17'!K7:K18)</f>
        <v>7.3</v>
      </c>
      <c r="L20" s="69">
        <f>MAX('17'!L7:L18)</f>
        <v>6.7</v>
      </c>
      <c r="M20" s="69">
        <f>MAX('17'!M7:M18)</f>
        <v>6.7</v>
      </c>
      <c r="N20" s="69">
        <f>MAX('17'!N7:N18)</f>
        <v>6.3</v>
      </c>
      <c r="O20" s="70">
        <f>MAX('17'!O7:O18)</f>
        <v>3.2</v>
      </c>
      <c r="P20" s="70">
        <f>MAX('17'!P7:P18)</f>
        <v>0</v>
      </c>
      <c r="Q20" s="70">
        <f>MAX('17'!Q7:Q18)</f>
        <v>0</v>
      </c>
      <c r="R20" s="70">
        <f>MAX('17'!R7:R18)</f>
        <v>839</v>
      </c>
      <c r="S20" s="70">
        <f>MAX('17'!S7:S18)</f>
        <v>63.831113856855211</v>
      </c>
      <c r="T20" s="946"/>
      <c r="U20" s="946"/>
      <c r="X20" s="13">
        <v>0.625</v>
      </c>
      <c r="Y20" s="173">
        <v>2438</v>
      </c>
      <c r="Z20" s="182">
        <v>839</v>
      </c>
      <c r="AA20" s="15">
        <v>1</v>
      </c>
      <c r="AB20" s="58">
        <f>IF('17'!AA20=1,(('17'!Z20*'17'!$AS$6*'17'!$AT$6)/('17'!Y20*0.0036)),IF('17'!AA20=2,(('17'!Z20*'17'!$AS$7*'17'!$AT$7)/('17'!Y20*0.0036))))</f>
        <v>63.569296326679435</v>
      </c>
      <c r="AC20" s="58"/>
      <c r="AD20" s="18">
        <f>(('17'!AC20*'17'!$Q$10*1000000))/('17'!Y20*3600)</f>
        <v>0</v>
      </c>
      <c r="AE20" s="183"/>
      <c r="AF20" s="184">
        <f>('17'!AE20/24)*0.454</f>
        <v>0</v>
      </c>
      <c r="AG20" s="19"/>
      <c r="AH20" s="184">
        <f>('17'!AG20/24)*0.454</f>
        <v>0</v>
      </c>
      <c r="AI20" s="183">
        <v>3500</v>
      </c>
      <c r="AJ20" s="184">
        <f>('17'!AI20/24)*0.454</f>
        <v>66.208333333333343</v>
      </c>
      <c r="AK20" s="21">
        <v>1250</v>
      </c>
      <c r="AL20" s="185">
        <f>('17'!AK20/24)*0.454</f>
        <v>23.645833333333336</v>
      </c>
      <c r="AM20" s="21">
        <v>1250</v>
      </c>
      <c r="AN20" s="185">
        <f>('17'!AM20/24)*0.454</f>
        <v>23.645833333333336</v>
      </c>
      <c r="AO20" s="21"/>
      <c r="AP20" s="185">
        <f>('17'!AO20/24)*0.454</f>
        <v>0</v>
      </c>
    </row>
    <row r="21" spans="1:42" ht="14.85" customHeight="1">
      <c r="A21" s="10" t="s">
        <v>54</v>
      </c>
      <c r="B21" s="189">
        <f>MIN('17'!B7:B18)</f>
        <v>80</v>
      </c>
      <c r="C21" s="69">
        <f>MIN('17'!C7:C18)</f>
        <v>12.5</v>
      </c>
      <c r="D21" s="69">
        <f>MIN('17'!D7:D18)</f>
        <v>10</v>
      </c>
      <c r="E21" s="69">
        <f>MIN('17'!E7:E18)</f>
        <v>2.5</v>
      </c>
      <c r="F21" s="69">
        <f>MIN('17'!F7:F18)</f>
        <v>11</v>
      </c>
      <c r="G21" s="192">
        <f>MIN('17'!G8:G18)</f>
        <v>1.3</v>
      </c>
      <c r="H21" s="192">
        <f>MIN('17'!H7:H18)</f>
        <v>1.1000000000000001</v>
      </c>
      <c r="I21" s="192">
        <f>MIN('17'!I7:I18)</f>
        <v>0.3</v>
      </c>
      <c r="J21" s="192">
        <f>MIN('17'!J7:J18)</f>
        <v>0.3</v>
      </c>
      <c r="K21" s="192">
        <f>MIN('17'!K7:K18)</f>
        <v>7.3</v>
      </c>
      <c r="L21" s="192">
        <f>MIN('17'!L7:L18)</f>
        <v>6.7</v>
      </c>
      <c r="M21" s="192">
        <f>MIN('17'!M7:M18)</f>
        <v>6.7</v>
      </c>
      <c r="N21" s="192">
        <f>MIN('17'!N7:N18)</f>
        <v>6.3</v>
      </c>
      <c r="O21" s="193">
        <f>MIN('17'!O7:O18)</f>
        <v>2.5</v>
      </c>
      <c r="P21" s="193">
        <f>MIN('17'!P7:P18)</f>
        <v>0</v>
      </c>
      <c r="Q21" s="193">
        <f>MIN('17'!Q7:Q18)</f>
        <v>0</v>
      </c>
      <c r="R21" s="193">
        <f>MIN('17'!R7:R18)</f>
        <v>839</v>
      </c>
      <c r="S21" s="193">
        <f>MIN('17'!S7:S18)</f>
        <v>61.745794599380268</v>
      </c>
      <c r="T21" s="946"/>
      <c r="U21" s="946"/>
      <c r="X21" s="13">
        <v>0.66666666666666696</v>
      </c>
      <c r="Y21" s="173">
        <v>2428</v>
      </c>
      <c r="Z21" s="182">
        <v>839</v>
      </c>
      <c r="AA21" s="15">
        <v>1</v>
      </c>
      <c r="AB21" s="58">
        <f>IF('17'!AA21=1,(('17'!Z21*'17'!$AS$6*'17'!$AT$6)/('17'!Y21*0.0036)),IF('17'!AA21=2,(('17'!Z21*'17'!$AS$7*'17'!$AT$7)/('17'!Y21*0.0036))))</f>
        <v>63.831113856855211</v>
      </c>
      <c r="AC21" s="58"/>
      <c r="AD21" s="18">
        <f>(('17'!AC21*'17'!$Q$10*1000000))/('17'!Y21*3600)</f>
        <v>0</v>
      </c>
      <c r="AE21" s="183"/>
      <c r="AF21" s="184">
        <f>('17'!AE21/24)*0.454</f>
        <v>0</v>
      </c>
      <c r="AG21" s="19"/>
      <c r="AH21" s="184">
        <f>('17'!AG21/24)*0.454</f>
        <v>0</v>
      </c>
      <c r="AI21" s="183">
        <v>3500</v>
      </c>
      <c r="AJ21" s="184">
        <f>('17'!AI21/24)*0.454</f>
        <v>66.208333333333343</v>
      </c>
      <c r="AK21" s="21">
        <v>1250</v>
      </c>
      <c r="AL21" s="185">
        <f>('17'!AK21/24)*0.454</f>
        <v>23.645833333333336</v>
      </c>
      <c r="AM21" s="21">
        <v>1250</v>
      </c>
      <c r="AN21" s="185">
        <f>('17'!AM21/24)*0.454</f>
        <v>23.645833333333336</v>
      </c>
      <c r="AO21" s="21"/>
      <c r="AP21" s="185">
        <f>('17'!AO21/24)*0.454</f>
        <v>0</v>
      </c>
    </row>
    <row r="22" spans="1:42" ht="13.9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173">
        <v>2429</v>
      </c>
      <c r="Z22" s="182">
        <v>839</v>
      </c>
      <c r="AA22" s="15">
        <v>1</v>
      </c>
      <c r="AB22" s="58">
        <f>IF('17'!AA22=1,(('17'!Z22*'17'!$AS$6*'17'!$AT$6)/('17'!Y22*0.0036)),IF('17'!AA22=2,(('17'!Z22*'17'!$AS$7*'17'!$AT$7)/('17'!Y22*0.0036))))</f>
        <v>63.804835094460458</v>
      </c>
      <c r="AC22" s="58"/>
      <c r="AD22" s="18">
        <f>(('17'!AC22*'17'!$Q$10*1000000))/('17'!Y22*3600)</f>
        <v>0</v>
      </c>
      <c r="AE22" s="183"/>
      <c r="AF22" s="184">
        <f>('17'!AE22/24)*0.454</f>
        <v>0</v>
      </c>
      <c r="AG22" s="19"/>
      <c r="AH22" s="184">
        <f>('17'!AG22/24)*0.454</f>
        <v>0</v>
      </c>
      <c r="AI22" s="183">
        <v>3500</v>
      </c>
      <c r="AJ22" s="184">
        <f>('17'!AI22/24)*0.454</f>
        <v>66.208333333333343</v>
      </c>
      <c r="AK22" s="21">
        <v>1250</v>
      </c>
      <c r="AL22" s="185">
        <f>('17'!AK22/24)*0.454</f>
        <v>23.645833333333336</v>
      </c>
      <c r="AM22" s="21">
        <v>1250</v>
      </c>
      <c r="AN22" s="185">
        <f>('17'!AM22/24)*0.454</f>
        <v>23.645833333333336</v>
      </c>
      <c r="AO22" s="21"/>
      <c r="AP22" s="185">
        <f>('17'!AO22/24)*0.454</f>
        <v>0</v>
      </c>
    </row>
    <row r="23" spans="1:42" ht="13.9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173">
        <v>2459</v>
      </c>
      <c r="Z23" s="182">
        <v>839</v>
      </c>
      <c r="AA23" s="15">
        <v>1</v>
      </c>
      <c r="AB23" s="58">
        <f>IF('17'!AA23=1,(('17'!Z23*'17'!$AS$6*'17'!$AT$6)/('17'!Y23*0.0036)),IF('17'!AA23=2,(('17'!Z23*'17'!$AS$7*'17'!$AT$7)/('17'!Y23*0.0036))))</f>
        <v>63.026410916813532</v>
      </c>
      <c r="AC23" s="58"/>
      <c r="AD23" s="18">
        <f>(('17'!AC23*'17'!$Q$10*1000000))/('17'!Y23*3600)</f>
        <v>0</v>
      </c>
      <c r="AE23" s="183"/>
      <c r="AF23" s="184">
        <f>('17'!AE23/24)*0.454</f>
        <v>0</v>
      </c>
      <c r="AG23" s="19"/>
      <c r="AH23" s="184">
        <f>('17'!AG23/24)*0.454</f>
        <v>0</v>
      </c>
      <c r="AI23" s="183">
        <v>3500</v>
      </c>
      <c r="AJ23" s="184">
        <f>('17'!AI23/24)*0.454</f>
        <v>66.208333333333343</v>
      </c>
      <c r="AK23" s="21">
        <v>1250</v>
      </c>
      <c r="AL23" s="185">
        <f>('17'!AK23/24)*0.454</f>
        <v>23.645833333333336</v>
      </c>
      <c r="AM23" s="21">
        <v>1250</v>
      </c>
      <c r="AN23" s="185">
        <f>('17'!AM23/24)*0.454</f>
        <v>23.645833333333336</v>
      </c>
      <c r="AO23" s="21"/>
      <c r="AP23" s="185">
        <f>('17'!AO23/24)*0.454</f>
        <v>0</v>
      </c>
    </row>
    <row r="24" spans="1:42" ht="13.9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173">
        <v>2471</v>
      </c>
      <c r="Z24" s="182">
        <v>839</v>
      </c>
      <c r="AA24" s="15">
        <v>1</v>
      </c>
      <c r="AB24" s="16">
        <f>IF('17'!AA24=1,(('17'!Z24*'17'!$AS$6*'17'!$AT$6)/('17'!Y24*0.0036)),IF('17'!AA24=2,(('17'!Z24*'17'!$AS$7*'17'!$AT$7)/('17'!Y24*0.0036))))</f>
        <v>62.720333648095696</v>
      </c>
      <c r="AC24" s="16"/>
      <c r="AD24" s="194">
        <f>(('17'!AC24*'17'!$Q$10*1000000))/('17'!Y24*3600)</f>
        <v>0</v>
      </c>
      <c r="AE24" s="183"/>
      <c r="AF24" s="195">
        <f>('17'!AE24/24)*0.454</f>
        <v>0</v>
      </c>
      <c r="AG24" s="173"/>
      <c r="AH24" s="195">
        <f>('17'!AG24/24)*0.454</f>
        <v>0</v>
      </c>
      <c r="AI24" s="183">
        <v>4400</v>
      </c>
      <c r="AJ24" s="195">
        <f>('17'!AI24/24)*0.454</f>
        <v>83.233333333333334</v>
      </c>
      <c r="AK24" s="21"/>
      <c r="AL24" s="196">
        <f>('17'!AK24/24)*0.454</f>
        <v>0</v>
      </c>
      <c r="AM24" s="197"/>
      <c r="AN24" s="196">
        <f>('17'!AM24/24)*0.454</f>
        <v>0</v>
      </c>
      <c r="AO24" s="21"/>
      <c r="AP24" s="196">
        <f>('17'!AO24/24)*0.454</f>
        <v>0</v>
      </c>
    </row>
    <row r="25" spans="1:42" ht="19.5" customHeight="1">
      <c r="A25" s="64">
        <v>0.41666666666666702</v>
      </c>
      <c r="B25" s="261"/>
      <c r="C25" s="261"/>
      <c r="D25" s="261"/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91"/>
      <c r="P25" s="291"/>
      <c r="Q25" s="291"/>
      <c r="R25" s="65" t="e">
        <f>#DIV/0!</f>
        <v>#DIV/0!</v>
      </c>
      <c r="S25" s="66"/>
      <c r="T25" s="1042" t="s">
        <v>0</v>
      </c>
      <c r="U25" s="1049">
        <f>ESCALA!$A$19</f>
        <v>43907</v>
      </c>
      <c r="X25" s="13">
        <v>0.83333333333333304</v>
      </c>
      <c r="Y25" s="173">
        <v>2452</v>
      </c>
      <c r="Z25" s="182">
        <v>839</v>
      </c>
      <c r="AA25" s="15">
        <v>1</v>
      </c>
      <c r="AB25" s="58">
        <f>IF('17'!AA25=1,(('17'!Z25*'17'!$AS$6*'17'!$AT$6)/('17'!Y25*0.0036)),IF('17'!AA25=2,(('17'!Z25*'17'!$AS$7*'17'!$AT$7)/('17'!Y25*0.0036))))</f>
        <v>63.206339496102963</v>
      </c>
      <c r="AC25" s="58"/>
      <c r="AD25" s="18">
        <f>(('17'!AC25*'17'!$Q$10*1000000))/('17'!Y25*3600)</f>
        <v>0</v>
      </c>
      <c r="AE25" s="183"/>
      <c r="AF25" s="184">
        <f>('17'!AE25/24)*0.454</f>
        <v>0</v>
      </c>
      <c r="AG25" s="19"/>
      <c r="AH25" s="184">
        <f>('17'!AG25/24)*0.454</f>
        <v>0</v>
      </c>
      <c r="AI25" s="183">
        <v>4400</v>
      </c>
      <c r="AJ25" s="184">
        <f>('17'!AI25/24)*0.454</f>
        <v>83.233333333333334</v>
      </c>
      <c r="AK25" s="21"/>
      <c r="AL25" s="185">
        <f>('17'!AK25/24)*0.454</f>
        <v>0</v>
      </c>
      <c r="AM25" s="21"/>
      <c r="AN25" s="185">
        <f>('17'!AM25/24)*0.454</f>
        <v>0</v>
      </c>
      <c r="AO25" s="21"/>
      <c r="AP25" s="185">
        <f>('17'!AO25/24)*0.454</f>
        <v>0</v>
      </c>
    </row>
    <row r="26" spans="1:42" ht="19.5" customHeight="1">
      <c r="A26" s="64">
        <v>0.66666666666666696</v>
      </c>
      <c r="B26" s="261"/>
      <c r="C26" s="261">
        <v>0.51</v>
      </c>
      <c r="D26" s="261">
        <v>0.47</v>
      </c>
      <c r="E26" s="262">
        <v>0.44</v>
      </c>
      <c r="F26" s="262">
        <v>0.48</v>
      </c>
      <c r="G26" s="262">
        <v>0.42</v>
      </c>
      <c r="H26" s="262">
        <v>0.51</v>
      </c>
      <c r="I26" s="262">
        <v>0.43</v>
      </c>
      <c r="J26" s="262">
        <v>0.41</v>
      </c>
      <c r="K26" s="262">
        <v>0.4</v>
      </c>
      <c r="L26" s="262">
        <v>0.39</v>
      </c>
      <c r="M26" s="262">
        <v>0.37</v>
      </c>
      <c r="N26" s="262">
        <v>0.44</v>
      </c>
      <c r="O26" s="262">
        <v>0.42</v>
      </c>
      <c r="P26" s="262">
        <v>0.46</v>
      </c>
      <c r="Q26" s="262"/>
      <c r="R26" s="65" t="e">
        <f>#DIV/0!</f>
        <v>#DIV/0!</v>
      </c>
      <c r="S26" s="67"/>
      <c r="T26" s="1042"/>
      <c r="U26" s="1049"/>
      <c r="X26" s="13">
        <v>0.875</v>
      </c>
      <c r="Y26" s="173">
        <v>2472</v>
      </c>
      <c r="Z26" s="182">
        <v>839</v>
      </c>
      <c r="AA26" s="15">
        <v>1</v>
      </c>
      <c r="AB26" s="58">
        <f>IF('17'!AA26=1,(('17'!Z26*'17'!$AS$6*'17'!$AT$6)/('17'!Y26*0.0036)),IF('17'!AA26=2,(('17'!Z26*'17'!$AS$7*'17'!$AT$7)/('17'!Y26*0.0036))))</f>
        <v>62.694961344839989</v>
      </c>
      <c r="AC26" s="58"/>
      <c r="AD26" s="18">
        <f>(('17'!AC26*'17'!$Q$10*1000000))/('17'!Y26*3600)</f>
        <v>0</v>
      </c>
      <c r="AE26" s="183"/>
      <c r="AF26" s="184">
        <f>('17'!AE26/24)*0.454</f>
        <v>0</v>
      </c>
      <c r="AG26" s="19"/>
      <c r="AH26" s="184">
        <f>('17'!AG26/24)*0.454</f>
        <v>0</v>
      </c>
      <c r="AI26" s="183">
        <v>4400</v>
      </c>
      <c r="AJ26" s="184">
        <f>('17'!AI26/24)*0.454</f>
        <v>83.233333333333334</v>
      </c>
      <c r="AK26" s="21"/>
      <c r="AL26" s="185">
        <f>('17'!AK26/24)*0.454</f>
        <v>0</v>
      </c>
      <c r="AM26" s="21"/>
      <c r="AN26" s="185">
        <f>('17'!AM26/24)*0.454</f>
        <v>0</v>
      </c>
      <c r="AO26" s="21"/>
      <c r="AP26" s="185">
        <f>('17'!AO26/24)*0.454</f>
        <v>0</v>
      </c>
    </row>
    <row r="27" spans="1:42" ht="13.9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173">
        <v>2461</v>
      </c>
      <c r="Z27" s="182">
        <v>839</v>
      </c>
      <c r="AA27" s="15">
        <v>1</v>
      </c>
      <c r="AB27" s="58">
        <f>IF('17'!AA27=1,(('17'!Z27*'17'!$AS$6*'17'!$AT$6)/('17'!Y27*0.0036)),IF('17'!AA27=2,(('17'!Z27*'17'!$AS$7*'17'!$AT$7)/('17'!Y27*0.0036))))</f>
        <v>62.975190753532893</v>
      </c>
      <c r="AC27" s="58"/>
      <c r="AD27" s="18">
        <f>(('17'!AC27*'17'!$Q$10*1000000))/('17'!Y27*3600)</f>
        <v>0</v>
      </c>
      <c r="AE27" s="183"/>
      <c r="AF27" s="184">
        <f>('17'!AE27/24)*0.454</f>
        <v>0</v>
      </c>
      <c r="AG27" s="19"/>
      <c r="AH27" s="184">
        <f>('17'!AG27/24)*0.454</f>
        <v>0</v>
      </c>
      <c r="AI27" s="183">
        <v>4400</v>
      </c>
      <c r="AJ27" s="184">
        <f>('17'!AI27/24)*0.454</f>
        <v>83.233333333333334</v>
      </c>
      <c r="AK27" s="21"/>
      <c r="AL27" s="185">
        <f>('17'!AK27/24)*0.454</f>
        <v>0</v>
      </c>
      <c r="AM27" s="21"/>
      <c r="AN27" s="185">
        <f>('17'!AM27/24)*0.454</f>
        <v>0</v>
      </c>
      <c r="AO27" s="21"/>
      <c r="AP27" s="185">
        <f>('17'!AO27/24)*0.454</f>
        <v>0</v>
      </c>
    </row>
    <row r="28" spans="1:42" ht="17.45" customHeight="1">
      <c r="A28" s="1089" t="s">
        <v>59</v>
      </c>
      <c r="B28" s="1089"/>
      <c r="C28" s="1089"/>
      <c r="D28" s="1089"/>
      <c r="E28" s="1089"/>
      <c r="F28" s="1089"/>
      <c r="G28" s="1089"/>
      <c r="H28" s="1089"/>
      <c r="I28" s="1089"/>
      <c r="J28" s="1089"/>
      <c r="K28" s="1089"/>
      <c r="L28" s="1089"/>
      <c r="M28" s="1089"/>
      <c r="N28" s="1089"/>
      <c r="O28" s="1089"/>
      <c r="P28" s="1089"/>
      <c r="Q28" s="1089"/>
      <c r="R28" s="1089"/>
      <c r="S28" s="1089"/>
      <c r="T28" s="1089"/>
      <c r="U28" s="1089"/>
      <c r="X28" s="13">
        <v>0.95833333333333304</v>
      </c>
      <c r="Y28" s="173">
        <v>2464</v>
      </c>
      <c r="Z28" s="182">
        <v>839</v>
      </c>
      <c r="AA28" s="15">
        <v>1</v>
      </c>
      <c r="AB28" s="58">
        <f>IF('17'!AA28=1,(('17'!Z28*'17'!$AS$6*'17'!$AT$6)/('17'!Y28*0.0036)),IF('17'!AA28=2,(('17'!Z28*'17'!$AS$7*'17'!$AT$7)/('17'!Y28*0.0036))))</f>
        <v>62.898516414141419</v>
      </c>
      <c r="AC28" s="58"/>
      <c r="AD28" s="18">
        <f>(('17'!AC28*'17'!$Q$10*1000000))/('17'!Y28*3600)</f>
        <v>0</v>
      </c>
      <c r="AE28" s="183"/>
      <c r="AF28" s="184">
        <f>('17'!AE28/24)*0.454</f>
        <v>0</v>
      </c>
      <c r="AG28" s="19"/>
      <c r="AH28" s="184">
        <f>('17'!AG28/24)*0.454</f>
        <v>0</v>
      </c>
      <c r="AI28" s="183">
        <v>4400</v>
      </c>
      <c r="AJ28" s="184">
        <f>('17'!AI28/24)*0.454</f>
        <v>83.233333333333334</v>
      </c>
      <c r="AK28" s="21"/>
      <c r="AL28" s="185">
        <f>('17'!AK28/24)*0.454</f>
        <v>0</v>
      </c>
      <c r="AM28" s="21"/>
      <c r="AN28" s="185">
        <f>('17'!AM28/24)*0.454</f>
        <v>0</v>
      </c>
      <c r="AO28" s="21"/>
      <c r="AP28" s="185">
        <f>('17'!AO28/24)*0.454</f>
        <v>0</v>
      </c>
    </row>
    <row r="29" spans="1:42" ht="13.9" customHeight="1">
      <c r="A29" s="1090" t="s">
        <v>144</v>
      </c>
      <c r="B29" s="1090"/>
      <c r="C29" s="1090"/>
      <c r="D29" s="1090"/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0"/>
      <c r="P29" s="1090"/>
      <c r="Q29" s="1090"/>
      <c r="R29" s="1090"/>
      <c r="S29" s="1090"/>
      <c r="T29" s="1090"/>
      <c r="U29" s="1090"/>
      <c r="X29" s="13">
        <v>1</v>
      </c>
      <c r="Y29" s="173">
        <v>2453</v>
      </c>
      <c r="Z29" s="182">
        <v>839</v>
      </c>
      <c r="AA29" s="15">
        <v>1</v>
      </c>
      <c r="AB29" s="58">
        <f>IF('17'!AA29=1,(('17'!Z29*'17'!$AS$6*'17'!$AT$6)/('17'!Y29*0.0036)),IF('17'!AA29=2,(('17'!Z29*'17'!$AS$7*'17'!$AT$7)/('17'!Y29*0.0036))))</f>
        <v>63.180572541559094</v>
      </c>
      <c r="AC29" s="58"/>
      <c r="AD29" s="18">
        <f>(('17'!AC29*'17'!$Q$10*1000000))/('17'!Y29*3600)</f>
        <v>0</v>
      </c>
      <c r="AE29" s="183"/>
      <c r="AF29" s="184">
        <f>('17'!AE29/24)*0.454</f>
        <v>0</v>
      </c>
      <c r="AG29" s="19"/>
      <c r="AH29" s="184">
        <f>('17'!AG29/24)*0.454</f>
        <v>0</v>
      </c>
      <c r="AI29" s="183">
        <v>4400</v>
      </c>
      <c r="AJ29" s="184">
        <f>('17'!AI29/24)*0.454</f>
        <v>83.233333333333334</v>
      </c>
      <c r="AK29" s="21"/>
      <c r="AL29" s="185">
        <f>('17'!AK29/24)*0.454</f>
        <v>0</v>
      </c>
      <c r="AM29" s="21"/>
      <c r="AN29" s="185">
        <f>('17'!AM29/24)*0.454</f>
        <v>0</v>
      </c>
      <c r="AO29" s="21"/>
      <c r="AP29" s="185">
        <f>('17'!AO29/24)*0.454</f>
        <v>0</v>
      </c>
    </row>
    <row r="30" spans="1:42" ht="13.9" customHeight="1">
      <c r="A30" s="1090"/>
      <c r="B30" s="1090"/>
      <c r="C30" s="1090"/>
      <c r="D30" s="1090"/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0"/>
      <c r="P30" s="1090"/>
      <c r="Q30" s="1090"/>
      <c r="R30" s="1090"/>
      <c r="S30" s="1090"/>
      <c r="T30" s="1090"/>
      <c r="U30" s="1090"/>
      <c r="X30" s="75" t="s">
        <v>55</v>
      </c>
      <c r="Y30" s="201">
        <f>SUM('17'!Y6:Y29)*3.6</f>
        <v>212428.80000000002</v>
      </c>
      <c r="Z30" s="82">
        <f>SUM('17'!Z6:Z29)</f>
        <v>20136</v>
      </c>
      <c r="AA30" s="78"/>
      <c r="AB30" s="79"/>
      <c r="AC30" s="78"/>
      <c r="AD30" s="79"/>
      <c r="AE30" s="34"/>
      <c r="AF30" s="184">
        <f>SUM('17'!AF6:AF29)</f>
        <v>0</v>
      </c>
      <c r="AG30" s="34"/>
      <c r="AH30" s="184">
        <f>SUM('17'!AH6:AH29)</f>
        <v>0</v>
      </c>
      <c r="AI30" s="183"/>
      <c r="AJ30" s="184">
        <f>SUM('17'!AJ6:AJ29)</f>
        <v>1827.35</v>
      </c>
      <c r="AK30" s="80"/>
      <c r="AL30" s="185">
        <f>SUM('17'!AL6:AL29)</f>
        <v>236.4583333333334</v>
      </c>
      <c r="AM30" s="80"/>
      <c r="AN30" s="185">
        <f>SUM('17'!AN6:AN29)</f>
        <v>236.4583333333334</v>
      </c>
      <c r="AO30" s="80"/>
      <c r="AP30" s="185">
        <f>SUM('17'!AP6:AP29)</f>
        <v>0</v>
      </c>
    </row>
    <row r="31" spans="1:42" ht="15" customHeight="1">
      <c r="A31" s="1090"/>
      <c r="B31" s="1090"/>
      <c r="C31" s="1090"/>
      <c r="D31" s="1090"/>
      <c r="E31" s="1090"/>
      <c r="F31" s="1090"/>
      <c r="G31" s="1090"/>
      <c r="H31" s="1090"/>
      <c r="I31" s="1090"/>
      <c r="J31" s="1090"/>
      <c r="K31" s="1090"/>
      <c r="L31" s="1090"/>
      <c r="M31" s="1090"/>
      <c r="N31" s="1090"/>
      <c r="O31" s="1090"/>
      <c r="P31" s="1090"/>
      <c r="Q31" s="1090"/>
      <c r="R31" s="1090"/>
      <c r="S31" s="1090"/>
      <c r="T31" s="1090"/>
      <c r="U31" s="1090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90"/>
      <c r="B32" s="1090"/>
      <c r="C32" s="1090"/>
      <c r="D32" s="1090"/>
      <c r="E32" s="1090"/>
      <c r="F32" s="1090"/>
      <c r="G32" s="1090"/>
      <c r="H32" s="1090"/>
      <c r="I32" s="1090"/>
      <c r="J32" s="1090"/>
      <c r="K32" s="1090"/>
      <c r="L32" s="1090"/>
      <c r="M32" s="1090"/>
      <c r="N32" s="1090"/>
      <c r="O32" s="1090"/>
      <c r="P32" s="1090"/>
      <c r="Q32" s="1090"/>
      <c r="R32" s="1090"/>
      <c r="S32" s="1090"/>
      <c r="T32" s="1090"/>
      <c r="U32" s="1090"/>
      <c r="X32" s="955" t="s">
        <v>60</v>
      </c>
      <c r="Y32" s="955"/>
      <c r="Z32" s="82">
        <f>SUMIF('17'!AA6:AA29,"=1",'17'!Z6:Z29)</f>
        <v>20136</v>
      </c>
      <c r="AA32" s="82">
        <f>'17'!Z32*'17'!AS6</f>
        <v>26780.880000000001</v>
      </c>
      <c r="AB32" s="83">
        <f>SUMIF('17'!$AA$6:$AA$29,"=1",'17'!$AB$6:$AB$29)/COUNTIF('17'!$AA$6:$AA$29,"=1")</f>
        <v>63.03937428595836</v>
      </c>
      <c r="AC32" s="84">
        <f>SUMIF('17'!AA6:AA29,"=1",'17'!AC6:AC29)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90"/>
      <c r="B33" s="1090"/>
      <c r="C33" s="1090"/>
      <c r="D33" s="1090"/>
      <c r="E33" s="1090"/>
      <c r="F33" s="1090"/>
      <c r="G33" s="1090"/>
      <c r="H33" s="1090"/>
      <c r="I33" s="1090"/>
      <c r="J33" s="1090"/>
      <c r="K33" s="1090"/>
      <c r="L33" s="1090"/>
      <c r="M33" s="1090"/>
      <c r="N33" s="1090"/>
      <c r="O33" s="1090"/>
      <c r="P33" s="1090"/>
      <c r="Q33" s="1090"/>
      <c r="R33" s="1090"/>
      <c r="S33" s="1090"/>
      <c r="T33" s="1090"/>
      <c r="U33" s="1090"/>
      <c r="X33" s="955" t="s">
        <v>61</v>
      </c>
      <c r="Y33" s="955"/>
      <c r="Z33" s="82">
        <f>SUMIF('17'!AA6:AA29,"=2",'17'!Z6:Z29)</f>
        <v>0</v>
      </c>
      <c r="AA33" s="82">
        <f>'17'!Z33*'17'!AS7</f>
        <v>0</v>
      </c>
      <c r="AB33" s="83" t="e">
        <f>SUMIF('17'!$AA$6:$AA$29,"=2",'17'!$AB$6:$AB$29)/COUNTIF('17'!$AA$6:$AA$29,"=2")</f>
        <v>#DIV/0!</v>
      </c>
      <c r="AC33" s="89">
        <f>SUMIF('17'!AA6:AA29,"=2",'17'!AC6:AC29)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1090"/>
      <c r="B34" s="1090"/>
      <c r="C34" s="1090"/>
      <c r="D34" s="1090"/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0"/>
      <c r="P34" s="1090"/>
      <c r="Q34" s="1090"/>
      <c r="R34" s="1090"/>
      <c r="S34" s="1090"/>
      <c r="T34" s="1090"/>
      <c r="U34" s="1090"/>
      <c r="X34" s="94" t="s">
        <v>52</v>
      </c>
      <c r="Y34" s="95">
        <f>AVERAGE('17'!Y6:Y29)</f>
        <v>2458.6666666666665</v>
      </c>
      <c r="Z34" s="96">
        <f>AVERAGE('17'!Z6:Z29)</f>
        <v>839</v>
      </c>
      <c r="AA34" s="97"/>
      <c r="AB34" s="97"/>
      <c r="AC34" s="98">
        <f>SUM('17'!AC6:AC29)/COUNTIF('17'!AC6:AC29,"&lt;&gt;0")</f>
        <v>0</v>
      </c>
      <c r="AD34" s="99" t="e">
        <f>SUM('17'!AD6:AD29)/COUNTIF('17'!AD6:AD29,"&lt;&gt;0")</f>
        <v>#DIV/0!</v>
      </c>
      <c r="AE34" s="78"/>
      <c r="AF34" s="98">
        <f>AVERAGE('17'!AF6:AF29)</f>
        <v>0</v>
      </c>
      <c r="AG34" s="98"/>
      <c r="AH34" s="98">
        <f>AVERAGE('17'!AH6:AH29)</f>
        <v>0</v>
      </c>
      <c r="AI34" s="98"/>
      <c r="AJ34" s="98">
        <f>'17'!AJ30/24</f>
        <v>76.139583333333334</v>
      </c>
      <c r="AK34" s="98"/>
      <c r="AL34" s="98">
        <f>AVERAGE('17'!AL6:AL29)</f>
        <v>9.8524305555555589</v>
      </c>
      <c r="AM34" s="98"/>
      <c r="AN34" s="98">
        <f>AVERAGE('17'!AN6:AN29)</f>
        <v>9.8524305555555589</v>
      </c>
      <c r="AO34" s="98"/>
      <c r="AP34" s="98">
        <f>AVERAGE('17'!AP6:AP29)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957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957"/>
      <c r="X36" s="105" t="s">
        <v>73</v>
      </c>
      <c r="Y36" s="106"/>
      <c r="Z36" s="107"/>
      <c r="AA36" s="108" t="s">
        <v>74</v>
      </c>
      <c r="AB36" s="106"/>
      <c r="AE36" s="292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84.7</v>
      </c>
      <c r="D37" s="186">
        <v>58.5</v>
      </c>
      <c r="E37" s="186">
        <v>53.5</v>
      </c>
      <c r="F37" s="186">
        <v>0.8</v>
      </c>
      <c r="G37" s="186">
        <v>0.1</v>
      </c>
      <c r="H37" s="186">
        <v>0.1</v>
      </c>
      <c r="I37" s="183">
        <v>0.1</v>
      </c>
      <c r="J37" s="233">
        <v>0.06</v>
      </c>
      <c r="K37" s="233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36">
        <f>'17'!V12</f>
        <v>0</v>
      </c>
      <c r="X37" s="962" t="s">
        <v>75</v>
      </c>
      <c r="Y37" s="962"/>
      <c r="Z37" s="110">
        <f>COUNTA('17'!Z6:Z29)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SUM('17'!AF30+'17'!AH30)</f>
        <v>0</v>
      </c>
      <c r="AL38" s="210" t="s">
        <v>78</v>
      </c>
      <c r="AM38" s="212">
        <f>SUM('17'!AL30+'17'!AN30)</f>
        <v>472.9166666666668</v>
      </c>
      <c r="AO38" s="210" t="s">
        <v>78</v>
      </c>
      <c r="AP38" s="211">
        <f>'17'!AJ30</f>
        <v>1827.35</v>
      </c>
      <c r="AQ38" s="210" t="s">
        <v>78</v>
      </c>
      <c r="AR38" s="212">
        <f>'17'!AP30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293"/>
      <c r="V39" s="122"/>
      <c r="X39" s="112"/>
      <c r="Y39" s="112"/>
      <c r="Z39" s="113"/>
      <c r="AA39" s="111"/>
      <c r="AB39" s="111"/>
      <c r="AJ39" s="213" t="s">
        <v>86</v>
      </c>
      <c r="AK39" s="214">
        <f>('17'!AK38/'17'!Y30)*1000</f>
        <v>0</v>
      </c>
      <c r="AL39" s="215" t="s">
        <v>86</v>
      </c>
      <c r="AM39" s="216">
        <f>('17'!AM38/'17'!Y30)*1000</f>
        <v>2.2262361161324016</v>
      </c>
      <c r="AO39" s="213" t="s">
        <v>86</v>
      </c>
      <c r="AP39" s="214">
        <f>('17'!AP38/'17'!Y30)*1000</f>
        <v>8.6021763527355972</v>
      </c>
      <c r="AQ39" s="215" t="s">
        <v>86</v>
      </c>
      <c r="AR39" s="216">
        <f>('17'!AR38/'17'!Y30)*1000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294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SUM('17'!AK38,'17'!AM38)</f>
        <v>472.9166666666668</v>
      </c>
      <c r="AM40" s="975"/>
      <c r="AO40" s="976" t="s">
        <v>90</v>
      </c>
      <c r="AP40" s="976"/>
      <c r="AQ40" s="977">
        <f>SUM('17'!AP38,'17'!AR38)</f>
        <v>1827.35</v>
      </c>
      <c r="AR40" s="977"/>
    </row>
    <row r="41" spans="1:44" ht="16.5" customHeight="1">
      <c r="A41" s="133">
        <f>COUNTA('17'!E7:E18)</f>
        <v>12</v>
      </c>
      <c r="B41" s="134">
        <f>COUNTA('17'!I7:I18)</f>
        <v>12</v>
      </c>
      <c r="C41" s="978">
        <f>COUNTA('17'!J7:J18)</f>
        <v>12</v>
      </c>
      <c r="D41" s="978">
        <f>COUNTA('17'!K7:K18)</f>
        <v>12</v>
      </c>
      <c r="E41" s="978">
        <f>COUNTIF('17'!E7:E18,"&gt;15")</f>
        <v>0</v>
      </c>
      <c r="F41" s="978"/>
      <c r="G41" s="978">
        <f>COUNTIF('17'!J7:J18,"&gt;1")</f>
        <v>0</v>
      </c>
      <c r="H41" s="978"/>
      <c r="I41" s="135"/>
      <c r="J41" s="978">
        <f>'17'!A41-'17'!E41</f>
        <v>12</v>
      </c>
      <c r="K41" s="978"/>
      <c r="L41" s="978">
        <f>'17'!C41-'17'!G41</f>
        <v>12</v>
      </c>
      <c r="M41" s="978"/>
      <c r="N41" s="135"/>
      <c r="O41" s="979">
        <f>COUNTIF('17'!J7:J18,"&lt;=0,5")</f>
        <v>12</v>
      </c>
      <c r="P41" s="979"/>
      <c r="Q41" s="979"/>
      <c r="R41" s="969"/>
      <c r="S41" s="980">
        <f>COUNTIF('17'!J7:J18,"&lt;=1,0")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SUM(('17'!AK38+'17'!AM38)/'17'!Y30)*1000</f>
        <v>2.2262361161324016</v>
      </c>
      <c r="AM41" s="981"/>
      <c r="AO41" s="976" t="s">
        <v>91</v>
      </c>
      <c r="AP41" s="976"/>
      <c r="AQ41" s="981">
        <f>SUM(('17'!AP38+'17'!AR38)/'17'!Y30)*1000</f>
        <v>8.6021763527355972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/>
      <c r="Z44" s="144" t="s">
        <v>101</v>
      </c>
      <c r="AA44" s="145"/>
      <c r="AB44" s="144" t="s">
        <v>101</v>
      </c>
      <c r="AC44" s="145"/>
      <c r="AD44" s="988"/>
      <c r="AE44" s="988"/>
      <c r="AF44" s="989" t="s">
        <v>102</v>
      </c>
      <c r="AG44" s="1002">
        <f>SUM('17'!Y45,'17'!AA45,'17'!AC45,'17'!AE45)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COUNTIF('17'!I7:I18,"&lt;=5,0")</f>
        <v>12</v>
      </c>
      <c r="I45" s="992"/>
      <c r="J45" s="992"/>
      <c r="K45" s="135"/>
      <c r="L45" s="974">
        <f>COUNTA('17'!L37)</f>
        <v>1</v>
      </c>
      <c r="M45" s="974"/>
      <c r="O45" s="146"/>
      <c r="P45" s="147"/>
      <c r="Q45" s="993">
        <f>'17'!S41-'17'!O41</f>
        <v>0</v>
      </c>
      <c r="R45" s="993"/>
      <c r="S45" s="993"/>
      <c r="T45" s="148"/>
      <c r="X45" s="149" t="s">
        <v>104</v>
      </c>
      <c r="Y45" s="150">
        <f>'17'!Y44*275.3</f>
        <v>0</v>
      </c>
      <c r="Z45" s="149" t="s">
        <v>104</v>
      </c>
      <c r="AA45" s="150">
        <f>262.4*'17'!AA44</f>
        <v>0</v>
      </c>
      <c r="AB45" s="149" t="s">
        <v>104</v>
      </c>
      <c r="AC45" s="150">
        <f>'17'!AC44*277.7</f>
        <v>0</v>
      </c>
      <c r="AD45" s="149" t="s">
        <v>104</v>
      </c>
      <c r="AE45" s="151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" customHeight="1">
      <c r="F46" s="152"/>
      <c r="X46" s="153" t="s">
        <v>105</v>
      </c>
      <c r="Y46" s="154">
        <f>'17'!AS6</f>
        <v>1.33</v>
      </c>
      <c r="Z46" s="153" t="s">
        <v>105</v>
      </c>
      <c r="AA46" s="155">
        <f>'17'!Y46</f>
        <v>1.33</v>
      </c>
      <c r="AB46" s="153" t="s">
        <v>105</v>
      </c>
      <c r="AC46" s="155">
        <f>'17'!Y46</f>
        <v>1.33</v>
      </c>
      <c r="AD46" s="153" t="s">
        <v>105</v>
      </c>
      <c r="AE46" s="156">
        <f>'17'!Y46</f>
        <v>1.33</v>
      </c>
      <c r="AF46" s="995" t="s">
        <v>106</v>
      </c>
      <c r="AG46" s="996">
        <f>SUM('17'!Y47,'17'!AA47,'17'!AC47,'17'!AE47)</f>
        <v>0</v>
      </c>
      <c r="AI46" s="144" t="s">
        <v>101</v>
      </c>
      <c r="AJ46" s="145"/>
      <c r="AK46" s="144" t="s">
        <v>101</v>
      </c>
      <c r="AL46" s="145"/>
      <c r="AM46" s="144" t="s">
        <v>101</v>
      </c>
      <c r="AN46" s="145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'17'!Y45*'17'!Y46</f>
        <v>0</v>
      </c>
      <c r="Z47" s="149" t="s">
        <v>108</v>
      </c>
      <c r="AA47" s="150">
        <f>'17'!AA45*'17'!AA46</f>
        <v>0</v>
      </c>
      <c r="AB47" s="149" t="s">
        <v>108</v>
      </c>
      <c r="AC47" s="150">
        <f>'17'!AC45*'17'!AC46</f>
        <v>0</v>
      </c>
      <c r="AD47" s="149" t="s">
        <v>108</v>
      </c>
      <c r="AE47" s="150">
        <f>'17'!AE45*'17'!AE46</f>
        <v>0</v>
      </c>
      <c r="AF47" s="995"/>
      <c r="AG47" s="996"/>
      <c r="AI47" s="149" t="s">
        <v>104</v>
      </c>
      <c r="AJ47" s="150">
        <f>AJ46*275.3</f>
        <v>0</v>
      </c>
      <c r="AK47" s="149" t="s">
        <v>104</v>
      </c>
      <c r="AL47" s="150">
        <f>262.4*'3'!AL46</f>
        <v>0</v>
      </c>
      <c r="AM47" s="149" t="s">
        <v>104</v>
      </c>
      <c r="AN47" s="150">
        <f>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Y46</f>
        <v>1.33</v>
      </c>
      <c r="AK48" s="160" t="s">
        <v>105</v>
      </c>
      <c r="AL48" s="154">
        <f>'3'!AJ48</f>
        <v>1.33</v>
      </c>
      <c r="AM48" s="160" t="s">
        <v>105</v>
      </c>
      <c r="AN48" s="154">
        <f>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AJ47*AJ48</f>
        <v>0</v>
      </c>
      <c r="AK49" s="149" t="s">
        <v>108</v>
      </c>
      <c r="AL49" s="150">
        <f>'3'!AL47*'3'!AL48</f>
        <v>0</v>
      </c>
      <c r="AM49" s="149" t="s">
        <v>108</v>
      </c>
      <c r="AN49" s="150">
        <f>AN47*AN48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COUNTA('17'!O7:O18)</f>
        <v>12</v>
      </c>
      <c r="P51" s="974">
        <f>COUNTA('17'!W17:W28)</f>
        <v>0</v>
      </c>
      <c r="R51" s="992">
        <f>COUNTIF('17'!O7:O18,"&gt;=0,5")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295" t="s">
        <v>101</v>
      </c>
      <c r="AC52" s="164"/>
      <c r="AD52" s="1001"/>
      <c r="AE52" s="1001"/>
      <c r="AF52" s="989" t="s">
        <v>102</v>
      </c>
      <c r="AG52" s="1002">
        <f>SUM('17'!Y53,'17'!AA53,'17'!AC53,'17'!AE53)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'17'!Y52*275.3</f>
        <v>0</v>
      </c>
      <c r="Z53" s="149" t="s">
        <v>104</v>
      </c>
      <c r="AA53" s="150">
        <f>262.4*'17'!AA52</f>
        <v>0</v>
      </c>
      <c r="AB53" s="149" t="s">
        <v>104</v>
      </c>
      <c r="AC53" s="167">
        <f>'17'!AC52*277.7</f>
        <v>0</v>
      </c>
      <c r="AD53" s="149" t="s">
        <v>104</v>
      </c>
      <c r="AE53" s="230"/>
      <c r="AF53" s="989"/>
      <c r="AG53" s="1002"/>
      <c r="AI53" s="144" t="s">
        <v>101</v>
      </c>
      <c r="AJ53" s="166">
        <v>0</v>
      </c>
      <c r="AK53" s="144" t="s">
        <v>101</v>
      </c>
      <c r="AL53" s="164"/>
      <c r="AM53" s="144" t="s">
        <v>101</v>
      </c>
      <c r="AN53" s="164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'17'!AS7</f>
        <v>1.377</v>
      </c>
      <c r="Z54" s="153" t="s">
        <v>105</v>
      </c>
      <c r="AA54" s="155">
        <f>'17'!Y54</f>
        <v>1.377</v>
      </c>
      <c r="AB54" s="153" t="s">
        <v>105</v>
      </c>
      <c r="AC54" s="155">
        <f>'17'!Y54</f>
        <v>1.377</v>
      </c>
      <c r="AD54" s="153" t="s">
        <v>105</v>
      </c>
      <c r="AE54" s="156">
        <f>'17'!Y54</f>
        <v>1.377</v>
      </c>
      <c r="AF54" s="995" t="s">
        <v>106</v>
      </c>
      <c r="AG54" s="996">
        <f>SUM('17'!Y55,'17'!AA55,'17'!AC55,'17'!AE55)</f>
        <v>0</v>
      </c>
      <c r="AI54" s="149" t="s">
        <v>104</v>
      </c>
      <c r="AJ54" s="150">
        <f>AJ53*275.3</f>
        <v>0</v>
      </c>
      <c r="AK54" s="149" t="s">
        <v>104</v>
      </c>
      <c r="AL54" s="150">
        <f>262.4*'3'!AL53</f>
        <v>0</v>
      </c>
      <c r="AM54" s="149" t="s">
        <v>104</v>
      </c>
      <c r="AN54" s="167">
        <f>AN53*277.7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'17'!Y53*'17'!Y54</f>
        <v>0</v>
      </c>
      <c r="Z55" s="149" t="s">
        <v>108</v>
      </c>
      <c r="AA55" s="150">
        <f>'17'!AA53*'17'!AA54</f>
        <v>0</v>
      </c>
      <c r="AB55" s="149" t="s">
        <v>108</v>
      </c>
      <c r="AC55" s="150">
        <f>'17'!AC53*'17'!AC54</f>
        <v>0</v>
      </c>
      <c r="AD55" s="149" t="s">
        <v>108</v>
      </c>
      <c r="AE55" s="150">
        <f>'17'!AE53*'17'!AE54</f>
        <v>0</v>
      </c>
      <c r="AF55" s="995"/>
      <c r="AG55" s="996"/>
      <c r="AI55" s="153" t="s">
        <v>105</v>
      </c>
      <c r="AJ55" s="154">
        <f>Y54</f>
        <v>1.377</v>
      </c>
      <c r="AK55" s="153" t="s">
        <v>105</v>
      </c>
      <c r="AL55" s="154">
        <f>AJ55</f>
        <v>1.377</v>
      </c>
      <c r="AM55" s="153" t="s">
        <v>105</v>
      </c>
      <c r="AN55" s="154">
        <f>AJ55</f>
        <v>1.377</v>
      </c>
      <c r="AO55" s="1036" t="s">
        <v>105</v>
      </c>
      <c r="AP55" s="1036">
        <f>'3'!AJ55</f>
        <v>1.377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AJ54*AJ55</f>
        <v>0</v>
      </c>
      <c r="AK56" s="149" t="s">
        <v>108</v>
      </c>
      <c r="AL56" s="150">
        <f>'3'!AL54*'3'!AL55</f>
        <v>0</v>
      </c>
      <c r="AM56" s="149" t="s">
        <v>108</v>
      </c>
      <c r="AN56" s="150">
        <f>AN54*AN55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 ht="15.75" customHeight="1">
      <c r="O57" s="1003">
        <f>COUNTA('17'!N7:N18)</f>
        <v>12</v>
      </c>
      <c r="P57" s="1003"/>
      <c r="R57" s="1004">
        <f>COUNTIF('17'!N7:N18,"&gt;=6")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26780.880000000001</v>
      </c>
      <c r="AR62" s="1016"/>
    </row>
    <row r="63" spans="15:44" ht="15" customHeight="1">
      <c r="X63" s="170" t="s">
        <v>124</v>
      </c>
      <c r="Y63" s="171">
        <v>0</v>
      </c>
      <c r="Z63" s="1013"/>
      <c r="AA63" s="1013"/>
      <c r="AB63" s="172" t="s">
        <v>124</v>
      </c>
      <c r="AC63" s="173">
        <v>0</v>
      </c>
      <c r="AE63" s="49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-26780.880000000001</v>
      </c>
      <c r="AR63" s="1011"/>
    </row>
    <row r="64" spans="15:44" ht="15" customHeight="1">
      <c r="X64" s="170"/>
      <c r="Y64" s="171"/>
      <c r="Z64" s="1013"/>
      <c r="AA64" s="1013"/>
      <c r="AB64" s="172" t="s">
        <v>133</v>
      </c>
      <c r="AC64" s="173"/>
    </row>
    <row r="65" spans="24:29" ht="39" customHeight="1">
      <c r="X65" s="174" t="s">
        <v>126</v>
      </c>
      <c r="Y65" s="217">
        <f>'16'!$Y$68</f>
        <v>-18772.899999999998</v>
      </c>
      <c r="Z65" s="1013"/>
      <c r="AA65" s="1013"/>
      <c r="AB65" s="176" t="s">
        <v>126</v>
      </c>
      <c r="AC65" s="241">
        <f>'16'!$AC$68</f>
        <v>-1257.9583333333335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280">
        <f>SUM('17'!AK38,'17'!AP38)</f>
        <v>1827.35</v>
      </c>
      <c r="Z67" s="1013"/>
      <c r="AA67" s="1013"/>
      <c r="AB67" s="172" t="s">
        <v>124</v>
      </c>
      <c r="AC67" s="169">
        <f>SUM('17'!AM38,'17'!AR38)</f>
        <v>472.9166666666668</v>
      </c>
    </row>
    <row r="68" spans="24:29" ht="15.75" customHeight="1">
      <c r="X68" s="170" t="s">
        <v>128</v>
      </c>
      <c r="Y68" s="179">
        <f>SUM('17'!Y63,'17'!Y65)-'17'!Y67</f>
        <v>-20600.249999999996</v>
      </c>
      <c r="Z68" s="1013"/>
      <c r="AA68" s="1013"/>
      <c r="AB68" s="172" t="s">
        <v>128</v>
      </c>
      <c r="AC68" s="180">
        <f>SUM('17'!AC63,'17'!AC65)-'17'!AC67-'17'!AC64</f>
        <v>-1730.8750000000002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22" zoomScaleNormal="100" workbookViewId="0">
      <selection activeCell="AE53" sqref="AE53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924" t="s">
        <v>5</v>
      </c>
      <c r="E2" s="924"/>
      <c r="F2" s="924"/>
      <c r="G2" s="924"/>
      <c r="H2" s="924"/>
      <c r="I2" s="924"/>
      <c r="J2" s="924"/>
      <c r="K2" s="924"/>
      <c r="L2" s="924"/>
      <c r="M2" s="924"/>
      <c r="N2" s="924"/>
      <c r="O2" s="924"/>
      <c r="P2" s="924"/>
      <c r="Q2" s="924"/>
      <c r="R2" s="924"/>
      <c r="S2" s="924"/>
      <c r="T2" s="924"/>
      <c r="U2" s="924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924"/>
      <c r="E3" s="924"/>
      <c r="F3" s="924"/>
      <c r="G3" s="924"/>
      <c r="H3" s="924"/>
      <c r="I3" s="924"/>
      <c r="J3" s="924"/>
      <c r="K3" s="924"/>
      <c r="L3" s="924"/>
      <c r="M3" s="924"/>
      <c r="N3" s="924"/>
      <c r="O3" s="924"/>
      <c r="P3" s="924"/>
      <c r="Q3" s="924"/>
      <c r="R3" s="924"/>
      <c r="S3" s="924"/>
      <c r="T3" s="924"/>
      <c r="U3" s="924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1091" t="s">
        <v>12</v>
      </c>
      <c r="S4" s="1091"/>
      <c r="T4" s="1092" t="s">
        <v>13</v>
      </c>
      <c r="U4" s="1093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1091"/>
      <c r="S5" s="1091"/>
      <c r="T5" s="1092"/>
      <c r="U5" s="1093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3"/>
      <c r="V6" s="932"/>
      <c r="W6" s="932"/>
      <c r="X6" s="13">
        <v>4.1666666666666699E-2</v>
      </c>
      <c r="Y6" s="173">
        <v>2452</v>
      </c>
      <c r="Z6" s="183">
        <v>839</v>
      </c>
      <c r="AA6" s="54">
        <v>1</v>
      </c>
      <c r="AB6" s="58">
        <f>IF('18'!AA6=1,(('18'!Z6*'18'!$AS$6*'18'!$AT$6)/('18'!Y6*0.0036)),IF('18'!AA6=2,(('18'!Z6*'18'!$AS$7*'18'!$AT$7)/('18'!Y6*0.0036))))</f>
        <v>63.206339496102963</v>
      </c>
      <c r="AC6" s="58"/>
      <c r="AD6" s="18">
        <f>(('18'!AC6*'18'!$Q$10*1000000))/('18'!Y6*3600)</f>
        <v>0</v>
      </c>
      <c r="AE6" s="183"/>
      <c r="AF6" s="184">
        <f>('18'!AE6/24)*0.454</f>
        <v>0</v>
      </c>
      <c r="AG6" s="19"/>
      <c r="AH6" s="184">
        <f>('18'!AG6/24)*0.454</f>
        <v>0</v>
      </c>
      <c r="AI6" s="183">
        <v>4400</v>
      </c>
      <c r="AJ6" s="184">
        <f>('18'!AI6/24)*0.454</f>
        <v>83.233333333333334</v>
      </c>
      <c r="AK6" s="21"/>
      <c r="AL6" s="185">
        <f>('18'!AK6/24)*0.454</f>
        <v>0</v>
      </c>
      <c r="AM6" s="21"/>
      <c r="AN6" s="185">
        <f>('18'!AM6/24)*0.454</f>
        <v>0</v>
      </c>
      <c r="AO6" s="21"/>
      <c r="AP6" s="185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6">
        <v>80</v>
      </c>
      <c r="C7" s="186">
        <v>10</v>
      </c>
      <c r="D7" s="186">
        <v>10</v>
      </c>
      <c r="E7" s="186">
        <v>2.5</v>
      </c>
      <c r="F7" s="186">
        <v>11</v>
      </c>
      <c r="G7" s="186">
        <v>1.3</v>
      </c>
      <c r="H7" s="186">
        <v>1.2</v>
      </c>
      <c r="I7" s="186">
        <v>0.3</v>
      </c>
      <c r="J7" s="186">
        <v>0.4</v>
      </c>
      <c r="K7" s="186">
        <v>7.3</v>
      </c>
      <c r="L7" s="186">
        <v>6.7</v>
      </c>
      <c r="M7" s="186">
        <v>6.7</v>
      </c>
      <c r="N7" s="186">
        <v>6.3</v>
      </c>
      <c r="O7" s="186">
        <v>3</v>
      </c>
      <c r="P7" s="186"/>
      <c r="Q7" s="188"/>
      <c r="R7" s="37">
        <f>'17'!$Z$29</f>
        <v>839</v>
      </c>
      <c r="S7" s="187">
        <f>'17'!$AB$29</f>
        <v>63.180572541559094</v>
      </c>
      <c r="T7" s="37">
        <f>'17'!$Y$29</f>
        <v>2453</v>
      </c>
      <c r="U7" s="33" t="str">
        <f>IF('19'!AA6=1,'19'!AR6,'19'!AR7)</f>
        <v>S.A.L</v>
      </c>
      <c r="V7" s="1094">
        <f>ESCALA!$C$19</f>
        <v>0</v>
      </c>
      <c r="W7" s="1094"/>
      <c r="X7" s="13">
        <v>8.3333333333333301E-2</v>
      </c>
      <c r="Y7" s="173">
        <v>2412</v>
      </c>
      <c r="Z7" s="183">
        <v>839</v>
      </c>
      <c r="AA7" s="54">
        <v>1</v>
      </c>
      <c r="AB7" s="58">
        <f>IF('18'!AA7=1,(('18'!Z7*'18'!$AS$6*'18'!$AT$6)/('18'!Y7*0.0036)),IF('18'!AA7=2,(('18'!Z7*'18'!$AS$7*'18'!$AT$7)/('18'!Y7*0.0036))))</f>
        <v>64.254537497696717</v>
      </c>
      <c r="AC7" s="58"/>
      <c r="AD7" s="18">
        <f>(('18'!AC7*'18'!$Q$10*1000000))/('18'!Y7*3600)</f>
        <v>0</v>
      </c>
      <c r="AE7" s="183"/>
      <c r="AF7" s="184">
        <f>('18'!AE7/24)*0.454</f>
        <v>0</v>
      </c>
      <c r="AG7" s="19"/>
      <c r="AH7" s="184">
        <f>('18'!AG7/24)*0.454</f>
        <v>0</v>
      </c>
      <c r="AI7" s="183">
        <v>4400</v>
      </c>
      <c r="AJ7" s="184">
        <f>('18'!AI7/24)*0.454</f>
        <v>83.233333333333334</v>
      </c>
      <c r="AK7" s="21"/>
      <c r="AL7" s="185">
        <f>('18'!AK7/24)*0.454</f>
        <v>0</v>
      </c>
      <c r="AM7" s="21"/>
      <c r="AN7" s="185">
        <f>('18'!AM7/24)*0.454</f>
        <v>0</v>
      </c>
      <c r="AO7" s="21"/>
      <c r="AP7" s="185">
        <f>('18'!AO7/24)*0.454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6">
        <v>80</v>
      </c>
      <c r="C8" s="186">
        <v>10</v>
      </c>
      <c r="D8" s="186">
        <v>10</v>
      </c>
      <c r="E8" s="186">
        <v>2.5</v>
      </c>
      <c r="F8" s="186">
        <v>12</v>
      </c>
      <c r="G8" s="186">
        <v>1.3</v>
      </c>
      <c r="H8" s="186">
        <v>1.2</v>
      </c>
      <c r="I8" s="186">
        <v>0.3</v>
      </c>
      <c r="J8" s="186">
        <v>0.4</v>
      </c>
      <c r="K8" s="186">
        <v>7.3</v>
      </c>
      <c r="L8" s="186">
        <v>6.7</v>
      </c>
      <c r="M8" s="186">
        <v>6.7</v>
      </c>
      <c r="N8" s="186">
        <v>6.3</v>
      </c>
      <c r="O8" s="186">
        <v>3</v>
      </c>
      <c r="P8" s="186"/>
      <c r="Q8" s="188"/>
      <c r="R8" s="35">
        <f>'18'!Z7</f>
        <v>839</v>
      </c>
      <c r="S8" s="36">
        <f>'18'!AB7</f>
        <v>64.254537497696717</v>
      </c>
      <c r="T8" s="37">
        <f>'18'!Y7</f>
        <v>2412</v>
      </c>
      <c r="U8" s="33" t="str">
        <f>IF('19'!AA7=1,'19'!AR6,'19'!AR7)</f>
        <v>S.A.L</v>
      </c>
      <c r="V8" s="1094"/>
      <c r="W8" s="1094"/>
      <c r="X8" s="13">
        <v>0.125</v>
      </c>
      <c r="Y8" s="173">
        <v>2482</v>
      </c>
      <c r="Z8" s="183">
        <v>839</v>
      </c>
      <c r="AA8" s="54">
        <v>1</v>
      </c>
      <c r="AB8" s="58">
        <f>IF('18'!AA8=1,(('18'!Z8*'18'!$AS$6*'18'!$AT$6)/('18'!Y8*0.0036)),IF('18'!AA8=2,(('18'!Z8*'18'!$AS$7*'18'!$AT$7)/('18'!Y8*0.0036))))</f>
        <v>62.442362789864809</v>
      </c>
      <c r="AC8" s="58"/>
      <c r="AD8" s="18">
        <f>(('18'!AC8*'18'!$Q$10*1000000))/('18'!Y8*3600)</f>
        <v>0</v>
      </c>
      <c r="AE8" s="183"/>
      <c r="AF8" s="184">
        <f>('18'!AE8/24)*0.454</f>
        <v>0</v>
      </c>
      <c r="AG8" s="19"/>
      <c r="AH8" s="184">
        <f>('18'!AG8/24)*0.454</f>
        <v>0</v>
      </c>
      <c r="AI8" s="183">
        <v>4400</v>
      </c>
      <c r="AJ8" s="184">
        <f>('18'!AI8/24)*0.454</f>
        <v>83.233333333333334</v>
      </c>
      <c r="AK8" s="21"/>
      <c r="AL8" s="185">
        <f>('18'!AK8/24)*0.454</f>
        <v>0</v>
      </c>
      <c r="AM8" s="21"/>
      <c r="AN8" s="185">
        <f>('18'!AM8/24)*0.454</f>
        <v>0</v>
      </c>
      <c r="AO8" s="21"/>
      <c r="AP8" s="185">
        <f>('18'!AO8/24)*0.454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80</v>
      </c>
      <c r="C9" s="186">
        <v>10</v>
      </c>
      <c r="D9" s="186">
        <v>10</v>
      </c>
      <c r="E9" s="186">
        <v>2.5</v>
      </c>
      <c r="F9" s="186">
        <v>12</v>
      </c>
      <c r="G9" s="186">
        <v>1.4</v>
      </c>
      <c r="H9" s="186">
        <v>1.2</v>
      </c>
      <c r="I9" s="186">
        <v>0.3</v>
      </c>
      <c r="J9" s="186">
        <v>0.4</v>
      </c>
      <c r="K9" s="186">
        <v>7.3</v>
      </c>
      <c r="L9" s="186">
        <v>6.7</v>
      </c>
      <c r="M9" s="186">
        <v>6.7</v>
      </c>
      <c r="N9" s="186">
        <v>6.3</v>
      </c>
      <c r="O9" s="186">
        <v>3</v>
      </c>
      <c r="P9" s="186"/>
      <c r="Q9" s="188"/>
      <c r="R9" s="37">
        <f>'18'!Z9</f>
        <v>839</v>
      </c>
      <c r="S9" s="36">
        <f>'18'!AB9</f>
        <v>64.52204181700435</v>
      </c>
      <c r="T9" s="37">
        <f>'18'!Y9</f>
        <v>2402</v>
      </c>
      <c r="U9" s="33" t="str">
        <f>IF('19'!AA9=1,'19'!AR6,'19'!AR7)</f>
        <v>S.A.L</v>
      </c>
      <c r="V9" s="1094"/>
      <c r="W9" s="1094"/>
      <c r="X9" s="13">
        <v>0.16666666666666699</v>
      </c>
      <c r="Y9" s="173">
        <v>2402</v>
      </c>
      <c r="Z9" s="183">
        <v>839</v>
      </c>
      <c r="AA9" s="54">
        <v>1</v>
      </c>
      <c r="AB9" s="58">
        <f>IF('18'!AA9=1,(('18'!Z9*'18'!$AS$6*'18'!$AT$6)/('18'!Y9*0.0036)),IF('18'!AA9=2,(('18'!Z9*'18'!$AS$7*'18'!$AT$7)/('18'!Y9*0.0036))))</f>
        <v>64.52204181700435</v>
      </c>
      <c r="AC9" s="58"/>
      <c r="AD9" s="18">
        <f>(('18'!AC9*'18'!$Q$10*1000000))/('18'!Y9*3600)</f>
        <v>0</v>
      </c>
      <c r="AE9" s="183"/>
      <c r="AF9" s="184">
        <f>('18'!AE9/24)*0.454</f>
        <v>0</v>
      </c>
      <c r="AG9" s="19"/>
      <c r="AH9" s="184">
        <f>('18'!AG9/24)*0.454</f>
        <v>0</v>
      </c>
      <c r="AI9" s="183">
        <v>4400</v>
      </c>
      <c r="AJ9" s="184">
        <f>('18'!AI9/24)*0.454</f>
        <v>83.233333333333334</v>
      </c>
      <c r="AK9" s="21"/>
      <c r="AL9" s="185">
        <f>('18'!AK9/24)*0.454</f>
        <v>0</v>
      </c>
      <c r="AM9" s="21"/>
      <c r="AN9" s="185">
        <f>('18'!AM9/24)*0.454</f>
        <v>0</v>
      </c>
      <c r="AO9" s="21"/>
      <c r="AP9" s="185">
        <f>('18'!AO9/24)*0.454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80</v>
      </c>
      <c r="C10" s="186">
        <v>10</v>
      </c>
      <c r="D10" s="186">
        <v>10</v>
      </c>
      <c r="E10" s="186">
        <v>2.5</v>
      </c>
      <c r="F10" s="186">
        <v>13</v>
      </c>
      <c r="G10" s="186">
        <v>1.4</v>
      </c>
      <c r="H10" s="186">
        <v>1.2</v>
      </c>
      <c r="I10" s="186">
        <v>0.3</v>
      </c>
      <c r="J10" s="186">
        <v>0.4</v>
      </c>
      <c r="K10" s="186">
        <v>7.3</v>
      </c>
      <c r="L10" s="186">
        <v>6.7</v>
      </c>
      <c r="M10" s="186">
        <v>6.7</v>
      </c>
      <c r="N10" s="186">
        <v>6.3</v>
      </c>
      <c r="O10" s="186">
        <v>3</v>
      </c>
      <c r="P10" s="186"/>
      <c r="Q10" s="188"/>
      <c r="R10" s="37">
        <f>'18'!Z11</f>
        <v>839</v>
      </c>
      <c r="S10" s="36">
        <f>'18'!AB11</f>
        <v>64.361272609819139</v>
      </c>
      <c r="T10" s="37">
        <f>'18'!Y11</f>
        <v>2408</v>
      </c>
      <c r="U10" s="33" t="str">
        <f>IF('19'!AA11=1,'19'!AR6,'19'!AR7)</f>
        <v>S.A.L</v>
      </c>
      <c r="V10" s="1094"/>
      <c r="W10" s="1094"/>
      <c r="X10" s="13">
        <v>0.20833333333333301</v>
      </c>
      <c r="Y10" s="173">
        <v>2453</v>
      </c>
      <c r="Z10" s="183">
        <v>839</v>
      </c>
      <c r="AA10" s="54">
        <v>1</v>
      </c>
      <c r="AB10" s="58">
        <f>IF('18'!AA10=1,(('18'!Z10*'18'!$AS$6*'18'!$AT$6)/('18'!Y10*0.0036)),IF('18'!AA10=2,(('18'!Z10*'18'!$AS$7*'18'!$AT$7)/('18'!Y10*0.0036))))</f>
        <v>63.180572541559094</v>
      </c>
      <c r="AC10" s="58"/>
      <c r="AD10" s="18">
        <f>(('18'!AC10*'18'!$Q$10*1000000))/('18'!Y10*3600)</f>
        <v>0</v>
      </c>
      <c r="AE10" s="183"/>
      <c r="AF10" s="184">
        <f>('18'!AE10/24)*0.454</f>
        <v>0</v>
      </c>
      <c r="AG10" s="19"/>
      <c r="AH10" s="184">
        <f>('18'!AG10/24)*0.454</f>
        <v>0</v>
      </c>
      <c r="AI10" s="183">
        <v>4400</v>
      </c>
      <c r="AJ10" s="184">
        <f>('18'!AI10/24)*0.454</f>
        <v>83.233333333333334</v>
      </c>
      <c r="AK10" s="21"/>
      <c r="AL10" s="185">
        <f>('18'!AK10/24)*0.454</f>
        <v>0</v>
      </c>
      <c r="AM10" s="21"/>
      <c r="AN10" s="185">
        <f>('18'!AM10/24)*0.454</f>
        <v>0</v>
      </c>
      <c r="AO10" s="21"/>
      <c r="AP10" s="185">
        <f>('18'!AO10/24)*0.454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6">
        <v>80</v>
      </c>
      <c r="C11" s="186">
        <v>12.5</v>
      </c>
      <c r="D11" s="186">
        <v>10</v>
      </c>
      <c r="E11" s="186">
        <v>2.5</v>
      </c>
      <c r="F11" s="186">
        <v>9.9</v>
      </c>
      <c r="G11" s="186">
        <v>1.5</v>
      </c>
      <c r="H11" s="186">
        <v>1.3</v>
      </c>
      <c r="I11" s="186">
        <v>0.3</v>
      </c>
      <c r="J11" s="186">
        <v>0.4</v>
      </c>
      <c r="K11" s="186">
        <v>7.3</v>
      </c>
      <c r="L11" s="186">
        <v>6.8</v>
      </c>
      <c r="M11" s="186">
        <v>6.8</v>
      </c>
      <c r="N11" s="186">
        <v>6.5</v>
      </c>
      <c r="O11" s="186">
        <v>3</v>
      </c>
      <c r="P11" s="186"/>
      <c r="Q11" s="188"/>
      <c r="R11" s="37">
        <f>'18'!Z13</f>
        <v>839</v>
      </c>
      <c r="S11" s="36">
        <f>'18'!AB13</f>
        <v>62.720333648095696</v>
      </c>
      <c r="T11" s="37">
        <f>'18'!Y13</f>
        <v>2471</v>
      </c>
      <c r="U11" s="33" t="str">
        <f>IF('19'!AA13=1,'19'!AR6,'19'!AR7)</f>
        <v>S.A.L</v>
      </c>
      <c r="V11" s="1094"/>
      <c r="W11" s="1094"/>
      <c r="X11" s="13">
        <v>0.25</v>
      </c>
      <c r="Y11" s="173">
        <v>2408</v>
      </c>
      <c r="Z11" s="183">
        <v>839</v>
      </c>
      <c r="AA11" s="54">
        <v>1</v>
      </c>
      <c r="AB11" s="58">
        <f>IF('18'!AA11=1,(('18'!Z11*'18'!$AS$6*'18'!$AT$6)/('18'!Y11*0.0036)),IF('18'!AA11=2,(('18'!Z11*'18'!$AS$7*'18'!$AT$7)/('18'!Y11*0.0036))))</f>
        <v>64.361272609819139</v>
      </c>
      <c r="AC11" s="58"/>
      <c r="AD11" s="18">
        <f>(('18'!AC11*'18'!$Q$10*1000000))/('18'!Y11*3600)</f>
        <v>0</v>
      </c>
      <c r="AE11" s="183"/>
      <c r="AF11" s="184">
        <f>('18'!AE11/24)*0.454</f>
        <v>0</v>
      </c>
      <c r="AG11" s="19"/>
      <c r="AH11" s="184">
        <f>('18'!AG11/24)*0.454</f>
        <v>0</v>
      </c>
      <c r="AI11" s="183">
        <v>4400</v>
      </c>
      <c r="AJ11" s="184">
        <f>('18'!AI11/24)*0.454</f>
        <v>83.233333333333334</v>
      </c>
      <c r="AK11" s="21"/>
      <c r="AL11" s="185">
        <f>('18'!AK11/24)*0.454</f>
        <v>0</v>
      </c>
      <c r="AM11" s="21"/>
      <c r="AN11" s="185">
        <f>('18'!AM11/24)*0.454</f>
        <v>0</v>
      </c>
      <c r="AO11" s="21"/>
      <c r="AP11" s="185">
        <f>('18'!AO11/24)*0.454</f>
        <v>0</v>
      </c>
    </row>
    <row r="12" spans="1:47" ht="18.75" customHeight="1">
      <c r="A12" s="28">
        <v>0.41666666666666702</v>
      </c>
      <c r="B12" s="186">
        <v>80</v>
      </c>
      <c r="C12" s="186">
        <v>12.5</v>
      </c>
      <c r="D12" s="186">
        <v>10</v>
      </c>
      <c r="E12" s="186">
        <v>2.5</v>
      </c>
      <c r="F12" s="186">
        <v>9.8000000000000007</v>
      </c>
      <c r="G12" s="186">
        <v>1.5</v>
      </c>
      <c r="H12" s="186">
        <v>1.3</v>
      </c>
      <c r="I12" s="186">
        <v>0.3</v>
      </c>
      <c r="J12" s="186">
        <v>0.4</v>
      </c>
      <c r="K12" s="186">
        <v>7.3</v>
      </c>
      <c r="L12" s="186">
        <v>6.8</v>
      </c>
      <c r="M12" s="186">
        <v>6.8</v>
      </c>
      <c r="N12" s="186">
        <v>6.5</v>
      </c>
      <c r="O12" s="186">
        <v>3</v>
      </c>
      <c r="P12" s="186"/>
      <c r="Q12" s="188"/>
      <c r="R12" s="37">
        <f>'18'!Z15</f>
        <v>839</v>
      </c>
      <c r="S12" s="36">
        <f>'18'!AB15</f>
        <v>63.103397575099535</v>
      </c>
      <c r="T12" s="37">
        <f>'18'!Y15</f>
        <v>2456</v>
      </c>
      <c r="U12" s="33" t="str">
        <f>IF('19'!AA15=1,'19'!AR6,'19'!AR7)</f>
        <v>S.A.L</v>
      </c>
      <c r="V12" s="1095">
        <f>ESCALA!$B$20</f>
        <v>0</v>
      </c>
      <c r="W12" s="1095"/>
      <c r="X12" s="13">
        <v>0.29166666666666702</v>
      </c>
      <c r="Y12" s="173">
        <v>2402</v>
      </c>
      <c r="Z12" s="183">
        <v>839</v>
      </c>
      <c r="AA12" s="54">
        <v>1</v>
      </c>
      <c r="AB12" s="58">
        <f>IF('18'!AA12=1,(('18'!Z12*'18'!$AS$6*'18'!$AT$6)/('18'!Y12*0.0036)),IF('18'!AA12=2,(('18'!Z12*'18'!$AS$7*'18'!$AT$7)/('18'!Y12*0.0036))))</f>
        <v>64.52204181700435</v>
      </c>
      <c r="AC12" s="58"/>
      <c r="AD12" s="18">
        <f>(('18'!AC12*'18'!$Q$10*1000000))/('18'!Y12*3600)</f>
        <v>0</v>
      </c>
      <c r="AE12" s="183"/>
      <c r="AF12" s="184">
        <f>('18'!AE12/24)*0.454</f>
        <v>0</v>
      </c>
      <c r="AG12" s="19"/>
      <c r="AH12" s="184">
        <f>('18'!AG12/24)*0.454</f>
        <v>0</v>
      </c>
      <c r="AI12" s="183">
        <v>4400</v>
      </c>
      <c r="AJ12" s="184">
        <f>('18'!AI12/24)*0.454</f>
        <v>83.233333333333334</v>
      </c>
      <c r="AK12" s="21"/>
      <c r="AL12" s="185">
        <f>('18'!AK12/24)*0.454</f>
        <v>0</v>
      </c>
      <c r="AM12" s="21"/>
      <c r="AN12" s="185">
        <f>('18'!AM12/24)*0.454</f>
        <v>0</v>
      </c>
      <c r="AO12" s="21"/>
      <c r="AP12" s="185">
        <f>('18'!AO12/24)*0.454</f>
        <v>0</v>
      </c>
    </row>
    <row r="13" spans="1:47" ht="18.75" customHeight="1">
      <c r="A13" s="28">
        <v>0.5</v>
      </c>
      <c r="B13" s="186">
        <v>80</v>
      </c>
      <c r="C13" s="186">
        <v>12.5</v>
      </c>
      <c r="D13" s="186">
        <v>10</v>
      </c>
      <c r="E13" s="186">
        <v>2.5</v>
      </c>
      <c r="F13" s="186">
        <v>10</v>
      </c>
      <c r="G13" s="186">
        <v>1.5</v>
      </c>
      <c r="H13" s="186">
        <v>1.4</v>
      </c>
      <c r="I13" s="186">
        <v>0.3</v>
      </c>
      <c r="J13" s="186">
        <v>0.4</v>
      </c>
      <c r="K13" s="186">
        <v>7.3</v>
      </c>
      <c r="L13" s="186">
        <v>6.8</v>
      </c>
      <c r="M13" s="186">
        <v>6.8</v>
      </c>
      <c r="N13" s="186">
        <v>6.5</v>
      </c>
      <c r="O13" s="186">
        <v>3</v>
      </c>
      <c r="P13" s="186"/>
      <c r="Q13" s="188"/>
      <c r="R13" s="37">
        <f>'18'!Z17</f>
        <v>839</v>
      </c>
      <c r="S13" s="36">
        <f>'18'!AB17</f>
        <v>59.562622768810321</v>
      </c>
      <c r="T13" s="37">
        <f>'18'!Y17</f>
        <v>2602</v>
      </c>
      <c r="U13" s="33" t="str">
        <f>IF('19'!AA17=1,'19'!AR6,'19'!AR7)</f>
        <v>S.A.L</v>
      </c>
      <c r="V13" s="1095"/>
      <c r="W13" s="1095"/>
      <c r="X13" s="13">
        <v>0.33333333333333298</v>
      </c>
      <c r="Y13" s="173">
        <v>2471</v>
      </c>
      <c r="Z13" s="183">
        <v>839</v>
      </c>
      <c r="AA13" s="54">
        <v>1</v>
      </c>
      <c r="AB13" s="58">
        <f>IF('18'!AA13=1,(('18'!Z13*'18'!$AS$6*'18'!$AT$6)/('18'!Y13*0.0036)),IF('18'!AA13=2,(('18'!Z13*'18'!$AS$7*'18'!$AT$7)/('18'!Y13*0.0036))))</f>
        <v>62.720333648095696</v>
      </c>
      <c r="AC13" s="58"/>
      <c r="AD13" s="18">
        <f>(('18'!AC13*'18'!$Q$10*1000000))/('18'!Y13*3600)</f>
        <v>0</v>
      </c>
      <c r="AE13" s="183"/>
      <c r="AF13" s="184">
        <f>('18'!AE13/24)*0.454</f>
        <v>0</v>
      </c>
      <c r="AG13" s="19"/>
      <c r="AH13" s="184">
        <f>('18'!AG13/24)*0.454</f>
        <v>0</v>
      </c>
      <c r="AI13" s="183">
        <v>4400</v>
      </c>
      <c r="AJ13" s="184">
        <f>('18'!AI13/24)*0.454</f>
        <v>83.233333333333334</v>
      </c>
      <c r="AK13" s="21"/>
      <c r="AL13" s="185">
        <f>('18'!AK13/24)*0.454</f>
        <v>0</v>
      </c>
      <c r="AM13" s="21"/>
      <c r="AN13" s="185">
        <f>('18'!AM13/24)*0.454</f>
        <v>0</v>
      </c>
      <c r="AO13" s="21"/>
      <c r="AP13" s="185">
        <f>('18'!AO13/24)*0.454</f>
        <v>0</v>
      </c>
    </row>
    <row r="14" spans="1:47" ht="18.75" customHeight="1">
      <c r="A14" s="28">
        <v>0.58333333333333304</v>
      </c>
      <c r="B14" s="186">
        <v>80</v>
      </c>
      <c r="C14" s="186">
        <v>15</v>
      </c>
      <c r="D14" s="186">
        <v>15</v>
      </c>
      <c r="E14" s="186">
        <v>2.5</v>
      </c>
      <c r="F14" s="186">
        <v>12.2</v>
      </c>
      <c r="G14" s="186">
        <v>2.1</v>
      </c>
      <c r="H14" s="186">
        <v>2.2999999999999998</v>
      </c>
      <c r="I14" s="186">
        <v>0.3</v>
      </c>
      <c r="J14" s="186">
        <v>0.5</v>
      </c>
      <c r="K14" s="186">
        <v>7.3</v>
      </c>
      <c r="L14" s="186">
        <v>6.8</v>
      </c>
      <c r="M14" s="186">
        <v>6.8</v>
      </c>
      <c r="N14" s="186">
        <v>6.5</v>
      </c>
      <c r="O14" s="186">
        <v>3</v>
      </c>
      <c r="P14" s="186"/>
      <c r="Q14" s="188"/>
      <c r="R14" s="37">
        <f>'18'!Z19</f>
        <v>901</v>
      </c>
      <c r="S14" s="36">
        <f>'18'!AB19</f>
        <v>60.236960630554563</v>
      </c>
      <c r="T14" s="37">
        <f>'18'!Y19</f>
        <v>2763</v>
      </c>
      <c r="U14" s="33" t="str">
        <f>IF('19'!AA19=1,'19'!AR6,'19'!AR7)</f>
        <v>S.A.L</v>
      </c>
      <c r="V14" s="1095"/>
      <c r="W14" s="1095"/>
      <c r="X14" s="13">
        <v>0.375</v>
      </c>
      <c r="Y14" s="173">
        <v>2492</v>
      </c>
      <c r="Z14" s="183">
        <v>839</v>
      </c>
      <c r="AA14" s="54">
        <v>1</v>
      </c>
      <c r="AB14" s="58">
        <f>IF('18'!AA14=1,(('18'!Z14*'18'!$AS$6*'18'!$AT$6)/('18'!Y14*0.0036)),IF('18'!AA14=2,(('18'!Z14*'18'!$AS$7*'18'!$AT$7)/('18'!Y14*0.0036))))</f>
        <v>62.191791510611743</v>
      </c>
      <c r="AC14" s="58"/>
      <c r="AD14" s="18">
        <f>(('18'!AC14*'18'!$Q$10*1000000))/('18'!Y14*3600)</f>
        <v>0</v>
      </c>
      <c r="AE14" s="183"/>
      <c r="AF14" s="184">
        <f>('18'!AE14/24)*0.454</f>
        <v>0</v>
      </c>
      <c r="AG14" s="19"/>
      <c r="AH14" s="184">
        <f>('18'!AG14/24)*0.454</f>
        <v>0</v>
      </c>
      <c r="AI14" s="183">
        <v>4400</v>
      </c>
      <c r="AJ14" s="184">
        <f>('18'!AI14/24)*0.454</f>
        <v>83.233333333333334</v>
      </c>
      <c r="AK14" s="21"/>
      <c r="AL14" s="185">
        <f>('18'!AK14/24)*0.454</f>
        <v>0</v>
      </c>
      <c r="AM14" s="21"/>
      <c r="AN14" s="185">
        <f>('18'!AM14/24)*0.454</f>
        <v>0</v>
      </c>
      <c r="AO14" s="21"/>
      <c r="AP14" s="185">
        <f>('18'!AO14/24)*0.454</f>
        <v>0</v>
      </c>
    </row>
    <row r="15" spans="1:47" ht="18.75" customHeight="1">
      <c r="A15" s="28">
        <v>0.66666666666666696</v>
      </c>
      <c r="B15" s="186">
        <v>80</v>
      </c>
      <c r="C15" s="186">
        <v>15</v>
      </c>
      <c r="D15" s="186">
        <v>15</v>
      </c>
      <c r="E15" s="186">
        <v>2.5</v>
      </c>
      <c r="F15" s="186">
        <v>12</v>
      </c>
      <c r="G15" s="186">
        <v>2.5</v>
      </c>
      <c r="H15" s="186">
        <v>2.2999999999999998</v>
      </c>
      <c r="I15" s="186">
        <v>0.3</v>
      </c>
      <c r="J15" s="186">
        <v>0.5</v>
      </c>
      <c r="K15" s="186">
        <v>7.3</v>
      </c>
      <c r="L15" s="186">
        <v>6.8</v>
      </c>
      <c r="M15" s="186">
        <v>6.8</v>
      </c>
      <c r="N15" s="186">
        <v>6.5</v>
      </c>
      <c r="O15" s="186">
        <v>3</v>
      </c>
      <c r="P15" s="186"/>
      <c r="Q15" s="188"/>
      <c r="R15" s="37">
        <f>'18'!Z21</f>
        <v>901</v>
      </c>
      <c r="S15" s="36">
        <f>'18'!AB21</f>
        <v>59.145245992260925</v>
      </c>
      <c r="T15" s="37">
        <f>'18'!Y21</f>
        <v>2814</v>
      </c>
      <c r="U15" s="33" t="str">
        <f>IF('19'!AA21=1,'19'!AR6,'19'!AR7)</f>
        <v>S.A.L</v>
      </c>
      <c r="V15" s="1095"/>
      <c r="W15" s="1095"/>
      <c r="X15" s="13">
        <v>0.41666666666666702</v>
      </c>
      <c r="Y15" s="173">
        <v>2456</v>
      </c>
      <c r="Z15" s="183">
        <v>839</v>
      </c>
      <c r="AA15" s="54">
        <v>1</v>
      </c>
      <c r="AB15" s="58">
        <f>IF('18'!AA15=1,(('18'!Z15*'18'!$AS$6*'18'!$AT$6)/('18'!Y15*0.0036)),IF('18'!AA15=2,(('18'!Z15*'18'!$AS$7*'18'!$AT$7)/('18'!Y15*0.0036))))</f>
        <v>63.103397575099535</v>
      </c>
      <c r="AC15" s="58"/>
      <c r="AD15" s="18">
        <f>(('18'!AC15*'18'!$Q$10*1000000))/('18'!Y15*3600)</f>
        <v>0</v>
      </c>
      <c r="AE15" s="183"/>
      <c r="AF15" s="184">
        <f>('18'!AE15/24)*0.454</f>
        <v>0</v>
      </c>
      <c r="AG15" s="19"/>
      <c r="AH15" s="184">
        <f>('18'!AG15/24)*0.454</f>
        <v>0</v>
      </c>
      <c r="AI15" s="183">
        <v>4400</v>
      </c>
      <c r="AJ15" s="184">
        <f>('18'!AI15/24)*0.454</f>
        <v>83.233333333333334</v>
      </c>
      <c r="AK15" s="21"/>
      <c r="AL15" s="185">
        <f>('18'!AK15/24)*0.454</f>
        <v>0</v>
      </c>
      <c r="AM15" s="21"/>
      <c r="AN15" s="185">
        <f>('18'!AM15/24)*0.454</f>
        <v>0</v>
      </c>
      <c r="AO15" s="21"/>
      <c r="AP15" s="185">
        <f>('18'!AO15/24)*0.454</f>
        <v>0</v>
      </c>
    </row>
    <row r="16" spans="1:47" ht="18.75" customHeight="1">
      <c r="A16" s="28">
        <v>0.75</v>
      </c>
      <c r="B16" s="186">
        <v>80</v>
      </c>
      <c r="C16" s="186">
        <v>15</v>
      </c>
      <c r="D16" s="186">
        <v>15</v>
      </c>
      <c r="E16" s="186">
        <v>2.5</v>
      </c>
      <c r="F16" s="186">
        <v>11</v>
      </c>
      <c r="G16" s="186">
        <v>2.2000000000000002</v>
      </c>
      <c r="H16" s="186">
        <v>2.5</v>
      </c>
      <c r="I16" s="186">
        <v>0.3</v>
      </c>
      <c r="J16" s="186">
        <v>0.5</v>
      </c>
      <c r="K16" s="186">
        <v>7.3</v>
      </c>
      <c r="L16" s="186">
        <v>6.8</v>
      </c>
      <c r="M16" s="186">
        <v>6.8</v>
      </c>
      <c r="N16" s="186">
        <v>6.5</v>
      </c>
      <c r="O16" s="186">
        <v>3</v>
      </c>
      <c r="P16" s="186"/>
      <c r="Q16" s="188"/>
      <c r="R16" s="37">
        <f>'18'!Z23</f>
        <v>901</v>
      </c>
      <c r="S16" s="296">
        <f>'18'!AB23</f>
        <v>60.34616469261141</v>
      </c>
      <c r="T16" s="37">
        <f>'18'!Y23</f>
        <v>2758</v>
      </c>
      <c r="U16" s="33" t="str">
        <f>IF('19'!AA23=1,'19'!AR6,'19'!AR7)</f>
        <v>S.A.L</v>
      </c>
      <c r="V16" s="1095"/>
      <c r="W16" s="1095"/>
      <c r="X16" s="13">
        <v>0.45833333333333298</v>
      </c>
      <c r="Y16" s="173">
        <v>2485</v>
      </c>
      <c r="Z16" s="183">
        <v>839</v>
      </c>
      <c r="AA16" s="54">
        <v>1</v>
      </c>
      <c r="AB16" s="58">
        <f>IF('18'!AA16=1,(('18'!Z16*'18'!$AS$6*'18'!$AT$6)/('18'!Y16*0.0036)),IF('18'!AA16=2,(('18'!Z16*'18'!$AS$7*'18'!$AT$7)/('18'!Y16*0.0036))))</f>
        <v>62.366979655712058</v>
      </c>
      <c r="AC16" s="58"/>
      <c r="AD16" s="18">
        <f>(('18'!AC16*'18'!$Q$10*1000000))/('18'!Y16*3600)</f>
        <v>0</v>
      </c>
      <c r="AE16" s="183"/>
      <c r="AF16" s="184">
        <f>('18'!AE16/24)*0.454</f>
        <v>0</v>
      </c>
      <c r="AG16" s="19"/>
      <c r="AH16" s="184">
        <f>('18'!AG16/24)*0.454</f>
        <v>0</v>
      </c>
      <c r="AI16" s="183">
        <v>4400</v>
      </c>
      <c r="AJ16" s="184">
        <f>('18'!AI16/24)*0.454</f>
        <v>83.233333333333334</v>
      </c>
      <c r="AK16" s="21"/>
      <c r="AL16" s="185">
        <f>('18'!AK16/24)*0.454</f>
        <v>0</v>
      </c>
      <c r="AM16" s="21"/>
      <c r="AN16" s="185">
        <f>('18'!AM16/24)*0.454</f>
        <v>0</v>
      </c>
      <c r="AO16" s="21"/>
      <c r="AP16" s="185">
        <f>('18'!AO16/24)*0.454</f>
        <v>0</v>
      </c>
    </row>
    <row r="17" spans="1:42" ht="18.75" customHeight="1">
      <c r="A17" s="28">
        <v>0.83333333333333304</v>
      </c>
      <c r="B17" s="186">
        <v>80</v>
      </c>
      <c r="C17" s="186">
        <v>15</v>
      </c>
      <c r="D17" s="186">
        <v>15</v>
      </c>
      <c r="E17" s="186">
        <v>2.5</v>
      </c>
      <c r="F17" s="186">
        <v>10.8</v>
      </c>
      <c r="G17" s="186">
        <v>2.2000000000000002</v>
      </c>
      <c r="H17" s="186">
        <v>2.2999999999999998</v>
      </c>
      <c r="I17" s="186">
        <v>0.4</v>
      </c>
      <c r="J17" s="186">
        <v>0.6</v>
      </c>
      <c r="K17" s="186">
        <v>7.3</v>
      </c>
      <c r="L17" s="186">
        <v>6.8</v>
      </c>
      <c r="M17" s="186">
        <v>6.8</v>
      </c>
      <c r="N17" s="186">
        <v>6.5</v>
      </c>
      <c r="O17" s="186">
        <v>3</v>
      </c>
      <c r="P17" s="186"/>
      <c r="Q17" s="186"/>
      <c r="R17" s="37">
        <f>'18'!Z25</f>
        <v>901</v>
      </c>
      <c r="S17" s="36">
        <f>'18'!AB25</f>
        <v>60.171627701454177</v>
      </c>
      <c r="T17" s="37">
        <f>'18'!Y25</f>
        <v>2766</v>
      </c>
      <c r="U17" s="33" t="str">
        <f>IF('19'!AA25=1,'19'!AR6,'19'!AR7)</f>
        <v>S.A.L</v>
      </c>
      <c r="V17" s="945">
        <f>ESCALA!$C$20</f>
        <v>0</v>
      </c>
      <c r="W17" s="945"/>
      <c r="X17" s="13">
        <v>0.5</v>
      </c>
      <c r="Y17" s="173">
        <v>2602</v>
      </c>
      <c r="Z17" s="183">
        <v>839</v>
      </c>
      <c r="AA17" s="54">
        <v>1</v>
      </c>
      <c r="AB17" s="58">
        <f>IF('18'!AA17=1,(('18'!Z17*'18'!$AS$6*'18'!$AT$6)/('18'!Y17*0.0036)),IF('18'!AA17=2,(('18'!Z17*'18'!$AS$7*'18'!$AT$7)/('18'!Y17*0.0036))))</f>
        <v>59.562622768810321</v>
      </c>
      <c r="AC17" s="58"/>
      <c r="AD17" s="18">
        <f>(('18'!AC17*'18'!$Q$10*1000000))/('18'!Y17*3600)</f>
        <v>0</v>
      </c>
      <c r="AE17" s="183"/>
      <c r="AF17" s="184">
        <f>('18'!AE17/24)*0.454</f>
        <v>0</v>
      </c>
      <c r="AG17" s="19"/>
      <c r="AH17" s="184">
        <f>('18'!AG17/24)*0.454</f>
        <v>0</v>
      </c>
      <c r="AI17" s="183">
        <v>4400</v>
      </c>
      <c r="AJ17" s="184">
        <f>('18'!AI17/24)*0.454</f>
        <v>83.233333333333334</v>
      </c>
      <c r="AK17" s="21"/>
      <c r="AL17" s="185">
        <f>('18'!AK17/24)*0.454</f>
        <v>0</v>
      </c>
      <c r="AM17" s="21"/>
      <c r="AN17" s="185">
        <f>('18'!AM17/24)*0.454</f>
        <v>0</v>
      </c>
      <c r="AO17" s="21"/>
      <c r="AP17" s="185">
        <f>('18'!AO17/24)*0.454</f>
        <v>0</v>
      </c>
    </row>
    <row r="18" spans="1:42" ht="19.5" customHeight="1">
      <c r="A18" s="28">
        <v>0.91666666666666696</v>
      </c>
      <c r="B18" s="186">
        <v>80</v>
      </c>
      <c r="C18" s="186">
        <v>15</v>
      </c>
      <c r="D18" s="186">
        <v>15</v>
      </c>
      <c r="E18" s="186">
        <v>2.5</v>
      </c>
      <c r="F18" s="186">
        <v>10</v>
      </c>
      <c r="G18" s="186">
        <v>2.1</v>
      </c>
      <c r="H18" s="186">
        <v>2.2000000000000002</v>
      </c>
      <c r="I18" s="186">
        <v>0.5</v>
      </c>
      <c r="J18" s="186">
        <v>0.8</v>
      </c>
      <c r="K18" s="186">
        <v>7.3</v>
      </c>
      <c r="L18" s="186">
        <v>6.8</v>
      </c>
      <c r="M18" s="186">
        <v>6.8</v>
      </c>
      <c r="N18" s="186">
        <v>6.5</v>
      </c>
      <c r="O18" s="186">
        <v>3</v>
      </c>
      <c r="P18" s="186"/>
      <c r="Q18" s="186"/>
      <c r="R18" s="37">
        <f>'18'!Z27</f>
        <v>901</v>
      </c>
      <c r="S18" s="36">
        <f>'18'!AB27</f>
        <v>61.211740427444745</v>
      </c>
      <c r="T18" s="37">
        <f>'18'!Y27</f>
        <v>2719</v>
      </c>
      <c r="U18" s="33" t="str">
        <f>IF('19'!AA27=1,'19'!AR6,'19'!AR7)</f>
        <v>S.A.L</v>
      </c>
      <c r="V18" s="945"/>
      <c r="W18" s="945"/>
      <c r="X18" s="13">
        <v>0.54166666666666696</v>
      </c>
      <c r="Y18" s="173">
        <v>2601</v>
      </c>
      <c r="Z18" s="183">
        <v>839</v>
      </c>
      <c r="AA18" s="54">
        <v>1</v>
      </c>
      <c r="AB18" s="58">
        <f>IF('18'!AA18=1,(('18'!Z18*'18'!$AS$6*'18'!$AT$6)/('18'!Y18*0.0036)),IF('18'!AA18=2,(('18'!Z18*'18'!$AS$7*'18'!$AT$7)/('18'!Y18*0.0036))))</f>
        <v>59.585522662223937</v>
      </c>
      <c r="AC18" s="58"/>
      <c r="AD18" s="18">
        <f>(('18'!AC18*'18'!$Q$10*1000000))/('18'!Y18*3600)</f>
        <v>0</v>
      </c>
      <c r="AE18" s="183"/>
      <c r="AF18" s="184">
        <f>('18'!AE18/24)*0.454</f>
        <v>0</v>
      </c>
      <c r="AG18" s="19"/>
      <c r="AH18" s="184">
        <f>('18'!AG18/24)*0.454</f>
        <v>0</v>
      </c>
      <c r="AI18" s="183">
        <v>4400</v>
      </c>
      <c r="AJ18" s="184">
        <f>('18'!AI18/24)*0.454</f>
        <v>83.233333333333334</v>
      </c>
      <c r="AK18" s="21"/>
      <c r="AL18" s="185">
        <f>('18'!AK18/24)*0.454</f>
        <v>0</v>
      </c>
      <c r="AM18" s="21"/>
      <c r="AN18" s="185">
        <f>('18'!AM18/24)*0.454</f>
        <v>0</v>
      </c>
      <c r="AO18" s="21"/>
      <c r="AP18" s="185">
        <f>('18'!AO18/24)*0.454</f>
        <v>0</v>
      </c>
    </row>
    <row r="19" spans="1:42" ht="18.75" customHeight="1">
      <c r="A19" s="10" t="s">
        <v>52</v>
      </c>
      <c r="B19" s="189">
        <f>AVERAGE('18'!B7:B18)</f>
        <v>80</v>
      </c>
      <c r="C19" s="69">
        <f>AVERAGE('18'!C7:C18)</f>
        <v>12.708333333333334</v>
      </c>
      <c r="D19" s="69">
        <f>AVERAGE('18'!D7:D18)</f>
        <v>12.083333333333334</v>
      </c>
      <c r="E19" s="69">
        <f>AVERAGE('18'!E7:E18)</f>
        <v>2.5</v>
      </c>
      <c r="F19" s="69">
        <f>AVERAGE('18'!F7:F18)</f>
        <v>11.141666666666666</v>
      </c>
      <c r="G19" s="69">
        <f>AVERAGE('18'!G7:G18)</f>
        <v>1.75</v>
      </c>
      <c r="H19" s="69">
        <f>AVERAGE('18'!H7:H18)</f>
        <v>1.7</v>
      </c>
      <c r="I19" s="69">
        <f>AVERAGE('18'!I7:I18)</f>
        <v>0.32499999999999996</v>
      </c>
      <c r="J19" s="69">
        <f>AVERAGE('18'!J7:J18)</f>
        <v>0.47499999999999992</v>
      </c>
      <c r="K19" s="69">
        <f>AVERAGE('18'!K7:K18)</f>
        <v>7.299999999999998</v>
      </c>
      <c r="L19" s="69">
        <f>AVERAGE('18'!L7:L18)</f>
        <v>6.7666666666666657</v>
      </c>
      <c r="M19" s="69">
        <f>AVERAGE('18'!M7:M18)</f>
        <v>6.7666666666666657</v>
      </c>
      <c r="N19" s="69">
        <f>AVERAGE('18'!N7:N18)</f>
        <v>6.4333333333333336</v>
      </c>
      <c r="O19" s="69">
        <f>AVERAGE('18'!O7:O18)</f>
        <v>3</v>
      </c>
      <c r="P19" s="190" t="e">
        <f>AVERAGE('18'!P7:P18)</f>
        <v>#DIV/0!</v>
      </c>
      <c r="Q19" s="191" t="e">
        <f>AVERAGE('18'!Q7:Q18)</f>
        <v>#DIV/0!</v>
      </c>
      <c r="R19" s="191">
        <f>AVERAGE('18'!R7:R18)</f>
        <v>864.83333333333337</v>
      </c>
      <c r="S19" s="191">
        <f>AVERAGE('18'!S7:S18)</f>
        <v>61.901376491867559</v>
      </c>
      <c r="T19" s="946"/>
      <c r="U19" s="946"/>
      <c r="V19" s="49"/>
      <c r="W19" s="50"/>
      <c r="X19" s="13">
        <v>0.58333333333333304</v>
      </c>
      <c r="Y19" s="173">
        <v>2763</v>
      </c>
      <c r="Z19" s="183">
        <v>901</v>
      </c>
      <c r="AA19" s="54">
        <v>1</v>
      </c>
      <c r="AB19" s="58">
        <f>IF('18'!AA19=1,(('18'!Z19*'18'!$AS$6*'18'!$AT$6)/('18'!Y19*0.0036)),IF('18'!AA19=2,(('18'!Z19*'18'!$AS$7*'18'!$AT$7)/('18'!Y19*0.0036))))</f>
        <v>60.236960630554563</v>
      </c>
      <c r="AC19" s="58"/>
      <c r="AD19" s="18">
        <f>(('18'!AC19*'18'!$Q$10*1000000))/('18'!Y19*3600)</f>
        <v>0</v>
      </c>
      <c r="AE19" s="183"/>
      <c r="AF19" s="184">
        <f>('18'!AE19/24)*0.454</f>
        <v>0</v>
      </c>
      <c r="AG19" s="19"/>
      <c r="AH19" s="184">
        <f>('18'!AG19/24)*0.454</f>
        <v>0</v>
      </c>
      <c r="AI19" s="183">
        <v>4400</v>
      </c>
      <c r="AJ19" s="184">
        <f>('18'!AI19/24)*0.454</f>
        <v>83.233333333333334</v>
      </c>
      <c r="AK19" s="21"/>
      <c r="AL19" s="185">
        <f>('18'!AK19/24)*0.454</f>
        <v>0</v>
      </c>
      <c r="AM19" s="21"/>
      <c r="AN19" s="185">
        <f>('18'!AM19/24)*0.454</f>
        <v>0</v>
      </c>
      <c r="AO19" s="21"/>
      <c r="AP19" s="185">
        <f>('18'!AO19/24)*0.454</f>
        <v>0</v>
      </c>
    </row>
    <row r="20" spans="1:42" ht="18.75" customHeight="1">
      <c r="A20" s="10" t="s">
        <v>53</v>
      </c>
      <c r="B20" s="189">
        <f>MAX('18'!B7:B18)</f>
        <v>80</v>
      </c>
      <c r="C20" s="189">
        <f>MAX('18'!C7:C18)</f>
        <v>15</v>
      </c>
      <c r="D20" s="69">
        <f>MAX('18'!D7:D18)</f>
        <v>15</v>
      </c>
      <c r="E20" s="69">
        <f>MAX('18'!E7:E18)</f>
        <v>2.5</v>
      </c>
      <c r="F20" s="69">
        <f>MAX('18'!F7:F18)</f>
        <v>13</v>
      </c>
      <c r="G20" s="69">
        <f>MAX('18'!G7:G18)</f>
        <v>2.5</v>
      </c>
      <c r="H20" s="69">
        <f>MAX('18'!H7:H18)</f>
        <v>2.5</v>
      </c>
      <c r="I20" s="69">
        <f>MAX('18'!I7:I18)</f>
        <v>0.5</v>
      </c>
      <c r="J20" s="69">
        <f>MAX('18'!J7:J18)</f>
        <v>0.8</v>
      </c>
      <c r="K20" s="69">
        <f>MAX('18'!K7:K18)</f>
        <v>7.3</v>
      </c>
      <c r="L20" s="69">
        <f>MAX('18'!L7:L18)</f>
        <v>6.8</v>
      </c>
      <c r="M20" s="69">
        <f>MAX('18'!M7:M18)</f>
        <v>6.8</v>
      </c>
      <c r="N20" s="69">
        <f>MAX('18'!N7:N18)</f>
        <v>6.5</v>
      </c>
      <c r="O20" s="70">
        <f>MAX('18'!O7:O18)</f>
        <v>3</v>
      </c>
      <c r="P20" s="70">
        <f>MAX('18'!P7:P18)</f>
        <v>0</v>
      </c>
      <c r="Q20" s="70">
        <f>MAX('18'!Q7:Q18)</f>
        <v>0</v>
      </c>
      <c r="R20" s="70">
        <f>MAX('18'!R7:R18)</f>
        <v>901</v>
      </c>
      <c r="S20" s="70">
        <f>MAX('18'!S7:S18)</f>
        <v>64.52204181700435</v>
      </c>
      <c r="T20" s="946"/>
      <c r="U20" s="946"/>
      <c r="X20" s="13">
        <v>0.625</v>
      </c>
      <c r="Y20" s="173">
        <v>2733</v>
      </c>
      <c r="Z20" s="183">
        <v>901</v>
      </c>
      <c r="AA20" s="54">
        <v>1</v>
      </c>
      <c r="AB20" s="58">
        <f>IF('18'!AA20=1,(('18'!Z20*'18'!$AS$6*'18'!$AT$6)/('18'!Y20*0.0036)),IF('18'!AA20=2,(('18'!Z20*'18'!$AS$7*'18'!$AT$7)/('18'!Y20*0.0036))))</f>
        <v>60.898178639671521</v>
      </c>
      <c r="AC20" s="58"/>
      <c r="AD20" s="18">
        <f>(('18'!AC20*'18'!$Q$10*1000000))/('18'!Y20*3600)</f>
        <v>0</v>
      </c>
      <c r="AE20" s="183"/>
      <c r="AF20" s="184">
        <f>('18'!AE20/24)*0.454</f>
        <v>0</v>
      </c>
      <c r="AG20" s="19"/>
      <c r="AH20" s="184">
        <f>('18'!AG20/24)*0.454</f>
        <v>0</v>
      </c>
      <c r="AI20" s="183">
        <v>4400</v>
      </c>
      <c r="AJ20" s="184">
        <f>('18'!AI20/24)*0.454</f>
        <v>83.233333333333334</v>
      </c>
      <c r="AK20" s="21"/>
      <c r="AL20" s="185">
        <f>('18'!AK20/24)*0.454</f>
        <v>0</v>
      </c>
      <c r="AM20" s="21"/>
      <c r="AN20" s="185">
        <f>('18'!AM20/24)*0.454</f>
        <v>0</v>
      </c>
      <c r="AO20" s="21"/>
      <c r="AP20" s="185">
        <f>('18'!AO20/24)*0.454</f>
        <v>0</v>
      </c>
    </row>
    <row r="21" spans="1:42" ht="19.5" customHeight="1">
      <c r="A21" s="10" t="s">
        <v>54</v>
      </c>
      <c r="B21" s="189">
        <f>MIN('18'!B7:B18)</f>
        <v>80</v>
      </c>
      <c r="C21" s="69">
        <f>MIN('18'!C7:C18)</f>
        <v>10</v>
      </c>
      <c r="D21" s="69">
        <f>MIN('18'!D7:D18)</f>
        <v>10</v>
      </c>
      <c r="E21" s="69">
        <f>MIN('18'!E7:E18)</f>
        <v>2.5</v>
      </c>
      <c r="F21" s="69">
        <f>MIN('18'!F7:F18)</f>
        <v>9.8000000000000007</v>
      </c>
      <c r="G21" s="192">
        <f>MIN('18'!G7:G18)</f>
        <v>1.3</v>
      </c>
      <c r="H21" s="192">
        <f>MIN('18'!H7:H18)</f>
        <v>1.2</v>
      </c>
      <c r="I21" s="192">
        <f>MIN('18'!I7:I18)</f>
        <v>0.3</v>
      </c>
      <c r="J21" s="192">
        <f>MIN('18'!J7:J18)</f>
        <v>0.4</v>
      </c>
      <c r="K21" s="192">
        <f>MIN('18'!K7:K18)</f>
        <v>7.3</v>
      </c>
      <c r="L21" s="192">
        <f>MIN('18'!L7:L18)</f>
        <v>6.7</v>
      </c>
      <c r="M21" s="192">
        <f>MIN('18'!M7:M18)</f>
        <v>6.7</v>
      </c>
      <c r="N21" s="192">
        <f>MIN('18'!N7:N18)</f>
        <v>6.3</v>
      </c>
      <c r="O21" s="193">
        <f>MIN('18'!O7:O18)</f>
        <v>3</v>
      </c>
      <c r="P21" s="193">
        <f>MIN('18'!P7:P18)</f>
        <v>0</v>
      </c>
      <c r="Q21" s="193">
        <f>MIN('18'!Q7:Q18)</f>
        <v>0</v>
      </c>
      <c r="R21" s="193">
        <f>MIN('18'!R7:R18)</f>
        <v>839</v>
      </c>
      <c r="S21" s="193">
        <f>MIN('18'!S7:S18)</f>
        <v>59.145245992260925</v>
      </c>
      <c r="T21" s="946"/>
      <c r="U21" s="946"/>
      <c r="X21" s="13">
        <v>0.66666666666666696</v>
      </c>
      <c r="Y21" s="173">
        <v>2814</v>
      </c>
      <c r="Z21" s="183">
        <v>901</v>
      </c>
      <c r="AA21" s="54">
        <v>1</v>
      </c>
      <c r="AB21" s="58">
        <f>IF('18'!AA21=1,(('18'!Z21*'18'!$AS$6*'18'!$AT$6)/('18'!Y21*0.0036)),IF('18'!AA21=2,(('18'!Z21*'18'!$AS$7*'18'!$AT$7)/('18'!Y21*0.0036))))</f>
        <v>59.145245992260925</v>
      </c>
      <c r="AC21" s="58"/>
      <c r="AD21" s="18">
        <f>(('18'!AC21*'18'!$Q$10*1000000))/('18'!Y21*3600)</f>
        <v>0</v>
      </c>
      <c r="AE21" s="183"/>
      <c r="AF21" s="184">
        <f>('18'!AE21/24)*0.454</f>
        <v>0</v>
      </c>
      <c r="AG21" s="19"/>
      <c r="AH21" s="184">
        <f>('18'!AG21/24)*0.454</f>
        <v>0</v>
      </c>
      <c r="AI21" s="183">
        <v>4400</v>
      </c>
      <c r="AJ21" s="184">
        <f>('18'!AI21/24)*0.454</f>
        <v>83.233333333333334</v>
      </c>
      <c r="AK21" s="21"/>
      <c r="AL21" s="185">
        <f>('18'!AK21/24)*0.454</f>
        <v>0</v>
      </c>
      <c r="AM21" s="21"/>
      <c r="AN21" s="185">
        <f>('18'!AM21/24)*0.454</f>
        <v>0</v>
      </c>
      <c r="AO21" s="21"/>
      <c r="AP21" s="185">
        <f>('18'!AO21/24)*0.454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173">
        <v>2817</v>
      </c>
      <c r="Z22" s="183">
        <v>901</v>
      </c>
      <c r="AA22" s="54">
        <v>1</v>
      </c>
      <c r="AB22" s="58">
        <f>IF('18'!AA22=1,(('18'!Z22*'18'!$AS$6*'18'!$AT$6)/('18'!Y22*0.0036)),IF('18'!AA22=2,(('18'!Z22*'18'!$AS$7*'18'!$AT$7)/('18'!Y22*0.0036))))</f>
        <v>59.082258509841054</v>
      </c>
      <c r="AC22" s="58"/>
      <c r="AD22" s="18">
        <f>(('18'!AC22*'18'!$Q$10*1000000))/('18'!Y22*3600)</f>
        <v>0</v>
      </c>
      <c r="AE22" s="183"/>
      <c r="AF22" s="184">
        <f>('18'!AE22/24)*0.454</f>
        <v>0</v>
      </c>
      <c r="AG22" s="19"/>
      <c r="AH22" s="184">
        <f>('18'!AG22/24)*0.454</f>
        <v>0</v>
      </c>
      <c r="AI22" s="183">
        <v>4400</v>
      </c>
      <c r="AJ22" s="184">
        <f>('18'!AI22/24)*0.454</f>
        <v>83.233333333333334</v>
      </c>
      <c r="AK22" s="21"/>
      <c r="AL22" s="185">
        <f>('18'!AK22/24)*0.454</f>
        <v>0</v>
      </c>
      <c r="AM22" s="21"/>
      <c r="AN22" s="185">
        <f>('18'!AM22/24)*0.454</f>
        <v>0</v>
      </c>
      <c r="AO22" s="21"/>
      <c r="AP22" s="185">
        <f>('18'!AO22/24)*0.454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173">
        <v>2758</v>
      </c>
      <c r="Z23" s="183">
        <v>901</v>
      </c>
      <c r="AA23" s="54">
        <v>1</v>
      </c>
      <c r="AB23" s="58">
        <f>IF('18'!AA23=1,(('18'!Z23*'18'!$AS$6*'18'!$AT$6)/('18'!Y23*0.0036)),IF('18'!AA23=2,(('18'!Z23*'18'!$AS$7*'18'!$AT$7)/('18'!Y23*0.0036))))</f>
        <v>60.34616469261141</v>
      </c>
      <c r="AC23" s="58"/>
      <c r="AD23" s="18">
        <f>(('18'!AC23*'18'!$Q$10*1000000))/('18'!Y23*3600)</f>
        <v>0</v>
      </c>
      <c r="AE23" s="183"/>
      <c r="AF23" s="184">
        <f>('18'!AE23/24)*0.454</f>
        <v>0</v>
      </c>
      <c r="AG23" s="19"/>
      <c r="AH23" s="184">
        <f>('18'!AG23/24)*0.454</f>
        <v>0</v>
      </c>
      <c r="AI23" s="183">
        <v>4400</v>
      </c>
      <c r="AJ23" s="184">
        <f>('18'!AI23/24)*0.454</f>
        <v>83.233333333333334</v>
      </c>
      <c r="AK23" s="21"/>
      <c r="AL23" s="185">
        <f>('18'!AK23/24)*0.454</f>
        <v>0</v>
      </c>
      <c r="AM23" s="21"/>
      <c r="AN23" s="185">
        <f>('18'!AM23/24)*0.454</f>
        <v>0</v>
      </c>
      <c r="AO23" s="21"/>
      <c r="AP23" s="185">
        <f>('18'!AO23/24)*0.454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173">
        <v>2791</v>
      </c>
      <c r="Z24" s="183">
        <v>901</v>
      </c>
      <c r="AA24" s="54">
        <v>1</v>
      </c>
      <c r="AB24" s="16">
        <f>IF('18'!AA24=1,(('18'!Z24*'18'!$AS$6*'18'!$AT$6)/('18'!Y24*0.0036)),IF('18'!AA24=2,(('18'!Z24*'18'!$AS$7*'18'!$AT$7)/('18'!Y24*0.0036))))</f>
        <v>59.632648592698764</v>
      </c>
      <c r="AC24" s="16"/>
      <c r="AD24" s="194">
        <f>(('18'!AC24*'18'!$Q$10*1000000))/('18'!Y24*3600)</f>
        <v>0</v>
      </c>
      <c r="AE24" s="183"/>
      <c r="AF24" s="195">
        <f>('18'!AE24/24)*0.454</f>
        <v>0</v>
      </c>
      <c r="AG24" s="19"/>
      <c r="AH24" s="195">
        <f>('18'!AG24/24)*0.454</f>
        <v>0</v>
      </c>
      <c r="AI24" s="183">
        <v>4400</v>
      </c>
      <c r="AJ24" s="184">
        <f>('18'!AI24/24)*0.454</f>
        <v>83.233333333333334</v>
      </c>
      <c r="AK24" s="21"/>
      <c r="AL24" s="196">
        <f>('18'!AK24/24)*0.454</f>
        <v>0</v>
      </c>
      <c r="AM24" s="197"/>
      <c r="AN24" s="196">
        <f>('18'!AM24/24)*0.454</f>
        <v>0</v>
      </c>
      <c r="AO24" s="21"/>
      <c r="AP24" s="196">
        <f>('18'!AO24/24)*0.454</f>
        <v>0</v>
      </c>
    </row>
    <row r="25" spans="1:42" ht="19.5" customHeight="1">
      <c r="A25" s="64">
        <v>0.41666666666666702</v>
      </c>
      <c r="B25" s="198"/>
      <c r="C25" s="198">
        <v>0.37</v>
      </c>
      <c r="D25" s="198">
        <v>0.35</v>
      </c>
      <c r="E25" s="198">
        <v>0.48</v>
      </c>
      <c r="F25" s="198">
        <v>0.32</v>
      </c>
      <c r="G25" s="198">
        <v>0.39</v>
      </c>
      <c r="H25" s="198">
        <v>0.36</v>
      </c>
      <c r="I25" s="198">
        <v>0.5</v>
      </c>
      <c r="J25" s="198">
        <v>0.39</v>
      </c>
      <c r="K25" s="198">
        <v>0.39</v>
      </c>
      <c r="L25" s="198">
        <v>0.31</v>
      </c>
      <c r="M25" s="198">
        <v>0.42</v>
      </c>
      <c r="N25" s="198">
        <v>0.4</v>
      </c>
      <c r="O25" s="198">
        <v>0.44</v>
      </c>
      <c r="P25" s="198">
        <v>0.45</v>
      </c>
      <c r="Q25" s="198"/>
      <c r="R25" s="65" t="e">
        <f>#DIV/0!</f>
        <v>#DIV/0!</v>
      </c>
      <c r="S25" s="66"/>
      <c r="T25" s="1065" t="s">
        <v>0</v>
      </c>
      <c r="U25" s="1053">
        <f>ESCALA!$A$20</f>
        <v>43908</v>
      </c>
      <c r="X25" s="13">
        <v>0.83333333333333304</v>
      </c>
      <c r="Y25" s="173">
        <v>2766</v>
      </c>
      <c r="Z25" s="183">
        <v>901</v>
      </c>
      <c r="AA25" s="54">
        <v>1</v>
      </c>
      <c r="AB25" s="58">
        <f>IF('18'!AA25=1,(('18'!Z25*'18'!$AS$6*'18'!$AT$6)/('18'!Y25*0.0036)),IF('18'!AA25=2,(('18'!Z25*'18'!$AS$7*'18'!$AT$7)/('18'!Y25*0.0036))))</f>
        <v>60.171627701454177</v>
      </c>
      <c r="AC25" s="58"/>
      <c r="AD25" s="18">
        <f>(('18'!AC25*'18'!$Q$10*1000000))/('18'!Y25*3600)</f>
        <v>0</v>
      </c>
      <c r="AE25" s="183"/>
      <c r="AF25" s="184">
        <f>('18'!AE25/24)*0.454</f>
        <v>0</v>
      </c>
      <c r="AG25" s="19"/>
      <c r="AH25" s="184">
        <f>('18'!AG25/24)*0.454</f>
        <v>0</v>
      </c>
      <c r="AI25" s="183">
        <v>4400</v>
      </c>
      <c r="AJ25" s="184">
        <f>('18'!AI25/24)*0.454</f>
        <v>83.233333333333334</v>
      </c>
      <c r="AK25" s="21"/>
      <c r="AL25" s="185">
        <f>('18'!AK25/24)*0.454</f>
        <v>0</v>
      </c>
      <c r="AM25" s="21"/>
      <c r="AN25" s="185">
        <f>('18'!AM25/24)*0.454</f>
        <v>0</v>
      </c>
      <c r="AO25" s="21"/>
      <c r="AP25" s="185">
        <f>('18'!AO25/24)*0.454</f>
        <v>0</v>
      </c>
    </row>
    <row r="26" spans="1:42" ht="19.5" customHeight="1">
      <c r="A26" s="64">
        <v>0.66666666666666696</v>
      </c>
      <c r="B26" s="198"/>
      <c r="C26" s="198"/>
      <c r="D26" s="198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65" t="e">
        <f>#DIV/0!</f>
        <v>#DIV/0!</v>
      </c>
      <c r="S26" s="67"/>
      <c r="T26" s="1065"/>
      <c r="U26" s="1053"/>
      <c r="X26" s="13">
        <v>0.875</v>
      </c>
      <c r="Y26" s="173">
        <v>2765</v>
      </c>
      <c r="Z26" s="183">
        <v>901</v>
      </c>
      <c r="AA26" s="54">
        <v>1</v>
      </c>
      <c r="AB26" s="58">
        <f>IF('18'!AA26=1,(('18'!Z26*'18'!$AS$6*'18'!$AT$6)/('18'!Y26*0.0036)),IF('18'!AA26=2,(('18'!Z26*'18'!$AS$7*'18'!$AT$7)/('18'!Y26*0.0036))))</f>
        <v>60.193389592123786</v>
      </c>
      <c r="AC26" s="58"/>
      <c r="AD26" s="18">
        <f>(('18'!AC26*'18'!$Q$10*1000000))/('18'!Y26*3600)</f>
        <v>0</v>
      </c>
      <c r="AE26" s="183"/>
      <c r="AF26" s="184">
        <f>('18'!AE26/24)*0.454</f>
        <v>0</v>
      </c>
      <c r="AG26" s="19"/>
      <c r="AH26" s="184">
        <f>('18'!AG26/24)*0.454</f>
        <v>0</v>
      </c>
      <c r="AI26" s="183">
        <v>4400</v>
      </c>
      <c r="AJ26" s="184">
        <f>('18'!AI26/24)*0.454</f>
        <v>83.233333333333334</v>
      </c>
      <c r="AK26" s="21"/>
      <c r="AL26" s="185">
        <f>('18'!AK26/24)*0.454</f>
        <v>0</v>
      </c>
      <c r="AM26" s="21"/>
      <c r="AN26" s="185">
        <f>('18'!AM26/24)*0.454</f>
        <v>0</v>
      </c>
      <c r="AO26" s="21"/>
      <c r="AP26" s="185">
        <f>('18'!AO26/24)*0.454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173">
        <v>2719</v>
      </c>
      <c r="Z27" s="183">
        <v>901</v>
      </c>
      <c r="AA27" s="54">
        <v>1</v>
      </c>
      <c r="AB27" s="58">
        <f>IF('18'!AA27=1,(('18'!Z27*'18'!$AS$6*'18'!$AT$6)/('18'!Y27*0.0036)),IF('18'!AA27=2,(('18'!Z27*'18'!$AS$7*'18'!$AT$7)/('18'!Y27*0.0036))))</f>
        <v>61.211740427444745</v>
      </c>
      <c r="AC27" s="58"/>
      <c r="AD27" s="18">
        <f>(('18'!AC27*'18'!$Q$10*1000000))/('18'!Y27*3600)</f>
        <v>0</v>
      </c>
      <c r="AE27" s="183"/>
      <c r="AF27" s="184">
        <f>('18'!AE27/24)*0.454</f>
        <v>0</v>
      </c>
      <c r="AG27" s="19"/>
      <c r="AH27" s="184">
        <f>('18'!AG27/24)*0.454</f>
        <v>0</v>
      </c>
      <c r="AI27" s="183">
        <v>4400</v>
      </c>
      <c r="AJ27" s="184">
        <f>('18'!AI27/24)*0.454</f>
        <v>83.233333333333334</v>
      </c>
      <c r="AK27" s="21"/>
      <c r="AL27" s="185">
        <f>('18'!AK27/24)*0.454</f>
        <v>0</v>
      </c>
      <c r="AM27" s="21"/>
      <c r="AN27" s="185">
        <f>('18'!AM27/24)*0.454</f>
        <v>0</v>
      </c>
      <c r="AO27" s="21"/>
      <c r="AP27" s="185">
        <f>('18'!AO27/24)*0.454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3">
        <v>2624</v>
      </c>
      <c r="Z28" s="183">
        <v>901</v>
      </c>
      <c r="AA28" s="54">
        <v>1</v>
      </c>
      <c r="AB28" s="58">
        <f>IF('18'!AA28=1,(('18'!Z28*'18'!$AS$6*'18'!$AT$6)/('18'!Y28*0.0036)),IF('18'!AA28=2,(('18'!Z28*'18'!$AS$7*'18'!$AT$7)/('18'!Y28*0.0036))))</f>
        <v>63.427866700542012</v>
      </c>
      <c r="AC28" s="58"/>
      <c r="AD28" s="18">
        <f>(('18'!AC28*'18'!$Q$10*1000000))/('18'!Y28*3600)</f>
        <v>0</v>
      </c>
      <c r="AE28" s="183"/>
      <c r="AF28" s="184">
        <f>('18'!AE28/24)*0.454</f>
        <v>0</v>
      </c>
      <c r="AG28" s="19"/>
      <c r="AH28" s="184">
        <f>('18'!AG28/24)*0.454</f>
        <v>0</v>
      </c>
      <c r="AI28" s="183">
        <v>4400</v>
      </c>
      <c r="AJ28" s="184">
        <f>('18'!AI28/24)*0.454</f>
        <v>83.233333333333334</v>
      </c>
      <c r="AK28" s="21"/>
      <c r="AL28" s="185">
        <f>('18'!AK28/24)*0.454</f>
        <v>0</v>
      </c>
      <c r="AM28" s="21"/>
      <c r="AN28" s="185">
        <f>('18'!AM28/24)*0.454</f>
        <v>0</v>
      </c>
      <c r="AO28" s="21"/>
      <c r="AP28" s="185">
        <f>('18'!AO28/24)*0.454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3">
        <v>2565</v>
      </c>
      <c r="Z29" s="183">
        <v>901</v>
      </c>
      <c r="AA29" s="54">
        <v>1</v>
      </c>
      <c r="AB29" s="58">
        <f>IF('18'!AA29=1,(('18'!Z29*'18'!$AS$6*'18'!$AT$6)/('18'!Y29*0.0036)),IF('18'!AA29=2,(('18'!Z29*'18'!$AS$7*'18'!$AT$7)/('18'!Y29*0.0036))))</f>
        <v>64.886831275720169</v>
      </c>
      <c r="AC29" s="58"/>
      <c r="AD29" s="18">
        <f>(('18'!AC29*'18'!$Q$10*1000000))/('18'!Y29*3600)</f>
        <v>0</v>
      </c>
      <c r="AE29" s="183"/>
      <c r="AF29" s="184">
        <f>('18'!AE29/24)*0.454</f>
        <v>0</v>
      </c>
      <c r="AG29" s="19"/>
      <c r="AH29" s="184">
        <f>('18'!AG29/24)*0.454</f>
        <v>0</v>
      </c>
      <c r="AI29" s="183">
        <v>4400</v>
      </c>
      <c r="AJ29" s="184">
        <f>('18'!AI29/24)*0.454</f>
        <v>83.233333333333334</v>
      </c>
      <c r="AK29" s="21"/>
      <c r="AL29" s="185">
        <f>('18'!AK29/24)*0.454</f>
        <v>0</v>
      </c>
      <c r="AM29" s="21"/>
      <c r="AN29" s="185">
        <f>('18'!AM29/24)*0.454</f>
        <v>0</v>
      </c>
      <c r="AO29" s="21"/>
      <c r="AP29" s="185">
        <f>('18'!AO29/24)*0.454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SUM('18'!Y6:Y29)*3.6</f>
        <v>224038.80000000002</v>
      </c>
      <c r="Z30" s="297">
        <f>SUM('18'!Z6:Z29)</f>
        <v>20818</v>
      </c>
      <c r="AA30" s="78"/>
      <c r="AB30" s="79"/>
      <c r="AC30" s="78"/>
      <c r="AD30" s="79"/>
      <c r="AE30" s="34"/>
      <c r="AF30" s="184">
        <f>SUM('18'!AF6:AF29)</f>
        <v>0</v>
      </c>
      <c r="AG30" s="34"/>
      <c r="AH30" s="184">
        <f>SUM('18'!AH6:AH29)</f>
        <v>0</v>
      </c>
      <c r="AI30" s="184"/>
      <c r="AJ30" s="184">
        <f>SUM('18'!AJ6:AJ29)</f>
        <v>1997.6000000000001</v>
      </c>
      <c r="AK30" s="80"/>
      <c r="AL30" s="185">
        <f>SUM('18'!AL6:AL29)</f>
        <v>0</v>
      </c>
      <c r="AM30" s="80"/>
      <c r="AN30" s="185">
        <f>SUM('18'!AN6:AN29)</f>
        <v>0</v>
      </c>
      <c r="AO30" s="80"/>
      <c r="AP30" s="185">
        <f>SUM('18'!AP6:AP29)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SUMIF('18'!AA6:AA29,"=1",'18'!Z6:Z29)</f>
        <v>20818</v>
      </c>
      <c r="AA32" s="82">
        <f>'18'!Z32*'18'!AS6</f>
        <v>27687.940000000002</v>
      </c>
      <c r="AB32" s="83">
        <f>SUMIF('18'!$AA$6:$AA$29,"=1",'18'!$AB$6:$AB$29)/COUNTIF('18'!$AA$6:$AA$29,"=1")</f>
        <v>61.885530381021994</v>
      </c>
      <c r="AC32" s="84">
        <f>SUMIF('18'!AA6:AA29,"=1",'18'!AC6:AC29)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SUMIF('18'!AA6:AA29,"=2",'18'!Z6:Z29)</f>
        <v>0</v>
      </c>
      <c r="AA33" s="82">
        <f>'18'!Z33*'18'!AS7</f>
        <v>0</v>
      </c>
      <c r="AB33" s="83" t="e">
        <f>SUMIF('18'!$AA$6:$AA$29,"=2",'18'!$AB$6:$AB$29)/COUNTIF('18'!$AA$6:$AA$29,"=2")</f>
        <v>#DIV/0!</v>
      </c>
      <c r="AC33" s="89">
        <f>SUMIF('18'!AA6:AA29,"=2",'18'!AC6:AC29)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 t="s">
        <v>145</v>
      </c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AVERAGE('18'!Y6:Y29)</f>
        <v>2593.0416666666665</v>
      </c>
      <c r="Z34" s="96">
        <f>AVERAGE('18'!Z6:Z29)</f>
        <v>867.41666666666663</v>
      </c>
      <c r="AA34" s="97"/>
      <c r="AB34" s="97"/>
      <c r="AC34" s="98">
        <f>SUM('18'!AC6:AC29)/COUNTIF('18'!AC6:AC29,"&lt;&gt;0")</f>
        <v>0</v>
      </c>
      <c r="AD34" s="99" t="e">
        <f>SUM('18'!AD6:AD29)/COUNTIF('18'!AD6:AD29,"&lt;&gt;0")</f>
        <v>#DIV/0!</v>
      </c>
      <c r="AE34" s="78"/>
      <c r="AF34" s="98">
        <f>AVERAGE('18'!AF6:AF29)</f>
        <v>0</v>
      </c>
      <c r="AG34" s="98"/>
      <c r="AH34" s="98">
        <f>AVERAGE('18'!AH6:AH29)</f>
        <v>0</v>
      </c>
      <c r="AI34" s="98"/>
      <c r="AJ34" s="98">
        <f>'18'!AJ30/24</f>
        <v>83.233333333333334</v>
      </c>
      <c r="AK34" s="98"/>
      <c r="AL34" s="98">
        <f>AVERAGE('18'!AL6:AL29)</f>
        <v>0</v>
      </c>
      <c r="AM34" s="98"/>
      <c r="AN34" s="98">
        <f>AVERAGE('18'!AN6:AN29)</f>
        <v>0</v>
      </c>
      <c r="AO34" s="98"/>
      <c r="AP34" s="98">
        <f>AVERAGE('18'!AP6:AP29)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96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96"/>
      <c r="X36" s="105" t="s">
        <v>73</v>
      </c>
      <c r="Y36" s="106"/>
      <c r="Z36" s="107"/>
      <c r="AA36" s="298" t="s">
        <v>74</v>
      </c>
      <c r="AB36" s="106">
        <v>6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80.7</v>
      </c>
      <c r="D37" s="186">
        <v>62.5</v>
      </c>
      <c r="E37" s="186">
        <v>52.5</v>
      </c>
      <c r="F37" s="186">
        <v>1</v>
      </c>
      <c r="G37" s="183">
        <v>0.1</v>
      </c>
      <c r="H37" s="183">
        <v>0.1</v>
      </c>
      <c r="I37" s="183">
        <v>0.12</v>
      </c>
      <c r="J37" s="183">
        <v>0.1</v>
      </c>
      <c r="K37" s="183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99">
        <f>'18'!V12</f>
        <v>0</v>
      </c>
      <c r="X37" s="962" t="s">
        <v>75</v>
      </c>
      <c r="Y37" s="962"/>
      <c r="Z37" s="110">
        <f>COUNTA('18'!Z6:Z29)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206"/>
      <c r="X38" s="112"/>
      <c r="Y38" s="112"/>
      <c r="Z38" s="113"/>
      <c r="AA38" s="111"/>
      <c r="AB38" s="111"/>
      <c r="AJ38" s="210" t="s">
        <v>78</v>
      </c>
      <c r="AK38" s="211">
        <f>SUM('18'!AF30+'18'!AH30)*1.0561</f>
        <v>0</v>
      </c>
      <c r="AL38" s="210" t="s">
        <v>78</v>
      </c>
      <c r="AM38" s="212">
        <f>SUM('18'!AL30+'18'!AN30)</f>
        <v>0</v>
      </c>
      <c r="AO38" s="210" t="s">
        <v>78</v>
      </c>
      <c r="AP38" s="211">
        <f>'18'!AJ30</f>
        <v>1997.6000000000001</v>
      </c>
      <c r="AQ38" s="210" t="s">
        <v>78</v>
      </c>
      <c r="AR38" s="212">
        <f>'18'!AP30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300"/>
      <c r="V39" s="122"/>
      <c r="X39" s="112"/>
      <c r="Y39" s="112"/>
      <c r="Z39" s="113"/>
      <c r="AA39" s="111"/>
      <c r="AB39" s="111"/>
      <c r="AJ39" s="213" t="s">
        <v>86</v>
      </c>
      <c r="AK39" s="214">
        <f>('18'!AK38/'18'!Y30)*1000</f>
        <v>0</v>
      </c>
      <c r="AL39" s="215" t="s">
        <v>86</v>
      </c>
      <c r="AM39" s="216">
        <f>('18'!AM38/'18'!Y30)*1000</f>
        <v>0</v>
      </c>
      <c r="AO39" s="213" t="s">
        <v>86</v>
      </c>
      <c r="AP39" s="214">
        <f>('18'!AP38/'18'!Y30)*1000</f>
        <v>8.916312710119854</v>
      </c>
      <c r="AQ39" s="215" t="s">
        <v>86</v>
      </c>
      <c r="AR39" s="216">
        <f>('18'!AR38/'18'!Y30)*1000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301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SUM('18'!AK38,'18'!AM38)</f>
        <v>0</v>
      </c>
      <c r="AM40" s="975"/>
      <c r="AO40" s="976" t="s">
        <v>90</v>
      </c>
      <c r="AP40" s="976"/>
      <c r="AQ40" s="977">
        <f>SUM('18'!AP38,'18'!AR38)</f>
        <v>1997.6000000000001</v>
      </c>
      <c r="AR40" s="977"/>
    </row>
    <row r="41" spans="1:44" ht="16.5" customHeight="1">
      <c r="A41" s="133">
        <f>COUNTA('18'!E7:E18)</f>
        <v>12</v>
      </c>
      <c r="B41" s="134">
        <f>COUNTA('18'!I7:I18)</f>
        <v>12</v>
      </c>
      <c r="C41" s="978">
        <f>COUNTA('18'!J7:J18)</f>
        <v>12</v>
      </c>
      <c r="D41" s="978">
        <f>COUNTA('18'!K7:K18)</f>
        <v>12</v>
      </c>
      <c r="E41" s="978">
        <f>COUNTIF('18'!E7:E18,"&gt;15")</f>
        <v>0</v>
      </c>
      <c r="F41" s="978"/>
      <c r="G41" s="978">
        <f>COUNTIF('18'!J7:J18,"&gt;1")</f>
        <v>0</v>
      </c>
      <c r="H41" s="978"/>
      <c r="I41" s="135"/>
      <c r="J41" s="978">
        <f>'18'!A41-'18'!E41</f>
        <v>12</v>
      </c>
      <c r="K41" s="978"/>
      <c r="L41" s="978">
        <f>'18'!C41-'18'!G41</f>
        <v>12</v>
      </c>
      <c r="M41" s="978"/>
      <c r="N41" s="135"/>
      <c r="O41" s="979">
        <f>COUNTIF('18'!J7:J18,"&lt;=0,5")</f>
        <v>10</v>
      </c>
      <c r="P41" s="979"/>
      <c r="Q41" s="979"/>
      <c r="R41" s="969"/>
      <c r="S41" s="980">
        <f>COUNTIF('18'!J7:J18,"&lt;=1,0")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SUM(('18'!AK38+'18'!AM38)/'18'!Y30)*1000</f>
        <v>0</v>
      </c>
      <c r="AM41" s="981"/>
      <c r="AO41" s="976" t="s">
        <v>91</v>
      </c>
      <c r="AP41" s="976"/>
      <c r="AQ41" s="981">
        <f>SUM(('18'!AP38+'18'!AR38)/'18'!Y30)*1000</f>
        <v>8.916312710119854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>
        <v>143</v>
      </c>
      <c r="Z44" s="144" t="s">
        <v>101</v>
      </c>
      <c r="AA44" s="145"/>
      <c r="AB44" s="144" t="s">
        <v>101</v>
      </c>
      <c r="AC44" s="145">
        <v>101</v>
      </c>
      <c r="AD44" s="988"/>
      <c r="AE44" s="988"/>
      <c r="AF44" s="989" t="s">
        <v>102</v>
      </c>
      <c r="AG44" s="1002">
        <f>SUM('18'!Y45,'18'!AA45,'18'!AC45,'18'!AE45)</f>
        <v>256915.6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COUNTIF('18'!I7:I18,"&lt;=5,0")</f>
        <v>12</v>
      </c>
      <c r="I45" s="992"/>
      <c r="J45" s="992"/>
      <c r="K45" s="135"/>
      <c r="L45" s="974">
        <f>COUNTA('18'!L37)</f>
        <v>1</v>
      </c>
      <c r="M45" s="974"/>
      <c r="O45" s="146"/>
      <c r="P45" s="147"/>
      <c r="Q45" s="993">
        <f>'18'!S41-'18'!O41</f>
        <v>2</v>
      </c>
      <c r="R45" s="993"/>
      <c r="S45" s="993"/>
      <c r="T45" s="148"/>
      <c r="X45" s="149" t="s">
        <v>104</v>
      </c>
      <c r="Y45" s="150">
        <f>'18'!Y44*275.3</f>
        <v>39367.9</v>
      </c>
      <c r="Z45" s="149" t="s">
        <v>104</v>
      </c>
      <c r="AA45" s="150">
        <f>262.4*'18'!AA44</f>
        <v>0</v>
      </c>
      <c r="AB45" s="149" t="s">
        <v>104</v>
      </c>
      <c r="AC45" s="150">
        <f>'18'!AC44*277.7</f>
        <v>28047.699999999997</v>
      </c>
      <c r="AD45" s="149" t="s">
        <v>104</v>
      </c>
      <c r="AE45" s="151">
        <v>189500</v>
      </c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.75" customHeight="1">
      <c r="F46" s="152"/>
      <c r="X46" s="153" t="s">
        <v>105</v>
      </c>
      <c r="Y46" s="154">
        <f>'18'!AS6</f>
        <v>1.33</v>
      </c>
      <c r="Z46" s="153" t="s">
        <v>105</v>
      </c>
      <c r="AA46" s="155">
        <f>'18'!Y46</f>
        <v>1.33</v>
      </c>
      <c r="AB46" s="153" t="s">
        <v>105</v>
      </c>
      <c r="AC46" s="155">
        <f>'18'!Y46</f>
        <v>1.33</v>
      </c>
      <c r="AD46" s="153" t="s">
        <v>105</v>
      </c>
      <c r="AE46" s="156">
        <v>1.33</v>
      </c>
      <c r="AF46" s="995" t="s">
        <v>106</v>
      </c>
      <c r="AG46" s="996">
        <f>SUM('18'!Y47,'18'!AA47,'18'!AC47,'18'!AE47)</f>
        <v>341697.74800000002</v>
      </c>
      <c r="AI46" s="144" t="s">
        <v>101</v>
      </c>
      <c r="AJ46" s="145">
        <v>39</v>
      </c>
      <c r="AK46" s="144" t="s">
        <v>101</v>
      </c>
      <c r="AL46" s="145"/>
      <c r="AM46" s="144" t="s">
        <v>101</v>
      </c>
      <c r="AN46" s="145">
        <v>34</v>
      </c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'18'!Y45*'18'!Y46</f>
        <v>52359.307000000008</v>
      </c>
      <c r="Z47" s="149" t="s">
        <v>108</v>
      </c>
      <c r="AA47" s="150">
        <f>'18'!AA45*'18'!AA46</f>
        <v>0</v>
      </c>
      <c r="AB47" s="149" t="s">
        <v>108</v>
      </c>
      <c r="AC47" s="150">
        <f>'18'!AC45*'18'!AC46</f>
        <v>37303.440999999999</v>
      </c>
      <c r="AD47" s="149" t="s">
        <v>108</v>
      </c>
      <c r="AE47" s="150">
        <f>'18'!AE45*'18'!AE46</f>
        <v>252035</v>
      </c>
      <c r="AF47" s="995"/>
      <c r="AG47" s="996"/>
      <c r="AI47" s="149" t="s">
        <v>104</v>
      </c>
      <c r="AJ47" s="150">
        <f>AJ46*275.3</f>
        <v>10736.7</v>
      </c>
      <c r="AK47" s="149" t="s">
        <v>104</v>
      </c>
      <c r="AL47" s="150">
        <f>262.4*'3'!AL46</f>
        <v>0</v>
      </c>
      <c r="AM47" s="149" t="s">
        <v>104</v>
      </c>
      <c r="AN47" s="150">
        <f>AN46*277.7</f>
        <v>9441.7999999999993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Y46</f>
        <v>1.33</v>
      </c>
      <c r="AK48" s="160" t="s">
        <v>105</v>
      </c>
      <c r="AL48" s="154">
        <f>'3'!AJ48</f>
        <v>1.33</v>
      </c>
      <c r="AM48" s="160" t="s">
        <v>105</v>
      </c>
      <c r="AN48" s="154">
        <f>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AJ47*AJ48</f>
        <v>14279.811000000002</v>
      </c>
      <c r="AK49" s="149" t="s">
        <v>108</v>
      </c>
      <c r="AL49" s="150">
        <f>'3'!AL47*'3'!AL48</f>
        <v>0</v>
      </c>
      <c r="AM49" s="149" t="s">
        <v>108</v>
      </c>
      <c r="AN49" s="150">
        <f>AN47*AN48</f>
        <v>12557.593999999999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COUNTA('18'!O7:O18)</f>
        <v>12</v>
      </c>
      <c r="P51" s="974">
        <f>COUNTA('18'!W17:W28)</f>
        <v>0</v>
      </c>
      <c r="R51" s="992">
        <f>COUNTIF('18'!O7:O18,"&gt;=0,5")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SUM('18'!Y53,'18'!AA53,'18'!AC53,'18'!AE53)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'18'!Y52*275.3</f>
        <v>0</v>
      </c>
      <c r="Z53" s="149" t="s">
        <v>104</v>
      </c>
      <c r="AA53" s="150">
        <f>262.4*'18'!AA52</f>
        <v>0</v>
      </c>
      <c r="AB53" s="149" t="s">
        <v>104</v>
      </c>
      <c r="AC53" s="167">
        <f>'18'!AC52*277.7</f>
        <v>0</v>
      </c>
      <c r="AD53" s="149" t="s">
        <v>104</v>
      </c>
      <c r="AE53" s="230"/>
      <c r="AF53" s="989"/>
      <c r="AG53" s="1002"/>
      <c r="AI53" s="144" t="s">
        <v>101</v>
      </c>
      <c r="AJ53" s="166">
        <v>0</v>
      </c>
      <c r="AK53" s="144" t="s">
        <v>101</v>
      </c>
      <c r="AL53" s="164"/>
      <c r="AM53" s="144" t="s">
        <v>101</v>
      </c>
      <c r="AN53" s="164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'18'!AS7</f>
        <v>1.377</v>
      </c>
      <c r="Z54" s="153" t="s">
        <v>105</v>
      </c>
      <c r="AA54" s="155">
        <f>'18'!Y54</f>
        <v>1.377</v>
      </c>
      <c r="AB54" s="153" t="s">
        <v>105</v>
      </c>
      <c r="AC54" s="155">
        <f>'18'!Y54</f>
        <v>1.377</v>
      </c>
      <c r="AD54" s="153" t="s">
        <v>105</v>
      </c>
      <c r="AE54" s="156">
        <f>'18'!Y54</f>
        <v>1.377</v>
      </c>
      <c r="AF54" s="995" t="s">
        <v>106</v>
      </c>
      <c r="AG54" s="996">
        <f>SUM('18'!Y55,'18'!AA55,'18'!AC55,'18'!AE55)</f>
        <v>0</v>
      </c>
      <c r="AI54" s="149" t="s">
        <v>104</v>
      </c>
      <c r="AJ54" s="150">
        <f>AJ53*275.3</f>
        <v>0</v>
      </c>
      <c r="AK54" s="149" t="s">
        <v>104</v>
      </c>
      <c r="AL54" s="150">
        <f>262.4*'3'!AL53</f>
        <v>0</v>
      </c>
      <c r="AM54" s="149" t="s">
        <v>104</v>
      </c>
      <c r="AN54" s="167">
        <f>AN53*277.7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'18'!Y53*'18'!Y54</f>
        <v>0</v>
      </c>
      <c r="Z55" s="149" t="s">
        <v>108</v>
      </c>
      <c r="AA55" s="150">
        <f>'18'!AA53*'18'!AA54</f>
        <v>0</v>
      </c>
      <c r="AB55" s="149" t="s">
        <v>108</v>
      </c>
      <c r="AC55" s="150">
        <f>'18'!AC53*'18'!AC54</f>
        <v>0</v>
      </c>
      <c r="AD55" s="149" t="s">
        <v>108</v>
      </c>
      <c r="AE55" s="150">
        <f>'18'!AE53*'18'!AE54</f>
        <v>0</v>
      </c>
      <c r="AF55" s="995"/>
      <c r="AG55" s="996"/>
      <c r="AI55" s="153" t="s">
        <v>105</v>
      </c>
      <c r="AJ55" s="154">
        <f>Y54</f>
        <v>1.377</v>
      </c>
      <c r="AK55" s="153" t="s">
        <v>105</v>
      </c>
      <c r="AL55" s="154">
        <f>AJ55</f>
        <v>1.377</v>
      </c>
      <c r="AM55" s="153" t="s">
        <v>105</v>
      </c>
      <c r="AN55" s="154">
        <f>AJ55</f>
        <v>1.377</v>
      </c>
      <c r="AO55" s="1036" t="s">
        <v>105</v>
      </c>
      <c r="AP55" s="1036">
        <f>'3'!AJ55</f>
        <v>1.377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AJ54*AJ55</f>
        <v>0</v>
      </c>
      <c r="AK56" s="149" t="s">
        <v>108</v>
      </c>
      <c r="AL56" s="150">
        <f>'3'!AL54*'3'!AL55</f>
        <v>0</v>
      </c>
      <c r="AM56" s="149" t="s">
        <v>108</v>
      </c>
      <c r="AN56" s="150">
        <f>AN54*AN55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 ht="15.75" customHeight="1">
      <c r="O57" s="1003">
        <f>COUNTA('18'!N7:N18)</f>
        <v>12</v>
      </c>
      <c r="P57" s="1003"/>
      <c r="R57" s="1004">
        <f>COUNTIF('18'!N7:N18,"&gt;=6")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26837.404999999999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27687.940000000002</v>
      </c>
      <c r="AR62" s="1016"/>
    </row>
    <row r="63" spans="15:44" ht="15" customHeight="1">
      <c r="X63" s="170" t="s">
        <v>124</v>
      </c>
      <c r="Y63" s="171">
        <v>0</v>
      </c>
      <c r="Z63" s="1013"/>
      <c r="AA63" s="1013"/>
      <c r="AB63" s="172" t="s">
        <v>124</v>
      </c>
      <c r="AC63" s="173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-850.53500000000349</v>
      </c>
      <c r="AR63" s="1011"/>
    </row>
    <row r="64" spans="15:44" ht="15" customHeight="1">
      <c r="X64" s="170" t="s">
        <v>133</v>
      </c>
      <c r="Y64" s="171"/>
      <c r="Z64" s="1013"/>
      <c r="AA64" s="1013"/>
      <c r="AB64" s="172"/>
      <c r="AC64" s="173"/>
      <c r="AE64" s="49"/>
    </row>
    <row r="65" spans="24:29" ht="39" customHeight="1">
      <c r="X65" s="174" t="s">
        <v>126</v>
      </c>
      <c r="Y65" s="217">
        <f>'17'!$Y$68</f>
        <v>-20600.249999999996</v>
      </c>
      <c r="Z65" s="1013"/>
      <c r="AA65" s="1013"/>
      <c r="AB65" s="176" t="s">
        <v>126</v>
      </c>
      <c r="AC65" s="241">
        <f>'17'!$AC$68</f>
        <v>-1730.8750000000002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280">
        <f>SUM('18'!AK38,'18'!AP38)</f>
        <v>1997.6000000000001</v>
      </c>
      <c r="Z67" s="1013"/>
      <c r="AA67" s="1013"/>
      <c r="AB67" s="172" t="s">
        <v>124</v>
      </c>
      <c r="AC67" s="169">
        <f>SUM('18'!AM38,'18'!AR38)</f>
        <v>0</v>
      </c>
    </row>
    <row r="68" spans="24:29" ht="15.75" customHeight="1">
      <c r="X68" s="170" t="s">
        <v>128</v>
      </c>
      <c r="Y68" s="179">
        <f>SUM('18'!Y63,'18'!Y65)-'18'!Y67+'18'!Y64</f>
        <v>-22597.849999999995</v>
      </c>
      <c r="Z68" s="1013"/>
      <c r="AA68" s="1013"/>
      <c r="AB68" s="172" t="s">
        <v>128</v>
      </c>
      <c r="AC68" s="180">
        <f>SUM('18'!AC63,'18'!AC65)-'18'!AC67</f>
        <v>-1730.8750000000002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conditionalFormatting sqref="O19">
    <cfRule type="cellIs" priority="4" operator="greaterThan">
      <formula>3</formula>
    </cfRule>
  </conditionalFormatting>
  <conditionalFormatting sqref="O20">
    <cfRule type="cellIs" priority="5" operator="greaterThan">
      <formula>3</formula>
    </cfRule>
  </conditionalFormatting>
  <conditionalFormatting sqref="O21">
    <cfRule type="cellIs" priority="6" operator="lessThan">
      <formula>2.5</formula>
    </cfRule>
  </conditionalFormatting>
  <conditionalFormatting sqref="O19">
    <cfRule type="cellIs" priority="7" operator="lessThan">
      <formula>2.5</formula>
    </cfRule>
    <cfRule type="cellIs" priority="8" operator="greaterThan">
      <formula>3</formula>
    </cfRule>
    <cfRule type="cellIs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M4" zoomScaleNormal="100" workbookViewId="0">
      <selection activeCell="Y29" sqref="Y29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7.100000000000001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97" t="s">
        <v>13</v>
      </c>
      <c r="U4" s="109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7.100000000000001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97"/>
      <c r="U5" s="109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8"/>
      <c r="V6" s="932"/>
      <c r="W6" s="932"/>
      <c r="X6" s="13">
        <v>4.1666666666666699E-2</v>
      </c>
      <c r="Y6" s="54">
        <v>2563</v>
      </c>
      <c r="Z6" s="182">
        <v>901</v>
      </c>
      <c r="AA6" s="15">
        <v>1</v>
      </c>
      <c r="AB6" s="58">
        <f>IF('19'!AA6=1,(('19'!Z6*'19'!$AS$6*'19'!$AT$6)/('19'!Y6*0.0036)),IF('19'!AA6=2,(('19'!Z6*'19'!$AS$7*'19'!$AT$7)/('19'!Y6*0.0036))))</f>
        <v>64.937464776520585</v>
      </c>
      <c r="AC6" s="58"/>
      <c r="AD6" s="18">
        <f>(('19'!AC6*'19'!$Q$10*1000000))/('19'!Y6*3600)</f>
        <v>0</v>
      </c>
      <c r="AE6" s="183"/>
      <c r="AF6" s="184">
        <f>('19'!AE6/24)*0.454</f>
        <v>0</v>
      </c>
      <c r="AG6" s="19"/>
      <c r="AH6" s="184">
        <f>('19'!AG6/24)*0.454</f>
        <v>0</v>
      </c>
      <c r="AI6" s="183">
        <v>4400</v>
      </c>
      <c r="AJ6" s="184">
        <f>('19'!AI6/24)*0.454</f>
        <v>83.233333333333334</v>
      </c>
      <c r="AK6" s="21"/>
      <c r="AL6" s="185">
        <f>('19'!AK6/24)*0.454</f>
        <v>0</v>
      </c>
      <c r="AM6" s="21"/>
      <c r="AN6" s="185">
        <f>('19'!AM6/24)*0.454</f>
        <v>0</v>
      </c>
      <c r="AO6" s="21"/>
      <c r="AP6" s="185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6">
        <v>80</v>
      </c>
      <c r="C7" s="186">
        <v>15</v>
      </c>
      <c r="D7" s="186">
        <v>15</v>
      </c>
      <c r="E7" s="186">
        <v>2.5</v>
      </c>
      <c r="F7" s="186">
        <v>10</v>
      </c>
      <c r="G7" s="186">
        <v>2</v>
      </c>
      <c r="H7" s="186">
        <v>2.1</v>
      </c>
      <c r="I7" s="186">
        <v>0.5</v>
      </c>
      <c r="J7" s="186">
        <v>0.8</v>
      </c>
      <c r="K7" s="186">
        <v>7.3</v>
      </c>
      <c r="L7" s="186">
        <v>6.8</v>
      </c>
      <c r="M7" s="186">
        <v>6.8</v>
      </c>
      <c r="N7" s="186">
        <v>6.5</v>
      </c>
      <c r="O7" s="186">
        <v>2.8</v>
      </c>
      <c r="P7" s="186"/>
      <c r="Q7" s="188"/>
      <c r="R7" s="37">
        <f>'18'!$Z$29</f>
        <v>901</v>
      </c>
      <c r="S7" s="187">
        <f>'18'!$AB$29</f>
        <v>64.886831275720169</v>
      </c>
      <c r="T7" s="37">
        <f>'18'!$Y$29</f>
        <v>2565</v>
      </c>
      <c r="U7" s="33" t="str">
        <f>IF('19'!AA6=1,'19'!AR6,'19'!AR7)</f>
        <v>S.A.L</v>
      </c>
      <c r="V7" s="1099">
        <f>ESCALA!$C$20</f>
        <v>0</v>
      </c>
      <c r="W7" s="1099"/>
      <c r="X7" s="13">
        <v>8.3333333333333301E-2</v>
      </c>
      <c r="Y7" s="54">
        <v>2513</v>
      </c>
      <c r="Z7" s="182">
        <v>901</v>
      </c>
      <c r="AA7" s="15">
        <v>1</v>
      </c>
      <c r="AB7" s="58">
        <f>IF('19'!AA7=1,(('19'!Z7*'19'!$AS$6*'19'!$AT$6)/('19'!Y7*0.0036)),IF('19'!AA7=2,(('19'!Z7*'19'!$AS$7*'19'!$AT$7)/('19'!Y7*0.0036))))</f>
        <v>66.229495512225327</v>
      </c>
      <c r="AC7" s="58"/>
      <c r="AD7" s="18">
        <f>(('19'!AC7*'19'!$Q$10*1000000))/('19'!Y7*3600)</f>
        <v>0</v>
      </c>
      <c r="AE7" s="183"/>
      <c r="AF7" s="184">
        <f>('19'!AE7/24)*0.454</f>
        <v>0</v>
      </c>
      <c r="AG7" s="19"/>
      <c r="AH7" s="184">
        <f>('19'!AG7/24)*0.454</f>
        <v>0</v>
      </c>
      <c r="AI7" s="183">
        <v>4400</v>
      </c>
      <c r="AJ7" s="184">
        <f>('19'!AI7/24)*0.454</f>
        <v>83.233333333333334</v>
      </c>
      <c r="AK7" s="21"/>
      <c r="AL7" s="185">
        <f>('19'!AK7/24)*0.454</f>
        <v>0</v>
      </c>
      <c r="AM7" s="21"/>
      <c r="AN7" s="185">
        <f>('19'!AM7/24)*0.454</f>
        <v>0</v>
      </c>
      <c r="AO7" s="21"/>
      <c r="AP7" s="185">
        <f>('19'!AO7/24)*0.454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6">
        <v>80</v>
      </c>
      <c r="C8" s="186">
        <v>15</v>
      </c>
      <c r="D8" s="186">
        <v>15</v>
      </c>
      <c r="E8" s="186">
        <v>2.5</v>
      </c>
      <c r="F8" s="186">
        <v>10</v>
      </c>
      <c r="G8" s="186">
        <v>1.9</v>
      </c>
      <c r="H8" s="186">
        <v>2</v>
      </c>
      <c r="I8" s="186">
        <v>0.5</v>
      </c>
      <c r="J8" s="186">
        <v>0.8</v>
      </c>
      <c r="K8" s="186">
        <v>7.3</v>
      </c>
      <c r="L8" s="186">
        <v>6.8</v>
      </c>
      <c r="M8" s="186">
        <v>6.8</v>
      </c>
      <c r="N8" s="186">
        <v>6.5</v>
      </c>
      <c r="O8" s="186">
        <v>2.7</v>
      </c>
      <c r="P8" s="186"/>
      <c r="Q8" s="188"/>
      <c r="R8" s="35">
        <f>'19'!Z11</f>
        <v>901</v>
      </c>
      <c r="S8" s="36">
        <f>'19'!AB7</f>
        <v>66.229495512225327</v>
      </c>
      <c r="T8" s="37">
        <f>'19'!Y7</f>
        <v>2513</v>
      </c>
      <c r="U8" s="33" t="str">
        <f>IF('19'!AA7=1,'19'!AR6,'19'!AR7)</f>
        <v>S.A.L</v>
      </c>
      <c r="V8" s="1099"/>
      <c r="W8" s="1099"/>
      <c r="X8" s="13">
        <v>0.125</v>
      </c>
      <c r="Y8" s="54">
        <v>2522</v>
      </c>
      <c r="Z8" s="182">
        <v>901</v>
      </c>
      <c r="AA8" s="15">
        <v>1</v>
      </c>
      <c r="AB8" s="58">
        <f>IF('19'!AA8=1,(('19'!Z8*'19'!$AS$6*'19'!$AT$6)/('19'!Y8*0.0036)),IF('19'!AA8=2,(('19'!Z8*'19'!$AS$7*'19'!$AT$7)/('19'!Y8*0.0036))))</f>
        <v>65.993149176138871</v>
      </c>
      <c r="AC8" s="58"/>
      <c r="AD8" s="18">
        <f>(('19'!AC8*'19'!$Q$10*1000000))/('19'!Y8*3600)</f>
        <v>0</v>
      </c>
      <c r="AE8" s="183"/>
      <c r="AF8" s="184">
        <f>('19'!AE8/24)*0.454</f>
        <v>0</v>
      </c>
      <c r="AG8" s="19"/>
      <c r="AH8" s="184">
        <f>('19'!AG8/24)*0.454</f>
        <v>0</v>
      </c>
      <c r="AI8" s="183">
        <v>4400</v>
      </c>
      <c r="AJ8" s="184">
        <f>('19'!AI8/24)*0.454</f>
        <v>83.233333333333334</v>
      </c>
      <c r="AK8" s="21"/>
      <c r="AL8" s="185">
        <f>('19'!AK8/24)*0.454</f>
        <v>0</v>
      </c>
      <c r="AM8" s="21"/>
      <c r="AN8" s="185">
        <f>('19'!AM8/24)*0.454</f>
        <v>0</v>
      </c>
      <c r="AO8" s="21"/>
      <c r="AP8" s="185">
        <f>('19'!AO8/24)*0.454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80</v>
      </c>
      <c r="C9" s="186">
        <v>15</v>
      </c>
      <c r="D9" s="186">
        <v>15</v>
      </c>
      <c r="E9" s="186">
        <v>2.5</v>
      </c>
      <c r="F9" s="186">
        <v>11</v>
      </c>
      <c r="G9" s="186">
        <v>1.8</v>
      </c>
      <c r="H9" s="186">
        <v>1.9</v>
      </c>
      <c r="I9" s="186">
        <v>0.5</v>
      </c>
      <c r="J9" s="186">
        <v>0.7</v>
      </c>
      <c r="K9" s="186">
        <v>7.3</v>
      </c>
      <c r="L9" s="186">
        <v>6.8</v>
      </c>
      <c r="M9" s="186">
        <v>6.8</v>
      </c>
      <c r="N9" s="186">
        <v>6.5</v>
      </c>
      <c r="O9" s="186">
        <v>2.6</v>
      </c>
      <c r="P9" s="186"/>
      <c r="Q9" s="188"/>
      <c r="R9" s="37">
        <f>'19'!Z13</f>
        <v>901</v>
      </c>
      <c r="S9" s="36">
        <f>'19'!AB9</f>
        <v>65.654722770107398</v>
      </c>
      <c r="T9" s="37">
        <f>'19'!Y9</f>
        <v>2535</v>
      </c>
      <c r="U9" s="33" t="str">
        <f>IF('19'!AA9=1,'19'!AR6,'19'!AR7)</f>
        <v>S.A.L</v>
      </c>
      <c r="V9" s="1099"/>
      <c r="W9" s="1099"/>
      <c r="X9" s="13">
        <v>0.16666666666666699</v>
      </c>
      <c r="Y9" s="54">
        <v>2535</v>
      </c>
      <c r="Z9" s="182">
        <v>901</v>
      </c>
      <c r="AA9" s="15">
        <v>1</v>
      </c>
      <c r="AB9" s="58">
        <f>IF('19'!AA9=1,(('19'!Z9*'19'!$AS$6*'19'!$AT$6)/('19'!Y9*0.0036)),IF('9'!AA9=2,(('19'!Z9*'19'!$AS$7*'19'!$AT$7)/('19'!Y9*0.0036))))</f>
        <v>65.654722770107398</v>
      </c>
      <c r="AC9" s="58"/>
      <c r="AD9" s="18">
        <f>(('19'!AC9*'19'!$Q$10*1000000))/('19'!Y9*3600)</f>
        <v>0</v>
      </c>
      <c r="AE9" s="183"/>
      <c r="AF9" s="184">
        <f>('19'!AE9/24)*0.454</f>
        <v>0</v>
      </c>
      <c r="AG9" s="19"/>
      <c r="AH9" s="184">
        <f>('19'!AG9/24)*0.454</f>
        <v>0</v>
      </c>
      <c r="AI9" s="183">
        <v>4400</v>
      </c>
      <c r="AJ9" s="184">
        <f>('19'!AI9/24)*0.454</f>
        <v>83.233333333333334</v>
      </c>
      <c r="AK9" s="21"/>
      <c r="AL9" s="185">
        <f>('19'!AK9/24)*0.454</f>
        <v>0</v>
      </c>
      <c r="AM9" s="21"/>
      <c r="AN9" s="185">
        <f>('19'!AM9/24)*0.454</f>
        <v>0</v>
      </c>
      <c r="AO9" s="21"/>
      <c r="AP9" s="185">
        <f>('19'!AO9/24)*0.454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80</v>
      </c>
      <c r="C10" s="186">
        <v>12.5</v>
      </c>
      <c r="D10" s="186">
        <v>12.5</v>
      </c>
      <c r="E10" s="186">
        <v>2.5</v>
      </c>
      <c r="F10" s="186">
        <v>11</v>
      </c>
      <c r="G10" s="186">
        <v>1.7</v>
      </c>
      <c r="H10" s="186">
        <v>1.8</v>
      </c>
      <c r="I10" s="186">
        <v>0.5</v>
      </c>
      <c r="J10" s="186">
        <v>0.7</v>
      </c>
      <c r="K10" s="186">
        <v>7.3</v>
      </c>
      <c r="L10" s="186">
        <v>6.8</v>
      </c>
      <c r="M10" s="186">
        <v>6.8</v>
      </c>
      <c r="N10" s="186">
        <v>6.5</v>
      </c>
      <c r="O10" s="186">
        <v>2.5</v>
      </c>
      <c r="P10" s="186"/>
      <c r="Q10" s="188"/>
      <c r="R10" s="37">
        <f>'19'!Z15</f>
        <v>901</v>
      </c>
      <c r="S10" s="36">
        <f>'19'!AB11</f>
        <v>64.484588230229477</v>
      </c>
      <c r="T10" s="37">
        <f>'19'!Y11</f>
        <v>2581</v>
      </c>
      <c r="U10" s="33" t="str">
        <f>IF('19'!AA11=1,'19'!AR6,'19'!AR7)</f>
        <v>S.A.L</v>
      </c>
      <c r="V10" s="1099"/>
      <c r="W10" s="1099"/>
      <c r="X10" s="13">
        <v>0.20833333333333301</v>
      </c>
      <c r="Y10" s="54">
        <v>2505</v>
      </c>
      <c r="Z10" s="182">
        <v>901</v>
      </c>
      <c r="AA10" s="15">
        <v>1</v>
      </c>
      <c r="AB10" s="58">
        <f>IF('19'!AA10=1,(('19'!Z10*'19'!$AS$6*'19'!$AT$6)/('19'!Y10*0.0036)),IF('19'!AA10=2,(('19'!Z10*'19'!$AS$7*'19'!$AT$7)/('19'!Y10*0.0036))))</f>
        <v>66.441006875138626</v>
      </c>
      <c r="AC10" s="58"/>
      <c r="AD10" s="18">
        <f>(('19'!AC10*'19'!$Q$10*1000000))/('19'!Y10*3600)</f>
        <v>0</v>
      </c>
      <c r="AE10" s="183"/>
      <c r="AF10" s="184">
        <f>('19'!AE10/24)*0.454</f>
        <v>0</v>
      </c>
      <c r="AG10" s="19"/>
      <c r="AH10" s="184">
        <f>('19'!AG10/24)*0.454</f>
        <v>0</v>
      </c>
      <c r="AI10" s="183">
        <v>4400</v>
      </c>
      <c r="AJ10" s="184">
        <f>('19'!AI10/24)*0.454</f>
        <v>83.233333333333334</v>
      </c>
      <c r="AK10" s="21"/>
      <c r="AL10" s="185">
        <f>('19'!AK10/24)*0.454</f>
        <v>0</v>
      </c>
      <c r="AM10" s="21"/>
      <c r="AN10" s="185">
        <f>('19'!AM10/24)*0.454</f>
        <v>0</v>
      </c>
      <c r="AO10" s="21"/>
      <c r="AP10" s="185">
        <f>('19'!AO10/24)*0.454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6">
        <v>80</v>
      </c>
      <c r="C11" s="186">
        <v>12.5</v>
      </c>
      <c r="D11" s="186">
        <v>12.5</v>
      </c>
      <c r="E11" s="186">
        <v>2.5</v>
      </c>
      <c r="F11" s="186">
        <v>11</v>
      </c>
      <c r="G11" s="186">
        <v>1.6</v>
      </c>
      <c r="H11" s="186">
        <v>1.6</v>
      </c>
      <c r="I11" s="186">
        <v>0.5</v>
      </c>
      <c r="J11" s="186">
        <v>0.7</v>
      </c>
      <c r="K11" s="186">
        <v>7.3</v>
      </c>
      <c r="L11" s="186">
        <v>6.8</v>
      </c>
      <c r="M11" s="186">
        <v>6.8</v>
      </c>
      <c r="N11" s="302">
        <v>6.5</v>
      </c>
      <c r="O11" s="303">
        <v>2.5</v>
      </c>
      <c r="P11" s="186"/>
      <c r="Q11" s="188"/>
      <c r="R11" s="37">
        <f>'19'!Z17</f>
        <v>901</v>
      </c>
      <c r="S11" s="36">
        <f>'19'!AB13</f>
        <v>66.707303495880666</v>
      </c>
      <c r="T11" s="37">
        <f>'19'!Y13</f>
        <v>2495</v>
      </c>
      <c r="U11" s="33" t="str">
        <f>IF('19'!AA13=1,'19'!AR6,'19'!AR7)</f>
        <v>S.A.L</v>
      </c>
      <c r="V11" s="1099"/>
      <c r="W11" s="1099"/>
      <c r="X11" s="13">
        <v>0.25</v>
      </c>
      <c r="Y11" s="54">
        <v>2581</v>
      </c>
      <c r="Z11" s="182">
        <v>901</v>
      </c>
      <c r="AA11" s="15">
        <v>1</v>
      </c>
      <c r="AB11" s="58">
        <f>IF('19'!AA11=1,(('19'!Z11*'19'!$AS$6*'19'!$AT$6)/('19'!Y11*0.0036)),IF('19'!AA11=2,(('19'!Z11*'19'!$AS$7*'19'!$AT$7)/('19'!Y11*0.0036))))</f>
        <v>64.484588230229477</v>
      </c>
      <c r="AC11" s="58"/>
      <c r="AD11" s="18">
        <f>(('19'!AC11*'19'!$Q$10*1000000))/('19'!Y11*3600)</f>
        <v>0</v>
      </c>
      <c r="AE11" s="183"/>
      <c r="AF11" s="184">
        <f>('19'!AE11/24)*0.454</f>
        <v>0</v>
      </c>
      <c r="AG11" s="19"/>
      <c r="AH11" s="184">
        <f>('19'!AG11/24)*0.454</f>
        <v>0</v>
      </c>
      <c r="AI11" s="183">
        <v>4400</v>
      </c>
      <c r="AJ11" s="184">
        <f>('19'!AI11/24)*0.454</f>
        <v>83.233333333333334</v>
      </c>
      <c r="AK11" s="21"/>
      <c r="AL11" s="185">
        <f>('19'!AK11/24)*0.454</f>
        <v>0</v>
      </c>
      <c r="AM11" s="21"/>
      <c r="AN11" s="185">
        <f>('19'!AM11/24)*0.454</f>
        <v>0</v>
      </c>
      <c r="AO11" s="21"/>
      <c r="AP11" s="185">
        <f>('19'!AO11/24)*0.454</f>
        <v>0</v>
      </c>
    </row>
    <row r="12" spans="1:47" ht="18.75" customHeight="1">
      <c r="A12" s="28">
        <v>0.41666666666666702</v>
      </c>
      <c r="B12" s="186">
        <v>80</v>
      </c>
      <c r="C12" s="186">
        <v>12.5</v>
      </c>
      <c r="D12" s="186">
        <v>12.5</v>
      </c>
      <c r="E12" s="186">
        <v>2.5</v>
      </c>
      <c r="F12" s="186">
        <v>10</v>
      </c>
      <c r="G12" s="186">
        <v>1.6</v>
      </c>
      <c r="H12" s="186">
        <v>1.3</v>
      </c>
      <c r="I12" s="186">
        <v>0.5</v>
      </c>
      <c r="J12" s="186">
        <v>0.7</v>
      </c>
      <c r="K12" s="186">
        <v>7.3</v>
      </c>
      <c r="L12" s="186">
        <v>6.8</v>
      </c>
      <c r="M12" s="186">
        <v>6.8</v>
      </c>
      <c r="N12" s="302">
        <v>6.5</v>
      </c>
      <c r="O12" s="303">
        <v>2.5</v>
      </c>
      <c r="P12" s="186"/>
      <c r="Q12" s="188"/>
      <c r="R12" s="37">
        <f>'19'!Z19</f>
        <v>901</v>
      </c>
      <c r="S12" s="36">
        <f>'19'!AB15</f>
        <v>66.3086542718017</v>
      </c>
      <c r="T12" s="37">
        <f>'19'!Y15</f>
        <v>2510</v>
      </c>
      <c r="U12" s="33" t="str">
        <f>IF('19'!AA15=1,'19'!AR6,'19'!AR7)</f>
        <v>S.A.L</v>
      </c>
      <c r="V12" s="944">
        <f>ESCALA!$B$21</f>
        <v>0</v>
      </c>
      <c r="W12" s="944"/>
      <c r="X12" s="13">
        <v>0.29166666666666702</v>
      </c>
      <c r="Y12" s="54">
        <v>2592</v>
      </c>
      <c r="Z12" s="182">
        <v>901</v>
      </c>
      <c r="AA12" s="15">
        <v>1</v>
      </c>
      <c r="AB12" s="58">
        <f>IF('19'!AA12=1,(('19'!Z12*'19'!$AS$6*'19'!$AT$6)/('19'!Y12*0.0036)),IF('19'!AA12=2,(('19'!Z12*'19'!$AS$7*'19'!$AT$7)/('19'!Y12*0.0036))))</f>
        <v>64.210926783264767</v>
      </c>
      <c r="AC12" s="58"/>
      <c r="AD12" s="18">
        <f>(('19'!AC12*'19'!$Q$10*1000000))/('19'!Y12*3600)</f>
        <v>0</v>
      </c>
      <c r="AE12" s="183"/>
      <c r="AF12" s="184">
        <f>('19'!AE12/24)*0.454</f>
        <v>0</v>
      </c>
      <c r="AG12" s="19"/>
      <c r="AH12" s="184">
        <f>('19'!AG12/24)*0.454</f>
        <v>0</v>
      </c>
      <c r="AI12" s="183">
        <v>4400</v>
      </c>
      <c r="AJ12" s="184">
        <f>('19'!AI12/24)*0.454</f>
        <v>83.233333333333334</v>
      </c>
      <c r="AK12" s="21"/>
      <c r="AL12" s="185">
        <f>('19'!AK12/24)*0.454</f>
        <v>0</v>
      </c>
      <c r="AM12" s="21"/>
      <c r="AN12" s="185">
        <f>('19'!AM12/24)*0.454</f>
        <v>0</v>
      </c>
      <c r="AO12" s="21"/>
      <c r="AP12" s="185">
        <f>('19'!AO12/24)*0.454</f>
        <v>0</v>
      </c>
    </row>
    <row r="13" spans="1:47" ht="18.75" customHeight="1">
      <c r="A13" s="28">
        <v>0.5</v>
      </c>
      <c r="B13" s="186">
        <v>80</v>
      </c>
      <c r="C13" s="186">
        <v>12.5</v>
      </c>
      <c r="D13" s="186">
        <v>12.5</v>
      </c>
      <c r="E13" s="186">
        <v>2.5</v>
      </c>
      <c r="F13" s="186">
        <v>9.8000000000000007</v>
      </c>
      <c r="G13" s="186">
        <v>1.6</v>
      </c>
      <c r="H13" s="186">
        <v>1.5</v>
      </c>
      <c r="I13" s="186">
        <v>0.5</v>
      </c>
      <c r="J13" s="186">
        <v>0.7</v>
      </c>
      <c r="K13" s="186">
        <v>7.3</v>
      </c>
      <c r="L13" s="186">
        <v>6.8</v>
      </c>
      <c r="M13" s="186">
        <v>6.8</v>
      </c>
      <c r="N13" s="302">
        <v>6.5</v>
      </c>
      <c r="O13" s="303">
        <v>2.5</v>
      </c>
      <c r="P13" s="186"/>
      <c r="Q13" s="188"/>
      <c r="R13" s="37">
        <f>'19'!Z21</f>
        <v>935</v>
      </c>
      <c r="S13" s="36">
        <f>'19'!AB17</f>
        <v>68.893210122767357</v>
      </c>
      <c r="T13" s="37">
        <f>'19'!Y17</f>
        <v>2507</v>
      </c>
      <c r="U13" s="33" t="str">
        <f>IF('19'!AA17=1,'19'!AR6,'19'!AR7)</f>
        <v>S.A.L</v>
      </c>
      <c r="V13" s="944"/>
      <c r="W13" s="944"/>
      <c r="X13" s="13">
        <v>0.33333333333333298</v>
      </c>
      <c r="Y13" s="54">
        <v>2495</v>
      </c>
      <c r="Z13" s="182">
        <v>901</v>
      </c>
      <c r="AA13" s="15">
        <v>1</v>
      </c>
      <c r="AB13" s="58">
        <f>IF('19'!AA13=1,(('19'!Z13*'19'!$AS$6*'19'!$AT$6)/('19'!Y13*0.0036)),IF('19'!AA13=2,(('19'!Z13*'19'!$AS$7*'19'!$AT$7)/('19'!Y13*0.0036))))</f>
        <v>66.707303495880666</v>
      </c>
      <c r="AC13" s="58"/>
      <c r="AD13" s="18">
        <f>(('19'!AC13*'19'!$Q$10*1000000))/('19'!Y13*3600)</f>
        <v>0</v>
      </c>
      <c r="AE13" s="183"/>
      <c r="AF13" s="184">
        <f>('19'!AE13/24)*0.454</f>
        <v>0</v>
      </c>
      <c r="AG13" s="19"/>
      <c r="AH13" s="184">
        <f>('19'!AG13/24)*0.454</f>
        <v>0</v>
      </c>
      <c r="AI13" s="183">
        <v>4400</v>
      </c>
      <c r="AJ13" s="184">
        <f>('19'!AI13/24)*0.454</f>
        <v>83.233333333333334</v>
      </c>
      <c r="AK13" s="21"/>
      <c r="AL13" s="185">
        <f>('19'!AK13/24)*0.454</f>
        <v>0</v>
      </c>
      <c r="AM13" s="21"/>
      <c r="AN13" s="185">
        <f>('19'!AM13/24)*0.454</f>
        <v>0</v>
      </c>
      <c r="AO13" s="21"/>
      <c r="AP13" s="185">
        <f>('19'!AO13/24)*0.454</f>
        <v>0</v>
      </c>
    </row>
    <row r="14" spans="1:47" ht="18.75" customHeight="1">
      <c r="A14" s="28">
        <v>0.58333333333333304</v>
      </c>
      <c r="B14" s="186">
        <v>80</v>
      </c>
      <c r="C14" s="186">
        <v>12.5</v>
      </c>
      <c r="D14" s="186">
        <v>12.5</v>
      </c>
      <c r="E14" s="186">
        <v>2.5</v>
      </c>
      <c r="F14" s="186">
        <v>9.9</v>
      </c>
      <c r="G14" s="186">
        <v>1.5</v>
      </c>
      <c r="H14" s="186">
        <v>1.7</v>
      </c>
      <c r="I14" s="186">
        <v>0.5</v>
      </c>
      <c r="J14" s="186">
        <v>0.7</v>
      </c>
      <c r="K14" s="186">
        <v>7.3</v>
      </c>
      <c r="L14" s="186">
        <v>6.8</v>
      </c>
      <c r="M14" s="186">
        <v>6.8</v>
      </c>
      <c r="N14" s="302">
        <v>6.5</v>
      </c>
      <c r="O14" s="303">
        <v>3.2</v>
      </c>
      <c r="P14" s="186"/>
      <c r="Q14" s="188"/>
      <c r="R14" s="37">
        <f>'19'!Z19</f>
        <v>901</v>
      </c>
      <c r="S14" s="36">
        <f>'19'!AB19</f>
        <v>64.559628480303431</v>
      </c>
      <c r="T14" s="37">
        <f>'19'!Y19</f>
        <v>2578</v>
      </c>
      <c r="U14" s="33" t="str">
        <f>IF('19'!AA19=1,'19'!AR6,'19'!AR7)</f>
        <v>S.A.L</v>
      </c>
      <c r="V14" s="944"/>
      <c r="W14" s="944"/>
      <c r="X14" s="13">
        <v>0.375</v>
      </c>
      <c r="Y14" s="54">
        <v>2488</v>
      </c>
      <c r="Z14" s="182">
        <v>901</v>
      </c>
      <c r="AA14" s="15">
        <v>1</v>
      </c>
      <c r="AB14" s="58">
        <f>IF('19'!AA14=1,(('19'!Z18*'19'!$AS$6*'19'!$AT$6)/('19'!Y14*0.0036)),IF('19'!AA14=2,(('19'!Z18*'19'!$AS$7*'19'!$AT$7)/('19'!Y14*0.0036))))</f>
        <v>66.894984816005731</v>
      </c>
      <c r="AC14" s="58"/>
      <c r="AD14" s="18">
        <f>(('19'!AC14*'19'!$Q$10*1000000))/('19'!Y14*3600)</f>
        <v>0</v>
      </c>
      <c r="AE14" s="183"/>
      <c r="AF14" s="184">
        <f>('19'!AE14/24)*0.454</f>
        <v>0</v>
      </c>
      <c r="AG14" s="19"/>
      <c r="AH14" s="184">
        <f>('19'!AG14/24)*0.454</f>
        <v>0</v>
      </c>
      <c r="AI14" s="183">
        <v>4400</v>
      </c>
      <c r="AJ14" s="184">
        <f>('19'!AI14/24)*0.454</f>
        <v>83.233333333333334</v>
      </c>
      <c r="AK14" s="21"/>
      <c r="AL14" s="185">
        <f>('19'!AK14/24)*0.454</f>
        <v>0</v>
      </c>
      <c r="AM14" s="21"/>
      <c r="AN14" s="185">
        <f>('19'!AM14/24)*0.454</f>
        <v>0</v>
      </c>
      <c r="AO14" s="21"/>
      <c r="AP14" s="185">
        <f>('19'!AO14/24)*0.454</f>
        <v>0</v>
      </c>
    </row>
    <row r="15" spans="1:47" ht="18.75" customHeight="1">
      <c r="A15" s="28">
        <v>0.66666666666666696</v>
      </c>
      <c r="B15" s="186">
        <v>80</v>
      </c>
      <c r="C15" s="186">
        <v>12.5</v>
      </c>
      <c r="D15" s="186">
        <v>12.5</v>
      </c>
      <c r="E15" s="186">
        <v>2.5</v>
      </c>
      <c r="F15" s="186">
        <v>10</v>
      </c>
      <c r="G15" s="186">
        <v>1.8</v>
      </c>
      <c r="H15" s="186">
        <v>2.2000000000000002</v>
      </c>
      <c r="I15" s="186">
        <v>0.5</v>
      </c>
      <c r="J15" s="186">
        <v>0.7</v>
      </c>
      <c r="K15" s="186">
        <v>7.3</v>
      </c>
      <c r="L15" s="186">
        <v>6.8</v>
      </c>
      <c r="M15" s="186">
        <v>6.8</v>
      </c>
      <c r="N15" s="302">
        <v>6.5</v>
      </c>
      <c r="O15" s="303">
        <v>3.2</v>
      </c>
      <c r="P15" s="186"/>
      <c r="Q15" s="188"/>
      <c r="R15" s="37">
        <f>'19'!Z21</f>
        <v>935</v>
      </c>
      <c r="S15" s="36">
        <f>'19'!AB21</f>
        <v>64.039776706628771</v>
      </c>
      <c r="T15" s="37">
        <f>'19'!Y21</f>
        <v>2697</v>
      </c>
      <c r="U15" s="33" t="str">
        <f>IF('19'!AA21=1,'19'!AR6,'19'!AR7)</f>
        <v>S.A.L</v>
      </c>
      <c r="V15" s="944"/>
      <c r="W15" s="944"/>
      <c r="X15" s="13">
        <v>0.41666666666666702</v>
      </c>
      <c r="Y15" s="54">
        <v>2510</v>
      </c>
      <c r="Z15" s="182">
        <v>901</v>
      </c>
      <c r="AA15" s="15">
        <v>1</v>
      </c>
      <c r="AB15" s="58">
        <f>IF('19'!AA15=1,(('19'!Z19*'19'!$AS$6*'19'!$AT$6)/('19'!Y15*0.0036)),IF('19'!AA15=2,(('19'!Z19*'19'!$AS$7*'19'!$AT$7)/('19'!Y15*0.0036))))</f>
        <v>66.3086542718017</v>
      </c>
      <c r="AC15" s="58"/>
      <c r="AD15" s="18">
        <f>(('19'!AC15*'19'!$Q$10*1000000))/('19'!Y15*3600)</f>
        <v>0</v>
      </c>
      <c r="AE15" s="183"/>
      <c r="AF15" s="184">
        <f>('19'!AE15/24)*0.454</f>
        <v>0</v>
      </c>
      <c r="AG15" s="19"/>
      <c r="AH15" s="184">
        <f>('19'!AG15/24)*0.454</f>
        <v>0</v>
      </c>
      <c r="AI15" s="183">
        <v>4400</v>
      </c>
      <c r="AJ15" s="184">
        <f>('19'!AI15/24)*0.454</f>
        <v>83.233333333333334</v>
      </c>
      <c r="AK15" s="21"/>
      <c r="AL15" s="185">
        <f>('19'!AK15/24)*0.454</f>
        <v>0</v>
      </c>
      <c r="AM15" s="21"/>
      <c r="AN15" s="185">
        <f>('19'!AM15/24)*0.454</f>
        <v>0</v>
      </c>
      <c r="AO15" s="21"/>
      <c r="AP15" s="185">
        <f>('19'!AO15/24)*0.454</f>
        <v>0</v>
      </c>
    </row>
    <row r="16" spans="1:47" ht="18.75" customHeight="1">
      <c r="A16" s="28">
        <v>0.75</v>
      </c>
      <c r="B16" s="186">
        <v>80</v>
      </c>
      <c r="C16" s="186">
        <v>12.5</v>
      </c>
      <c r="D16" s="186">
        <v>12.5</v>
      </c>
      <c r="E16" s="186">
        <v>2.5</v>
      </c>
      <c r="F16" s="186">
        <v>11</v>
      </c>
      <c r="G16" s="186">
        <v>1.9</v>
      </c>
      <c r="H16" s="186">
        <v>2.2999999999999998</v>
      </c>
      <c r="I16" s="186">
        <v>0.5</v>
      </c>
      <c r="J16" s="186">
        <v>0.8</v>
      </c>
      <c r="K16" s="186">
        <v>7.3</v>
      </c>
      <c r="L16" s="186">
        <v>6.8</v>
      </c>
      <c r="M16" s="186">
        <v>6.8</v>
      </c>
      <c r="N16" s="302">
        <v>6.5</v>
      </c>
      <c r="O16" s="303">
        <v>3</v>
      </c>
      <c r="P16" s="186"/>
      <c r="Q16" s="188"/>
      <c r="R16" s="37">
        <f>'19'!Z23</f>
        <v>935</v>
      </c>
      <c r="S16" s="296">
        <f>'19'!AB23</f>
        <v>64.881772268135904</v>
      </c>
      <c r="T16" s="37">
        <f>'19'!Y23</f>
        <v>2662</v>
      </c>
      <c r="U16" s="33" t="str">
        <f>IF('19'!AA23=1,'19'!AR6,'19'!AR7)</f>
        <v>S.A.L</v>
      </c>
      <c r="V16" s="944"/>
      <c r="W16" s="944"/>
      <c r="X16" s="13">
        <v>0.45833333333333298</v>
      </c>
      <c r="Y16" s="54">
        <v>2519</v>
      </c>
      <c r="Z16" s="182">
        <v>901</v>
      </c>
      <c r="AA16" s="15">
        <v>1</v>
      </c>
      <c r="AB16" s="58">
        <f>IF('19'!AA16=1,(('19'!Z20*'19'!$AS$6*'19'!$AT$6)/('19'!Y16*0.0036)),IF('19'!AA16=2,(('19'!Z20*'19'!$AS$7*'19'!$AT$7)/('19'!Y16*0.0036))))</f>
        <v>66.071743637245831</v>
      </c>
      <c r="AC16" s="58"/>
      <c r="AD16" s="18">
        <f>(('19'!AC16*'19'!$Q$10*1000000))/('19'!Y16*3600)</f>
        <v>0</v>
      </c>
      <c r="AE16" s="183"/>
      <c r="AF16" s="184">
        <f>('19'!AE16/24)*0.454</f>
        <v>0</v>
      </c>
      <c r="AG16" s="19"/>
      <c r="AH16" s="184">
        <f>('19'!AG16/24)*0.454</f>
        <v>0</v>
      </c>
      <c r="AI16" s="183">
        <v>4400</v>
      </c>
      <c r="AJ16" s="184">
        <f>('19'!AI16/24)*0.454</f>
        <v>83.233333333333334</v>
      </c>
      <c r="AK16" s="21"/>
      <c r="AL16" s="185">
        <f>('19'!AK16/24)*0.454</f>
        <v>0</v>
      </c>
      <c r="AM16" s="21"/>
      <c r="AN16" s="185">
        <f>('19'!AM16/24)*0.454</f>
        <v>0</v>
      </c>
      <c r="AO16" s="21"/>
      <c r="AP16" s="185">
        <f>('19'!AO16/24)*0.454</f>
        <v>0</v>
      </c>
    </row>
    <row r="17" spans="1:42" ht="18.75" customHeight="1">
      <c r="A17" s="28">
        <v>0.83333333333333304</v>
      </c>
      <c r="B17" s="186">
        <v>80</v>
      </c>
      <c r="C17" s="186">
        <v>12.5</v>
      </c>
      <c r="D17" s="186">
        <v>12.5</v>
      </c>
      <c r="E17" s="186">
        <v>2.5</v>
      </c>
      <c r="F17" s="186">
        <v>11</v>
      </c>
      <c r="G17" s="186">
        <v>1.8</v>
      </c>
      <c r="H17" s="186">
        <v>2.2000000000000002</v>
      </c>
      <c r="I17" s="186">
        <v>0.6</v>
      </c>
      <c r="J17" s="186">
        <v>0.8</v>
      </c>
      <c r="K17" s="186">
        <v>7.3</v>
      </c>
      <c r="L17" s="186">
        <v>6.8</v>
      </c>
      <c r="M17" s="186">
        <v>6.8</v>
      </c>
      <c r="N17" s="302">
        <v>6.5</v>
      </c>
      <c r="O17" s="303">
        <v>3</v>
      </c>
      <c r="P17" s="186"/>
      <c r="Q17" s="188"/>
      <c r="R17" s="37">
        <f>'19'!Z25</f>
        <v>935</v>
      </c>
      <c r="S17" s="36">
        <f>'19'!AB25</f>
        <v>66.659698100261579</v>
      </c>
      <c r="T17" s="37">
        <f>'19'!Y25</f>
        <v>2591</v>
      </c>
      <c r="U17" s="33" t="str">
        <f>IF('19'!AA25=1,'19'!AR6,'19'!AR7)</f>
        <v>S.A.L</v>
      </c>
      <c r="V17" s="945">
        <f>ESCALA!$C$21</f>
        <v>0</v>
      </c>
      <c r="W17" s="945"/>
      <c r="X17" s="13">
        <v>0.5</v>
      </c>
      <c r="Y17" s="54">
        <v>2507</v>
      </c>
      <c r="Z17" s="182">
        <v>901</v>
      </c>
      <c r="AA17" s="15">
        <v>1</v>
      </c>
      <c r="AB17" s="58">
        <f>IF('19'!AA17=1,(('19'!Z21*'19'!$AS$6*'19'!$AT$6)/('19'!Y17*0.0036)),IF('19'!AA17=2,(('19'!Z21*'19'!$AS$7*'19'!$AT$7)/('19'!Y17*0.0036))))</f>
        <v>68.893210122767357</v>
      </c>
      <c r="AC17" s="58"/>
      <c r="AD17" s="18">
        <f>(('19'!AC17*'19'!$Q$10*1000000))/('19'!Y17*3600)</f>
        <v>0</v>
      </c>
      <c r="AE17" s="183"/>
      <c r="AF17" s="184">
        <f>('19'!AE17/24)*0.454</f>
        <v>0</v>
      </c>
      <c r="AG17" s="19"/>
      <c r="AH17" s="184">
        <f>('19'!AG17/24)*0.454</f>
        <v>0</v>
      </c>
      <c r="AI17" s="183">
        <v>4400</v>
      </c>
      <c r="AJ17" s="184">
        <f>('19'!AI17/24)*0.454</f>
        <v>83.233333333333334</v>
      </c>
      <c r="AK17" s="21"/>
      <c r="AL17" s="185">
        <f>('19'!AK17/24)*0.454</f>
        <v>0</v>
      </c>
      <c r="AM17" s="21"/>
      <c r="AN17" s="185">
        <f>('19'!AM17/24)*0.454</f>
        <v>0</v>
      </c>
      <c r="AO17" s="21"/>
      <c r="AP17" s="185">
        <f>('19'!AO17/24)*0.454</f>
        <v>0</v>
      </c>
    </row>
    <row r="18" spans="1:42" ht="19.5" customHeight="1">
      <c r="A18" s="28">
        <v>0.91666666666666696</v>
      </c>
      <c r="B18" s="186">
        <v>80</v>
      </c>
      <c r="C18" s="186">
        <v>12.5</v>
      </c>
      <c r="D18" s="186">
        <v>12.5</v>
      </c>
      <c r="E18" s="186">
        <v>2.5</v>
      </c>
      <c r="F18" s="186">
        <v>9.6999999999999993</v>
      </c>
      <c r="G18" s="186">
        <v>1.6</v>
      </c>
      <c r="H18" s="186">
        <v>1.8</v>
      </c>
      <c r="I18" s="186">
        <v>0.6</v>
      </c>
      <c r="J18" s="186">
        <v>0.8</v>
      </c>
      <c r="K18" s="186">
        <v>7.3</v>
      </c>
      <c r="L18" s="186">
        <v>6.8</v>
      </c>
      <c r="M18" s="186">
        <v>6.8</v>
      </c>
      <c r="N18" s="302">
        <v>6.5</v>
      </c>
      <c r="O18" s="303">
        <v>3.2</v>
      </c>
      <c r="P18" s="186"/>
      <c r="Q18" s="188"/>
      <c r="R18" s="37">
        <f>'19'!Z27</f>
        <v>935</v>
      </c>
      <c r="S18" s="36">
        <f>'19'!AB27</f>
        <v>66.123766377403442</v>
      </c>
      <c r="T18" s="37">
        <f>'19'!Y27</f>
        <v>2612</v>
      </c>
      <c r="U18" s="33" t="str">
        <f>IF('19'!AA27=1,'19'!AR6,'19'!AR7)</f>
        <v>S.A.L</v>
      </c>
      <c r="V18" s="945"/>
      <c r="W18" s="945"/>
      <c r="X18" s="13">
        <v>0.54166666666666696</v>
      </c>
      <c r="Y18" s="54">
        <v>2520</v>
      </c>
      <c r="Z18" s="182">
        <v>901</v>
      </c>
      <c r="AA18" s="15">
        <v>1</v>
      </c>
      <c r="AB18" s="58">
        <f>IF('19'!AA18=1,(('19'!Z18*'19'!$AS$6*'19'!$AT$6)/('19'!Y18*0.0036)),IF('19'!AA18=2,(('19'!Z18*'19'!$AS$7*'19'!$AT$7)/('19'!Y18*0.0036))))</f>
        <v>66.04552469135804</v>
      </c>
      <c r="AC18" s="58"/>
      <c r="AD18" s="18">
        <f>(('19'!AC18*'19'!$Q$10*1000000))/('19'!Y18*3600)</f>
        <v>0</v>
      </c>
      <c r="AE18" s="183"/>
      <c r="AF18" s="184">
        <f>('19'!AE18/24)*0.454</f>
        <v>0</v>
      </c>
      <c r="AG18" s="19"/>
      <c r="AH18" s="184">
        <f>('19'!AG18/24)*0.454</f>
        <v>0</v>
      </c>
      <c r="AI18" s="183">
        <v>4400</v>
      </c>
      <c r="AJ18" s="184">
        <f>('19'!AI18/24)*0.454</f>
        <v>83.233333333333334</v>
      </c>
      <c r="AK18" s="21"/>
      <c r="AL18" s="185">
        <f>('19'!AK18/24)*0.454</f>
        <v>0</v>
      </c>
      <c r="AM18" s="21"/>
      <c r="AN18" s="185">
        <f>('19'!AM18/24)*0.454</f>
        <v>0</v>
      </c>
      <c r="AO18" s="21"/>
      <c r="AP18" s="185">
        <f>('19'!AO18/24)*0.454</f>
        <v>0</v>
      </c>
    </row>
    <row r="19" spans="1:42" ht="18.75" customHeight="1">
      <c r="A19" s="10" t="s">
        <v>52</v>
      </c>
      <c r="B19" s="189">
        <f>AVERAGE('19'!B7:B18)</f>
        <v>80</v>
      </c>
      <c r="C19" s="69">
        <f>AVERAGE('19'!C7:C18)</f>
        <v>13.125</v>
      </c>
      <c r="D19" s="69">
        <f>AVERAGE('19'!D7:D18)</f>
        <v>13.125</v>
      </c>
      <c r="E19" s="69">
        <f>AVERAGE('19'!E7:E18)</f>
        <v>2.5</v>
      </c>
      <c r="F19" s="69">
        <f>AVERAGE('19'!F8:F18)</f>
        <v>10.4</v>
      </c>
      <c r="G19" s="69">
        <f>AVERAGE('19'!G7:G18)</f>
        <v>1.7333333333333334</v>
      </c>
      <c r="H19" s="69">
        <f>AVERAGE('19'!H7:H18)</f>
        <v>1.8666666666666669</v>
      </c>
      <c r="I19" s="69">
        <f>AVERAGE('19'!I7:I18)</f>
        <v>0.51666666666666661</v>
      </c>
      <c r="J19" s="69">
        <f>AVERAGE('19'!J7:J18)</f>
        <v>0.74166666666666681</v>
      </c>
      <c r="K19" s="69">
        <f>AVERAGE('19'!K8:K18)</f>
        <v>7.299999999999998</v>
      </c>
      <c r="L19" s="69">
        <f>AVERAGE('19'!L8:L18)</f>
        <v>6.799999999999998</v>
      </c>
      <c r="M19" s="69">
        <f>AVERAGE('19'!M8:M18)</f>
        <v>6.799999999999998</v>
      </c>
      <c r="N19" s="69">
        <f>AVERAGE('19'!N8:N18)</f>
        <v>6.5</v>
      </c>
      <c r="O19" s="69">
        <f>AVERAGE('19'!O7:O18)</f>
        <v>2.8083333333333336</v>
      </c>
      <c r="P19" s="190" t="e">
        <f>AVERAGE('19'!P7:P18)</f>
        <v>#DIV/0!</v>
      </c>
      <c r="Q19" s="191" t="e">
        <f>AVERAGE('19'!Q7:Q18)</f>
        <v>#DIV/0!</v>
      </c>
      <c r="R19" s="191">
        <f>AVERAGE('19'!R7:R18)</f>
        <v>915.16666666666663</v>
      </c>
      <c r="S19" s="191">
        <f>AVERAGE('19'!S7:S18)</f>
        <v>65.785787300955434</v>
      </c>
      <c r="T19" s="946"/>
      <c r="U19" s="946"/>
      <c r="V19" s="49"/>
      <c r="W19" s="50"/>
      <c r="X19" s="13">
        <v>0.58333333333333304</v>
      </c>
      <c r="Y19" s="54">
        <v>2578</v>
      </c>
      <c r="Z19" s="182">
        <v>901</v>
      </c>
      <c r="AA19" s="15">
        <v>1</v>
      </c>
      <c r="AB19" s="58">
        <f>IF('19'!AA19=1,(('19'!Z19*'19'!$AS$6*'19'!$AT$6)/('19'!Y19*0.0036)),IF('19'!AA19=2,(('19'!Z19*'19'!$AS$7*'19'!$AT$7)/('19'!Y19*0.0036))))</f>
        <v>64.559628480303431</v>
      </c>
      <c r="AC19" s="58"/>
      <c r="AD19" s="18">
        <f>(('19'!AC19*'19'!$Q$10*1000000))/('19'!Y19*3600)</f>
        <v>0</v>
      </c>
      <c r="AE19" s="183"/>
      <c r="AF19" s="184">
        <f>('19'!AE19/24)*0.454</f>
        <v>0</v>
      </c>
      <c r="AG19" s="19"/>
      <c r="AH19" s="184">
        <f>('19'!AG19/24)*0.454</f>
        <v>0</v>
      </c>
      <c r="AI19" s="183">
        <v>4400</v>
      </c>
      <c r="AJ19" s="184">
        <f>('19'!AI19/24)*0.454</f>
        <v>83.233333333333334</v>
      </c>
      <c r="AK19" s="21"/>
      <c r="AL19" s="185">
        <f>('19'!AK19/24)*0.454</f>
        <v>0</v>
      </c>
      <c r="AM19" s="21"/>
      <c r="AN19" s="185">
        <f>('19'!AM19/24)*0.454</f>
        <v>0</v>
      </c>
      <c r="AO19" s="21"/>
      <c r="AP19" s="185">
        <f>('19'!AO19/24)*0.454</f>
        <v>0</v>
      </c>
    </row>
    <row r="20" spans="1:42" ht="18.75" customHeight="1">
      <c r="A20" s="10" t="s">
        <v>53</v>
      </c>
      <c r="B20" s="189">
        <f>MAX('19'!B7:B18)</f>
        <v>80</v>
      </c>
      <c r="C20" s="189">
        <f>MAX('19'!C7:C18)</f>
        <v>15</v>
      </c>
      <c r="D20" s="69">
        <f>MAX('19'!D7:D18)</f>
        <v>15</v>
      </c>
      <c r="E20" s="69">
        <f>MAX('19'!E7:E18)</f>
        <v>2.5</v>
      </c>
      <c r="F20" s="69">
        <f>MAX('19'!F8:F18)</f>
        <v>11</v>
      </c>
      <c r="G20" s="69">
        <f>MAX('19'!G7:G18)</f>
        <v>2</v>
      </c>
      <c r="H20" s="69">
        <f>MAX('19'!H7:H18)</f>
        <v>2.2999999999999998</v>
      </c>
      <c r="I20" s="69">
        <f>MAX('19'!I7:I18)</f>
        <v>0.6</v>
      </c>
      <c r="J20" s="69">
        <f>MAX('19'!J7:J18)</f>
        <v>0.8</v>
      </c>
      <c r="K20" s="69">
        <f>MAX('19'!K8:K18)</f>
        <v>7.3</v>
      </c>
      <c r="L20" s="69">
        <f>MAX('19'!L8:L18)</f>
        <v>6.8</v>
      </c>
      <c r="M20" s="69">
        <f>MAX('19'!M8:M18)</f>
        <v>6.8</v>
      </c>
      <c r="N20" s="69">
        <f>MAX('19'!N8:N18)</f>
        <v>6.5</v>
      </c>
      <c r="O20" s="70">
        <f>MAX('19'!O7:O18)</f>
        <v>3.2</v>
      </c>
      <c r="P20" s="70">
        <f>MAX('19'!P7:P18)</f>
        <v>0</v>
      </c>
      <c r="Q20" s="70">
        <f>MAX('19'!Q7:Q18)</f>
        <v>0</v>
      </c>
      <c r="R20" s="70">
        <f>MAX('19'!R7:R18)</f>
        <v>935</v>
      </c>
      <c r="S20" s="70">
        <f>MAX('19'!S7:S18)</f>
        <v>68.893210122767357</v>
      </c>
      <c r="T20" s="946"/>
      <c r="U20" s="946"/>
      <c r="X20" s="13">
        <v>0.625</v>
      </c>
      <c r="Y20" s="54">
        <v>2689</v>
      </c>
      <c r="Z20" s="182">
        <v>901</v>
      </c>
      <c r="AA20" s="15">
        <v>1</v>
      </c>
      <c r="AB20" s="58">
        <f>IF('19'!AA20=1,(('19'!Z20*'19'!$AS$6*'19'!$AT$6)/('19'!Y20*0.0036)),IF('19'!AA20=2,(('19'!Z20*'19'!$AS$7*'19'!$AT$7)/('19'!Y20*0.0036))))</f>
        <v>61.894653113507708</v>
      </c>
      <c r="AC20" s="58"/>
      <c r="AD20" s="18">
        <f>(('19'!AC20*'19'!$Q$10*1000000))/('19'!Y20*3600)</f>
        <v>0</v>
      </c>
      <c r="AE20" s="183"/>
      <c r="AF20" s="184">
        <f>('19'!AE20/24)*0.454</f>
        <v>0</v>
      </c>
      <c r="AG20" s="19"/>
      <c r="AH20" s="184">
        <f>('19'!AG20/24)*0.454</f>
        <v>0</v>
      </c>
      <c r="AI20" s="183">
        <v>4400</v>
      </c>
      <c r="AJ20" s="184">
        <f>('19'!AI20/24)*0.454</f>
        <v>83.233333333333334</v>
      </c>
      <c r="AK20" s="21"/>
      <c r="AL20" s="185">
        <f>('19'!AK20/24)*0.454</f>
        <v>0</v>
      </c>
      <c r="AM20" s="21"/>
      <c r="AN20" s="185">
        <f>('19'!AM20/24)*0.454</f>
        <v>0</v>
      </c>
      <c r="AO20" s="21"/>
      <c r="AP20" s="185">
        <f>('19'!AO20/24)*0.454</f>
        <v>0</v>
      </c>
    </row>
    <row r="21" spans="1:42" ht="19.5" customHeight="1">
      <c r="A21" s="10" t="s">
        <v>54</v>
      </c>
      <c r="B21" s="189">
        <f>MIN('19'!B7:B18)</f>
        <v>80</v>
      </c>
      <c r="C21" s="69">
        <f>MIN('19'!C7:C18)</f>
        <v>12.5</v>
      </c>
      <c r="D21" s="69">
        <f>MIN('19'!D7:D18)</f>
        <v>12.5</v>
      </c>
      <c r="E21" s="69">
        <f>MIN('19'!E7:E18)</f>
        <v>2.5</v>
      </c>
      <c r="F21" s="69">
        <f>MIN('19'!F8:F18)</f>
        <v>9.6999999999999993</v>
      </c>
      <c r="G21" s="192">
        <f>MIN('19'!G7:G18)</f>
        <v>1.5</v>
      </c>
      <c r="H21" s="192">
        <f>MIN('19'!H7:H18)</f>
        <v>1.3</v>
      </c>
      <c r="I21" s="192">
        <f>MIN('19'!I7:I18)</f>
        <v>0.5</v>
      </c>
      <c r="J21" s="192">
        <f>MIN('19'!J7:J18)</f>
        <v>0.7</v>
      </c>
      <c r="K21" s="192">
        <f>MIN('19'!K8:K18)</f>
        <v>7.3</v>
      </c>
      <c r="L21" s="192">
        <f>MIN('19'!L8:L18)</f>
        <v>6.8</v>
      </c>
      <c r="M21" s="192">
        <f>MIN('19'!M8:M18)</f>
        <v>6.8</v>
      </c>
      <c r="N21" s="192">
        <f>MIN('19'!N8:N18)</f>
        <v>6.5</v>
      </c>
      <c r="O21" s="193">
        <f>MIN('19'!O7:O18)</f>
        <v>2.5</v>
      </c>
      <c r="P21" s="193">
        <f>MIN('19'!P7:P18)</f>
        <v>0</v>
      </c>
      <c r="Q21" s="193">
        <f>MIN('19'!Q7:Q18)</f>
        <v>0</v>
      </c>
      <c r="R21" s="193">
        <f>MIN('19'!R7:R18)</f>
        <v>901</v>
      </c>
      <c r="S21" s="193">
        <f>MIN('19'!S7:S18)</f>
        <v>64.039776706628771</v>
      </c>
      <c r="T21" s="946"/>
      <c r="U21" s="946"/>
      <c r="X21" s="13">
        <v>0.66666666666666696</v>
      </c>
      <c r="Y21" s="54">
        <v>2697</v>
      </c>
      <c r="Z21" s="182">
        <v>935</v>
      </c>
      <c r="AA21" s="15">
        <v>1</v>
      </c>
      <c r="AB21" s="58">
        <f>IF('19'!AA21=1,(('19'!Z21*'19'!$AS$6*'19'!$AT$6)/('19'!Y21*0.0036)),IF('19'!AA21=2,(('19'!Z21*'19'!$AS$7*'19'!$AT$7)/('19'!Y21*0.0036))))</f>
        <v>64.039776706628771</v>
      </c>
      <c r="AC21" s="58"/>
      <c r="AD21" s="18">
        <f>(('19'!AC21*'19'!$Q$10*1000000))/('19'!Y21*3600)</f>
        <v>0</v>
      </c>
      <c r="AE21" s="183"/>
      <c r="AF21" s="184">
        <f>('19'!AE21/24)*0.454</f>
        <v>0</v>
      </c>
      <c r="AG21" s="19"/>
      <c r="AH21" s="184">
        <f>('19'!AG21/24)*0.454</f>
        <v>0</v>
      </c>
      <c r="AI21" s="183">
        <v>4400</v>
      </c>
      <c r="AJ21" s="184">
        <f>('19'!AI21/24)*0.454</f>
        <v>83.233333333333334</v>
      </c>
      <c r="AK21" s="21"/>
      <c r="AL21" s="185">
        <f>('19'!AK21/24)*0.454</f>
        <v>0</v>
      </c>
      <c r="AM21" s="21"/>
      <c r="AN21" s="185">
        <f>('19'!AM21/24)*0.454</f>
        <v>0</v>
      </c>
      <c r="AO21" s="21"/>
      <c r="AP21" s="185">
        <f>('19'!AO21/24)*0.454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54">
        <v>2735</v>
      </c>
      <c r="Z22" s="182">
        <v>935</v>
      </c>
      <c r="AA22" s="15">
        <v>1</v>
      </c>
      <c r="AB22" s="58">
        <f>IF('19'!AA22=1,(('19'!Z22*'19'!$AS$6*'19'!$AT$6)/('19'!Y22*0.0036)),IF('19'!AA22=2,(('19'!Z22*'19'!$AS$7*'19'!$AT$7)/('19'!Y22*0.0036))))</f>
        <v>63.15001015640869</v>
      </c>
      <c r="AC22" s="58"/>
      <c r="AD22" s="18">
        <f>(('19'!AC22*'19'!$Q$10*1000000))/('19'!Y22*3600)</f>
        <v>0</v>
      </c>
      <c r="AE22" s="183"/>
      <c r="AF22" s="184">
        <f>('19'!AE22/24)*0.454</f>
        <v>0</v>
      </c>
      <c r="AG22" s="19"/>
      <c r="AH22" s="184">
        <f>('19'!AG22/24)*0.454</f>
        <v>0</v>
      </c>
      <c r="AI22" s="183">
        <v>4400</v>
      </c>
      <c r="AJ22" s="184">
        <f>('19'!AI22/24)*0.454</f>
        <v>83.233333333333334</v>
      </c>
      <c r="AK22" s="21"/>
      <c r="AL22" s="185">
        <f>('19'!AK22/24)*0.454</f>
        <v>0</v>
      </c>
      <c r="AM22" s="21"/>
      <c r="AN22" s="185">
        <f>('19'!AM22/24)*0.454</f>
        <v>0</v>
      </c>
      <c r="AO22" s="21"/>
      <c r="AP22" s="185">
        <f>('19'!AO22/24)*0.454</f>
        <v>0</v>
      </c>
    </row>
    <row r="23" spans="1:42" ht="18.75" customHeight="1">
      <c r="A23" s="949"/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54">
        <v>2662</v>
      </c>
      <c r="Z23" s="182">
        <v>935</v>
      </c>
      <c r="AA23" s="15">
        <v>1</v>
      </c>
      <c r="AB23" s="58">
        <f>IF('19'!AA23=1,(('19'!Z23*'19'!$AS$6*'19'!$AT$6)/('19'!Y23*0.0036)),IF('19'!AA23=2,(('19'!Z23*'19'!$AS$7*'19'!$AT$7)/('19'!Y23*0.0036))))</f>
        <v>64.881772268135904</v>
      </c>
      <c r="AC23" s="58"/>
      <c r="AD23" s="18">
        <v>0</v>
      </c>
      <c r="AE23" s="183"/>
      <c r="AF23" s="184">
        <f>('19'!AE23/24)*0.454</f>
        <v>0</v>
      </c>
      <c r="AG23" s="19"/>
      <c r="AH23" s="184">
        <f>('19'!AG23/24)*0.454</f>
        <v>0</v>
      </c>
      <c r="AI23" s="183">
        <v>4400</v>
      </c>
      <c r="AJ23" s="184">
        <f>('19'!AI23/24)*0.454</f>
        <v>83.233333333333334</v>
      </c>
      <c r="AK23" s="21"/>
      <c r="AL23" s="185">
        <f>('19'!AK23/24)*0.454</f>
        <v>0</v>
      </c>
      <c r="AM23" s="21"/>
      <c r="AN23" s="185">
        <f>('19'!AM23/24)*0.454</f>
        <v>0</v>
      </c>
      <c r="AO23" s="21"/>
      <c r="AP23" s="185">
        <f>('19'!AO23/24)*0.454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54">
        <v>2628</v>
      </c>
      <c r="Z24" s="182">
        <v>935</v>
      </c>
      <c r="AA24" s="15">
        <v>1</v>
      </c>
      <c r="AB24" s="16">
        <f>IF('19'!AA24=1,(('19'!Z24*'19'!$AS$6*'19'!$AT$6)/('19'!Y24*0.0036)),IF('19'!AA24=2,(('19'!Z24*'19'!$AS$7*'19'!$AT$7)/('19'!Y24*0.0036))))</f>
        <v>65.721186369017417</v>
      </c>
      <c r="AC24" s="16"/>
      <c r="AD24" s="194">
        <f>(('19'!AC24*'19'!$Q$10*1000000))/('19'!Y24*3600)</f>
        <v>0</v>
      </c>
      <c r="AE24" s="183"/>
      <c r="AF24" s="195">
        <f>('19'!AE24/24)*0.454</f>
        <v>0</v>
      </c>
      <c r="AG24" s="173"/>
      <c r="AH24" s="195">
        <f>('19'!AG24/24)*0.454</f>
        <v>0</v>
      </c>
      <c r="AI24" s="183">
        <v>4400</v>
      </c>
      <c r="AJ24" s="195">
        <f>('19'!AI24/24)*0.454</f>
        <v>83.233333333333334</v>
      </c>
      <c r="AK24" s="21"/>
      <c r="AL24" s="196">
        <f>('19'!AK24/24)*0.454</f>
        <v>0</v>
      </c>
      <c r="AM24" s="197"/>
      <c r="AN24" s="196">
        <f>('19'!AM24/24)*0.454</f>
        <v>0</v>
      </c>
      <c r="AO24" s="21"/>
      <c r="AP24" s="196">
        <f>('19'!AO24/24)*0.454</f>
        <v>0</v>
      </c>
    </row>
    <row r="25" spans="1:42" ht="19.5" customHeight="1">
      <c r="A25" s="64">
        <v>0.41666666666666702</v>
      </c>
      <c r="B25" s="198" t="s">
        <v>131</v>
      </c>
      <c r="C25" s="198">
        <v>0.69</v>
      </c>
      <c r="D25" s="198">
        <v>0.71</v>
      </c>
      <c r="E25" s="199">
        <v>0.66</v>
      </c>
      <c r="F25" s="199">
        <v>0.62</v>
      </c>
      <c r="G25" s="199">
        <v>0.69</v>
      </c>
      <c r="H25" s="199">
        <v>0.62</v>
      </c>
      <c r="I25" s="199">
        <v>0.63</v>
      </c>
      <c r="J25" s="199">
        <v>0.91</v>
      </c>
      <c r="K25" s="199">
        <v>0.73</v>
      </c>
      <c r="L25" s="199">
        <v>0.7</v>
      </c>
      <c r="M25" s="199">
        <v>0.59</v>
      </c>
      <c r="N25" s="199">
        <v>0.51</v>
      </c>
      <c r="O25" s="199">
        <v>0.44</v>
      </c>
      <c r="P25" s="199">
        <v>0.52</v>
      </c>
      <c r="Q25" s="199" t="s">
        <v>131</v>
      </c>
      <c r="R25" s="65" t="e">
        <f>#DIV/0!</f>
        <v>#DIV/0!</v>
      </c>
      <c r="S25" s="66"/>
      <c r="T25" s="1042" t="s">
        <v>0</v>
      </c>
      <c r="U25" s="1049">
        <f>ESCALA!$A$21</f>
        <v>43909</v>
      </c>
      <c r="X25" s="13">
        <v>0.83333333333333304</v>
      </c>
      <c r="Y25" s="54">
        <v>2591</v>
      </c>
      <c r="Z25" s="182">
        <v>935</v>
      </c>
      <c r="AA25" s="15">
        <v>1</v>
      </c>
      <c r="AB25" s="58">
        <f>IF('19'!AA25=1,(('19'!Z25*'19'!$AS$6*'19'!$AT$6)/('19'!Y25*0.0036)),IF('19'!AA25=2,(('19'!Z25*'19'!$AS$7*'19'!$AT$7)/('19'!Y25*0.0036))))</f>
        <v>66.659698100261579</v>
      </c>
      <c r="AC25" s="58"/>
      <c r="AD25" s="18">
        <f>(('19'!AC25*'19'!$Q$10*1000000))/('19'!Y25*3600)</f>
        <v>0</v>
      </c>
      <c r="AE25" s="183"/>
      <c r="AF25" s="184">
        <f>('19'!AE25/24)*0.454</f>
        <v>0</v>
      </c>
      <c r="AG25" s="19"/>
      <c r="AH25" s="184">
        <f>('19'!AG25/24)*0.454</f>
        <v>0</v>
      </c>
      <c r="AI25" s="183">
        <v>4400</v>
      </c>
      <c r="AJ25" s="184">
        <f>('19'!AI25/24)*0.454</f>
        <v>83.233333333333334</v>
      </c>
      <c r="AK25" s="21"/>
      <c r="AL25" s="185">
        <f>('19'!AK25/24)*0.454</f>
        <v>0</v>
      </c>
      <c r="AM25" s="21"/>
      <c r="AN25" s="185">
        <f>('19'!AM25/24)*0.454</f>
        <v>0</v>
      </c>
      <c r="AO25" s="21"/>
      <c r="AP25" s="185">
        <f>('19'!AO25/24)*0.454</f>
        <v>0</v>
      </c>
    </row>
    <row r="26" spans="1:42" ht="19.5" customHeight="1">
      <c r="A26" s="64">
        <v>0.66666666666666696</v>
      </c>
      <c r="B26" s="198"/>
      <c r="C26" s="198"/>
      <c r="D26" s="198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65" t="e">
        <f>#DIV/0!</f>
        <v>#DIV/0!</v>
      </c>
      <c r="S26" s="67"/>
      <c r="T26" s="1042"/>
      <c r="U26" s="1049"/>
      <c r="X26" s="13">
        <v>0.875</v>
      </c>
      <c r="Y26" s="54">
        <v>2612</v>
      </c>
      <c r="Z26" s="182">
        <v>935</v>
      </c>
      <c r="AA26" s="15">
        <v>1</v>
      </c>
      <c r="AB26" s="58">
        <f>IF('19'!AA26=1,(('19'!Z26*'19'!$AS$6*'19'!$AT$6)/('19'!Y26*0.0036)),IF('19'!AA26=2,(('19'!Z26*'19'!$AS$7*'19'!$AT$7)/('19'!Y26*0.0036))))</f>
        <v>66.123766377403442</v>
      </c>
      <c r="AC26" s="58"/>
      <c r="AD26" s="18">
        <f>(('19'!AC26*'19'!$Q$10*1000000))/('19'!Y26*3600)</f>
        <v>0</v>
      </c>
      <c r="AE26" s="183"/>
      <c r="AF26" s="184">
        <f>('19'!AE26/24)*0.454</f>
        <v>0</v>
      </c>
      <c r="AG26" s="19"/>
      <c r="AH26" s="184">
        <f>('19'!AG26/24)*0.454</f>
        <v>0</v>
      </c>
      <c r="AI26" s="183">
        <v>4400</v>
      </c>
      <c r="AJ26" s="184">
        <f>('19'!AI26/24)*0.454</f>
        <v>83.233333333333334</v>
      </c>
      <c r="AK26" s="21"/>
      <c r="AL26" s="185">
        <f>('19'!AK26/24)*0.454</f>
        <v>0</v>
      </c>
      <c r="AM26" s="21"/>
      <c r="AN26" s="185">
        <f>('19'!AM26/24)*0.454</f>
        <v>0</v>
      </c>
      <c r="AO26" s="21"/>
      <c r="AP26" s="185">
        <f>('19'!AO26/24)*0.454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54">
        <v>2612</v>
      </c>
      <c r="Z27" s="182">
        <v>935</v>
      </c>
      <c r="AA27" s="15">
        <v>1</v>
      </c>
      <c r="AB27" s="58">
        <f>IF('19'!AA27=1,(('19'!Z27*'19'!$AS$6*'19'!$AT$6)/('19'!Y27*0.0036)),IF('19'!AA27=2,(('19'!Z27*'19'!$AS$7*'19'!$AT$7)/('19'!Y27*0.0036))))</f>
        <v>66.123766377403442</v>
      </c>
      <c r="AC27" s="58"/>
      <c r="AD27" s="18">
        <f>(('19'!AC27*'19'!$Q$10*1000000))/('19'!Y27*3600)</f>
        <v>0</v>
      </c>
      <c r="AE27" s="183"/>
      <c r="AF27" s="184">
        <f>('19'!AE27/24)*0.454</f>
        <v>0</v>
      </c>
      <c r="AG27" s="19"/>
      <c r="AH27" s="184">
        <f>('19'!AG27/24)*0.454</f>
        <v>0</v>
      </c>
      <c r="AI27" s="183">
        <v>4400</v>
      </c>
      <c r="AJ27" s="184">
        <f>('19'!AI27/24)*0.454</f>
        <v>83.233333333333334</v>
      </c>
      <c r="AK27" s="21"/>
      <c r="AL27" s="185">
        <f>('19'!AK27/24)*0.454</f>
        <v>0</v>
      </c>
      <c r="AM27" s="21"/>
      <c r="AN27" s="185">
        <f>('19'!AM27/24)*0.454</f>
        <v>0</v>
      </c>
      <c r="AO27" s="21"/>
      <c r="AP27" s="185">
        <f>('19'!AO27/24)*0.454</f>
        <v>0</v>
      </c>
    </row>
    <row r="28" spans="1:42" ht="19.5" customHeight="1">
      <c r="A28" s="952">
        <v>51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4">
        <v>2599</v>
      </c>
      <c r="Z28" s="182">
        <v>935</v>
      </c>
      <c r="AA28" s="15">
        <v>1</v>
      </c>
      <c r="AB28" s="58">
        <f>IF('19'!AA28=1,(('19'!Z28*'19'!$AS$6*'19'!$AT$6)/('19'!Y28*0.0036)),IF('19'!AA28=2,(('19'!Z28*'19'!$AS$7*'19'!$AT$7)/('19'!Y28*0.0036))))</f>
        <v>66.454512419306582</v>
      </c>
      <c r="AC28" s="58"/>
      <c r="AD28" s="18">
        <f>(('19'!AC28*'19'!$Q$10*1000000))/('19'!Y28*3600)</f>
        <v>0</v>
      </c>
      <c r="AE28" s="183"/>
      <c r="AF28" s="184">
        <f>('19'!AE28/24)*0.454</f>
        <v>0</v>
      </c>
      <c r="AG28" s="19"/>
      <c r="AH28" s="184">
        <f>('19'!AG28/24)*0.454</f>
        <v>0</v>
      </c>
      <c r="AI28" s="183">
        <v>4400</v>
      </c>
      <c r="AJ28" s="184">
        <f>('19'!AI28/24)*0.454</f>
        <v>83.233333333333334</v>
      </c>
      <c r="AK28" s="21"/>
      <c r="AL28" s="185">
        <f>('19'!AK28/24)*0.454</f>
        <v>0</v>
      </c>
      <c r="AM28" s="21"/>
      <c r="AN28" s="185">
        <f>('19'!AM28/24)*0.454</f>
        <v>0</v>
      </c>
      <c r="AO28" s="21"/>
      <c r="AP28" s="185">
        <f>('19'!AO28/24)*0.454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4">
        <v>2572</v>
      </c>
      <c r="Z29" s="182">
        <v>935</v>
      </c>
      <c r="AA29" s="15">
        <v>1</v>
      </c>
      <c r="AB29" s="58">
        <f>IF('19'!AA29=1,(('19'!Z29*'19'!$AS$6*'19'!$AT$6)/('19'!Y29*0.0036)),IF('19'!AA29=2,(('19'!Z29*'19'!$AS$7*'19'!$AT$7)/('19'!Y29*0.0036))))</f>
        <v>67.152129773630548</v>
      </c>
      <c r="AC29" s="58"/>
      <c r="AD29" s="18">
        <f>(('19'!AC29*'19'!$Q$10*1000000))/('19'!Y29*3600)</f>
        <v>0</v>
      </c>
      <c r="AE29" s="183"/>
      <c r="AF29" s="184">
        <f>('19'!AE29/24)*0.454</f>
        <v>0</v>
      </c>
      <c r="AG29" s="19"/>
      <c r="AH29" s="184">
        <f>('19'!AG29/24)*0.454</f>
        <v>0</v>
      </c>
      <c r="AI29" s="183">
        <v>4400</v>
      </c>
      <c r="AJ29" s="184">
        <f>('19'!AI29/24)*0.454</f>
        <v>83.233333333333334</v>
      </c>
      <c r="AK29" s="21"/>
      <c r="AL29" s="185">
        <f>('19'!AK29/24)*0.454</f>
        <v>0</v>
      </c>
      <c r="AM29" s="21"/>
      <c r="AN29" s="185">
        <f>('19'!AM29/24)*0.454</f>
        <v>0</v>
      </c>
      <c r="AO29" s="21"/>
      <c r="AP29" s="185">
        <f>('19'!AO29/24)*0.454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SUM('19'!Y6:Y29)*3.6</f>
        <v>222570</v>
      </c>
      <c r="Z30" s="82">
        <f>SUM('19'!Z6:Z29)</f>
        <v>21930</v>
      </c>
      <c r="AA30" s="78"/>
      <c r="AB30" s="79"/>
      <c r="AC30" s="78"/>
      <c r="AD30" s="79"/>
      <c r="AE30" s="34"/>
      <c r="AF30" s="184">
        <f>SUM('19'!AF6:AF29)</f>
        <v>0</v>
      </c>
      <c r="AG30" s="34"/>
      <c r="AH30" s="184">
        <f>SUM('19'!AH6:AH29)</f>
        <v>0</v>
      </c>
      <c r="AI30" s="34"/>
      <c r="AJ30" s="184">
        <f>SUM('19'!AJ6:AJ29)</f>
        <v>1997.6000000000001</v>
      </c>
      <c r="AK30" s="80"/>
      <c r="AL30" s="185">
        <f>SUM('19'!AL6:AL29)</f>
        <v>0</v>
      </c>
      <c r="AM30" s="80"/>
      <c r="AN30" s="185">
        <f>SUM('19'!AN6:AN29)</f>
        <v>0</v>
      </c>
      <c r="AO30" s="80"/>
      <c r="AP30" s="185">
        <f>SUM('19'!AP6:AP29)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SUMIF('19'!AA6:AA29,"=1",'19'!Z6:Z29)</f>
        <v>21930</v>
      </c>
      <c r="AA32" s="82">
        <f>'19'!Z32*'19'!AS6</f>
        <v>29166.9</v>
      </c>
      <c r="AB32" s="83">
        <f>SUMIF('19'!$AA$6:$AA$29,"=1",'19'!$AB$6:$AB$29)/COUNTIF('19'!$AA$6:$AA$29,"=1")</f>
        <v>65.651403137528817</v>
      </c>
      <c r="AC32" s="84">
        <f>SUMIF('19'!AA6:AA29,"=1",'19'!AC6:AC29)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SUMIF('19'!AA6:AA29,"=2",'19'!Z6:Z29)</f>
        <v>0</v>
      </c>
      <c r="AA33" s="82">
        <f>'19'!Z33*'19'!AS7</f>
        <v>0</v>
      </c>
      <c r="AB33" s="83" t="e">
        <f>SUMIF('19'!$AA$6:$AA$29,"=2",'19'!$AB$6:$AB$29)/COUNTIF('19'!$AA$6:$AA$29,"=2")</f>
        <v>#DIV/0!</v>
      </c>
      <c r="AC33" s="89">
        <f>SUMIF('19'!AA6:AA29,"=2",'19'!AC6:AC29)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AVERAGE('19'!Y6:Y29)</f>
        <v>2576.0416666666665</v>
      </c>
      <c r="Z34" s="96">
        <f>AVERAGE('19'!Z6:Z29)</f>
        <v>913.75</v>
      </c>
      <c r="AA34" s="97"/>
      <c r="AB34" s="97"/>
      <c r="AC34" s="98">
        <f>SUM('19'!AC6:AC29)/COUNTIF('19'!AC6:AC29,"&lt;&gt;0")</f>
        <v>0</v>
      </c>
      <c r="AD34" s="99" t="e">
        <f>SUM('19'!AD6:AD29)/COUNTIF('19'!AD6:AD29,"&lt;&gt;0")</f>
        <v>#DIV/0!</v>
      </c>
      <c r="AE34" s="78"/>
      <c r="AF34" s="98">
        <f>AVERAGE('19'!AF6:AF29)</f>
        <v>0</v>
      </c>
      <c r="AG34" s="98"/>
      <c r="AH34" s="98">
        <f>AVERAGE('19'!AH6:AH29)</f>
        <v>0</v>
      </c>
      <c r="AI34" s="98"/>
      <c r="AJ34" s="98">
        <f>'19'!AJ30/24</f>
        <v>83.233333333333334</v>
      </c>
      <c r="AK34" s="98"/>
      <c r="AL34" s="98">
        <f>AVERAGE('19'!AL6:AL29)</f>
        <v>0</v>
      </c>
      <c r="AM34" s="98"/>
      <c r="AN34" s="98">
        <f>AVERAGE('19'!AN6:AN29)</f>
        <v>0</v>
      </c>
      <c r="AO34" s="98"/>
      <c r="AP34" s="98">
        <f>AVERAGE('19'!AP6:AP29)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50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50"/>
      <c r="X36" s="105" t="s">
        <v>73</v>
      </c>
      <c r="Y36" s="106"/>
      <c r="Z36" s="107"/>
      <c r="AA36" s="108" t="s">
        <v>74</v>
      </c>
      <c r="AB36" s="106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74.8</v>
      </c>
      <c r="D37" s="186">
        <v>64.599999999999994</v>
      </c>
      <c r="E37" s="186">
        <v>58.5</v>
      </c>
      <c r="F37" s="186">
        <v>1</v>
      </c>
      <c r="G37" s="186">
        <v>0.1</v>
      </c>
      <c r="H37" s="186">
        <v>0.1</v>
      </c>
      <c r="I37" s="183">
        <v>0.1</v>
      </c>
      <c r="J37" s="183">
        <v>0.06</v>
      </c>
      <c r="K37" s="183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304">
        <f>'19'!V12</f>
        <v>0</v>
      </c>
      <c r="X37" s="962" t="s">
        <v>75</v>
      </c>
      <c r="Y37" s="962"/>
      <c r="Z37" s="110">
        <f>COUNTA('19'!Z6:Z29)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SUM('19'!AF30+'19'!AH30)</f>
        <v>0</v>
      </c>
      <c r="AL38" s="210" t="s">
        <v>78</v>
      </c>
      <c r="AM38" s="212">
        <f>SUM('19'!AL30+'19'!AN30)</f>
        <v>0</v>
      </c>
      <c r="AO38" s="210" t="s">
        <v>78</v>
      </c>
      <c r="AP38" s="211">
        <f>'19'!AJ30</f>
        <v>1997.6000000000001</v>
      </c>
      <c r="AQ38" s="210" t="s">
        <v>78</v>
      </c>
      <c r="AR38" s="212">
        <f>'19'!AP30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('19'!AK38/'19'!Y30)*1000</f>
        <v>0</v>
      </c>
      <c r="AL39" s="215" t="s">
        <v>86</v>
      </c>
      <c r="AM39" s="216">
        <f>('19'!AM38/'19'!Y30)*1000</f>
        <v>0</v>
      </c>
      <c r="AO39" s="213" t="s">
        <v>86</v>
      </c>
      <c r="AP39" s="214">
        <f>('19'!AP38/'19'!Y30)*1000</f>
        <v>8.9751538841712719</v>
      </c>
      <c r="AQ39" s="215" t="s">
        <v>86</v>
      </c>
      <c r="AR39" s="216">
        <f>('19'!AR38/'19'!Y30)*1000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SUM('19'!AK38,'19'!AM38)</f>
        <v>0</v>
      </c>
      <c r="AM40" s="975"/>
      <c r="AO40" s="976" t="s">
        <v>90</v>
      </c>
      <c r="AP40" s="976"/>
      <c r="AQ40" s="977">
        <f>SUM('19'!AP38,'19'!AR38)</f>
        <v>1997.6000000000001</v>
      </c>
      <c r="AR40" s="977"/>
    </row>
    <row r="41" spans="1:44" ht="16.5" customHeight="1">
      <c r="A41" s="133">
        <f>COUNTA('19'!E7:E18)</f>
        <v>12</v>
      </c>
      <c r="B41" s="134">
        <f>COUNTA('19'!I7:I18)</f>
        <v>12</v>
      </c>
      <c r="C41" s="978">
        <f>COUNTA('19'!J7:J18)</f>
        <v>12</v>
      </c>
      <c r="D41" s="978">
        <f>COUNTA('19'!K8:K18)</f>
        <v>11</v>
      </c>
      <c r="E41" s="978">
        <f>COUNTIF('19'!E7:E18,"&gt;15")</f>
        <v>0</v>
      </c>
      <c r="F41" s="978"/>
      <c r="G41" s="978">
        <f>COUNTIF('19'!J7:J18,"&gt;1")</f>
        <v>0</v>
      </c>
      <c r="H41" s="978"/>
      <c r="I41" s="135"/>
      <c r="J41" s="978">
        <f>'19'!A41-'19'!E41</f>
        <v>12</v>
      </c>
      <c r="K41" s="978"/>
      <c r="L41" s="978">
        <f>'19'!C41-'19'!G41</f>
        <v>12</v>
      </c>
      <c r="M41" s="978"/>
      <c r="N41" s="135"/>
      <c r="O41" s="979">
        <f>COUNTIF('19'!J7:J18,"&lt;=0,5")</f>
        <v>0</v>
      </c>
      <c r="P41" s="979"/>
      <c r="Q41" s="979"/>
      <c r="R41" s="969"/>
      <c r="S41" s="980">
        <f>COUNTIF('19'!J7:J18,"&lt;=1,0")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SUM(('19'!AK38+'19'!AM38)/'19'!Y30)*1000</f>
        <v>0</v>
      </c>
      <c r="AM41" s="981"/>
      <c r="AO41" s="976" t="s">
        <v>91</v>
      </c>
      <c r="AP41" s="976"/>
      <c r="AQ41" s="981">
        <f>SUM(('19'!AP38+'19'!AR38)/'19'!Y30)*1000</f>
        <v>8.9751538841712719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/>
      <c r="Z44" s="144" t="s">
        <v>101</v>
      </c>
      <c r="AA44" s="145"/>
      <c r="AB44" s="144" t="s">
        <v>101</v>
      </c>
      <c r="AC44" s="145"/>
      <c r="AD44" s="988"/>
      <c r="AE44" s="988"/>
      <c r="AF44" s="989" t="s">
        <v>102</v>
      </c>
      <c r="AG44" s="1002">
        <f>SUM('19'!Y45,'19'!AA45,'19'!AC45,'19'!AE45)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COUNTIF('19'!I7:I18,"&lt;=5,0")</f>
        <v>12</v>
      </c>
      <c r="I45" s="992"/>
      <c r="J45" s="992"/>
      <c r="K45" s="135"/>
      <c r="L45" s="974">
        <f>COUNTA('19'!L37)</f>
        <v>1</v>
      </c>
      <c r="M45" s="974"/>
      <c r="O45" s="146"/>
      <c r="P45" s="147"/>
      <c r="Q45" s="993">
        <f>'19'!S41-'19'!O41</f>
        <v>12</v>
      </c>
      <c r="R45" s="993"/>
      <c r="S45" s="993"/>
      <c r="T45" s="148"/>
      <c r="X45" s="149" t="s">
        <v>104</v>
      </c>
      <c r="Y45" s="150">
        <f>'19'!Y44*275.3</f>
        <v>0</v>
      </c>
      <c r="Z45" s="149" t="s">
        <v>104</v>
      </c>
      <c r="AA45" s="150">
        <f>262.4*'19'!AA44</f>
        <v>0</v>
      </c>
      <c r="AB45" s="149" t="s">
        <v>104</v>
      </c>
      <c r="AC45" s="150">
        <f>'19'!AC44*277.7</f>
        <v>0</v>
      </c>
      <c r="AD45" s="149" t="s">
        <v>104</v>
      </c>
      <c r="AE45" s="151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" customHeight="1">
      <c r="F46" s="152"/>
      <c r="X46" s="153" t="s">
        <v>105</v>
      </c>
      <c r="Y46" s="154">
        <f>'19'!AS6</f>
        <v>1.33</v>
      </c>
      <c r="Z46" s="153" t="s">
        <v>105</v>
      </c>
      <c r="AA46" s="154">
        <f>'19'!Y46</f>
        <v>1.33</v>
      </c>
      <c r="AB46" s="153" t="s">
        <v>105</v>
      </c>
      <c r="AC46" s="154">
        <f>'19'!Y46</f>
        <v>1.33</v>
      </c>
      <c r="AD46" s="153" t="s">
        <v>105</v>
      </c>
      <c r="AE46" s="256">
        <f>'19'!Y46</f>
        <v>1.33</v>
      </c>
      <c r="AF46" s="995" t="s">
        <v>106</v>
      </c>
      <c r="AG46" s="996">
        <f>SUM('19'!Y47,'19'!AA47,'19'!AC47,'19'!AE47)</f>
        <v>0</v>
      </c>
      <c r="AI46" s="144" t="s">
        <v>101</v>
      </c>
      <c r="AJ46" s="145"/>
      <c r="AK46" s="144" t="s">
        <v>101</v>
      </c>
      <c r="AL46" s="145"/>
      <c r="AM46" s="144" t="s">
        <v>101</v>
      </c>
      <c r="AN46" s="145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'19'!Y45*'19'!Y46</f>
        <v>0</v>
      </c>
      <c r="Z47" s="149" t="s">
        <v>108</v>
      </c>
      <c r="AA47" s="150">
        <f>'19'!AA45*'19'!AA46</f>
        <v>0</v>
      </c>
      <c r="AB47" s="149" t="s">
        <v>108</v>
      </c>
      <c r="AC47" s="150">
        <f>'19'!AC45*'19'!AC46</f>
        <v>0</v>
      </c>
      <c r="AD47" s="149" t="s">
        <v>108</v>
      </c>
      <c r="AE47" s="150">
        <f>'19'!AE45*'19'!AE46</f>
        <v>0</v>
      </c>
      <c r="AF47" s="995"/>
      <c r="AG47" s="996"/>
      <c r="AI47" s="149" t="s">
        <v>104</v>
      </c>
      <c r="AJ47" s="150">
        <f>AJ46*275.3</f>
        <v>0</v>
      </c>
      <c r="AK47" s="149" t="s">
        <v>104</v>
      </c>
      <c r="AL47" s="150">
        <f>262.4*'10'!AL46</f>
        <v>0</v>
      </c>
      <c r="AM47" s="149" t="s">
        <v>104</v>
      </c>
      <c r="AN47" s="150">
        <f>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Y46</f>
        <v>1.33</v>
      </c>
      <c r="AK48" s="160" t="s">
        <v>105</v>
      </c>
      <c r="AL48" s="154">
        <f>'10'!AJ48</f>
        <v>1.33</v>
      </c>
      <c r="AM48" s="160" t="s">
        <v>105</v>
      </c>
      <c r="AN48" s="154">
        <f>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AJ47*AJ48</f>
        <v>0</v>
      </c>
      <c r="AK49" s="149" t="s">
        <v>108</v>
      </c>
      <c r="AL49" s="150">
        <f>'10'!AL47*'10'!AL48</f>
        <v>0</v>
      </c>
      <c r="AM49" s="149" t="s">
        <v>108</v>
      </c>
      <c r="AN49" s="150">
        <f>AN47*AN48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COUNTA('19'!O7:O18)</f>
        <v>12</v>
      </c>
      <c r="P51" s="974">
        <f>COUNTA('19'!W17:W28)</f>
        <v>0</v>
      </c>
      <c r="R51" s="992">
        <f>COUNTIF('19'!O7:O18,"&gt;=0,5")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SUM('19'!Y53,'19'!AA53,'19'!AC53,'19'!AE53)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'19'!Y52*275.3</f>
        <v>0</v>
      </c>
      <c r="Z53" s="149" t="s">
        <v>104</v>
      </c>
      <c r="AA53" s="150">
        <f>262.4*'19'!AA52</f>
        <v>0</v>
      </c>
      <c r="AB53" s="149" t="s">
        <v>104</v>
      </c>
      <c r="AC53" s="167">
        <f>'19'!AC52*277.7</f>
        <v>0</v>
      </c>
      <c r="AD53" s="149" t="s">
        <v>104</v>
      </c>
      <c r="AE53" s="230"/>
      <c r="AF53" s="989"/>
      <c r="AG53" s="1002"/>
      <c r="AI53" s="144" t="s">
        <v>101</v>
      </c>
      <c r="AJ53" s="166"/>
      <c r="AK53" s="144" t="s">
        <v>101</v>
      </c>
      <c r="AL53" s="164"/>
      <c r="AM53" s="144" t="s">
        <v>101</v>
      </c>
      <c r="AN53" s="164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'19'!AS7</f>
        <v>1.377</v>
      </c>
      <c r="Z54" s="153" t="s">
        <v>105</v>
      </c>
      <c r="AA54" s="154">
        <f>'19'!Y54</f>
        <v>1.377</v>
      </c>
      <c r="AB54" s="153" t="s">
        <v>105</v>
      </c>
      <c r="AC54" s="154">
        <f>'19'!Y54</f>
        <v>1.377</v>
      </c>
      <c r="AD54" s="153" t="s">
        <v>105</v>
      </c>
      <c r="AE54" s="256">
        <f>'19'!Y54</f>
        <v>1.377</v>
      </c>
      <c r="AF54" s="995" t="s">
        <v>106</v>
      </c>
      <c r="AG54" s="996">
        <f>SUM('19'!Y55,'19'!AA55,'19'!AC55,'19'!AE55)</f>
        <v>0</v>
      </c>
      <c r="AI54" s="149" t="s">
        <v>104</v>
      </c>
      <c r="AJ54" s="150">
        <f>AJ53*275.3</f>
        <v>0</v>
      </c>
      <c r="AK54" s="149" t="s">
        <v>104</v>
      </c>
      <c r="AL54" s="150">
        <f>262.4*'10'!AL53</f>
        <v>0</v>
      </c>
      <c r="AM54" s="149" t="s">
        <v>104</v>
      </c>
      <c r="AN54" s="167">
        <f>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'19'!Y53*'19'!Y54</f>
        <v>0</v>
      </c>
      <c r="Z55" s="149" t="s">
        <v>108</v>
      </c>
      <c r="AA55" s="150">
        <f>'19'!AA53*'19'!AA54</f>
        <v>0</v>
      </c>
      <c r="AB55" s="149" t="s">
        <v>108</v>
      </c>
      <c r="AC55" s="150">
        <f>'19'!AC53*'19'!AC54</f>
        <v>0</v>
      </c>
      <c r="AD55" s="149" t="s">
        <v>108</v>
      </c>
      <c r="AE55" s="150">
        <f>'19'!AE53*'19'!AE54</f>
        <v>0</v>
      </c>
      <c r="AF55" s="995"/>
      <c r="AG55" s="996"/>
      <c r="AI55" s="153" t="s">
        <v>105</v>
      </c>
      <c r="AJ55" s="154">
        <f>Y54</f>
        <v>1.377</v>
      </c>
      <c r="AK55" s="153" t="s">
        <v>105</v>
      </c>
      <c r="AL55" s="154">
        <f>'10'!AJ55</f>
        <v>0</v>
      </c>
      <c r="AM55" s="153" t="s">
        <v>105</v>
      </c>
      <c r="AN55" s="154">
        <f>AJ55</f>
        <v>1.377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AJ54*'10'!AJ55</f>
        <v>0</v>
      </c>
      <c r="AK56" s="149" t="s">
        <v>108</v>
      </c>
      <c r="AL56" s="150">
        <f>'10'!AL54*'10'!AL55</f>
        <v>0</v>
      </c>
      <c r="AM56" s="149" t="s">
        <v>108</v>
      </c>
      <c r="AN56" s="150">
        <f>AN54*AN55</f>
        <v>0</v>
      </c>
      <c r="AO56" s="994"/>
      <c r="AP56" s="994"/>
      <c r="AQ56" s="994"/>
      <c r="AR56" s="994"/>
    </row>
    <row r="57" spans="15:44" ht="15.75" customHeight="1">
      <c r="O57" s="1003">
        <f>COUNTA('19'!N7:N18)</f>
        <v>12</v>
      </c>
      <c r="P57" s="1003"/>
      <c r="R57" s="1004">
        <f>COUNTIF('19'!N7:N18,"&gt;=6")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29166.9</v>
      </c>
      <c r="AR62" s="1016"/>
    </row>
    <row r="63" spans="15:44" ht="15" customHeight="1">
      <c r="X63" s="170" t="s">
        <v>124</v>
      </c>
      <c r="Y63" s="171"/>
      <c r="Z63" s="1013"/>
      <c r="AA63" s="1013"/>
      <c r="AB63" s="172" t="s">
        <v>124</v>
      </c>
      <c r="AC63" s="173">
        <v>0</v>
      </c>
      <c r="AE63" s="49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-29166.9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>
        <f>'18'!$Y$68</f>
        <v>-22597.849999999995</v>
      </c>
      <c r="Z65" s="1013"/>
      <c r="AA65" s="1013"/>
      <c r="AB65" s="176" t="s">
        <v>126</v>
      </c>
      <c r="AC65" s="241">
        <f>'18'!$AC$68</f>
        <v>-1730.8750000000002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280">
        <f>SUM('19'!AK38,'19'!AP38)</f>
        <v>1997.6000000000001</v>
      </c>
      <c r="Z67" s="1013"/>
      <c r="AA67" s="1013"/>
      <c r="AB67" s="172" t="s">
        <v>124</v>
      </c>
      <c r="AC67" s="169">
        <f>SUM('19'!AM38,'19'!AR38)</f>
        <v>0</v>
      </c>
    </row>
    <row r="68" spans="24:29" ht="15.75" customHeight="1">
      <c r="X68" s="170" t="s">
        <v>128</v>
      </c>
      <c r="Y68" s="179">
        <f>SUM('19'!Y63,'19'!Y65)-'19'!Y67</f>
        <v>-24595.449999999993</v>
      </c>
      <c r="Z68" s="1013"/>
      <c r="AA68" s="1013"/>
      <c r="AB68" s="172" t="s">
        <v>128</v>
      </c>
      <c r="AC68" s="180">
        <f>SUM('19'!AC63,'19'!AC65)-'19'!AC67</f>
        <v>-1730.8750000000002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conditionalFormatting sqref="O19">
    <cfRule type="cellIs" priority="4" operator="lessThan">
      <formula>2.5</formula>
    </cfRule>
    <cfRule type="cellIs" priority="5" operator="greaterThan">
      <formula>3</formula>
    </cfRule>
    <cfRule type="cellIs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4" zoomScaleNormal="100" workbookViewId="0">
      <selection activeCell="Z29" sqref="Z29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930" t="s">
        <v>13</v>
      </c>
      <c r="U4" s="108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930"/>
      <c r="U5" s="108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7.100000000000001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5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8"/>
      <c r="V6" s="932"/>
      <c r="W6" s="932"/>
      <c r="X6" s="13">
        <v>4.1666666666666699E-2</v>
      </c>
      <c r="Y6" s="173">
        <v>2593</v>
      </c>
      <c r="Z6" s="257">
        <v>935</v>
      </c>
      <c r="AA6" s="15">
        <v>1</v>
      </c>
      <c r="AB6" s="58">
        <f>IF('20'!AA6=1,(('20'!Z6*'20'!$AS$6*'20'!$AT$6)/('20'!Y6*0.0036)),IF('20'!AA6=2,(('20'!Z6*'20'!$AS$7*'20'!$AT$7)/('20'!Y6*0.0036))))</f>
        <v>66.608282984102502</v>
      </c>
      <c r="AC6" s="58"/>
      <c r="AD6" s="18">
        <f>(('20'!AC6*'20'!$Q$10*1000000))/('20'!Y6*3600)</f>
        <v>0</v>
      </c>
      <c r="AE6" s="183"/>
      <c r="AF6" s="184">
        <f>('20'!AE6/24)*0.454</f>
        <v>0</v>
      </c>
      <c r="AG6" s="19"/>
      <c r="AH6" s="184">
        <f>('20'!AG6/24)*0.454</f>
        <v>0</v>
      </c>
      <c r="AI6" s="182">
        <v>4400</v>
      </c>
      <c r="AJ6" s="184">
        <f>('20'!AI6/24)*0.454</f>
        <v>83.233333333333334</v>
      </c>
      <c r="AK6" s="21"/>
      <c r="AL6" s="185">
        <f>('20'!AK6/24)*0.454</f>
        <v>0</v>
      </c>
      <c r="AM6" s="21"/>
      <c r="AN6" s="185">
        <f>('20'!AM6/24)*0.454</f>
        <v>0</v>
      </c>
      <c r="AO6" s="21"/>
      <c r="AP6" s="185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6">
        <v>80</v>
      </c>
      <c r="C7" s="186">
        <v>12.5</v>
      </c>
      <c r="D7" s="186">
        <v>12.5</v>
      </c>
      <c r="E7" s="186">
        <v>2.5</v>
      </c>
      <c r="F7" s="186">
        <v>11</v>
      </c>
      <c r="G7" s="186">
        <v>1.7</v>
      </c>
      <c r="H7" s="186">
        <v>2.2000000000000002</v>
      </c>
      <c r="I7" s="186">
        <v>0.6</v>
      </c>
      <c r="J7" s="186">
        <v>0.8</v>
      </c>
      <c r="K7" s="186">
        <v>7.3</v>
      </c>
      <c r="L7" s="302">
        <v>6.8</v>
      </c>
      <c r="M7" s="302">
        <v>6.8</v>
      </c>
      <c r="N7" s="302">
        <v>6.5</v>
      </c>
      <c r="O7" s="303">
        <v>3</v>
      </c>
      <c r="P7" s="186"/>
      <c r="Q7" s="188"/>
      <c r="R7" s="37">
        <f>'19'!$Z$29</f>
        <v>935</v>
      </c>
      <c r="S7" s="187">
        <f>'19'!$AB$29</f>
        <v>67.152129773630548</v>
      </c>
      <c r="T7" s="37">
        <f>'19'!$Y$29</f>
        <v>2572</v>
      </c>
      <c r="U7" s="33" t="str">
        <f>IF('20'!AA6=1,'20'!AR6,'20'!AR7)</f>
        <v>S.A.L</v>
      </c>
      <c r="V7" s="1022">
        <f>ESCALA!$C$21</f>
        <v>0</v>
      </c>
      <c r="W7" s="1022"/>
      <c r="X7" s="13">
        <v>8.3333333333333301E-2</v>
      </c>
      <c r="Y7" s="173">
        <v>2622</v>
      </c>
      <c r="Z7" s="257">
        <v>935</v>
      </c>
      <c r="AA7" s="15">
        <v>1</v>
      </c>
      <c r="AB7" s="58">
        <f>IF('20'!AA7=1,(('20'!Z7*'20'!$AS$6*'20'!$AT$6)/('20'!Y7*0.0036)),IF('20'!AA7=2,(('20'!Z7*'20'!$AS$7*'20'!$AT$7)/('20'!Y7*0.0036))))</f>
        <v>65.87157809983897</v>
      </c>
      <c r="AC7" s="58"/>
      <c r="AD7" s="18">
        <f>(('20'!AC7*'20'!$Q$10*1000000))/('20'!Y7*3600)</f>
        <v>0</v>
      </c>
      <c r="AE7" s="183"/>
      <c r="AF7" s="184">
        <f>('20'!AE7/24)*0.454</f>
        <v>0</v>
      </c>
      <c r="AG7" s="19"/>
      <c r="AH7" s="184">
        <f>('20'!AG7/24)*0.454</f>
        <v>0</v>
      </c>
      <c r="AI7" s="182">
        <v>4400</v>
      </c>
      <c r="AJ7" s="184">
        <f>('20'!AI7/24)*0.454</f>
        <v>83.233333333333334</v>
      </c>
      <c r="AK7" s="21"/>
      <c r="AL7" s="185">
        <f>('20'!AK7/24)*0.454</f>
        <v>0</v>
      </c>
      <c r="AM7" s="21"/>
      <c r="AN7" s="185">
        <f>('20'!AM7/24)*0.454</f>
        <v>0</v>
      </c>
      <c r="AO7" s="21"/>
      <c r="AP7" s="185">
        <f>('20'!AO7/24)*0.454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6">
        <v>80</v>
      </c>
      <c r="C8" s="186">
        <v>12.5</v>
      </c>
      <c r="D8" s="186">
        <v>12.5</v>
      </c>
      <c r="E8" s="186">
        <v>2.5</v>
      </c>
      <c r="F8" s="186">
        <v>10</v>
      </c>
      <c r="G8" s="186">
        <v>1.8</v>
      </c>
      <c r="H8" s="186">
        <v>2.2000000000000002</v>
      </c>
      <c r="I8" s="186">
        <v>0.6</v>
      </c>
      <c r="J8" s="186">
        <v>0.7</v>
      </c>
      <c r="K8" s="186">
        <v>7.3</v>
      </c>
      <c r="L8" s="302">
        <v>6.8</v>
      </c>
      <c r="M8" s="302">
        <v>6.8</v>
      </c>
      <c r="N8" s="302">
        <v>6.5</v>
      </c>
      <c r="O8" s="303">
        <v>2.8</v>
      </c>
      <c r="P8" s="186"/>
      <c r="Q8" s="188"/>
      <c r="R8" s="35">
        <f>'20'!Z7</f>
        <v>935</v>
      </c>
      <c r="S8" s="36">
        <f>'20'!AB7</f>
        <v>65.87157809983897</v>
      </c>
      <c r="T8" s="37">
        <f>'20'!Y7</f>
        <v>2622</v>
      </c>
      <c r="U8" s="33" t="str">
        <f>IF('20'!AA7=1,'20'!AR6,'20'!AR7)</f>
        <v>S.A.L</v>
      </c>
      <c r="V8" s="1022"/>
      <c r="W8" s="1022"/>
      <c r="X8" s="13">
        <v>0.125</v>
      </c>
      <c r="Y8" s="173">
        <v>2558</v>
      </c>
      <c r="Z8" s="257">
        <v>935</v>
      </c>
      <c r="AA8" s="15">
        <v>1</v>
      </c>
      <c r="AB8" s="58">
        <f>IF('20'!AA8=1,(('20'!Z8*'20'!$AS$6*'20'!$AT$6)/('20'!Y8*0.0036)),IF('20'!AA8=2,(('20'!Z8*'20'!$AS$7*'20'!$AT$7)/('20'!Y8*0.0036))))</f>
        <v>67.519655112501084</v>
      </c>
      <c r="AC8" s="58"/>
      <c r="AD8" s="18">
        <f>(('20'!AC8*'20'!$Q$10*1000000))/('20'!Y8*3600)</f>
        <v>0</v>
      </c>
      <c r="AE8" s="183"/>
      <c r="AF8" s="184">
        <f>('20'!AE8/24)*0.454</f>
        <v>0</v>
      </c>
      <c r="AG8" s="19"/>
      <c r="AH8" s="184">
        <f>('20'!AG8/24)*0.454</f>
        <v>0</v>
      </c>
      <c r="AI8" s="182">
        <v>4400</v>
      </c>
      <c r="AJ8" s="184">
        <f>('20'!AI8/24)*0.454</f>
        <v>83.233333333333334</v>
      </c>
      <c r="AK8" s="21"/>
      <c r="AL8" s="185">
        <f>('20'!AK8/24)*0.454</f>
        <v>0</v>
      </c>
      <c r="AM8" s="21"/>
      <c r="AN8" s="185">
        <f>('20'!AM8/24)*0.454</f>
        <v>0</v>
      </c>
      <c r="AO8" s="21"/>
      <c r="AP8" s="185">
        <f>('20'!AO8/24)*0.454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80</v>
      </c>
      <c r="C9" s="186">
        <v>12.5</v>
      </c>
      <c r="D9" s="186">
        <v>12.5</v>
      </c>
      <c r="E9" s="186">
        <v>2.5</v>
      </c>
      <c r="F9" s="186">
        <v>11</v>
      </c>
      <c r="G9" s="186">
        <v>1.8</v>
      </c>
      <c r="H9" s="186">
        <v>2.1</v>
      </c>
      <c r="I9" s="186">
        <v>0.6</v>
      </c>
      <c r="J9" s="186">
        <v>0.7</v>
      </c>
      <c r="K9" s="186">
        <v>7.3</v>
      </c>
      <c r="L9" s="302">
        <v>6.8</v>
      </c>
      <c r="M9" s="302">
        <v>6.8</v>
      </c>
      <c r="N9" s="302">
        <v>6.5</v>
      </c>
      <c r="O9" s="303">
        <v>2.8</v>
      </c>
      <c r="P9" s="186"/>
      <c r="Q9" s="188"/>
      <c r="R9" s="37">
        <f>'20'!Z9</f>
        <v>935</v>
      </c>
      <c r="S9" s="36">
        <f>'20'!AB9</f>
        <v>66.022659700985386</v>
      </c>
      <c r="T9" s="37">
        <f>'20'!Y9</f>
        <v>2616</v>
      </c>
      <c r="U9" s="33" t="str">
        <f>IF('20'!AA9=1,'20'!AR6,'20'!AR7)</f>
        <v>S.A.L</v>
      </c>
      <c r="V9" s="1022"/>
      <c r="W9" s="1022"/>
      <c r="X9" s="13">
        <v>0.16666666666666699</v>
      </c>
      <c r="Y9" s="173">
        <v>2616</v>
      </c>
      <c r="Z9" s="257">
        <v>935</v>
      </c>
      <c r="AA9" s="15">
        <v>1</v>
      </c>
      <c r="AB9" s="58">
        <f>IF('20'!AA9=1,(('20'!Z9*'20'!$AS$6*'20'!$AT$6)/('20'!Y9*0.0036)),IF('20'!AA9=2,(('20'!Z9*'20'!$AS$7*'20'!$AT$7)/('20'!Y9*0.0036))))</f>
        <v>66.022659700985386</v>
      </c>
      <c r="AC9" s="58"/>
      <c r="AD9" s="18">
        <f>(('20'!AC9*'20'!$Q$10*1000000))/('20'!Y9*3600)</f>
        <v>0</v>
      </c>
      <c r="AE9" s="183"/>
      <c r="AF9" s="184">
        <f>('20'!AE9/24)*0.454</f>
        <v>0</v>
      </c>
      <c r="AG9" s="19"/>
      <c r="AH9" s="184">
        <f>('20'!AG9/24)*0.454</f>
        <v>0</v>
      </c>
      <c r="AI9" s="182">
        <v>4400</v>
      </c>
      <c r="AJ9" s="184">
        <f>('20'!AI9/24)*0.454</f>
        <v>83.233333333333334</v>
      </c>
      <c r="AK9" s="21"/>
      <c r="AL9" s="185">
        <f>('20'!AK9/24)*0.454</f>
        <v>0</v>
      </c>
      <c r="AM9" s="21"/>
      <c r="AN9" s="185">
        <f>('20'!AM9/24)*0.454</f>
        <v>0</v>
      </c>
      <c r="AO9" s="21"/>
      <c r="AP9" s="185">
        <f>('20'!AO9/24)*0.454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80</v>
      </c>
      <c r="C10" s="186">
        <v>12.5</v>
      </c>
      <c r="D10" s="186">
        <v>12.5</v>
      </c>
      <c r="E10" s="186">
        <v>2.5</v>
      </c>
      <c r="F10" s="186">
        <v>11</v>
      </c>
      <c r="G10" s="186">
        <v>1.8</v>
      </c>
      <c r="H10" s="186">
        <v>2</v>
      </c>
      <c r="I10" s="186">
        <v>0.5</v>
      </c>
      <c r="J10" s="186">
        <v>0.7</v>
      </c>
      <c r="K10" s="186">
        <v>7.3</v>
      </c>
      <c r="L10" s="302">
        <v>6.8</v>
      </c>
      <c r="M10" s="302">
        <v>6.8</v>
      </c>
      <c r="N10" s="302">
        <v>6.5</v>
      </c>
      <c r="O10" s="303">
        <v>2.5</v>
      </c>
      <c r="P10" s="186"/>
      <c r="Q10" s="188"/>
      <c r="R10" s="37">
        <f>'20'!Z11</f>
        <v>901</v>
      </c>
      <c r="S10" s="36">
        <f>'20'!AB11</f>
        <v>64.81102890273452</v>
      </c>
      <c r="T10" s="37">
        <f>'20'!Y11</f>
        <v>2568</v>
      </c>
      <c r="U10" s="33" t="str">
        <f>IF('20'!AA11=1,'20'!AR6,'20'!AR7)</f>
        <v>S.A.L</v>
      </c>
      <c r="V10" s="1022"/>
      <c r="W10" s="1022"/>
      <c r="X10" s="13">
        <v>0.20833333333333301</v>
      </c>
      <c r="Y10" s="173">
        <v>2590</v>
      </c>
      <c r="Z10" s="257">
        <v>935</v>
      </c>
      <c r="AA10" s="15">
        <v>1</v>
      </c>
      <c r="AB10" s="58">
        <f>IF('20'!AA10=1,(('20'!Z10*'20'!$AS$6*'20'!$AT$6)/('20'!Y10*0.0036)),IF('20'!AA10=2,(('20'!Z10*'20'!$AS$7*'20'!$AT$7)/('20'!Y10*0.0036))))</f>
        <v>66.685435435435437</v>
      </c>
      <c r="AC10" s="58"/>
      <c r="AD10" s="18">
        <f>(('20'!AC10*'20'!$Q$10*1000000))/('20'!Y10*3600)</f>
        <v>0</v>
      </c>
      <c r="AE10" s="183"/>
      <c r="AF10" s="184">
        <f>('20'!AE10/24)*0.454</f>
        <v>0</v>
      </c>
      <c r="AG10" s="19"/>
      <c r="AH10" s="184">
        <f>('20'!AG10/24)*0.454</f>
        <v>0</v>
      </c>
      <c r="AI10" s="182">
        <v>4400</v>
      </c>
      <c r="AJ10" s="184">
        <f>('20'!AI10/24)*0.454</f>
        <v>83.233333333333334</v>
      </c>
      <c r="AK10" s="21"/>
      <c r="AL10" s="185">
        <f>('20'!AK10/24)*0.454</f>
        <v>0</v>
      </c>
      <c r="AM10" s="21"/>
      <c r="AN10" s="185">
        <f>('20'!AM10/24)*0.454</f>
        <v>0</v>
      </c>
      <c r="AO10" s="21"/>
      <c r="AP10" s="185">
        <f>('20'!AO10/24)*0.454</f>
        <v>0</v>
      </c>
      <c r="AQ10" s="943">
        <v>4400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6">
        <v>80</v>
      </c>
      <c r="C11" s="186">
        <v>12.5</v>
      </c>
      <c r="D11" s="186">
        <v>12.5</v>
      </c>
      <c r="E11" s="186">
        <v>2.5</v>
      </c>
      <c r="F11" s="186">
        <v>11</v>
      </c>
      <c r="G11" s="186">
        <v>1.8</v>
      </c>
      <c r="H11" s="186">
        <v>1.9</v>
      </c>
      <c r="I11" s="186">
        <v>0.4</v>
      </c>
      <c r="J11" s="186">
        <v>0.6</v>
      </c>
      <c r="K11" s="186">
        <v>7.3</v>
      </c>
      <c r="L11" s="302">
        <v>6.8</v>
      </c>
      <c r="M11" s="302">
        <v>6.8</v>
      </c>
      <c r="N11" s="302">
        <v>6.5</v>
      </c>
      <c r="O11" s="303">
        <v>2.5</v>
      </c>
      <c r="P11" s="186"/>
      <c r="Q11" s="188"/>
      <c r="R11" s="37">
        <f>'20'!Z13</f>
        <v>901</v>
      </c>
      <c r="S11" s="36">
        <f>'20'!AB13</f>
        <v>64.409722222222229</v>
      </c>
      <c r="T11" s="37">
        <f>'20'!Y13</f>
        <v>2584</v>
      </c>
      <c r="U11" s="33" t="str">
        <f>IF('20'!AA13=1,'20'!AR6,'20'!AR7)</f>
        <v>S.A.L</v>
      </c>
      <c r="V11" s="1022"/>
      <c r="W11" s="1022"/>
      <c r="X11" s="13">
        <v>0.25</v>
      </c>
      <c r="Y11" s="173">
        <v>2568</v>
      </c>
      <c r="Z11" s="257">
        <v>901</v>
      </c>
      <c r="AA11" s="15">
        <v>1</v>
      </c>
      <c r="AB11" s="58">
        <f>IF('20'!AA11=1,(('20'!Z11*'20'!$AS$6*'20'!$AT$6)/('20'!Y11*0.0036)),IF('20'!AA11=2,(('20'!Z11*'20'!$AS$7*'20'!$AT$7)/('20'!Y11*0.0036))))</f>
        <v>64.81102890273452</v>
      </c>
      <c r="AC11" s="58"/>
      <c r="AD11" s="18">
        <f>(('20'!AC11*'20'!$Q$10*1000000))/('20'!Y11*3600)</f>
        <v>0</v>
      </c>
      <c r="AE11" s="183"/>
      <c r="AF11" s="184">
        <f>('20'!AE11/24)*0.454</f>
        <v>0</v>
      </c>
      <c r="AG11" s="19"/>
      <c r="AH11" s="184">
        <f>('20'!AG11/24)*0.454</f>
        <v>0</v>
      </c>
      <c r="AI11" s="182">
        <v>4800</v>
      </c>
      <c r="AJ11" s="184">
        <f>('20'!AI11/24)*0.454</f>
        <v>90.8</v>
      </c>
      <c r="AK11" s="21"/>
      <c r="AL11" s="185">
        <f>('20'!AK11/24)*0.454</f>
        <v>0</v>
      </c>
      <c r="AM11" s="21"/>
      <c r="AN11" s="185">
        <f>('20'!AM11/24)*0.454</f>
        <v>0</v>
      </c>
      <c r="AO11" s="21"/>
      <c r="AP11" s="185">
        <f>('20'!AO11/24)*0.454</f>
        <v>0</v>
      </c>
    </row>
    <row r="12" spans="1:47" ht="18.75" customHeight="1">
      <c r="A12" s="28">
        <v>0.41666666666666702</v>
      </c>
      <c r="B12" s="186">
        <v>80</v>
      </c>
      <c r="C12" s="186">
        <v>12.5</v>
      </c>
      <c r="D12" s="186">
        <v>12.5</v>
      </c>
      <c r="E12" s="186">
        <v>2.5</v>
      </c>
      <c r="F12" s="186">
        <v>10</v>
      </c>
      <c r="G12" s="186">
        <v>1.8</v>
      </c>
      <c r="H12" s="186">
        <v>1.9</v>
      </c>
      <c r="I12" s="186">
        <v>0.4</v>
      </c>
      <c r="J12" s="186">
        <v>0.5</v>
      </c>
      <c r="K12" s="186">
        <v>7.3</v>
      </c>
      <c r="L12" s="302">
        <v>6.8</v>
      </c>
      <c r="M12" s="302">
        <v>6.8</v>
      </c>
      <c r="N12" s="302">
        <v>6.5</v>
      </c>
      <c r="O12" s="303">
        <v>2.5</v>
      </c>
      <c r="P12" s="186"/>
      <c r="Q12" s="188"/>
      <c r="R12" s="37">
        <f>'20'!Z15</f>
        <v>901</v>
      </c>
      <c r="S12" s="36">
        <f>'20'!AB15</f>
        <v>63.307235535269022</v>
      </c>
      <c r="T12" s="37">
        <f>'20'!Y15</f>
        <v>2629</v>
      </c>
      <c r="U12" s="33" t="str">
        <f>IF('20'!AA15=1,'20'!AR6,'20'!AR7)</f>
        <v>S.A.L</v>
      </c>
      <c r="V12" s="944">
        <f>ESCALA!$B$22</f>
        <v>0</v>
      </c>
      <c r="W12" s="944"/>
      <c r="X12" s="13">
        <v>0.29166666666666702</v>
      </c>
      <c r="Y12" s="173">
        <v>2649</v>
      </c>
      <c r="Z12" s="257">
        <v>901</v>
      </c>
      <c r="AA12" s="15">
        <v>1</v>
      </c>
      <c r="AB12" s="58">
        <f>IF('20'!AA12=1,(('20'!Z12*'20'!$AS$6*'20'!$AT$6)/('20'!Y12*0.0036)),IF('20'!AA12=2,(('20'!Z12*'20'!$AS$7*'20'!$AT$7)/('20'!Y12*0.0036))))</f>
        <v>62.829264712050673</v>
      </c>
      <c r="AC12" s="58"/>
      <c r="AD12" s="18">
        <f>(('20'!AC12*'20'!$Q$10*1000000))/('20'!Y12*3600)</f>
        <v>0</v>
      </c>
      <c r="AE12" s="183"/>
      <c r="AF12" s="184">
        <f>('20'!AE12/24)*0.454</f>
        <v>0</v>
      </c>
      <c r="AG12" s="19"/>
      <c r="AH12" s="184">
        <f>('20'!AG12/24)*0.454</f>
        <v>0</v>
      </c>
      <c r="AI12" s="182">
        <v>4800</v>
      </c>
      <c r="AJ12" s="184">
        <f>('20'!AI13/24)*0.454</f>
        <v>90.8</v>
      </c>
      <c r="AK12" s="21"/>
      <c r="AL12" s="185">
        <f>('20'!AK12/24)*0.454</f>
        <v>0</v>
      </c>
      <c r="AM12" s="21"/>
      <c r="AN12" s="185">
        <f>('20'!AM12/24)*0.454</f>
        <v>0</v>
      </c>
      <c r="AO12" s="21"/>
      <c r="AP12" s="185">
        <f>('20'!AO12/24)*0.454</f>
        <v>0</v>
      </c>
    </row>
    <row r="13" spans="1:47" ht="18.75" customHeight="1">
      <c r="A13" s="28">
        <v>0.5</v>
      </c>
      <c r="B13" s="186">
        <v>80</v>
      </c>
      <c r="C13" s="186">
        <v>12.5</v>
      </c>
      <c r="D13" s="186">
        <v>12.5</v>
      </c>
      <c r="E13" s="186">
        <v>2.5</v>
      </c>
      <c r="F13" s="186">
        <v>10</v>
      </c>
      <c r="G13" s="186">
        <v>1.8</v>
      </c>
      <c r="H13" s="186">
        <v>1.9</v>
      </c>
      <c r="I13" s="186">
        <v>0.4</v>
      </c>
      <c r="J13" s="186">
        <v>0.5</v>
      </c>
      <c r="K13" s="186">
        <v>7.3</v>
      </c>
      <c r="L13" s="302">
        <v>6.8</v>
      </c>
      <c r="M13" s="302">
        <v>6.8</v>
      </c>
      <c r="N13" s="302">
        <v>6.5</v>
      </c>
      <c r="O13" s="303">
        <v>2.5</v>
      </c>
      <c r="P13" s="186"/>
      <c r="Q13" s="188"/>
      <c r="R13" s="37">
        <f>'20'!Z17</f>
        <v>901</v>
      </c>
      <c r="S13" s="36">
        <f>'20'!AB17</f>
        <v>63.427866700542012</v>
      </c>
      <c r="T13" s="37">
        <f>'20'!Y17</f>
        <v>2624</v>
      </c>
      <c r="U13" s="33" t="str">
        <f>IF('20'!AA17=1,'20'!AR6,'20'!AR7)</f>
        <v>S.A.L</v>
      </c>
      <c r="V13" s="944"/>
      <c r="W13" s="944"/>
      <c r="X13" s="13">
        <v>0.33333333333333298</v>
      </c>
      <c r="Y13" s="173">
        <v>2584</v>
      </c>
      <c r="Z13" s="257">
        <v>901</v>
      </c>
      <c r="AA13" s="15">
        <v>1</v>
      </c>
      <c r="AB13" s="58">
        <f>IF('20'!AA13=1,(('20'!Z13*'20'!$AS$6*'20'!$AT$6)/('20'!Y13*0.0036)),IF('20'!AA13=2,(('20'!Z13*'20'!$AS$7*'20'!$AT$7)/('20'!Y13*0.0036))))</f>
        <v>64.409722222222229</v>
      </c>
      <c r="AC13" s="58"/>
      <c r="AD13" s="18">
        <f>(('20'!AC13*'20'!$Q$10*1000000))/('20'!Y13*3600)</f>
        <v>0</v>
      </c>
      <c r="AE13" s="183"/>
      <c r="AF13" s="184">
        <f>('20'!AE13/24)*0.454</f>
        <v>0</v>
      </c>
      <c r="AG13" s="19"/>
      <c r="AH13" s="184">
        <f>('20'!AG13/24)*0.454</f>
        <v>0</v>
      </c>
      <c r="AI13" s="182">
        <v>4800</v>
      </c>
      <c r="AJ13" s="184">
        <f>('20'!AI14/24)*0.454</f>
        <v>90.8</v>
      </c>
      <c r="AK13" s="21"/>
      <c r="AL13" s="185">
        <f>('20'!AK13/24)*0.454</f>
        <v>0</v>
      </c>
      <c r="AM13" s="21"/>
      <c r="AN13" s="185">
        <f>('20'!AM13/24)*0.454</f>
        <v>0</v>
      </c>
      <c r="AO13" s="21"/>
      <c r="AP13" s="185">
        <f>('20'!AO13/24)*0.454</f>
        <v>0</v>
      </c>
    </row>
    <row r="14" spans="1:47" ht="18.75" customHeight="1">
      <c r="A14" s="28">
        <v>0.58333333333333304</v>
      </c>
      <c r="B14" s="186">
        <v>80</v>
      </c>
      <c r="C14" s="186">
        <v>12.5</v>
      </c>
      <c r="D14" s="186">
        <v>12.5</v>
      </c>
      <c r="E14" s="186">
        <v>2.5</v>
      </c>
      <c r="F14" s="186">
        <v>10</v>
      </c>
      <c r="G14" s="186">
        <v>1.9</v>
      </c>
      <c r="H14" s="186">
        <v>2</v>
      </c>
      <c r="I14" s="186">
        <v>0.4</v>
      </c>
      <c r="J14" s="186">
        <v>0.6</v>
      </c>
      <c r="K14" s="186">
        <v>7.3</v>
      </c>
      <c r="L14" s="302">
        <v>6.8</v>
      </c>
      <c r="M14" s="302">
        <v>6.8</v>
      </c>
      <c r="N14" s="302">
        <v>6.5</v>
      </c>
      <c r="O14" s="303">
        <v>2.6</v>
      </c>
      <c r="P14" s="186"/>
      <c r="Q14" s="188"/>
      <c r="R14" s="37">
        <f>'20'!Z19</f>
        <v>901</v>
      </c>
      <c r="S14" s="36">
        <f>'20'!AB19</f>
        <v>64.111988529361426</v>
      </c>
      <c r="T14" s="37">
        <f>'20'!Y19</f>
        <v>2596</v>
      </c>
      <c r="U14" s="33" t="str">
        <f>IF('20'!AA19=1,'20'!AR6,'20'!AR7)</f>
        <v>S.A.L</v>
      </c>
      <c r="V14" s="944"/>
      <c r="W14" s="944"/>
      <c r="X14" s="13">
        <v>0.375</v>
      </c>
      <c r="Y14" s="173">
        <v>2600</v>
      </c>
      <c r="Z14" s="257">
        <v>901</v>
      </c>
      <c r="AA14" s="15">
        <v>1</v>
      </c>
      <c r="AB14" s="58">
        <f>IF('20'!AA14=1,(('20'!Z14*'20'!$AS$6*'20'!$AT$6)/('20'!Y14*0.0036)),IF('20'!AA14=2,(('20'!Z14*'20'!$AS$7*'20'!$AT$7)/('20'!Y14*0.0036))))</f>
        <v>64.01335470085472</v>
      </c>
      <c r="AC14" s="58"/>
      <c r="AD14" s="18">
        <f>(('20'!AC14*'20'!$Q$10*1000000))/('20'!Y14*3600)</f>
        <v>0</v>
      </c>
      <c r="AE14" s="183"/>
      <c r="AF14" s="184">
        <f>('20'!AE14/24)*0.454</f>
        <v>0</v>
      </c>
      <c r="AG14" s="19"/>
      <c r="AH14" s="184">
        <f>('20'!AG14/24)*0.454</f>
        <v>0</v>
      </c>
      <c r="AI14" s="182">
        <v>4800</v>
      </c>
      <c r="AJ14" s="184">
        <f>('20'!AI15/24)*0.454</f>
        <v>90.8</v>
      </c>
      <c r="AK14" s="21"/>
      <c r="AL14" s="185">
        <f>('20'!AK14/24)*0.454</f>
        <v>0</v>
      </c>
      <c r="AM14" s="21"/>
      <c r="AN14" s="185">
        <f>('20'!AM14/24)*0.454</f>
        <v>0</v>
      </c>
      <c r="AO14" s="21"/>
      <c r="AP14" s="185">
        <f>('20'!AO14/24)*0.454</f>
        <v>0</v>
      </c>
    </row>
    <row r="15" spans="1:47" ht="18.75" customHeight="1">
      <c r="A15" s="28">
        <v>0.66666666666666696</v>
      </c>
      <c r="B15" s="186">
        <v>80</v>
      </c>
      <c r="C15" s="186">
        <v>12.5</v>
      </c>
      <c r="D15" s="186">
        <v>12.5</v>
      </c>
      <c r="E15" s="186">
        <v>2.5</v>
      </c>
      <c r="F15" s="186">
        <v>10</v>
      </c>
      <c r="G15" s="186">
        <v>2</v>
      </c>
      <c r="H15" s="186">
        <v>2.1</v>
      </c>
      <c r="I15" s="186">
        <v>0.4</v>
      </c>
      <c r="J15" s="186">
        <v>0.6</v>
      </c>
      <c r="K15" s="186">
        <v>7.3</v>
      </c>
      <c r="L15" s="302">
        <v>6.8</v>
      </c>
      <c r="M15" s="302">
        <v>6.8</v>
      </c>
      <c r="N15" s="302">
        <v>6.5</v>
      </c>
      <c r="O15" s="303">
        <v>2.7</v>
      </c>
      <c r="P15" s="186"/>
      <c r="Q15" s="188"/>
      <c r="R15" s="37">
        <f>'20'!Z21</f>
        <v>901</v>
      </c>
      <c r="S15" s="36">
        <f>'20'!AB21</f>
        <v>63.067344532861789</v>
      </c>
      <c r="T15" s="37">
        <f>'20'!Y21</f>
        <v>2639</v>
      </c>
      <c r="U15" s="33" t="str">
        <f>IF('20'!AA21=1,'20'!AR6,'20'!AR7)</f>
        <v>S.A.L</v>
      </c>
      <c r="V15" s="944"/>
      <c r="W15" s="944"/>
      <c r="X15" s="13">
        <v>0.41666666666666702</v>
      </c>
      <c r="Y15" s="173">
        <v>2629</v>
      </c>
      <c r="Z15" s="257">
        <v>901</v>
      </c>
      <c r="AA15" s="15">
        <v>1</v>
      </c>
      <c r="AB15" s="58">
        <f>IF('20'!AA15=1,(('20'!Z15*'20'!$AS$6*'20'!$AT$6)/('20'!Y15*0.0036)),IF('20'!AA15=2,(('20'!Z15*'20'!$AS$7*'20'!$AT$7)/('20'!Y15*0.0036))))</f>
        <v>63.307235535269022</v>
      </c>
      <c r="AC15" s="58"/>
      <c r="AD15" s="18">
        <f>(('20'!AC15*'20'!$Q$10*1000000))/('20'!Y15*3600)</f>
        <v>0</v>
      </c>
      <c r="AE15" s="183"/>
      <c r="AF15" s="184">
        <f>('20'!AE15/24)*0.454</f>
        <v>0</v>
      </c>
      <c r="AG15" s="19"/>
      <c r="AH15" s="184">
        <f>('20'!AG15/24)*0.454</f>
        <v>0</v>
      </c>
      <c r="AI15" s="182">
        <v>4800</v>
      </c>
      <c r="AJ15" s="184">
        <f>('20'!AI16/24)*0.454</f>
        <v>90.8</v>
      </c>
      <c r="AK15" s="21"/>
      <c r="AL15" s="185">
        <f>('20'!AK15/24)*0.454</f>
        <v>0</v>
      </c>
      <c r="AM15" s="21"/>
      <c r="AN15" s="185">
        <f>('20'!AM15/24)*0.454</f>
        <v>0</v>
      </c>
      <c r="AO15" s="21"/>
      <c r="AP15" s="185">
        <f>('20'!AO15/24)*0.454</f>
        <v>0</v>
      </c>
    </row>
    <row r="16" spans="1:47" ht="18.75" customHeight="1">
      <c r="A16" s="28">
        <v>0.75</v>
      </c>
      <c r="B16" s="186">
        <v>80</v>
      </c>
      <c r="C16" s="186">
        <v>12.5</v>
      </c>
      <c r="D16" s="186">
        <v>12.5</v>
      </c>
      <c r="E16" s="186">
        <v>2.5</v>
      </c>
      <c r="F16" s="186">
        <v>10</v>
      </c>
      <c r="G16" s="186">
        <v>1.9</v>
      </c>
      <c r="H16" s="186">
        <v>2.1</v>
      </c>
      <c r="I16" s="186">
        <v>0.5</v>
      </c>
      <c r="J16" s="186">
        <v>0.6</v>
      </c>
      <c r="K16" s="186">
        <v>7.3</v>
      </c>
      <c r="L16" s="302">
        <v>6.8</v>
      </c>
      <c r="M16" s="302">
        <v>6.8</v>
      </c>
      <c r="N16" s="302">
        <v>6.5</v>
      </c>
      <c r="O16" s="303">
        <v>3</v>
      </c>
      <c r="P16" s="186"/>
      <c r="Q16" s="188"/>
      <c r="R16" s="37">
        <f>'20'!Z23</f>
        <v>901</v>
      </c>
      <c r="S16" s="36">
        <f>'20'!AB23</f>
        <v>61.756854256854268</v>
      </c>
      <c r="T16" s="37">
        <f>'20'!Y23</f>
        <v>2695</v>
      </c>
      <c r="U16" s="33" t="str">
        <f>IF('20'!AA23=1,'20'!AR6,'20'!AR7)</f>
        <v>S.A.L</v>
      </c>
      <c r="V16" s="944"/>
      <c r="W16" s="944"/>
      <c r="X16" s="13">
        <v>0.45833333333333298</v>
      </c>
      <c r="Y16" s="173">
        <v>2570</v>
      </c>
      <c r="Z16" s="257">
        <v>901</v>
      </c>
      <c r="AA16" s="15">
        <v>1</v>
      </c>
      <c r="AB16" s="58">
        <f>IF('20'!AA16=1,(('20'!Z16*'20'!$AS$6*'20'!$AT$6)/('20'!Y16*0.0036)),IF('20'!AA16=2,(('20'!Z16*'20'!$AS$7*'20'!$AT$7)/('20'!Y16*0.0036))))</f>
        <v>64.760592304366639</v>
      </c>
      <c r="AC16" s="58"/>
      <c r="AD16" s="18">
        <f>(('20'!AC16*'20'!$Q$10*1000000))/('20'!Y16*3600)</f>
        <v>0</v>
      </c>
      <c r="AE16" s="183"/>
      <c r="AF16" s="184">
        <f>('20'!AE16/24)*0.454</f>
        <v>0</v>
      </c>
      <c r="AG16" s="19"/>
      <c r="AH16" s="184">
        <f>('20'!AG16/24)*0.454</f>
        <v>0</v>
      </c>
      <c r="AI16" s="182">
        <v>4800</v>
      </c>
      <c r="AJ16" s="184">
        <f>('20'!AI17/24)*0.454</f>
        <v>90.8</v>
      </c>
      <c r="AK16" s="21"/>
      <c r="AL16" s="185">
        <f>('20'!AK16/24)*0.454</f>
        <v>0</v>
      </c>
      <c r="AM16" s="21"/>
      <c r="AN16" s="185">
        <f>('20'!AM16/24)*0.454</f>
        <v>0</v>
      </c>
      <c r="AO16" s="21"/>
      <c r="AP16" s="185">
        <f>('20'!AO16/24)*0.454</f>
        <v>0</v>
      </c>
    </row>
    <row r="17" spans="1:42" ht="18.75" customHeight="1">
      <c r="A17" s="28">
        <v>0.83333333333333304</v>
      </c>
      <c r="B17" s="186">
        <v>80</v>
      </c>
      <c r="C17" s="186">
        <v>12.5</v>
      </c>
      <c r="D17" s="186">
        <v>12.5</v>
      </c>
      <c r="E17" s="186">
        <v>2.5</v>
      </c>
      <c r="F17" s="186">
        <v>9.6</v>
      </c>
      <c r="G17" s="186">
        <v>1.8</v>
      </c>
      <c r="H17" s="186">
        <v>2.2000000000000002</v>
      </c>
      <c r="I17" s="186">
        <v>0.5</v>
      </c>
      <c r="J17" s="186">
        <v>0.6</v>
      </c>
      <c r="K17" s="186">
        <v>7.3</v>
      </c>
      <c r="L17" s="302">
        <v>6.8</v>
      </c>
      <c r="M17" s="302">
        <v>6.8</v>
      </c>
      <c r="N17" s="302">
        <v>6.5</v>
      </c>
      <c r="O17" s="303">
        <v>3</v>
      </c>
      <c r="P17" s="186"/>
      <c r="Q17" s="188"/>
      <c r="R17" s="37">
        <f>'20'!Z25</f>
        <v>901</v>
      </c>
      <c r="S17" s="36">
        <f>'20'!AB25</f>
        <v>61.756854256854268</v>
      </c>
      <c r="T17" s="37">
        <f>'20'!Y25</f>
        <v>2695</v>
      </c>
      <c r="U17" s="33" t="str">
        <f>IF('20'!AA25=1,'20'!AR6,'20'!AR7)</f>
        <v>S.A.L</v>
      </c>
      <c r="V17" s="945">
        <f>ESCALA!$C$22</f>
        <v>0</v>
      </c>
      <c r="W17" s="945"/>
      <c r="X17" s="13">
        <v>0.5</v>
      </c>
      <c r="Y17" s="173">
        <v>2624</v>
      </c>
      <c r="Z17" s="257">
        <v>901</v>
      </c>
      <c r="AA17" s="15">
        <v>1</v>
      </c>
      <c r="AB17" s="58">
        <f>IF('20'!AA17=1,(('20'!Z17*'20'!$AS$6*'20'!$AT$6)/('20'!Y17*0.0036)),IF('20'!AA17=2,(('20'!Z17*'20'!$AS$7*'20'!$AT$7)/('20'!Y17*0.0036))))</f>
        <v>63.427866700542012</v>
      </c>
      <c r="AC17" s="58"/>
      <c r="AD17" s="18">
        <f>(('20'!AC17*'20'!$Q$10*1000000))/('20'!Y17*3600)</f>
        <v>0</v>
      </c>
      <c r="AE17" s="183"/>
      <c r="AF17" s="184">
        <f>('20'!AE17/24)*0.454</f>
        <v>0</v>
      </c>
      <c r="AG17" s="19"/>
      <c r="AH17" s="184">
        <f>('20'!AG17/24)*0.454</f>
        <v>0</v>
      </c>
      <c r="AI17" s="182">
        <v>4800</v>
      </c>
      <c r="AJ17" s="184">
        <f>('20'!AI18/24)*0.454</f>
        <v>98.36666666666666</v>
      </c>
      <c r="AK17" s="21"/>
      <c r="AL17" s="185">
        <f>('20'!AK17/24)*0.454</f>
        <v>0</v>
      </c>
      <c r="AM17" s="21"/>
      <c r="AN17" s="185">
        <f>('20'!AM17/24)*0.454</f>
        <v>0</v>
      </c>
      <c r="AO17" s="21"/>
      <c r="AP17" s="185">
        <f>('20'!AO17/24)*0.454</f>
        <v>0</v>
      </c>
    </row>
    <row r="18" spans="1:42" ht="19.5" customHeight="1">
      <c r="A18" s="28">
        <v>0.91666666666666696</v>
      </c>
      <c r="B18" s="186">
        <v>80</v>
      </c>
      <c r="C18" s="186">
        <v>12.5</v>
      </c>
      <c r="D18" s="186">
        <v>12.5</v>
      </c>
      <c r="E18" s="186">
        <v>2.5</v>
      </c>
      <c r="F18" s="186">
        <v>9.4</v>
      </c>
      <c r="G18" s="186">
        <v>1.7</v>
      </c>
      <c r="H18" s="186">
        <v>2.2000000000000002</v>
      </c>
      <c r="I18" s="186">
        <v>0.5</v>
      </c>
      <c r="J18" s="186">
        <v>0.6</v>
      </c>
      <c r="K18" s="186">
        <v>7.3</v>
      </c>
      <c r="L18" s="302">
        <v>6.8</v>
      </c>
      <c r="M18" s="302">
        <v>6.8</v>
      </c>
      <c r="N18" s="302">
        <v>6.5</v>
      </c>
      <c r="O18" s="303">
        <v>3.2</v>
      </c>
      <c r="P18" s="186"/>
      <c r="Q18" s="188"/>
      <c r="R18" s="37">
        <f>'20'!Z27</f>
        <v>935</v>
      </c>
      <c r="S18" s="36">
        <f>'20'!AB27</f>
        <v>65.175576519916149</v>
      </c>
      <c r="T18" s="37">
        <f>'20'!Y27</f>
        <v>2650</v>
      </c>
      <c r="U18" s="33" t="str">
        <f>IF('20'!AA27=1,'20'!AR6,'20'!AR7)</f>
        <v>S.A.L</v>
      </c>
      <c r="V18" s="945"/>
      <c r="W18" s="945"/>
      <c r="X18" s="13">
        <v>0.54166666666666696</v>
      </c>
      <c r="Y18" s="173">
        <v>2589</v>
      </c>
      <c r="Z18" s="257">
        <v>901</v>
      </c>
      <c r="AA18" s="15">
        <v>1</v>
      </c>
      <c r="AB18" s="58">
        <f>IF('20'!AA18=1,(('20'!Z18*'20'!$AS$6*'20'!$AT$6)/('20'!Y18*0.0036)),IF('20'!AA18=2,(('20'!Z18*'20'!$AS$7*'20'!$AT$7)/('20'!Y18*0.0036))))</f>
        <v>64.28533110166947</v>
      </c>
      <c r="AC18" s="58"/>
      <c r="AD18" s="18">
        <f>(('20'!AC18*'20'!$Q$10*1000000))/('20'!Y18*3600)</f>
        <v>0</v>
      </c>
      <c r="AE18" s="183"/>
      <c r="AF18" s="184">
        <f>('20'!AE18/24)*0.454</f>
        <v>0</v>
      </c>
      <c r="AG18" s="19"/>
      <c r="AH18" s="184">
        <f>('20'!AG18/24)*0.454</f>
        <v>0</v>
      </c>
      <c r="AI18" s="182">
        <v>5200</v>
      </c>
      <c r="AJ18" s="184">
        <f>('20'!AI19/24)*0.454</f>
        <v>98.36666666666666</v>
      </c>
      <c r="AK18" s="21"/>
      <c r="AL18" s="185">
        <f>('20'!AK18/24)*0.454</f>
        <v>0</v>
      </c>
      <c r="AM18" s="21"/>
      <c r="AN18" s="185">
        <f>('20'!AM18/24)*0.454</f>
        <v>0</v>
      </c>
      <c r="AO18" s="21"/>
      <c r="AP18" s="185">
        <f>('20'!AO18/24)*0.454</f>
        <v>0</v>
      </c>
    </row>
    <row r="19" spans="1:42" ht="18.75" customHeight="1">
      <c r="A19" s="10" t="s">
        <v>52</v>
      </c>
      <c r="B19" s="69">
        <f>AVERAGE('20'!B7:B18)</f>
        <v>80</v>
      </c>
      <c r="C19" s="69">
        <f>AVERAGE('20'!C7:C18)</f>
        <v>12.5</v>
      </c>
      <c r="D19" s="69">
        <f>AVERAGE('20'!D7:D18)</f>
        <v>12.5</v>
      </c>
      <c r="E19" s="69">
        <f>AVERAGE('20'!E7:E18)</f>
        <v>2.5</v>
      </c>
      <c r="F19" s="69">
        <f>AVERAGE('20'!F7:F18)</f>
        <v>10.25</v>
      </c>
      <c r="G19" s="69">
        <f>AVERAGE('20'!G7:G18)</f>
        <v>1.8166666666666667</v>
      </c>
      <c r="H19" s="69">
        <f>AVERAGE('20'!H7:H18)</f>
        <v>2.0666666666666669</v>
      </c>
      <c r="I19" s="69">
        <f>AVERAGE('20'!I7:I18)</f>
        <v>0.48333333333333334</v>
      </c>
      <c r="J19" s="69">
        <f>AVERAGE('20'!J7:J18)</f>
        <v>0.62499999999999989</v>
      </c>
      <c r="K19" s="69">
        <f>AVERAGE('20'!K7:K18)</f>
        <v>7.299999999999998</v>
      </c>
      <c r="L19" s="69">
        <f>AVERAGE('20'!L7:L18)</f>
        <v>6.799999999999998</v>
      </c>
      <c r="M19" s="69">
        <f>AVERAGE('20'!M7:M18)</f>
        <v>6.799999999999998</v>
      </c>
      <c r="N19" s="306">
        <f>AVERAGE('20'!N8:N18)</f>
        <v>6.5</v>
      </c>
      <c r="O19" s="69">
        <f>AVERAGE('20'!O7:O18)</f>
        <v>2.7583333333333333</v>
      </c>
      <c r="P19" s="190" t="e">
        <f>AVERAGE('20'!P7:P18)</f>
        <v>#DIV/0!</v>
      </c>
      <c r="Q19" s="191" t="e">
        <f>AVERAGE('20'!Q7:Q18)</f>
        <v>#DIV/0!</v>
      </c>
      <c r="R19" s="191">
        <f>AVERAGE('20'!R7:R18)</f>
        <v>912.33333333333337</v>
      </c>
      <c r="S19" s="191">
        <f>AVERAGE('20'!S7:S18)</f>
        <v>64.239236585922541</v>
      </c>
      <c r="T19" s="946"/>
      <c r="U19" s="946"/>
      <c r="V19" s="49"/>
      <c r="W19" s="50"/>
      <c r="X19" s="13">
        <v>0.58333333333333304</v>
      </c>
      <c r="Y19" s="173">
        <v>2596</v>
      </c>
      <c r="Z19" s="257">
        <v>901</v>
      </c>
      <c r="AA19" s="15">
        <v>1</v>
      </c>
      <c r="AB19" s="58">
        <f>IF('20'!AA19=1,(('20'!Z19*'20'!$AS$6*'20'!$AT$6)/('20'!Y19*0.0036)),IF('20'!AA19=2,(('20'!Z19*'20'!$AS$7*'20'!$AT$7)/('20'!Y19*0.0036))))</f>
        <v>64.111988529361426</v>
      </c>
      <c r="AC19" s="58"/>
      <c r="AD19" s="18">
        <f>(('20'!AC19*'20'!$Q$10*1000000))/('20'!Y19*3600)</f>
        <v>0</v>
      </c>
      <c r="AE19" s="183"/>
      <c r="AF19" s="184">
        <f>('20'!AE19/24)*0.454</f>
        <v>0</v>
      </c>
      <c r="AG19" s="19"/>
      <c r="AH19" s="184">
        <f>('20'!AG19/24)*0.454</f>
        <v>0</v>
      </c>
      <c r="AI19" s="182">
        <v>5200</v>
      </c>
      <c r="AJ19" s="184">
        <f>('20'!AI20/24)*0.454</f>
        <v>98.36666666666666</v>
      </c>
      <c r="AK19" s="21"/>
      <c r="AL19" s="185">
        <f>('20'!AK19/24)*0.454</f>
        <v>0</v>
      </c>
      <c r="AM19" s="21"/>
      <c r="AN19" s="185">
        <f>('20'!AM19/24)*0.454</f>
        <v>0</v>
      </c>
      <c r="AO19" s="21"/>
      <c r="AP19" s="185">
        <f>('20'!AO19/24)*0.454</f>
        <v>0</v>
      </c>
    </row>
    <row r="20" spans="1:42" ht="18.75" customHeight="1">
      <c r="A20" s="10" t="s">
        <v>53</v>
      </c>
      <c r="B20" s="69">
        <f>MAX('20'!B7:B18)</f>
        <v>80</v>
      </c>
      <c r="C20" s="69">
        <f>MAX('20'!C7:C18)</f>
        <v>12.5</v>
      </c>
      <c r="D20" s="69">
        <f>MAX('20'!D7:D18)</f>
        <v>12.5</v>
      </c>
      <c r="E20" s="69">
        <f>MAX('20'!E7:E18)</f>
        <v>2.5</v>
      </c>
      <c r="F20" s="69">
        <f>MAX('20'!F7:F18)</f>
        <v>11</v>
      </c>
      <c r="G20" s="69">
        <f>MAX('20'!G7:G18)</f>
        <v>2</v>
      </c>
      <c r="H20" s="69">
        <f>MAX('20'!H7:H18)</f>
        <v>2.2000000000000002</v>
      </c>
      <c r="I20" s="69">
        <f>MAX('20'!I7:I18)</f>
        <v>0.6</v>
      </c>
      <c r="J20" s="69">
        <f>MAX('20'!J7:J18)</f>
        <v>0.8</v>
      </c>
      <c r="K20" s="69">
        <f>MAX('20'!K7:K18)</f>
        <v>7.3</v>
      </c>
      <c r="L20" s="69">
        <f>MAX('20'!L7:L18)</f>
        <v>6.8</v>
      </c>
      <c r="M20" s="69">
        <f>MAX('20'!M7:M18)</f>
        <v>6.8</v>
      </c>
      <c r="N20" s="69">
        <f>MAX('20'!N8:N18)</f>
        <v>6.5</v>
      </c>
      <c r="O20" s="70">
        <f>MAX('20'!O7:O18)</f>
        <v>3.2</v>
      </c>
      <c r="P20" s="70">
        <f>MAX('20'!P7:P18)</f>
        <v>0</v>
      </c>
      <c r="Q20" s="70">
        <f>MAX('20'!Q7:Q18)</f>
        <v>0</v>
      </c>
      <c r="R20" s="70">
        <f>MAX('20'!R7:R18)</f>
        <v>935</v>
      </c>
      <c r="S20" s="70">
        <f>MAX('20'!S7:S18)</f>
        <v>67.152129773630548</v>
      </c>
      <c r="T20" s="946"/>
      <c r="U20" s="946"/>
      <c r="X20" s="13">
        <v>0.625</v>
      </c>
      <c r="Y20" s="173">
        <v>2666</v>
      </c>
      <c r="Z20" s="257">
        <v>901</v>
      </c>
      <c r="AA20" s="15">
        <v>1</v>
      </c>
      <c r="AB20" s="58">
        <f>IF('20'!AA20=1,(('20'!Z20*'20'!$AS$6*'20'!$AT$6)/('20'!Y20*0.0036)),IF('20'!AA20=2,(('20'!Z20*'20'!$AS$7*'20'!$AT$7)/('20'!Y20*0.0036))))</f>
        <v>62.428627990330924</v>
      </c>
      <c r="AC20" s="58"/>
      <c r="AD20" s="18">
        <f>(('20'!AC20*'20'!$Q$10*1000000))/('20'!Y20*3600)</f>
        <v>0</v>
      </c>
      <c r="AE20" s="183"/>
      <c r="AF20" s="184">
        <f>('20'!AE20/24)*0.454</f>
        <v>0</v>
      </c>
      <c r="AG20" s="19"/>
      <c r="AH20" s="184">
        <f>('20'!AG20/24)*0.454</f>
        <v>0</v>
      </c>
      <c r="AI20" s="182">
        <v>5200</v>
      </c>
      <c r="AJ20" s="184">
        <f>('20'!AI21/24)*0.454</f>
        <v>98.36666666666666</v>
      </c>
      <c r="AK20" s="21"/>
      <c r="AL20" s="185">
        <f>('20'!AK20/24)*0.454</f>
        <v>0</v>
      </c>
      <c r="AM20" s="21"/>
      <c r="AN20" s="185">
        <f>('20'!AM20/24)*0.454</f>
        <v>0</v>
      </c>
      <c r="AO20" s="21"/>
      <c r="AP20" s="185">
        <f>('20'!AO20/24)*0.454</f>
        <v>0</v>
      </c>
    </row>
    <row r="21" spans="1:42" ht="19.5" customHeight="1">
      <c r="A21" s="10" t="s">
        <v>54</v>
      </c>
      <c r="B21" s="69">
        <f>MIN('20'!B7:B18)</f>
        <v>80</v>
      </c>
      <c r="C21" s="192">
        <f>MIN('20'!C7:C18)</f>
        <v>12.5</v>
      </c>
      <c r="D21" s="192">
        <f>MIN('20'!D7:D18)</f>
        <v>12.5</v>
      </c>
      <c r="E21" s="192">
        <f>MIN('20'!E7:E18)</f>
        <v>2.5</v>
      </c>
      <c r="F21" s="69">
        <f>MIN('20'!F7:F18)</f>
        <v>9.4</v>
      </c>
      <c r="G21" s="192">
        <f>MIN('20'!G7:G18)</f>
        <v>1.7</v>
      </c>
      <c r="H21" s="192">
        <f>MIN('20'!H7:H18)</f>
        <v>1.9</v>
      </c>
      <c r="I21" s="192">
        <f>MIN('20'!I7:I18)</f>
        <v>0.4</v>
      </c>
      <c r="J21" s="192">
        <f>MIN('20'!J7:J18)</f>
        <v>0.5</v>
      </c>
      <c r="K21" s="192">
        <f>MIN('20'!K7:K18)</f>
        <v>7.3</v>
      </c>
      <c r="L21" s="192">
        <f>MIN('20'!L7:L18)</f>
        <v>6.8</v>
      </c>
      <c r="M21" s="192">
        <f>MIN('20'!M7:M18)</f>
        <v>6.8</v>
      </c>
      <c r="N21" s="192">
        <f>MIN('20'!N8:N18)</f>
        <v>6.5</v>
      </c>
      <c r="O21" s="193">
        <f>MIN('20'!O7:O18)</f>
        <v>2.5</v>
      </c>
      <c r="P21" s="193">
        <f>MIN('20'!P7:P18)</f>
        <v>0</v>
      </c>
      <c r="Q21" s="193">
        <f>MIN('20'!Q7:Q18)</f>
        <v>0</v>
      </c>
      <c r="R21" s="193">
        <f>MIN('20'!R7:R18)</f>
        <v>901</v>
      </c>
      <c r="S21" s="193">
        <f>MIN('20'!S7:S18)</f>
        <v>61.756854256854268</v>
      </c>
      <c r="T21" s="946"/>
      <c r="U21" s="946"/>
      <c r="X21" s="13">
        <v>0.66666666666666696</v>
      </c>
      <c r="Y21" s="173">
        <v>2639</v>
      </c>
      <c r="Z21" s="257">
        <v>901</v>
      </c>
      <c r="AA21" s="15">
        <v>1</v>
      </c>
      <c r="AB21" s="58">
        <f>IF('20'!AA21=1,(('20'!Z21*'20'!$AS$6*'20'!$AT$6)/('20'!Y21*0.0036)),IF('20'!AA21=2,(('20'!Z21*'20'!$AS$7*'20'!$AT$7)/('20'!Y21*0.0036))))</f>
        <v>63.067344532861789</v>
      </c>
      <c r="AC21" s="58"/>
      <c r="AD21" s="18">
        <f>(('20'!AC21*'20'!$Q$10*1000000))/('20'!Y21*3600)</f>
        <v>0</v>
      </c>
      <c r="AE21" s="183"/>
      <c r="AF21" s="184">
        <f>('20'!AE21/24)*0.454</f>
        <v>0</v>
      </c>
      <c r="AG21" s="19"/>
      <c r="AH21" s="184">
        <f>('20'!AG21/24)*0.454</f>
        <v>0</v>
      </c>
      <c r="AI21" s="182">
        <v>5200</v>
      </c>
      <c r="AJ21" s="184">
        <f>('20'!AI22/24)*0.454</f>
        <v>98.36666666666666</v>
      </c>
      <c r="AK21" s="21"/>
      <c r="AL21" s="185">
        <f>('20'!AK21/24)*0.454</f>
        <v>0</v>
      </c>
      <c r="AM21" s="21"/>
      <c r="AN21" s="185">
        <f>('20'!AM21/24)*0.454</f>
        <v>0</v>
      </c>
      <c r="AO21" s="21"/>
      <c r="AP21" s="185">
        <f>('20'!AO21/24)*0.454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173">
        <v>2647</v>
      </c>
      <c r="Z22" s="257">
        <v>901</v>
      </c>
      <c r="AA22" s="15">
        <v>1</v>
      </c>
      <c r="AB22" s="58">
        <f>IF('20'!AA22=1,(('20'!Z22*'20'!$AS$6*'20'!$AT$6)/('20'!Y22*0.0036)),IF('20'!AA22=2,(('20'!Z22*'20'!$AS$7*'20'!$AT$7)/('20'!Y22*0.0036))))</f>
        <v>62.876736766989893</v>
      </c>
      <c r="AC22" s="58"/>
      <c r="AD22" s="18">
        <f>(('20'!AC22*'20'!$Q$10*1000000))/('20'!Y22*3600)</f>
        <v>0</v>
      </c>
      <c r="AE22" s="183"/>
      <c r="AF22" s="184">
        <f>('20'!AE22/24)*0.454</f>
        <v>0</v>
      </c>
      <c r="AG22" s="19"/>
      <c r="AH22" s="184">
        <f>('20'!AG22/24)*0.454</f>
        <v>0</v>
      </c>
      <c r="AI22" s="182">
        <v>5200</v>
      </c>
      <c r="AJ22" s="184">
        <f>('20'!AI23/24)*0.454</f>
        <v>98.36666666666666</v>
      </c>
      <c r="AK22" s="21"/>
      <c r="AL22" s="185">
        <f>('20'!AK22/24)*0.454</f>
        <v>0</v>
      </c>
      <c r="AM22" s="21"/>
      <c r="AN22" s="185">
        <f>('20'!AM22/24)*0.454</f>
        <v>0</v>
      </c>
      <c r="AO22" s="21"/>
      <c r="AP22" s="185">
        <f>('20'!AO22/24)*0.454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173">
        <v>2695</v>
      </c>
      <c r="Z23" s="257">
        <v>901</v>
      </c>
      <c r="AA23" s="15">
        <v>1</v>
      </c>
      <c r="AB23" s="58">
        <f>IF('20'!AA23=1,(('20'!Z23*'20'!$AS$6*'20'!$AT$6)/('20'!Y23*0.0036)),IF('20'!AA23=2,(('20'!Z23*'20'!$AS$7*'20'!$AT$7)/('20'!Y23*0.0036))))</f>
        <v>61.756854256854268</v>
      </c>
      <c r="AC23" s="58"/>
      <c r="AD23" s="18">
        <f>(('20'!AC23*'20'!$Q$10*1000000))/('20'!Y23*3600)</f>
        <v>0</v>
      </c>
      <c r="AE23" s="183"/>
      <c r="AF23" s="184">
        <f>('20'!AE23/24)*0.454</f>
        <v>0</v>
      </c>
      <c r="AG23" s="19"/>
      <c r="AH23" s="184">
        <f>('20'!AG23/24)*0.454</f>
        <v>0</v>
      </c>
      <c r="AI23" s="182">
        <v>5200</v>
      </c>
      <c r="AJ23" s="184">
        <f>('20'!AI24/24)*0.454</f>
        <v>98.36666666666666</v>
      </c>
      <c r="AK23" s="21"/>
      <c r="AL23" s="185">
        <f>('20'!AK23/24)*0.454</f>
        <v>0</v>
      </c>
      <c r="AM23" s="21"/>
      <c r="AN23" s="185">
        <f>('20'!AM23/24)*0.454</f>
        <v>0</v>
      </c>
      <c r="AO23" s="21"/>
      <c r="AP23" s="185">
        <f>('20'!AO23/24)*0.454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173">
        <v>2700</v>
      </c>
      <c r="Z24" s="257">
        <v>901</v>
      </c>
      <c r="AA24" s="15">
        <v>1</v>
      </c>
      <c r="AB24" s="16">
        <f>IF('20'!AA24=1,(('20'!Z24*'20'!$AS$6*'20'!$AT$6)/('20'!Y24*0.0036)),IF('20'!AA24=2,(('20'!Z24*'20'!$AS$7*'20'!$AT$7)/('20'!Y24*0.0036))))</f>
        <v>61.642489711934175</v>
      </c>
      <c r="AC24" s="16"/>
      <c r="AD24" s="194">
        <f>(('20'!AC24*'20'!$Q$10*1000000))/('20'!Y24*3600)</f>
        <v>0</v>
      </c>
      <c r="AE24" s="183"/>
      <c r="AF24" s="195">
        <f>('20'!AE24/24)*0.454</f>
        <v>0</v>
      </c>
      <c r="AG24" s="173"/>
      <c r="AH24" s="195">
        <f>('20'!AG24/24)*0.454</f>
        <v>0</v>
      </c>
      <c r="AI24" s="182">
        <v>5200</v>
      </c>
      <c r="AJ24" s="195">
        <f>('20'!AI25/24)*0.454</f>
        <v>98.36666666666666</v>
      </c>
      <c r="AK24" s="21"/>
      <c r="AL24" s="196">
        <f>('20'!AK24/24)*0.454</f>
        <v>0</v>
      </c>
      <c r="AM24" s="197"/>
      <c r="AN24" s="196">
        <f>('20'!AM24/24)*0.454</f>
        <v>0</v>
      </c>
      <c r="AO24" s="21"/>
      <c r="AP24" s="196">
        <f>('20'!AO24/24)*0.454</f>
        <v>0</v>
      </c>
    </row>
    <row r="25" spans="1:42" ht="19.5" customHeight="1">
      <c r="A25" s="64">
        <v>0.41666666666666702</v>
      </c>
      <c r="B25" s="198"/>
      <c r="C25" s="198"/>
      <c r="D25" s="198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65" t="e">
        <f>#DIV/0!</f>
        <v>#DIV/0!</v>
      </c>
      <c r="S25" s="66"/>
      <c r="T25" s="1100" t="s">
        <v>0</v>
      </c>
      <c r="U25" s="1049">
        <f>ESCALA!$A$22</f>
        <v>43910</v>
      </c>
      <c r="X25" s="13">
        <v>0.83333333333333304</v>
      </c>
      <c r="Y25" s="173">
        <v>2695</v>
      </c>
      <c r="Z25" s="257">
        <v>901</v>
      </c>
      <c r="AA25" s="15">
        <v>1</v>
      </c>
      <c r="AB25" s="58">
        <f>IF('20'!AA25=1,(('20'!Z25*'20'!$AS$6*'20'!$AT$6)/('20'!Y25*0.0036)),IF('20'!AA25=2,(('20'!Z25*'20'!$AS$7*'20'!$AT$7)/('20'!Y25*0.0036))))</f>
        <v>61.756854256854268</v>
      </c>
      <c r="AC25" s="58"/>
      <c r="AD25" s="18">
        <f>(('20'!AC25*'20'!$Q$10*1000000))/('20'!Y25*3600)</f>
        <v>0</v>
      </c>
      <c r="AE25" s="183"/>
      <c r="AF25" s="184">
        <f>('20'!AE25/24)*0.454</f>
        <v>0</v>
      </c>
      <c r="AG25" s="19"/>
      <c r="AH25" s="184">
        <f>('20'!AG25/24)*0.454</f>
        <v>0</v>
      </c>
      <c r="AI25" s="182">
        <v>5200</v>
      </c>
      <c r="AJ25" s="184">
        <f>('20'!AI26/24)*0.454</f>
        <v>98.36666666666666</v>
      </c>
      <c r="AK25" s="21"/>
      <c r="AL25" s="185">
        <f>('20'!AK25/24)*0.454</f>
        <v>0</v>
      </c>
      <c r="AM25" s="21"/>
      <c r="AN25" s="185">
        <f>('20'!AM25/24)*0.454</f>
        <v>0</v>
      </c>
      <c r="AO25" s="21"/>
      <c r="AP25" s="185">
        <f>('20'!AO25/24)*0.454</f>
        <v>0</v>
      </c>
    </row>
    <row r="26" spans="1:42" ht="19.5" customHeight="1">
      <c r="A26" s="64">
        <v>0.66666666666666696</v>
      </c>
      <c r="B26" s="198"/>
      <c r="C26" s="198">
        <v>0.52</v>
      </c>
      <c r="D26" s="198">
        <v>0.57999999999999996</v>
      </c>
      <c r="E26" s="224">
        <v>0.61</v>
      </c>
      <c r="F26" s="224">
        <v>0.54</v>
      </c>
      <c r="G26" s="224">
        <v>0.64</v>
      </c>
      <c r="H26" s="224">
        <v>0.56999999999999995</v>
      </c>
      <c r="I26" s="224">
        <v>0.67</v>
      </c>
      <c r="J26" s="224">
        <v>0.71</v>
      </c>
      <c r="K26" s="224">
        <v>0.64</v>
      </c>
      <c r="L26" s="224">
        <v>0.66</v>
      </c>
      <c r="M26" s="224">
        <v>0.63</v>
      </c>
      <c r="N26" s="224">
        <v>0.72</v>
      </c>
      <c r="O26" s="224">
        <v>0.59</v>
      </c>
      <c r="P26" s="224">
        <v>0.61</v>
      </c>
      <c r="Q26" s="224"/>
      <c r="R26" s="65" t="e">
        <f>#DIV/0!</f>
        <v>#DIV/0!</v>
      </c>
      <c r="S26" s="67"/>
      <c r="T26" s="1100"/>
      <c r="U26" s="1049"/>
      <c r="X26" s="13">
        <v>0.875</v>
      </c>
      <c r="Y26" s="173">
        <v>2652</v>
      </c>
      <c r="Z26" s="257">
        <v>935</v>
      </c>
      <c r="AA26" s="15">
        <v>1</v>
      </c>
      <c r="AB26" s="58">
        <f>IF('20'!AA26=1,(('20'!Z26*'20'!$AS$6*'20'!$AT$6)/('20'!Y26*0.0036)),IF('20'!AA26=2,(('20'!Z26*'20'!$AS$7*'20'!$AT$7)/('20'!Y26*0.0036))))</f>
        <v>65.126424501424495</v>
      </c>
      <c r="AC26" s="58"/>
      <c r="AD26" s="18">
        <f>(('20'!AC26*'20'!$Q$10*1000000))/('20'!Y26*3600)</f>
        <v>0</v>
      </c>
      <c r="AE26" s="183"/>
      <c r="AF26" s="184">
        <f>('20'!AE26/24)*0.454</f>
        <v>0</v>
      </c>
      <c r="AG26" s="19"/>
      <c r="AH26" s="184">
        <f>('20'!AG26/24)*0.454</f>
        <v>0</v>
      </c>
      <c r="AI26" s="182">
        <v>5200</v>
      </c>
      <c r="AJ26" s="184">
        <f>('20'!AI27/24)*0.454</f>
        <v>98.36666666666666</v>
      </c>
      <c r="AK26" s="21"/>
      <c r="AL26" s="185">
        <f>('20'!AK26/24)*0.454</f>
        <v>0</v>
      </c>
      <c r="AM26" s="21"/>
      <c r="AN26" s="185">
        <f>('20'!AM26/24)*0.454</f>
        <v>0</v>
      </c>
      <c r="AO26" s="21"/>
      <c r="AP26" s="185">
        <f>('20'!AO26/24)*0.454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173">
        <v>2650</v>
      </c>
      <c r="Z27" s="257">
        <v>935</v>
      </c>
      <c r="AA27" s="15">
        <v>1</v>
      </c>
      <c r="AB27" s="58">
        <f>IF('20'!AA27=1,(('20'!Z27*'20'!$AS$6*'20'!$AT$6)/('20'!Y27*0.0036)),IF('20'!AA27=2,(('20'!Z27*'20'!$AS$7*'20'!$AT$7)/('20'!Y27*0.0036))))</f>
        <v>65.175576519916149</v>
      </c>
      <c r="AC27" s="58"/>
      <c r="AD27" s="18">
        <f>(('20'!AC27*'20'!$Q$10*1000000))/('20'!Y27*3600)</f>
        <v>0</v>
      </c>
      <c r="AE27" s="183"/>
      <c r="AF27" s="184">
        <f>('20'!AE27/24)*0.454</f>
        <v>0</v>
      </c>
      <c r="AG27" s="19"/>
      <c r="AH27" s="184">
        <f>('20'!AG27/24)*0.454</f>
        <v>0</v>
      </c>
      <c r="AI27" s="182">
        <v>5200</v>
      </c>
      <c r="AJ27" s="184">
        <f>('20'!AI28/24)*0.454</f>
        <v>98.36666666666666</v>
      </c>
      <c r="AK27" s="21"/>
      <c r="AL27" s="185">
        <f>('20'!AK27/24)*0.454</f>
        <v>0</v>
      </c>
      <c r="AM27" s="21"/>
      <c r="AN27" s="185">
        <f>('20'!AM27/24)*0.454</f>
        <v>0</v>
      </c>
      <c r="AO27" s="21"/>
      <c r="AP27" s="185">
        <f>('20'!AO27/24)*0.454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3">
        <v>2665</v>
      </c>
      <c r="Z28" s="257">
        <v>935</v>
      </c>
      <c r="AA28" s="15">
        <v>1</v>
      </c>
      <c r="AB28" s="58">
        <f>IF('20'!AA28=1,(('20'!Z28*'20'!$AS$6*'20'!$AT$6)/('20'!Y28*0.0036)),IF('20'!AA28=2,(('20'!Z28*'20'!$AS$7*'20'!$AT$7)/('20'!Y28*0.0036))))</f>
        <v>64.808734625807801</v>
      </c>
      <c r="AC28" s="58"/>
      <c r="AD28" s="18">
        <f>(('20'!AC28*'20'!$Q$10*1000000))/('20'!Y28*3600)</f>
        <v>0</v>
      </c>
      <c r="AE28" s="183"/>
      <c r="AF28" s="184">
        <f>('20'!AE28/24)*0.454</f>
        <v>0</v>
      </c>
      <c r="AG28" s="19"/>
      <c r="AH28" s="184">
        <f>('20'!AG28/24)*0.454</f>
        <v>0</v>
      </c>
      <c r="AI28" s="182">
        <v>5200</v>
      </c>
      <c r="AJ28" s="184">
        <f>('20'!AI29/24)*0.454</f>
        <v>98.36666666666666</v>
      </c>
      <c r="AK28" s="21"/>
      <c r="AL28" s="185">
        <f>('20'!AK28/24)*0.454</f>
        <v>0</v>
      </c>
      <c r="AM28" s="21"/>
      <c r="AN28" s="185">
        <f>('20'!AM28/24)*0.454</f>
        <v>0</v>
      </c>
      <c r="AO28" s="21"/>
      <c r="AP28" s="185">
        <f>('20'!AO28/24)*0.454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3">
        <v>2736</v>
      </c>
      <c r="Z29" s="257">
        <v>935</v>
      </c>
      <c r="AA29" s="15">
        <v>1</v>
      </c>
      <c r="AB29" s="58">
        <f>IF('20'!AA29=1,(('20'!Z29*'20'!$AS$6*'20'!$AT$6)/('20'!Y29*0.0036)),IF('20'!AA29=2,(('20'!Z29*'20'!$AS$7*'20'!$AT$7)/('20'!Y29*0.0036))))</f>
        <v>63.12692901234567</v>
      </c>
      <c r="AC29" s="58"/>
      <c r="AD29" s="18">
        <f>(('20'!AC29*'20'!$Q$10*1000000))/('20'!Y29*3600)</f>
        <v>0</v>
      </c>
      <c r="AE29" s="183"/>
      <c r="AF29" s="184">
        <f>('20'!AE29/24)*0.454</f>
        <v>0</v>
      </c>
      <c r="AG29" s="19"/>
      <c r="AH29" s="184">
        <f>('20'!AG29/24)*0.454</f>
        <v>0</v>
      </c>
      <c r="AI29" s="182">
        <v>5200</v>
      </c>
      <c r="AJ29" s="184">
        <f>('20'!AI29/24)*0.454</f>
        <v>98.36666666666666</v>
      </c>
      <c r="AK29" s="21"/>
      <c r="AL29" s="185">
        <f>('20'!AK29/24)*0.454</f>
        <v>0</v>
      </c>
      <c r="AM29" s="21"/>
      <c r="AN29" s="185">
        <f>('20'!AM29/24)*0.454</f>
        <v>0</v>
      </c>
      <c r="AO29" s="21"/>
      <c r="AP29" s="185">
        <f>('20'!AO29/24)*0.454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SUM('20'!Y6:Y29)*3.6</f>
        <v>227278.80000000002</v>
      </c>
      <c r="Z30" s="82">
        <f>SUM('20'!Z6:Z29)</f>
        <v>21930</v>
      </c>
      <c r="AA30" s="78"/>
      <c r="AB30" s="79"/>
      <c r="AC30" s="78"/>
      <c r="AD30" s="79"/>
      <c r="AE30" s="34"/>
      <c r="AF30" s="184">
        <f>SUM('20'!AF6:AF29)</f>
        <v>0</v>
      </c>
      <c r="AG30" s="34"/>
      <c r="AH30" s="184">
        <f>SUM('20'!AH6:AH29)</f>
        <v>0</v>
      </c>
      <c r="AI30" s="34"/>
      <c r="AJ30" s="184">
        <f>SUM('20'!AJ6:AJ29)</f>
        <v>2239.7333333333322</v>
      </c>
      <c r="AK30" s="80"/>
      <c r="AL30" s="185">
        <f>SUM('20'!AL6:AL29)</f>
        <v>0</v>
      </c>
      <c r="AM30" s="80"/>
      <c r="AN30" s="185">
        <f>SUM('20'!AN6:AN29)</f>
        <v>0</v>
      </c>
      <c r="AO30" s="80"/>
      <c r="AP30" s="185">
        <f>SUM('20'!AP6:AP29)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SUMIF('20'!AA6:AA29,"=1",'20'!Z6:Z29)</f>
        <v>21930</v>
      </c>
      <c r="AA32" s="82">
        <f>'20'!Z32*'20'!AS6</f>
        <v>29166.9</v>
      </c>
      <c r="AB32" s="83">
        <f>SUMIF('20'!$AA$6:$AA$29,"=1",'20'!$AB$6:$AB$29)/COUNTIF('20'!$AA$6:$AA$29,"=1")</f>
        <v>64.184607009052215</v>
      </c>
      <c r="AC32" s="84">
        <f>SUMIF('20'!AA6:AA29,"=1",'20'!AC6:AC29)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SUMIF('20'!AA6:AA29,"=2",'20'!Z6:Z29)</f>
        <v>0</v>
      </c>
      <c r="AA33" s="82">
        <f>'20'!Z33*'20'!AS7</f>
        <v>0</v>
      </c>
      <c r="AB33" s="83" t="e">
        <f>SUMIF('20'!$AA$6:$AA$29,"=2",'20'!$AB$6:$AB$29)/COUNTIF('20'!$AA$6:$AA$29,"=2")</f>
        <v>#DIV/0!</v>
      </c>
      <c r="AC33" s="89">
        <f>SUMIF('20'!AA6:AA29,"=2",'20'!AC6:AC29)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AVERAGE('20'!Y6:Y29)</f>
        <v>2630.5416666666665</v>
      </c>
      <c r="Z34" s="96">
        <f>AVERAGE('20'!Z6:Z29)</f>
        <v>913.75</v>
      </c>
      <c r="AA34" s="97"/>
      <c r="AB34" s="97"/>
      <c r="AC34" s="98">
        <f>SUM('20'!AC6:AC29)/COUNTIF('20'!AC6:AC29,"&lt;&gt;0")</f>
        <v>0</v>
      </c>
      <c r="AD34" s="99" t="e">
        <f>SUM('20'!AD6:AD29)/COUNTIF('20'!AD6:AD29,"&lt;&gt;0")</f>
        <v>#DIV/0!</v>
      </c>
      <c r="AE34" s="78"/>
      <c r="AF34" s="98">
        <f>AVERAGE('20'!AF6:AF29)</f>
        <v>0</v>
      </c>
      <c r="AG34" s="98"/>
      <c r="AH34" s="98">
        <f>AVERAGE('20'!AH6:AH29)</f>
        <v>0</v>
      </c>
      <c r="AI34" s="98"/>
      <c r="AJ34" s="98">
        <f>'20'!AJ30/24</f>
        <v>93.32222222222218</v>
      </c>
      <c r="AK34" s="98"/>
      <c r="AL34" s="98">
        <f>AVERAGE('20'!AL6:AL29)</f>
        <v>0</v>
      </c>
      <c r="AM34" s="98"/>
      <c r="AN34" s="98">
        <f>AVERAGE('20'!AN6:AN29)</f>
        <v>0</v>
      </c>
      <c r="AO34" s="98"/>
      <c r="AP34" s="98">
        <f>AVERAGE('20'!AP6:AP29)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50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50"/>
      <c r="X36" s="105" t="s">
        <v>73</v>
      </c>
      <c r="Y36" s="106"/>
      <c r="Z36" s="107"/>
      <c r="AA36" s="108" t="s">
        <v>74</v>
      </c>
      <c r="AB36" s="106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79.7</v>
      </c>
      <c r="D37" s="186">
        <v>60.5</v>
      </c>
      <c r="E37" s="186">
        <v>55.5</v>
      </c>
      <c r="F37" s="186">
        <v>1</v>
      </c>
      <c r="G37" s="186">
        <v>0.1</v>
      </c>
      <c r="H37" s="186">
        <v>0.1</v>
      </c>
      <c r="I37" s="183">
        <v>0.1</v>
      </c>
      <c r="J37" s="183">
        <v>0.06</v>
      </c>
      <c r="K37" s="183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36">
        <f>'20'!V12</f>
        <v>0</v>
      </c>
      <c r="X37" s="962" t="s">
        <v>75</v>
      </c>
      <c r="Y37" s="962"/>
      <c r="Z37" s="110">
        <f>COUNTA('20'!Z6:Z29)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SUM('20'!AF30+'20'!AH30)</f>
        <v>0</v>
      </c>
      <c r="AL38" s="210" t="s">
        <v>78</v>
      </c>
      <c r="AM38" s="212">
        <f>SUM('20'!AL30+'20'!AN30)</f>
        <v>0</v>
      </c>
      <c r="AO38" s="210" t="s">
        <v>78</v>
      </c>
      <c r="AP38" s="211">
        <f>'20'!AJ30</f>
        <v>2239.7333333333322</v>
      </c>
      <c r="AQ38" s="210" t="s">
        <v>78</v>
      </c>
      <c r="AR38" s="212">
        <f>'20'!AP30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('20'!AK38/'20'!Y30)*1000</f>
        <v>0</v>
      </c>
      <c r="AL39" s="215" t="s">
        <v>86</v>
      </c>
      <c r="AM39" s="216">
        <f>('20'!AM38/'20'!Y30)*1000</f>
        <v>0</v>
      </c>
      <c r="AO39" s="213" t="s">
        <v>86</v>
      </c>
      <c r="AP39" s="214">
        <f>('20'!AP38/'20'!Y30)*1000</f>
        <v>9.8545633527338747</v>
      </c>
      <c r="AQ39" s="215" t="s">
        <v>86</v>
      </c>
      <c r="AR39" s="216">
        <f>('20'!AR38/'20'!Y30)*1000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SUM('20'!AK38,'20'!AM38)</f>
        <v>0</v>
      </c>
      <c r="AM40" s="975"/>
      <c r="AO40" s="976" t="s">
        <v>90</v>
      </c>
      <c r="AP40" s="976"/>
      <c r="AQ40" s="977">
        <f>SUM('20'!AP38,'20'!AR38)</f>
        <v>2239.7333333333322</v>
      </c>
      <c r="AR40" s="977"/>
    </row>
    <row r="41" spans="1:44" ht="16.5" customHeight="1">
      <c r="A41" s="133">
        <f>COUNTA('20'!E7:E18)</f>
        <v>12</v>
      </c>
      <c r="B41" s="134">
        <f>COUNTA('20'!I7:I18)</f>
        <v>12</v>
      </c>
      <c r="C41" s="978">
        <f>COUNTA('20'!J7:J18)</f>
        <v>12</v>
      </c>
      <c r="D41" s="978">
        <f>COUNTA('20'!K7:K18)</f>
        <v>12</v>
      </c>
      <c r="E41" s="978">
        <f>COUNTIF('20'!E7:E18,"&gt;15")</f>
        <v>0</v>
      </c>
      <c r="F41" s="978"/>
      <c r="G41" s="978">
        <f>COUNTIF('20'!J7:J18,"&gt;1")</f>
        <v>0</v>
      </c>
      <c r="H41" s="978"/>
      <c r="I41" s="135"/>
      <c r="J41" s="978">
        <f>'20'!A41-'20'!E41</f>
        <v>12</v>
      </c>
      <c r="K41" s="978"/>
      <c r="L41" s="978">
        <f>'20'!C41-'20'!G41</f>
        <v>12</v>
      </c>
      <c r="M41" s="978"/>
      <c r="N41" s="135"/>
      <c r="O41" s="979">
        <f>COUNTIF('20'!J7:J18,"&lt;=0,5")</f>
        <v>2</v>
      </c>
      <c r="P41" s="979"/>
      <c r="Q41" s="979"/>
      <c r="R41" s="969"/>
      <c r="S41" s="980">
        <f>COUNTIF('20'!J7:J18,"&lt;=1,0")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SUM(('20'!AK38+'20'!AM38)/'20'!Y30)*1000</f>
        <v>0</v>
      </c>
      <c r="AM41" s="981"/>
      <c r="AO41" s="976" t="s">
        <v>91</v>
      </c>
      <c r="AP41" s="976"/>
      <c r="AQ41" s="981">
        <f>SUM(('20'!AP38+'20'!AR38)/'20'!Y30)*1000</f>
        <v>9.8545633527338747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/>
      <c r="Z44" s="144" t="s">
        <v>101</v>
      </c>
      <c r="AA44" s="145"/>
      <c r="AB44" s="144" t="s">
        <v>101</v>
      </c>
      <c r="AC44" s="145"/>
      <c r="AD44" s="988"/>
      <c r="AE44" s="988"/>
      <c r="AF44" s="989" t="s">
        <v>102</v>
      </c>
      <c r="AG44" s="1002">
        <f>SUM('20'!Y45,'20'!AA45,'20'!AC45,'20'!AE45)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COUNTIF('20'!I7:I18,"&lt;=5,0")</f>
        <v>12</v>
      </c>
      <c r="I45" s="992"/>
      <c r="J45" s="992"/>
      <c r="K45" s="135"/>
      <c r="L45" s="974">
        <f>COUNTA('20'!L37)</f>
        <v>1</v>
      </c>
      <c r="M45" s="974"/>
      <c r="O45" s="146"/>
      <c r="P45" s="147"/>
      <c r="Q45" s="993">
        <f>'20'!S41-'20'!O41</f>
        <v>10</v>
      </c>
      <c r="R45" s="993"/>
      <c r="S45" s="993"/>
      <c r="T45" s="148"/>
      <c r="X45" s="149" t="s">
        <v>104</v>
      </c>
      <c r="Y45" s="150">
        <f>'20'!Y44*275.3</f>
        <v>0</v>
      </c>
      <c r="Z45" s="149" t="s">
        <v>104</v>
      </c>
      <c r="AA45" s="150">
        <f>262.4*'20'!AA44</f>
        <v>0</v>
      </c>
      <c r="AB45" s="149" t="s">
        <v>104</v>
      </c>
      <c r="AC45" s="150">
        <f>'20'!AC44*277.7</f>
        <v>0</v>
      </c>
      <c r="AD45" s="149" t="s">
        <v>104</v>
      </c>
      <c r="AE45" s="151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2"/>
      <c r="X46" s="153" t="s">
        <v>105</v>
      </c>
      <c r="Y46" s="154">
        <f>'20'!AS6</f>
        <v>1.33</v>
      </c>
      <c r="Z46" s="153" t="s">
        <v>105</v>
      </c>
      <c r="AA46" s="155">
        <f>'20'!Y46</f>
        <v>1.33</v>
      </c>
      <c r="AB46" s="153" t="s">
        <v>105</v>
      </c>
      <c r="AC46" s="155">
        <f>'20'!Y46</f>
        <v>1.33</v>
      </c>
      <c r="AD46" s="153" t="s">
        <v>105</v>
      </c>
      <c r="AE46" s="156">
        <f>'20'!Y46</f>
        <v>1.33</v>
      </c>
      <c r="AF46" s="995" t="s">
        <v>106</v>
      </c>
      <c r="AG46" s="996">
        <f>SUM('20'!Y47,'20'!AA47,'20'!AC47,'20'!AE47)</f>
        <v>0</v>
      </c>
      <c r="AI46" s="144" t="s">
        <v>101</v>
      </c>
      <c r="AJ46" s="145"/>
      <c r="AK46" s="144" t="s">
        <v>101</v>
      </c>
      <c r="AL46" s="145"/>
      <c r="AM46" s="144" t="s">
        <v>101</v>
      </c>
      <c r="AN46" s="145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'20'!Y45*'20'!Y46</f>
        <v>0</v>
      </c>
      <c r="Z47" s="149" t="s">
        <v>108</v>
      </c>
      <c r="AA47" s="150">
        <f>'20'!AA45*'20'!AA46</f>
        <v>0</v>
      </c>
      <c r="AB47" s="149" t="s">
        <v>108</v>
      </c>
      <c r="AC47" s="150">
        <f>'20'!AC45*'20'!AC46</f>
        <v>0</v>
      </c>
      <c r="AD47" s="149" t="s">
        <v>108</v>
      </c>
      <c r="AE47" s="150">
        <f>'20'!AE45*'20'!AE46</f>
        <v>0</v>
      </c>
      <c r="AF47" s="995"/>
      <c r="AG47" s="996"/>
      <c r="AI47" s="149" t="s">
        <v>104</v>
      </c>
      <c r="AJ47" s="150">
        <f>AJ46*275.3</f>
        <v>0</v>
      </c>
      <c r="AK47" s="149" t="s">
        <v>104</v>
      </c>
      <c r="AL47" s="150">
        <f>262.4*'10'!AL46</f>
        <v>0</v>
      </c>
      <c r="AM47" s="149" t="s">
        <v>104</v>
      </c>
      <c r="AN47" s="150">
        <f>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Y46</f>
        <v>1.33</v>
      </c>
      <c r="AK48" s="160" t="s">
        <v>105</v>
      </c>
      <c r="AL48" s="154">
        <f>'10'!AJ48</f>
        <v>1.33</v>
      </c>
      <c r="AM48" s="160" t="s">
        <v>105</v>
      </c>
      <c r="AN48" s="154">
        <f>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AJ47*AJ48</f>
        <v>0</v>
      </c>
      <c r="AK49" s="149" t="s">
        <v>108</v>
      </c>
      <c r="AL49" s="150">
        <f>'10'!AL47*'10'!AL48</f>
        <v>0</v>
      </c>
      <c r="AM49" s="149" t="s">
        <v>108</v>
      </c>
      <c r="AN49" s="150">
        <f>AN47*AN48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COUNTA('20'!O7:O18)</f>
        <v>12</v>
      </c>
      <c r="P51" s="974">
        <f>COUNTA('20'!W17:W28)</f>
        <v>0</v>
      </c>
      <c r="R51" s="992">
        <f>COUNTIF('20'!O7:O18,"&gt;=0,5")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SUM(Y53,AA53,AC53,AE53)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'20'!Y52*275.3</f>
        <v>0</v>
      </c>
      <c r="Z53" s="149" t="s">
        <v>104</v>
      </c>
      <c r="AA53" s="150">
        <f>262.4*'20'!AA52</f>
        <v>0</v>
      </c>
      <c r="AB53" s="149" t="s">
        <v>104</v>
      </c>
      <c r="AC53" s="167">
        <f>'20'!AC52*277.7</f>
        <v>0</v>
      </c>
      <c r="AD53" s="149" t="s">
        <v>104</v>
      </c>
      <c r="AE53" s="230"/>
      <c r="AF53" s="989"/>
      <c r="AG53" s="1002"/>
      <c r="AI53" s="144" t="s">
        <v>101</v>
      </c>
      <c r="AJ53" s="166">
        <v>0</v>
      </c>
      <c r="AK53" s="144" t="s">
        <v>101</v>
      </c>
      <c r="AL53" s="164"/>
      <c r="AM53" s="144" t="s">
        <v>101</v>
      </c>
      <c r="AN53" s="164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'20'!AS7</f>
        <v>1.377</v>
      </c>
      <c r="Z54" s="153" t="s">
        <v>105</v>
      </c>
      <c r="AA54" s="155">
        <f>'20'!Y54</f>
        <v>1.377</v>
      </c>
      <c r="AB54" s="153" t="s">
        <v>105</v>
      </c>
      <c r="AC54" s="155">
        <f>'20'!Y54</f>
        <v>1.377</v>
      </c>
      <c r="AD54" s="153" t="s">
        <v>105</v>
      </c>
      <c r="AE54" s="156">
        <f>'20'!Y54</f>
        <v>1.377</v>
      </c>
      <c r="AF54" s="995" t="s">
        <v>106</v>
      </c>
      <c r="AG54" s="996">
        <f>SUM('20'!Y55,'20'!AA55,'20'!AC55,'20'!AE55)</f>
        <v>0</v>
      </c>
      <c r="AI54" s="149" t="s">
        <v>104</v>
      </c>
      <c r="AJ54" s="150">
        <f>AJ53*275.3</f>
        <v>0</v>
      </c>
      <c r="AK54" s="149" t="s">
        <v>104</v>
      </c>
      <c r="AL54" s="150">
        <f>262.4*'10'!AL53</f>
        <v>0</v>
      </c>
      <c r="AM54" s="149" t="s">
        <v>104</v>
      </c>
      <c r="AN54" s="167">
        <f>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'20'!Y53*'20'!Y54</f>
        <v>0</v>
      </c>
      <c r="Z55" s="149" t="s">
        <v>108</v>
      </c>
      <c r="AA55" s="150">
        <f>'20'!AA53*'20'!AA54</f>
        <v>0</v>
      </c>
      <c r="AB55" s="149" t="s">
        <v>108</v>
      </c>
      <c r="AC55" s="150">
        <f>'20'!AC53*'20'!AC54</f>
        <v>0</v>
      </c>
      <c r="AD55" s="149" t="s">
        <v>108</v>
      </c>
      <c r="AE55" s="150">
        <f>'20'!AE53*'20'!AE54</f>
        <v>0</v>
      </c>
      <c r="AF55" s="995"/>
      <c r="AG55" s="996"/>
      <c r="AI55" s="153" t="s">
        <v>105</v>
      </c>
      <c r="AJ55" s="154">
        <f>Y54</f>
        <v>1.377</v>
      </c>
      <c r="AK55" s="153" t="s">
        <v>105</v>
      </c>
      <c r="AL55" s="154">
        <f>'10'!AJ55</f>
        <v>0</v>
      </c>
      <c r="AM55" s="153" t="s">
        <v>105</v>
      </c>
      <c r="AN55" s="154">
        <f>AJ55</f>
        <v>1.377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AJ54*AJ55</f>
        <v>0</v>
      </c>
      <c r="AK56" s="149" t="s">
        <v>108</v>
      </c>
      <c r="AL56" s="150">
        <f>'10'!AL54*'10'!AL55</f>
        <v>0</v>
      </c>
      <c r="AM56" s="149" t="s">
        <v>108</v>
      </c>
      <c r="AN56" s="150">
        <f>AN54*AN55</f>
        <v>0</v>
      </c>
      <c r="AO56" s="994"/>
      <c r="AP56" s="994"/>
      <c r="AQ56" s="994"/>
      <c r="AR56" s="994"/>
    </row>
    <row r="57" spans="15:44" ht="15.75" customHeight="1">
      <c r="O57" s="1003">
        <f>COUNTA('20'!N7:N18)</f>
        <v>12</v>
      </c>
      <c r="P57" s="1003"/>
      <c r="R57" s="1004">
        <f>COUNTIF('20'!N7:N18,"&gt;=6")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29166.9</v>
      </c>
      <c r="AR62" s="1016"/>
    </row>
    <row r="63" spans="15:44" ht="15" customHeight="1">
      <c r="X63" s="170" t="s">
        <v>124</v>
      </c>
      <c r="Y63" s="171"/>
      <c r="Z63" s="1013"/>
      <c r="AA63" s="1013"/>
      <c r="AB63" s="172" t="s">
        <v>124</v>
      </c>
      <c r="AC63" s="173">
        <v>0</v>
      </c>
      <c r="AE63" s="49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-29166.9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>
        <f>'19'!$Y$1048576</f>
        <v>0</v>
      </c>
      <c r="Z65" s="1013"/>
      <c r="AA65" s="1013"/>
      <c r="AB65" s="176" t="s">
        <v>126</v>
      </c>
      <c r="AC65" s="241">
        <f>'19'!$AC$1048576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280">
        <f>SUM('20'!AK38,'20'!AP38)</f>
        <v>2239.7333333333322</v>
      </c>
      <c r="Z67" s="1013"/>
      <c r="AA67" s="1013"/>
      <c r="AB67" s="172" t="s">
        <v>124</v>
      </c>
      <c r="AC67" s="169">
        <f>SUM('20'!AM38,'20'!AR38)</f>
        <v>0</v>
      </c>
    </row>
    <row r="68" spans="24:29" ht="15.75" customHeight="1">
      <c r="X68" s="170" t="s">
        <v>128</v>
      </c>
      <c r="Y68" s="179">
        <f>SUM('20'!Y63,'20'!Y65)-'20'!Y67</f>
        <v>-2239.7333333333322</v>
      </c>
      <c r="Z68" s="1013"/>
      <c r="AA68" s="1013"/>
      <c r="AB68" s="172" t="s">
        <v>128</v>
      </c>
      <c r="AC68" s="180">
        <f>SUM('20'!AC63,'20'!AC65)-'20'!AC67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priority="2" operator="greaterThan">
      <formula>p</formula>
    </cfRule>
  </conditionalFormatting>
  <conditionalFormatting sqref="O21">
    <cfRule type="cellIs" priority="3" operator="lessThan">
      <formula>2.5</formula>
    </cfRule>
  </conditionalFormatting>
  <conditionalFormatting sqref="O19">
    <cfRule type="cellIs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Q25" sqref="Q25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136</v>
      </c>
      <c r="AF4" s="937" t="s">
        <v>137</v>
      </c>
      <c r="AG4" s="937" t="s">
        <v>138</v>
      </c>
      <c r="AH4" s="937" t="s">
        <v>139</v>
      </c>
      <c r="AI4" s="937" t="s">
        <v>140</v>
      </c>
      <c r="AJ4" s="937" t="s">
        <v>141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1101" t="s">
        <v>34</v>
      </c>
      <c r="AR4" s="1101"/>
      <c r="AS4" s="1101"/>
      <c r="AT4" s="1101"/>
      <c r="AU4" s="1102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1102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4">
        <v>2690</v>
      </c>
      <c r="Z6" s="270">
        <v>935</v>
      </c>
      <c r="AA6" s="54">
        <v>1</v>
      </c>
      <c r="AB6" s="58">
        <f>IF('21'!AA6=1,(('21'!Z6*'21'!$AS$6*'21'!$AT$6)/('21'!Y6*0.0036)),IF('21'!AA6=2,(('21'!Z6*'21'!$AS$7*'21'!$AT$7)/('21'!Y6*0.0036))))</f>
        <v>64.206422965716655</v>
      </c>
      <c r="AC6" s="58"/>
      <c r="AD6" s="18">
        <f>(('21'!AC6*'21'!$Q$10*1000000))/('21'!Y6*3600)</f>
        <v>0</v>
      </c>
      <c r="AE6" s="183"/>
      <c r="AF6" s="184">
        <f>('21'!AE6/24)*0.454</f>
        <v>0</v>
      </c>
      <c r="AG6" s="19"/>
      <c r="AH6" s="184">
        <f>('21'!AG6/24)*0.454</f>
        <v>0</v>
      </c>
      <c r="AI6" s="183">
        <v>5200</v>
      </c>
      <c r="AJ6" s="184">
        <f>('21'!AI6/24)*0.454</f>
        <v>98.36666666666666</v>
      </c>
      <c r="AK6" s="21"/>
      <c r="AL6" s="185">
        <f>('21'!AK6/24)*0.454</f>
        <v>0</v>
      </c>
      <c r="AM6" s="21"/>
      <c r="AN6" s="185">
        <f>('21'!AM6/24)*0.454</f>
        <v>0</v>
      </c>
      <c r="AO6" s="21"/>
      <c r="AP6" s="185">
        <f>('21'!AO6/24)*0.454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7">
        <v>80</v>
      </c>
      <c r="C7" s="186">
        <v>12.5</v>
      </c>
      <c r="D7" s="186">
        <v>12.5</v>
      </c>
      <c r="E7" s="186">
        <v>2.5</v>
      </c>
      <c r="F7" s="186">
        <v>9.6999999999999993</v>
      </c>
      <c r="G7" s="186">
        <v>1.7</v>
      </c>
      <c r="H7" s="186">
        <v>2.2000000000000002</v>
      </c>
      <c r="I7" s="186">
        <v>0.5</v>
      </c>
      <c r="J7" s="186">
        <v>0.6</v>
      </c>
      <c r="K7" s="186">
        <v>7.3</v>
      </c>
      <c r="L7" s="186">
        <v>6.8</v>
      </c>
      <c r="M7" s="186">
        <v>6.8</v>
      </c>
      <c r="N7" s="186">
        <v>6.5</v>
      </c>
      <c r="O7" s="186">
        <v>3.2</v>
      </c>
      <c r="P7" s="186"/>
      <c r="Q7" s="188"/>
      <c r="R7" s="37">
        <f>'20'!$Z$29</f>
        <v>935</v>
      </c>
      <c r="S7" s="187">
        <f>'20'!$AB$29</f>
        <v>63.12692901234567</v>
      </c>
      <c r="T7" s="37">
        <f>'20'!$Y$29</f>
        <v>2736</v>
      </c>
      <c r="U7" s="33" t="str">
        <f>IF('21'!AA6=1,'21'!AR6,'21'!AR7)</f>
        <v>S.A.L</v>
      </c>
      <c r="V7" s="1022">
        <f>ESCALA!$C$22</f>
        <v>0</v>
      </c>
      <c r="W7" s="1022"/>
      <c r="X7" s="13">
        <v>8.3333333333333301E-2</v>
      </c>
      <c r="Y7" s="54">
        <v>2714</v>
      </c>
      <c r="Z7" s="270">
        <v>935</v>
      </c>
      <c r="AA7" s="54">
        <v>1</v>
      </c>
      <c r="AB7" s="58">
        <f>IF('21'!AA7=1,(('21'!Z7*'21'!$AS$6*'21'!$AT$6)/('21'!Y7*0.0036)),IF('21'!AA7=2,(('21'!Z7*'21'!$AS$7*'21'!$AT$7)/('21'!Y7*0.0036))))</f>
        <v>63.638643248996964</v>
      </c>
      <c r="AC7" s="58"/>
      <c r="AD7" s="18">
        <f>(('21'!AC7*'21'!$Q$10*1000000))/('21'!Y7*3600)</f>
        <v>0</v>
      </c>
      <c r="AE7" s="183"/>
      <c r="AF7" s="184">
        <f>('21'!AE7/24)*0.454</f>
        <v>0</v>
      </c>
      <c r="AG7" s="19"/>
      <c r="AH7" s="184">
        <f>('21'!AG7/24)*0.454</f>
        <v>0</v>
      </c>
      <c r="AI7" s="183">
        <v>5200</v>
      </c>
      <c r="AJ7" s="184">
        <f>('21'!AI7/24)*0.454</f>
        <v>98.36666666666666</v>
      </c>
      <c r="AK7" s="21"/>
      <c r="AL7" s="185">
        <f>('21'!AK7/24)*0.454</f>
        <v>0</v>
      </c>
      <c r="AM7" s="21"/>
      <c r="AN7" s="185">
        <f>('21'!AM7/24)*0.454</f>
        <v>0</v>
      </c>
      <c r="AO7" s="21"/>
      <c r="AP7" s="185">
        <f>('21'!AO7/24)*0.454</f>
        <v>0</v>
      </c>
      <c r="AQ7" s="24">
        <v>2</v>
      </c>
      <c r="AR7" s="25" t="s">
        <v>146</v>
      </c>
      <c r="AS7" s="26">
        <v>1.34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307">
        <v>80</v>
      </c>
      <c r="C8" s="186">
        <v>12.5</v>
      </c>
      <c r="D8" s="186">
        <v>12.5</v>
      </c>
      <c r="E8" s="186">
        <v>2.5</v>
      </c>
      <c r="F8" s="186">
        <v>10</v>
      </c>
      <c r="G8" s="186">
        <v>1.7</v>
      </c>
      <c r="H8" s="186">
        <v>2.2000000000000002</v>
      </c>
      <c r="I8" s="186">
        <v>0.5</v>
      </c>
      <c r="J8" s="186">
        <v>0.6</v>
      </c>
      <c r="K8" s="186">
        <v>7.3</v>
      </c>
      <c r="L8" s="186">
        <v>6.8</v>
      </c>
      <c r="M8" s="186">
        <v>6.8</v>
      </c>
      <c r="N8" s="186">
        <v>6.5</v>
      </c>
      <c r="O8" s="186">
        <v>3.2</v>
      </c>
      <c r="P8" s="186"/>
      <c r="Q8" s="188"/>
      <c r="R8" s="35">
        <f>'21'!Z7</f>
        <v>935</v>
      </c>
      <c r="S8" s="36">
        <f>'21'!AB7</f>
        <v>63.638643248996964</v>
      </c>
      <c r="T8" s="37">
        <f>'21'!Y7</f>
        <v>2714</v>
      </c>
      <c r="U8" s="33" t="str">
        <f>IF('21'!AA7=1,'21'!AR6,'21'!AR7)</f>
        <v>S.A.L</v>
      </c>
      <c r="V8" s="1022"/>
      <c r="W8" s="1022"/>
      <c r="X8" s="13">
        <v>0.125</v>
      </c>
      <c r="Y8" s="54">
        <v>2734</v>
      </c>
      <c r="Z8" s="270">
        <v>935</v>
      </c>
      <c r="AA8" s="54">
        <v>1</v>
      </c>
      <c r="AB8" s="58">
        <f>IF('21'!AA8=1,(('21'!Z8*'21'!$AS$6*'21'!$AT$6)/('21'!Y8*0.0036)),IF('21'!AA8=2,(('21'!Z8*'21'!$AS$7*'21'!$AT$7)/('21'!Y8*0.0036))))</f>
        <v>63.173108184995527</v>
      </c>
      <c r="AC8" s="58"/>
      <c r="AD8" s="18">
        <f>(('21'!AC8*'21'!$Q$10*1000000))/('21'!Y8*3600)</f>
        <v>0</v>
      </c>
      <c r="AE8" s="183"/>
      <c r="AF8" s="184">
        <f>('21'!AE8/24)*0.454</f>
        <v>0</v>
      </c>
      <c r="AG8" s="19"/>
      <c r="AH8" s="184">
        <f>('21'!AG8/24)*0.454</f>
        <v>0</v>
      </c>
      <c r="AI8" s="183">
        <v>5200</v>
      </c>
      <c r="AJ8" s="184">
        <f>('21'!AI8/24)*0.454</f>
        <v>98.36666666666666</v>
      </c>
      <c r="AK8" s="21"/>
      <c r="AL8" s="185">
        <f>('21'!AK8/24)*0.454</f>
        <v>0</v>
      </c>
      <c r="AM8" s="21"/>
      <c r="AN8" s="185">
        <f>('21'!AM8/24)*0.454</f>
        <v>0</v>
      </c>
      <c r="AO8" s="21"/>
      <c r="AP8" s="185">
        <f>('21'!AO8/24)*0.454</f>
        <v>0</v>
      </c>
      <c r="AQ8" s="1103" t="s">
        <v>50</v>
      </c>
      <c r="AR8" s="1103"/>
      <c r="AS8" s="1103"/>
      <c r="AT8" s="1103"/>
    </row>
    <row r="9" spans="1:47" ht="18.75" customHeight="1">
      <c r="A9" s="28">
        <v>0.16666666666666699</v>
      </c>
      <c r="B9" s="307">
        <v>80</v>
      </c>
      <c r="C9" s="186">
        <v>12.5</v>
      </c>
      <c r="D9" s="186">
        <v>12.5</v>
      </c>
      <c r="E9" s="186">
        <v>2.5</v>
      </c>
      <c r="F9" s="186">
        <v>11</v>
      </c>
      <c r="G9" s="186">
        <v>1.8</v>
      </c>
      <c r="H9" s="186">
        <v>2.1</v>
      </c>
      <c r="I9" s="186">
        <v>0.6</v>
      </c>
      <c r="J9" s="186">
        <v>0.6</v>
      </c>
      <c r="K9" s="186">
        <v>7.3</v>
      </c>
      <c r="L9" s="186">
        <v>6.8</v>
      </c>
      <c r="M9" s="186">
        <v>6.8</v>
      </c>
      <c r="N9" s="186">
        <v>6.5</v>
      </c>
      <c r="O9" s="186">
        <v>3.2</v>
      </c>
      <c r="P9" s="186"/>
      <c r="Q9" s="188"/>
      <c r="R9" s="37">
        <f>'21'!Z9</f>
        <v>935</v>
      </c>
      <c r="S9" s="36">
        <f>'21'!AB9</f>
        <v>65.077346562840162</v>
      </c>
      <c r="T9" s="37">
        <f>'21'!Y9</f>
        <v>2654</v>
      </c>
      <c r="U9" s="33" t="str">
        <f>IF('21'!AA9=1,'21'!AR6,'21'!AR7)</f>
        <v>S.A.L</v>
      </c>
      <c r="V9" s="1022"/>
      <c r="W9" s="1022"/>
      <c r="X9" s="13">
        <v>0.16666666666666699</v>
      </c>
      <c r="Y9" s="54">
        <v>2654</v>
      </c>
      <c r="Z9" s="270">
        <v>935</v>
      </c>
      <c r="AA9" s="54">
        <v>1</v>
      </c>
      <c r="AB9" s="58">
        <f>IF('21'!AA9=1,(('21'!Z9*'21'!$AS$6*'21'!$AT$6)/('21'!Y9*0.0036)),IF('21'!AA9=2,(('21'!Z9*'21'!$AS$7*'21'!$AT$7)/('21'!Y9*0.0036))))</f>
        <v>65.077346562840162</v>
      </c>
      <c r="AC9" s="58"/>
      <c r="AD9" s="18">
        <f>(('21'!AC9*'21'!$Q$10*1000000))/('21'!Y9*3600)</f>
        <v>0</v>
      </c>
      <c r="AE9" s="183"/>
      <c r="AF9" s="184">
        <f>('21'!AE9/24)*0.454</f>
        <v>0</v>
      </c>
      <c r="AG9" s="19"/>
      <c r="AH9" s="184">
        <f>('21'!AG9/24)*0.454</f>
        <v>0</v>
      </c>
      <c r="AI9" s="183">
        <v>5200</v>
      </c>
      <c r="AJ9" s="184">
        <f>('21'!AI9/24)*0.454</f>
        <v>98.36666666666666</v>
      </c>
      <c r="AK9" s="21"/>
      <c r="AL9" s="185">
        <f>('21'!AK9/24)*0.454</f>
        <v>0</v>
      </c>
      <c r="AM9" s="21"/>
      <c r="AN9" s="185">
        <f>('21'!AM9/24)*0.454</f>
        <v>0</v>
      </c>
      <c r="AO9" s="21"/>
      <c r="AP9" s="185">
        <f>('21'!AO9/24)*0.454</f>
        <v>0</v>
      </c>
      <c r="AQ9" s="1104" t="s">
        <v>37</v>
      </c>
      <c r="AR9" s="1104"/>
      <c r="AS9" s="1104"/>
      <c r="AT9" s="38" t="s">
        <v>39</v>
      </c>
    </row>
    <row r="10" spans="1:47" ht="18.75" customHeight="1">
      <c r="A10" s="28">
        <v>0.25</v>
      </c>
      <c r="B10" s="307">
        <v>80</v>
      </c>
      <c r="C10" s="186">
        <v>12.5</v>
      </c>
      <c r="D10" s="186">
        <v>12.5</v>
      </c>
      <c r="E10" s="186">
        <v>2.5</v>
      </c>
      <c r="F10" s="186">
        <v>11</v>
      </c>
      <c r="G10" s="186">
        <v>1.8</v>
      </c>
      <c r="H10" s="186">
        <v>2.1</v>
      </c>
      <c r="I10" s="186">
        <v>0.6</v>
      </c>
      <c r="J10" s="186">
        <v>0.6</v>
      </c>
      <c r="K10" s="186">
        <v>7.3</v>
      </c>
      <c r="L10" s="186">
        <v>6.8</v>
      </c>
      <c r="M10" s="186">
        <v>6.8</v>
      </c>
      <c r="N10" s="186">
        <v>6.5</v>
      </c>
      <c r="O10" s="186">
        <v>3.2</v>
      </c>
      <c r="P10" s="186"/>
      <c r="Q10" s="188"/>
      <c r="R10" s="37">
        <f>'21'!Z11</f>
        <v>935</v>
      </c>
      <c r="S10" s="36">
        <f>'21'!AB11</f>
        <v>64.445999170812598</v>
      </c>
      <c r="T10" s="37">
        <f>'21'!Y11</f>
        <v>2680</v>
      </c>
      <c r="U10" s="33" t="str">
        <f>IF('21'!AA11=1,'21'!AR6,'21'!AR7)</f>
        <v>S.A.L</v>
      </c>
      <c r="V10" s="1022"/>
      <c r="W10" s="1022"/>
      <c r="X10" s="13">
        <v>0.20833333333333301</v>
      </c>
      <c r="Y10" s="54">
        <v>2726</v>
      </c>
      <c r="Z10" s="270">
        <v>935</v>
      </c>
      <c r="AA10" s="54">
        <v>1</v>
      </c>
      <c r="AB10" s="58">
        <f>IF('21'!AA10=1,(('21'!Z10*'21'!$AS$6*'21'!$AT$6)/('21'!Y10*0.0036)),IF('21'!AA10=2,(('21'!Z10*'21'!$AS$7*'21'!$AT$7)/('21'!Y10*0.0036))))</f>
        <v>63.358502486345479</v>
      </c>
      <c r="AC10" s="58"/>
      <c r="AD10" s="18">
        <f>(('21'!AC10*'21'!$Q$10*1000000))/('21'!Y10*3600)</f>
        <v>0</v>
      </c>
      <c r="AE10" s="183"/>
      <c r="AF10" s="184">
        <f>('21'!AE10/24)*0.454</f>
        <v>0</v>
      </c>
      <c r="AG10" s="19"/>
      <c r="AH10" s="184">
        <f>('21'!AG10/24)*0.454</f>
        <v>0</v>
      </c>
      <c r="AI10" s="183">
        <v>5200</v>
      </c>
      <c r="AJ10" s="184">
        <f>('21'!AI10/24)*0.454</f>
        <v>98.36666666666666</v>
      </c>
      <c r="AK10" s="21"/>
      <c r="AL10" s="185">
        <f>('21'!AK10/24)*0.454</f>
        <v>0</v>
      </c>
      <c r="AM10" s="21"/>
      <c r="AN10" s="185">
        <f>('21'!AM10/24)*0.454</f>
        <v>0</v>
      </c>
      <c r="AO10" s="21"/>
      <c r="AP10" s="185">
        <f>('21'!AO10/24)*0.454</f>
        <v>0</v>
      </c>
      <c r="AQ10" s="1105" t="s">
        <v>51</v>
      </c>
      <c r="AR10" s="1105"/>
      <c r="AS10" s="1105"/>
      <c r="AT10" s="41">
        <v>2E-3</v>
      </c>
    </row>
    <row r="11" spans="1:47" ht="19.5" customHeight="1">
      <c r="A11" s="28">
        <v>0.33333333333333298</v>
      </c>
      <c r="B11" s="307">
        <v>80</v>
      </c>
      <c r="C11" s="186">
        <v>12.5</v>
      </c>
      <c r="D11" s="186">
        <v>12.5</v>
      </c>
      <c r="E11" s="186">
        <v>2.5</v>
      </c>
      <c r="F11" s="186">
        <v>11</v>
      </c>
      <c r="G11" s="186">
        <v>1.8</v>
      </c>
      <c r="H11" s="186">
        <v>2.1</v>
      </c>
      <c r="I11" s="186">
        <v>0.6</v>
      </c>
      <c r="J11" s="186">
        <v>0.6</v>
      </c>
      <c r="K11" s="186">
        <v>7.3</v>
      </c>
      <c r="L11" s="186">
        <v>6.8</v>
      </c>
      <c r="M11" s="186">
        <v>6.8</v>
      </c>
      <c r="N11" s="186">
        <v>6.5</v>
      </c>
      <c r="O11" s="186">
        <v>3.2</v>
      </c>
      <c r="P11" s="186"/>
      <c r="Q11" s="188"/>
      <c r="R11" s="37">
        <f>'21'!Z13</f>
        <v>935</v>
      </c>
      <c r="S11" s="36">
        <f>'21'!AB13</f>
        <v>64.325987999172355</v>
      </c>
      <c r="T11" s="37">
        <f>'21'!Y13</f>
        <v>2685</v>
      </c>
      <c r="U11" s="33" t="str">
        <f>IF('21'!AA13=1,'21'!AR6,'21'!AR7)</f>
        <v>S.A.L</v>
      </c>
      <c r="V11" s="1022"/>
      <c r="W11" s="1022"/>
      <c r="X11" s="13">
        <v>0.25</v>
      </c>
      <c r="Y11" s="54">
        <v>2680</v>
      </c>
      <c r="Z11" s="270">
        <v>935</v>
      </c>
      <c r="AA11" s="54">
        <v>1</v>
      </c>
      <c r="AB11" s="58">
        <f>IF('21'!AA11=1,(('21'!Z11*'21'!$AS$6*'21'!$AT$6)/('21'!Y11*0.0036)),IF('21'!AA11=2,(('21'!Z11*'21'!$AS$7*'21'!$AT$7)/('21'!Y11*0.0036))))</f>
        <v>64.445999170812598</v>
      </c>
      <c r="AC11" s="58"/>
      <c r="AD11" s="18">
        <f>(('21'!AC11*'21'!$Q$10*1000000))/('21'!Y11*3600)</f>
        <v>0</v>
      </c>
      <c r="AE11" s="183"/>
      <c r="AF11" s="184">
        <f>('21'!AE11/24)*0.454</f>
        <v>0</v>
      </c>
      <c r="AG11" s="19"/>
      <c r="AH11" s="184">
        <f>('21'!AG11/24)*0.454</f>
        <v>0</v>
      </c>
      <c r="AI11" s="183">
        <v>5200</v>
      </c>
      <c r="AJ11" s="184">
        <f>('21'!AI11/24)*0.454</f>
        <v>98.36666666666666</v>
      </c>
      <c r="AK11" s="21"/>
      <c r="AL11" s="185">
        <f>('21'!AK11/24)*0.454</f>
        <v>0</v>
      </c>
      <c r="AM11" s="21"/>
      <c r="AN11" s="185">
        <f>('21'!AM11/24)*0.454</f>
        <v>0</v>
      </c>
      <c r="AO11" s="21"/>
      <c r="AP11" s="185">
        <f>('21'!AO11/24)*0.454</f>
        <v>0</v>
      </c>
    </row>
    <row r="12" spans="1:47" ht="18.75" customHeight="1">
      <c r="A12" s="28">
        <v>0.41666666666666702</v>
      </c>
      <c r="B12" s="307">
        <v>80</v>
      </c>
      <c r="C12" s="186">
        <v>12.5</v>
      </c>
      <c r="D12" s="186">
        <v>12.5</v>
      </c>
      <c r="E12" s="186">
        <v>2.5</v>
      </c>
      <c r="F12" s="186">
        <v>10</v>
      </c>
      <c r="G12" s="186">
        <v>1.8</v>
      </c>
      <c r="H12" s="186">
        <v>2.1</v>
      </c>
      <c r="I12" s="186">
        <v>0.6</v>
      </c>
      <c r="J12" s="186">
        <v>0.6</v>
      </c>
      <c r="K12" s="186">
        <v>7.3</v>
      </c>
      <c r="L12" s="186">
        <v>6.8</v>
      </c>
      <c r="M12" s="186">
        <v>6.8</v>
      </c>
      <c r="N12" s="186">
        <v>6.5</v>
      </c>
      <c r="O12" s="186">
        <v>3.2</v>
      </c>
      <c r="P12" s="186"/>
      <c r="Q12" s="188"/>
      <c r="R12" s="37">
        <f>'21'!Z15</f>
        <v>935</v>
      </c>
      <c r="S12" s="36">
        <f>'21'!AB15</f>
        <v>64.930555555555543</v>
      </c>
      <c r="T12" s="37">
        <f>'21'!Y15</f>
        <v>2660</v>
      </c>
      <c r="U12" s="33" t="str">
        <f>IF('21'!AA15=1,'21'!AR6,'21'!AR7)</f>
        <v>S.A.L</v>
      </c>
      <c r="V12" s="944">
        <f>ESCALA!$B$23</f>
        <v>0</v>
      </c>
      <c r="W12" s="944"/>
      <c r="X12" s="13">
        <v>0.29166666666666702</v>
      </c>
      <c r="Y12" s="54">
        <v>2693</v>
      </c>
      <c r="Z12" s="270">
        <v>935</v>
      </c>
      <c r="AA12" s="54">
        <v>1</v>
      </c>
      <c r="AB12" s="58">
        <f>IF('21'!AA12=1,(('21'!Z12*'21'!$AS$6*'21'!$AT$6)/('21'!Y12*0.0036)),IF('21'!AA12=2,(('21'!Z12*'21'!$AS$7*'21'!$AT$7)/('21'!Y12*0.0036))))</f>
        <v>64.134897058216779</v>
      </c>
      <c r="AC12" s="58"/>
      <c r="AD12" s="18">
        <f>(('21'!AC12*'21'!$Q$10*1000000))/('21'!Y12*3600)</f>
        <v>0</v>
      </c>
      <c r="AE12" s="183"/>
      <c r="AF12" s="184">
        <f>('21'!AE12/24)*0.454</f>
        <v>0</v>
      </c>
      <c r="AG12" s="19"/>
      <c r="AH12" s="184">
        <f>('21'!AG12/24)*0.454</f>
        <v>0</v>
      </c>
      <c r="AI12" s="183">
        <v>5200</v>
      </c>
      <c r="AJ12" s="184">
        <f>('21'!AI12/24)*0.454</f>
        <v>98.36666666666666</v>
      </c>
      <c r="AK12" s="21"/>
      <c r="AL12" s="185">
        <f>('21'!AK12/24)*0.454</f>
        <v>0</v>
      </c>
      <c r="AM12" s="21"/>
      <c r="AN12" s="185">
        <f>('21'!AM12/24)*0.454</f>
        <v>0</v>
      </c>
      <c r="AO12" s="21"/>
      <c r="AP12" s="185">
        <f>('21'!AO12/24)*0.454</f>
        <v>0</v>
      </c>
    </row>
    <row r="13" spans="1:47" ht="18.75" customHeight="1">
      <c r="A13" s="28">
        <v>0.5</v>
      </c>
      <c r="B13" s="307">
        <v>80</v>
      </c>
      <c r="C13" s="186">
        <v>12.5</v>
      </c>
      <c r="D13" s="186">
        <v>15</v>
      </c>
      <c r="E13" s="186">
        <v>2.5</v>
      </c>
      <c r="F13" s="186">
        <v>10</v>
      </c>
      <c r="G13" s="186">
        <v>1.8</v>
      </c>
      <c r="H13" s="186">
        <v>2.6</v>
      </c>
      <c r="I13" s="186">
        <v>0.6</v>
      </c>
      <c r="J13" s="186">
        <v>0.6</v>
      </c>
      <c r="K13" s="186">
        <v>7.3</v>
      </c>
      <c r="L13" s="186">
        <v>6.8</v>
      </c>
      <c r="M13" s="186">
        <v>6.8</v>
      </c>
      <c r="N13" s="186">
        <v>6.5</v>
      </c>
      <c r="O13" s="186">
        <v>3.2</v>
      </c>
      <c r="P13" s="186"/>
      <c r="Q13" s="188"/>
      <c r="R13" s="37">
        <f>'21'!Z17</f>
        <v>935</v>
      </c>
      <c r="S13" s="36">
        <f>'21'!AB17</f>
        <v>64.254195601851848</v>
      </c>
      <c r="T13" s="37">
        <f>'21'!Y17</f>
        <v>2688</v>
      </c>
      <c r="U13" s="33" t="str">
        <f>IF('21'!AA17=1,'21'!AR6,'21'!AR7)</f>
        <v>S.A.L</v>
      </c>
      <c r="V13" s="944"/>
      <c r="W13" s="944"/>
      <c r="X13" s="13">
        <v>0.33333333333333298</v>
      </c>
      <c r="Y13" s="54">
        <v>2685</v>
      </c>
      <c r="Z13" s="270">
        <v>935</v>
      </c>
      <c r="AA13" s="54">
        <v>1</v>
      </c>
      <c r="AB13" s="58">
        <f>IF('21'!AA13=1,(('21'!Z13*'21'!$AS$6*'21'!$AT$6)/('21'!Y13*0.0036)),IF('21'!AA13=2,(('21'!Z13*'21'!$AS$7*'21'!$AT$7)/('21'!Y13*0.0036))))</f>
        <v>64.325987999172355</v>
      </c>
      <c r="AC13" s="58"/>
      <c r="AD13" s="18">
        <f>(('21'!AC13*'21'!$Q$10*1000000))/('21'!Y13*3600)</f>
        <v>0</v>
      </c>
      <c r="AE13" s="183"/>
      <c r="AF13" s="184">
        <f>('21'!AE13/24)*0.454</f>
        <v>0</v>
      </c>
      <c r="AG13" s="19"/>
      <c r="AH13" s="184">
        <f>('21'!AG13/24)*0.454</f>
        <v>0</v>
      </c>
      <c r="AI13" s="183">
        <v>5200</v>
      </c>
      <c r="AJ13" s="184">
        <f>('21'!AI13/24)*0.454</f>
        <v>98.36666666666666</v>
      </c>
      <c r="AK13" s="21"/>
      <c r="AL13" s="185">
        <f>('21'!AK13/24)*0.454</f>
        <v>0</v>
      </c>
      <c r="AM13" s="21"/>
      <c r="AN13" s="185">
        <f>('21'!AM13/24)*0.454</f>
        <v>0</v>
      </c>
      <c r="AO13" s="21"/>
      <c r="AP13" s="185">
        <f>('21'!AO13/24)*0.454</f>
        <v>0</v>
      </c>
    </row>
    <row r="14" spans="1:47" ht="18.75" customHeight="1">
      <c r="A14" s="28">
        <v>0.58333333333333304</v>
      </c>
      <c r="B14" s="307">
        <v>80</v>
      </c>
      <c r="C14" s="186">
        <v>12.5</v>
      </c>
      <c r="D14" s="186">
        <v>15</v>
      </c>
      <c r="E14" s="186">
        <v>2.5</v>
      </c>
      <c r="F14" s="186">
        <v>11</v>
      </c>
      <c r="G14" s="186">
        <v>1.9</v>
      </c>
      <c r="H14" s="186">
        <v>2.8</v>
      </c>
      <c r="I14" s="186">
        <v>0.5</v>
      </c>
      <c r="J14" s="186">
        <v>0.6</v>
      </c>
      <c r="K14" s="186">
        <v>7.3</v>
      </c>
      <c r="L14" s="186">
        <v>6.8</v>
      </c>
      <c r="M14" s="186">
        <v>6.8</v>
      </c>
      <c r="N14" s="186">
        <v>6.5</v>
      </c>
      <c r="O14" s="186">
        <v>3.2</v>
      </c>
      <c r="P14" s="186"/>
      <c r="Q14" s="188"/>
      <c r="R14" s="37">
        <f>'21'!Z19</f>
        <v>935</v>
      </c>
      <c r="S14" s="36">
        <f>'21'!AB19</f>
        <v>64.087301587301582</v>
      </c>
      <c r="T14" s="37">
        <f>'21'!Y19</f>
        <v>2695</v>
      </c>
      <c r="U14" s="33" t="str">
        <f>IF('21'!AA19=1,'21'!AR6,'21'!AR7)</f>
        <v>S.A.L</v>
      </c>
      <c r="V14" s="944"/>
      <c r="W14" s="944"/>
      <c r="X14" s="13">
        <v>0.375</v>
      </c>
      <c r="Y14" s="54">
        <v>2667</v>
      </c>
      <c r="Z14" s="270">
        <v>935</v>
      </c>
      <c r="AA14" s="54">
        <v>1</v>
      </c>
      <c r="AB14" s="58">
        <f>IF('21'!AA14=1,(('21'!Z14*'21'!$AS$6*'21'!$AT$6)/('21'!Y14*0.0036)),IF('21'!AA14=2,(('21'!Z14*'21'!$AS$7*'21'!$AT$7)/('21'!Y14*0.0036))))</f>
        <v>64.760134149897922</v>
      </c>
      <c r="AC14" s="58"/>
      <c r="AD14" s="18">
        <f>(('21'!AC14*'21'!$Q$10*1000000))/('21'!Y14*3600)</f>
        <v>0</v>
      </c>
      <c r="AE14" s="183"/>
      <c r="AF14" s="184">
        <f>('21'!AE14/24)*0.454</f>
        <v>0</v>
      </c>
      <c r="AG14" s="19"/>
      <c r="AH14" s="184">
        <f>('21'!AG14/24)*0.454</f>
        <v>0</v>
      </c>
      <c r="AI14" s="183">
        <v>5200</v>
      </c>
      <c r="AJ14" s="184">
        <f>('21'!AI14/24)*0.454</f>
        <v>98.36666666666666</v>
      </c>
      <c r="AK14" s="21"/>
      <c r="AL14" s="185">
        <f>('21'!AK14/24)*0.454</f>
        <v>0</v>
      </c>
      <c r="AM14" s="21"/>
      <c r="AN14" s="185">
        <f>('21'!AM14/24)*0.454</f>
        <v>0</v>
      </c>
      <c r="AO14" s="21"/>
      <c r="AP14" s="185">
        <f>('21'!AO14/24)*0.454</f>
        <v>0</v>
      </c>
    </row>
    <row r="15" spans="1:47" ht="18.75" customHeight="1">
      <c r="A15" s="28">
        <v>0.66666666666666696</v>
      </c>
      <c r="B15" s="307">
        <v>80</v>
      </c>
      <c r="C15" s="186">
        <v>15</v>
      </c>
      <c r="D15" s="186">
        <v>17.5</v>
      </c>
      <c r="E15" s="186">
        <v>2.5</v>
      </c>
      <c r="F15" s="186">
        <v>11</v>
      </c>
      <c r="G15" s="186">
        <v>2</v>
      </c>
      <c r="H15" s="186">
        <v>3.2</v>
      </c>
      <c r="I15" s="186">
        <v>0.5</v>
      </c>
      <c r="J15" s="186">
        <v>0.7</v>
      </c>
      <c r="K15" s="186">
        <v>7.3</v>
      </c>
      <c r="L15" s="186">
        <v>6.8</v>
      </c>
      <c r="M15" s="186">
        <v>6.8</v>
      </c>
      <c r="N15" s="186">
        <v>6.5</v>
      </c>
      <c r="O15" s="186">
        <v>3.2</v>
      </c>
      <c r="P15" s="186"/>
      <c r="Q15" s="188"/>
      <c r="R15" s="37">
        <f>'21'!Z21</f>
        <v>935</v>
      </c>
      <c r="S15" s="36">
        <f>'21'!AB21</f>
        <v>63.61520360139145</v>
      </c>
      <c r="T15" s="37">
        <f>'21'!Y21</f>
        <v>2715</v>
      </c>
      <c r="U15" s="33" t="str">
        <f>IF('21'!AA21=1,'21'!AR6,'21'!AR7)</f>
        <v>S.A.L</v>
      </c>
      <c r="V15" s="944"/>
      <c r="W15" s="944"/>
      <c r="X15" s="13">
        <v>0.41666666666666702</v>
      </c>
      <c r="Y15" s="54">
        <v>2660</v>
      </c>
      <c r="Z15" s="270">
        <v>935</v>
      </c>
      <c r="AA15" s="54">
        <v>1</v>
      </c>
      <c r="AB15" s="58">
        <f>IF('21'!AA15=1,(('21'!Z15*'21'!$AS$6*'21'!$AT$6)/('21'!Y15*0.0036)),IF('21'!AA15=2,(('21'!Z15*'21'!$AS$7*'21'!$AT$7)/('21'!Y15*0.0036))))</f>
        <v>64.930555555555543</v>
      </c>
      <c r="AC15" s="58"/>
      <c r="AD15" s="18">
        <f>(('21'!AC15*'21'!$Q$10*1000000))/('21'!Y15*3600)</f>
        <v>0</v>
      </c>
      <c r="AE15" s="183"/>
      <c r="AF15" s="184">
        <f>('21'!AE15/24)*0.454</f>
        <v>0</v>
      </c>
      <c r="AG15" s="19"/>
      <c r="AH15" s="184">
        <f>('21'!AG15/24)*0.454</f>
        <v>0</v>
      </c>
      <c r="AI15" s="183">
        <v>5200</v>
      </c>
      <c r="AJ15" s="184">
        <f>('21'!AI15/24)*0.454</f>
        <v>98.36666666666666</v>
      </c>
      <c r="AK15" s="21"/>
      <c r="AL15" s="185">
        <f>('21'!AK15/24)*0.454</f>
        <v>0</v>
      </c>
      <c r="AM15" s="21"/>
      <c r="AN15" s="185">
        <f>('21'!AM15/24)*0.454</f>
        <v>0</v>
      </c>
      <c r="AO15" s="21"/>
      <c r="AP15" s="185">
        <f>('21'!AO15/24)*0.454</f>
        <v>0</v>
      </c>
    </row>
    <row r="16" spans="1:47" ht="18.75" customHeight="1">
      <c r="A16" s="28">
        <v>0.75</v>
      </c>
      <c r="B16" s="307">
        <v>80</v>
      </c>
      <c r="C16" s="186">
        <v>12.5</v>
      </c>
      <c r="D16" s="186">
        <v>15</v>
      </c>
      <c r="E16" s="186">
        <v>2.5</v>
      </c>
      <c r="F16" s="186">
        <v>11</v>
      </c>
      <c r="G16" s="186">
        <v>1.9</v>
      </c>
      <c r="H16" s="186">
        <v>2.8</v>
      </c>
      <c r="I16" s="186">
        <v>0.6</v>
      </c>
      <c r="J16" s="186">
        <v>0.8</v>
      </c>
      <c r="K16" s="186">
        <v>7.3</v>
      </c>
      <c r="L16" s="186">
        <v>6.8</v>
      </c>
      <c r="M16" s="186">
        <v>6.8</v>
      </c>
      <c r="N16" s="186">
        <v>6.5</v>
      </c>
      <c r="O16" s="186">
        <v>3</v>
      </c>
      <c r="P16" s="186"/>
      <c r="Q16" s="188"/>
      <c r="R16" s="37">
        <f>'21'!Z23</f>
        <v>935</v>
      </c>
      <c r="S16" s="36">
        <f>'21'!AB23</f>
        <v>63.873993261012494</v>
      </c>
      <c r="T16" s="37">
        <f>'21'!Y23</f>
        <v>2704</v>
      </c>
      <c r="U16" s="33" t="str">
        <f>IF('21'!AA23=1,'21'!AR6,'21'!AR7)</f>
        <v>S.A.L</v>
      </c>
      <c r="V16" s="944"/>
      <c r="W16" s="944"/>
      <c r="X16" s="13">
        <v>0.45833333333333298</v>
      </c>
      <c r="Y16" s="54">
        <v>2670</v>
      </c>
      <c r="Z16" s="270">
        <v>935</v>
      </c>
      <c r="AA16" s="54">
        <v>1</v>
      </c>
      <c r="AB16" s="58">
        <f>IF('21'!AA16=1,(('21'!Z16*'21'!$AS$6*'21'!$AT$6)/('21'!Y16*0.0036)),IF('21'!AA16=2,(('21'!Z16*'21'!$AS$7*'21'!$AT$7)/('21'!Y16*0.0036))))</f>
        <v>64.687369954223882</v>
      </c>
      <c r="AC16" s="58"/>
      <c r="AD16" s="18">
        <f>(('21'!AC16*'21'!$Q$10*1000000))/('21'!Y16*3600)</f>
        <v>0</v>
      </c>
      <c r="AE16" s="183"/>
      <c r="AF16" s="184">
        <f>('21'!AE16/24)*0.454</f>
        <v>0</v>
      </c>
      <c r="AG16" s="19"/>
      <c r="AH16" s="184">
        <f>('21'!AG16/24)*0.454</f>
        <v>0</v>
      </c>
      <c r="AI16" s="183">
        <v>5200</v>
      </c>
      <c r="AJ16" s="184">
        <f>('21'!AI16/24)*0.454</f>
        <v>98.36666666666666</v>
      </c>
      <c r="AK16" s="21"/>
      <c r="AL16" s="185">
        <f>('21'!AK16/24)*0.454</f>
        <v>0</v>
      </c>
      <c r="AM16" s="21"/>
      <c r="AN16" s="185">
        <f>('21'!AM16/24)*0.454</f>
        <v>0</v>
      </c>
      <c r="AO16" s="21"/>
      <c r="AP16" s="185">
        <f>('21'!AO16/24)*0.454</f>
        <v>0</v>
      </c>
    </row>
    <row r="17" spans="1:42" ht="18.75" customHeight="1">
      <c r="A17" s="28">
        <v>0.83333333333333304</v>
      </c>
      <c r="B17" s="307">
        <v>80</v>
      </c>
      <c r="C17" s="186">
        <v>12.5</v>
      </c>
      <c r="D17" s="186">
        <v>15</v>
      </c>
      <c r="E17" s="186">
        <v>2.5</v>
      </c>
      <c r="F17" s="186">
        <v>12</v>
      </c>
      <c r="G17" s="186">
        <v>1.9</v>
      </c>
      <c r="H17" s="186">
        <v>2.7</v>
      </c>
      <c r="I17" s="186">
        <v>0.7</v>
      </c>
      <c r="J17" s="186">
        <v>0.8</v>
      </c>
      <c r="K17" s="186">
        <v>7.3</v>
      </c>
      <c r="L17" s="186">
        <v>6.8</v>
      </c>
      <c r="M17" s="186">
        <v>6.8</v>
      </c>
      <c r="N17" s="186">
        <v>6.5</v>
      </c>
      <c r="O17" s="186">
        <v>3</v>
      </c>
      <c r="P17" s="186"/>
      <c r="Q17" s="188"/>
      <c r="R17" s="37">
        <f>'21'!Z25</f>
        <v>935</v>
      </c>
      <c r="S17" s="36">
        <f>'21'!AB25</f>
        <v>65.521729050750295</v>
      </c>
      <c r="T17" s="37">
        <f>'21'!Y25</f>
        <v>2636</v>
      </c>
      <c r="U17" s="33" t="str">
        <f>IF('21'!AA25=1,'21'!AR6,'21'!AR7)</f>
        <v>S.A.L</v>
      </c>
      <c r="V17" s="945">
        <f>ESCALA!$C$23</f>
        <v>0</v>
      </c>
      <c r="W17" s="945"/>
      <c r="X17" s="13">
        <v>0.5</v>
      </c>
      <c r="Y17" s="54">
        <v>2688</v>
      </c>
      <c r="Z17" s="270">
        <v>935</v>
      </c>
      <c r="AA17" s="54">
        <v>1</v>
      </c>
      <c r="AB17" s="58">
        <f>IF('21'!AA17=1,(('21'!Z17*'21'!$AS$6*'21'!$AT$6)/('21'!Y17*0.0036)),IF('21'!AA17=2,(('21'!Z17*'21'!$AS$7*'21'!$AT$7)/('21'!Y17*0.0036))))</f>
        <v>64.254195601851848</v>
      </c>
      <c r="AC17" s="58"/>
      <c r="AD17" s="18">
        <f>(('21'!AC17*'21'!$Q$10*1000000))/('21'!Y17*3600)</f>
        <v>0</v>
      </c>
      <c r="AE17" s="183"/>
      <c r="AF17" s="184">
        <f>('21'!AE17/24)*0.454</f>
        <v>0</v>
      </c>
      <c r="AG17" s="19"/>
      <c r="AH17" s="184">
        <f>('21'!AG17/24)*0.454</f>
        <v>0</v>
      </c>
      <c r="AI17" s="183">
        <v>5200</v>
      </c>
      <c r="AJ17" s="184">
        <f>('21'!AI17/24)*0.454</f>
        <v>98.36666666666666</v>
      </c>
      <c r="AK17" s="21"/>
      <c r="AL17" s="185">
        <f>('21'!AK17/24)*0.454</f>
        <v>0</v>
      </c>
      <c r="AM17" s="21"/>
      <c r="AN17" s="185">
        <f>('21'!AM17/24)*0.454</f>
        <v>0</v>
      </c>
      <c r="AO17" s="21"/>
      <c r="AP17" s="185">
        <f>('21'!AO17/24)*0.454</f>
        <v>0</v>
      </c>
    </row>
    <row r="18" spans="1:42" ht="19.5" customHeight="1">
      <c r="A18" s="28">
        <v>0.91666666666666696</v>
      </c>
      <c r="B18" s="307">
        <v>80</v>
      </c>
      <c r="C18" s="186">
        <v>12.5</v>
      </c>
      <c r="D18" s="186">
        <v>15</v>
      </c>
      <c r="E18" s="186">
        <v>2.5</v>
      </c>
      <c r="F18" s="186">
        <v>10</v>
      </c>
      <c r="G18" s="186">
        <v>1.9</v>
      </c>
      <c r="H18" s="186">
        <v>2.4</v>
      </c>
      <c r="I18" s="186">
        <v>0.7</v>
      </c>
      <c r="J18" s="186">
        <v>0.9</v>
      </c>
      <c r="K18" s="186">
        <v>7.3</v>
      </c>
      <c r="L18" s="186">
        <v>6.8</v>
      </c>
      <c r="M18" s="186">
        <v>6.8</v>
      </c>
      <c r="N18" s="186">
        <v>6.5</v>
      </c>
      <c r="O18" s="186">
        <v>3</v>
      </c>
      <c r="P18" s="186"/>
      <c r="Q18" s="188"/>
      <c r="R18" s="37">
        <f>'21'!Z24</f>
        <v>935</v>
      </c>
      <c r="S18" s="36">
        <f>'21'!AB27</f>
        <v>64.857408102808023</v>
      </c>
      <c r="T18" s="37">
        <f>'21'!Y27</f>
        <v>2663</v>
      </c>
      <c r="U18" s="33" t="str">
        <f>IF('21'!AA27=1,'21'!AR6,'21'!AR7)</f>
        <v>S.A.L</v>
      </c>
      <c r="V18" s="945"/>
      <c r="W18" s="945"/>
      <c r="X18" s="13">
        <v>0.54166666666666696</v>
      </c>
      <c r="Y18" s="54">
        <v>2717</v>
      </c>
      <c r="Z18" s="270">
        <v>935</v>
      </c>
      <c r="AA18" s="54">
        <v>1</v>
      </c>
      <c r="AB18" s="58">
        <f>IF('21'!AA18=1,(('21'!Z18*'21'!$AS$6*'21'!$AT$6)/('21'!Y18*0.0036)),IF('21'!AA18=2,(('21'!Z18*'21'!$AS$7*'21'!$AT$7)/('21'!Y18*0.0036))))</f>
        <v>63.568376068376068</v>
      </c>
      <c r="AC18" s="58"/>
      <c r="AD18" s="18">
        <f>(('21'!AC18*'21'!$Q$10*1000000))/('21'!Y18*3600)</f>
        <v>0</v>
      </c>
      <c r="AE18" s="183"/>
      <c r="AF18" s="184">
        <f>('21'!AE18/24)*0.454</f>
        <v>0</v>
      </c>
      <c r="AG18" s="19"/>
      <c r="AH18" s="184">
        <f>('21'!AG18/24)*0.454</f>
        <v>0</v>
      </c>
      <c r="AI18" s="183">
        <v>5200</v>
      </c>
      <c r="AJ18" s="184">
        <f>('21'!AI18/24)*0.454</f>
        <v>98.36666666666666</v>
      </c>
      <c r="AK18" s="21"/>
      <c r="AL18" s="185">
        <f>('21'!AK18/24)*0.454</f>
        <v>0</v>
      </c>
      <c r="AM18" s="21"/>
      <c r="AN18" s="185">
        <f>('21'!AM18/24)*0.454</f>
        <v>0</v>
      </c>
      <c r="AO18" s="21"/>
      <c r="AP18" s="185">
        <f>('21'!AO18/24)*0.454</f>
        <v>0</v>
      </c>
    </row>
    <row r="19" spans="1:42" ht="18.75" customHeight="1">
      <c r="A19" s="10" t="s">
        <v>52</v>
      </c>
      <c r="B19" s="191">
        <f>AVERAGE('21'!B7:B18)</f>
        <v>80</v>
      </c>
      <c r="C19" s="191">
        <f>AVERAGE('21'!C7:C18)</f>
        <v>12.708333333333334</v>
      </c>
      <c r="D19" s="191">
        <f>AVERAGE('21'!D7:D18)</f>
        <v>13.958333333333334</v>
      </c>
      <c r="E19" s="191">
        <f>AVERAGE('21'!E7:E18)</f>
        <v>2.5</v>
      </c>
      <c r="F19" s="191">
        <f>AVERAGE('21'!F7:F18)</f>
        <v>10.641666666666667</v>
      </c>
      <c r="G19" s="191">
        <f>AVERAGE('21'!G7:G18)</f>
        <v>1.8333333333333333</v>
      </c>
      <c r="H19" s="191">
        <f>AVERAGE('21'!H7:H18)</f>
        <v>2.4416666666666664</v>
      </c>
      <c r="I19" s="191">
        <f>AVERAGE('21'!I7:I18)</f>
        <v>0.58333333333333337</v>
      </c>
      <c r="J19" s="191">
        <f>AVERAGE('21'!J7:J18)</f>
        <v>0.66666666666666663</v>
      </c>
      <c r="K19" s="191">
        <f>AVERAGE('21'!K7:K18)</f>
        <v>7.299999999999998</v>
      </c>
      <c r="L19" s="191">
        <f>AVERAGE('21'!L7:L18)</f>
        <v>6.799999999999998</v>
      </c>
      <c r="M19" s="191">
        <f>AVERAGE('21'!M7:M18)</f>
        <v>6.799999999999998</v>
      </c>
      <c r="N19" s="191">
        <f>AVERAGE('21'!N7:N18)</f>
        <v>6.5</v>
      </c>
      <c r="O19" s="191">
        <f>AVERAGE('21'!O7:O18)</f>
        <v>3.15</v>
      </c>
      <c r="P19" s="191" t="e">
        <f>AVERAGE('21'!P7:P18)</f>
        <v>#DIV/0!</v>
      </c>
      <c r="Q19" s="191" t="e">
        <f>AVERAGE('21'!Q7:Q18)</f>
        <v>#DIV/0!</v>
      </c>
      <c r="R19" s="191">
        <f>AVERAGE('21'!R7:R18)</f>
        <v>935</v>
      </c>
      <c r="S19" s="191">
        <f>AVERAGE('21'!S7:S18)</f>
        <v>64.312941062903249</v>
      </c>
      <c r="T19" s="946"/>
      <c r="U19" s="946"/>
      <c r="V19" s="49"/>
      <c r="W19" s="50"/>
      <c r="X19" s="13">
        <v>0.58333333333333304</v>
      </c>
      <c r="Y19" s="54">
        <v>2695</v>
      </c>
      <c r="Z19" s="270">
        <v>935</v>
      </c>
      <c r="AA19" s="54">
        <v>1</v>
      </c>
      <c r="AB19" s="58">
        <f>IF('21'!AA19=1,(('21'!Z19*'21'!$AS$6*'21'!$AT$6)/('21'!Y19*0.0036)),IF('21'!AA19=2,(('21'!Z19*'21'!$AS$7*'21'!$AT$7)/('21'!Y19*0.0036))))</f>
        <v>64.087301587301582</v>
      </c>
      <c r="AC19" s="58"/>
      <c r="AD19" s="18">
        <f>(('21'!AC19*'21'!$Q$10*1000000))/('21'!Y19*3600)</f>
        <v>0</v>
      </c>
      <c r="AE19" s="183"/>
      <c r="AF19" s="184">
        <f>('21'!AE19/24)*0.454</f>
        <v>0</v>
      </c>
      <c r="AG19" s="19"/>
      <c r="AH19" s="184">
        <f>('21'!AG19/24)*0.454</f>
        <v>0</v>
      </c>
      <c r="AI19" s="183">
        <v>5200</v>
      </c>
      <c r="AJ19" s="184">
        <f>('21'!AI19/24)*0.454</f>
        <v>98.36666666666666</v>
      </c>
      <c r="AK19" s="21"/>
      <c r="AL19" s="185">
        <f>('21'!AK19/24)*0.454</f>
        <v>0</v>
      </c>
      <c r="AM19" s="21"/>
      <c r="AN19" s="185">
        <f>('21'!AM19/24)*0.454</f>
        <v>0</v>
      </c>
      <c r="AO19" s="21"/>
      <c r="AP19" s="185">
        <f>('21'!AO19/24)*0.454</f>
        <v>0</v>
      </c>
    </row>
    <row r="20" spans="1:42" ht="18.75" customHeight="1">
      <c r="A20" s="10" t="s">
        <v>53</v>
      </c>
      <c r="B20" s="70">
        <f>MAX('21'!B7:B18)</f>
        <v>80</v>
      </c>
      <c r="C20" s="70">
        <f>MAX('21'!C7:C18)</f>
        <v>15</v>
      </c>
      <c r="D20" s="70">
        <f>MAX('21'!D7:D18)</f>
        <v>17.5</v>
      </c>
      <c r="E20" s="70">
        <f>MAX('21'!E7:E18)</f>
        <v>2.5</v>
      </c>
      <c r="F20" s="70">
        <f>MAX('21'!F7:F18)</f>
        <v>12</v>
      </c>
      <c r="G20" s="70">
        <f>MAX('21'!G7:G18)</f>
        <v>2</v>
      </c>
      <c r="H20" s="70">
        <f>MAX('21'!H7:H18)</f>
        <v>3.2</v>
      </c>
      <c r="I20" s="70">
        <f>MAX('21'!I7:I18)</f>
        <v>0.7</v>
      </c>
      <c r="J20" s="70">
        <f>MAX('21'!J7:J18)</f>
        <v>0.9</v>
      </c>
      <c r="K20" s="70">
        <f>MAX('21'!K7:K18)</f>
        <v>7.3</v>
      </c>
      <c r="L20" s="70">
        <f>MAX('21'!L7:L18)</f>
        <v>6.8</v>
      </c>
      <c r="M20" s="70">
        <f>MAX('21'!M7:M18)</f>
        <v>6.8</v>
      </c>
      <c r="N20" s="70">
        <f>MAX('21'!N7:N18)</f>
        <v>6.5</v>
      </c>
      <c r="O20" s="70">
        <f>MAX('21'!O7:O18)</f>
        <v>3.2</v>
      </c>
      <c r="P20" s="70">
        <f>MAX('21'!P7:P18)</f>
        <v>0</v>
      </c>
      <c r="Q20" s="70">
        <f>MAX('21'!Q7:Q18)</f>
        <v>0</v>
      </c>
      <c r="R20" s="70">
        <f>MAX('21'!R7:R18)</f>
        <v>935</v>
      </c>
      <c r="S20" s="70">
        <f>MAX('21'!S7:S18)</f>
        <v>65.521729050750295</v>
      </c>
      <c r="T20" s="946"/>
      <c r="U20" s="946"/>
      <c r="X20" s="13">
        <v>0.625</v>
      </c>
      <c r="Y20" s="54">
        <v>2693</v>
      </c>
      <c r="Z20" s="270">
        <v>935</v>
      </c>
      <c r="AA20" s="54">
        <v>1</v>
      </c>
      <c r="AB20" s="58">
        <f>IF('21'!AA20=1,(('21'!Z20*'21'!$AS$6*'21'!$AT$6)/('21'!Y20*0.0036)),IF('21'!AA20=2,(('21'!Z20*'21'!$AS$7*'21'!$AT$7)/('21'!Y20*0.0036))))</f>
        <v>64.134897058216779</v>
      </c>
      <c r="AC20" s="58"/>
      <c r="AD20" s="18">
        <f>(('21'!AC20*'21'!$Q$10*1000000))/('21'!Y20*3600)</f>
        <v>0</v>
      </c>
      <c r="AE20" s="183"/>
      <c r="AF20" s="184">
        <f>('21'!AE20/24)*0.454</f>
        <v>0</v>
      </c>
      <c r="AG20" s="19"/>
      <c r="AH20" s="184">
        <f>('21'!AG20/24)*0.454</f>
        <v>0</v>
      </c>
      <c r="AI20" s="183">
        <v>5200</v>
      </c>
      <c r="AJ20" s="184">
        <f>('21'!AI20/24)*0.454</f>
        <v>98.36666666666666</v>
      </c>
      <c r="AK20" s="21"/>
      <c r="AL20" s="185">
        <f>('21'!AK20/24)*0.454</f>
        <v>0</v>
      </c>
      <c r="AM20" s="21"/>
      <c r="AN20" s="185">
        <f>('21'!AM20/24)*0.454</f>
        <v>0</v>
      </c>
      <c r="AO20" s="21"/>
      <c r="AP20" s="185">
        <f>('21'!AO20/24)*0.454</f>
        <v>0</v>
      </c>
    </row>
    <row r="21" spans="1:42" ht="19.5" customHeight="1">
      <c r="A21" s="10" t="s">
        <v>54</v>
      </c>
      <c r="B21" s="193">
        <f>MIN('21'!B7:B18)</f>
        <v>80</v>
      </c>
      <c r="C21" s="193">
        <f>MIN('21'!C7:C18)</f>
        <v>12.5</v>
      </c>
      <c r="D21" s="193">
        <f>MIN('21'!D7:D18)</f>
        <v>12.5</v>
      </c>
      <c r="E21" s="193">
        <f>MIN('21'!E7:E18)</f>
        <v>2.5</v>
      </c>
      <c r="F21" s="193">
        <f>MIN('21'!F7:F18)</f>
        <v>9.6999999999999993</v>
      </c>
      <c r="G21" s="193">
        <f>MIN('21'!G7:G18)</f>
        <v>1.7</v>
      </c>
      <c r="H21" s="193">
        <f>MIN('21'!H7:H18)</f>
        <v>2.1</v>
      </c>
      <c r="I21" s="193">
        <f>MIN('21'!I7:I18)</f>
        <v>0.5</v>
      </c>
      <c r="J21" s="193">
        <f>MIN('21'!J7:J18)</f>
        <v>0.6</v>
      </c>
      <c r="K21" s="193">
        <f>MIN('21'!K7:K18)</f>
        <v>7.3</v>
      </c>
      <c r="L21" s="193">
        <f>MIN('21'!L7:L18)</f>
        <v>6.8</v>
      </c>
      <c r="M21" s="193">
        <f>MIN('21'!M7:M18)</f>
        <v>6.8</v>
      </c>
      <c r="N21" s="193">
        <f>MIN('21'!N7:N18)</f>
        <v>6.5</v>
      </c>
      <c r="O21" s="193">
        <f>MIN('21'!O7:O18)</f>
        <v>3</v>
      </c>
      <c r="P21" s="193">
        <f>MIN('21'!P7:P18)</f>
        <v>0</v>
      </c>
      <c r="Q21" s="193">
        <f>MIN('21'!Q7:Q18)</f>
        <v>0</v>
      </c>
      <c r="R21" s="193">
        <f>MIN('21'!R7:R18)</f>
        <v>935</v>
      </c>
      <c r="S21" s="193">
        <f>MIN('21'!S7:S18)</f>
        <v>63.12692901234567</v>
      </c>
      <c r="T21" s="946"/>
      <c r="U21" s="946"/>
      <c r="X21" s="13">
        <v>0.66666666666666696</v>
      </c>
      <c r="Y21" s="54">
        <v>2715</v>
      </c>
      <c r="Z21" s="270">
        <v>935</v>
      </c>
      <c r="AA21" s="54">
        <v>1</v>
      </c>
      <c r="AB21" s="58">
        <f>IF('21'!AA21=1,(('21'!Z21*'21'!$AS$6*'21'!$AT$6)/('21'!Y21*0.0036)),IF('21'!AA21=2,(('21'!Z21*'21'!$AS$7*'21'!$AT$7)/('21'!Y21*0.0036))))</f>
        <v>63.61520360139145</v>
      </c>
      <c r="AC21" s="58"/>
      <c r="AD21" s="18">
        <f>(('21'!AC21*'21'!$Q$10*1000000))/('21'!Y21*3600)</f>
        <v>0</v>
      </c>
      <c r="AE21" s="183"/>
      <c r="AF21" s="184">
        <f>('21'!AE21/24)*0.454</f>
        <v>0</v>
      </c>
      <c r="AG21" s="19"/>
      <c r="AH21" s="184">
        <f>('21'!AG21/24)*0.454</f>
        <v>0</v>
      </c>
      <c r="AI21" s="183">
        <v>5200</v>
      </c>
      <c r="AJ21" s="184">
        <f>('21'!AI21/24)*0.454</f>
        <v>98.36666666666666</v>
      </c>
      <c r="AK21" s="21"/>
      <c r="AL21" s="185">
        <f>('21'!AK21/24)*0.454</f>
        <v>0</v>
      </c>
      <c r="AM21" s="21"/>
      <c r="AN21" s="185">
        <f>('21'!AM21/24)*0.454</f>
        <v>0</v>
      </c>
      <c r="AO21" s="21"/>
      <c r="AP21" s="185">
        <f>('21'!AO21/24)*0.454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54">
        <v>2676</v>
      </c>
      <c r="Z22" s="270">
        <v>935</v>
      </c>
      <c r="AA22" s="54">
        <v>1</v>
      </c>
      <c r="AB22" s="58">
        <f>IF('21'!AA22=1,(('21'!Z22*'21'!$AS$6*'21'!$AT$6)/('21'!Y22*0.0036)),IF('21'!AA22=2,(('21'!Z22*'21'!$AS$7*'21'!$AT$7)/('21'!Y22*0.0036))))</f>
        <v>64.542331008138177</v>
      </c>
      <c r="AC22" s="58"/>
      <c r="AD22" s="18">
        <f>(('21'!AC22*'21'!$Q$10*1000000))/('21'!Y22*3600)</f>
        <v>0</v>
      </c>
      <c r="AE22" s="183"/>
      <c r="AF22" s="184">
        <f>('21'!AE22/24)*0.454</f>
        <v>0</v>
      </c>
      <c r="AG22" s="19"/>
      <c r="AH22" s="184">
        <f>('21'!AG22/24)*0.454</f>
        <v>0</v>
      </c>
      <c r="AI22" s="183">
        <v>5200</v>
      </c>
      <c r="AJ22" s="184">
        <f>('21'!AI22/24)*0.454</f>
        <v>98.36666666666666</v>
      </c>
      <c r="AK22" s="21"/>
      <c r="AL22" s="185">
        <f>('21'!AK22/24)*0.454</f>
        <v>0</v>
      </c>
      <c r="AM22" s="21"/>
      <c r="AN22" s="185">
        <f>('21'!AM22/24)*0.454</f>
        <v>0</v>
      </c>
      <c r="AO22" s="21"/>
      <c r="AP22" s="185">
        <f>('21'!AO22/24)*0.454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54">
        <v>2704</v>
      </c>
      <c r="Z23" s="270">
        <v>935</v>
      </c>
      <c r="AA23" s="54">
        <v>1</v>
      </c>
      <c r="AB23" s="58">
        <f>IF('21'!AA23=1,(('21'!Z23*'21'!$AS$6*'21'!$AT$6)/('21'!Y23*0.0036)),IF('21'!AA23=2,(('21'!Z23*'21'!$AS$7*'21'!$AT$7)/('21'!Y23*0.0036))))</f>
        <v>63.873993261012494</v>
      </c>
      <c r="AC23" s="58"/>
      <c r="AD23" s="18">
        <f>(('21'!AC23*'21'!$Q$10*1000000))/('21'!Y23*3600)</f>
        <v>0</v>
      </c>
      <c r="AE23" s="183"/>
      <c r="AF23" s="184">
        <f>('21'!AE23/24)*0.454</f>
        <v>0</v>
      </c>
      <c r="AG23" s="19"/>
      <c r="AH23" s="184">
        <f>('21'!AG23/24)*0.454</f>
        <v>0</v>
      </c>
      <c r="AI23" s="183">
        <v>5200</v>
      </c>
      <c r="AJ23" s="184">
        <f>('21'!AI23/24)*0.454</f>
        <v>98.36666666666666</v>
      </c>
      <c r="AK23" s="21"/>
      <c r="AL23" s="185">
        <f>('21'!AK23/24)*0.454</f>
        <v>0</v>
      </c>
      <c r="AM23" s="21"/>
      <c r="AN23" s="185">
        <f>('21'!AM23/24)*0.454</f>
        <v>0</v>
      </c>
      <c r="AO23" s="21"/>
      <c r="AP23" s="185">
        <f>('21'!AO23/24)*0.454</f>
        <v>0</v>
      </c>
    </row>
    <row r="24" spans="1:42" ht="19.5" customHeight="1">
      <c r="A24" s="10" t="s">
        <v>7</v>
      </c>
      <c r="B24" s="61">
        <v>5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54">
        <v>2755</v>
      </c>
      <c r="Z24" s="270">
        <v>935</v>
      </c>
      <c r="AA24" s="54">
        <v>1</v>
      </c>
      <c r="AB24" s="16">
        <f>IF('21'!AA24=1,(('21'!Z24*'21'!$AS$6*'21'!$AT$6)/('21'!Y24*0.0036)),IF('21'!AA24=2,(('21'!Z24*'21'!$AS$7*'21'!$AT$7)/('21'!Y24*0.0036))))</f>
        <v>62.691570881226056</v>
      </c>
      <c r="AC24" s="16"/>
      <c r="AD24" s="194">
        <f>(('21'!AC24*'21'!$Q$10*1000000))/('21'!Y24*3600)</f>
        <v>0</v>
      </c>
      <c r="AE24" s="183"/>
      <c r="AF24" s="195">
        <f>('21'!AE24/24)*0.454</f>
        <v>0</v>
      </c>
      <c r="AG24" s="173"/>
      <c r="AH24" s="195">
        <f>('21'!AG24/24)*0.454</f>
        <v>0</v>
      </c>
      <c r="AI24" s="183">
        <v>5200</v>
      </c>
      <c r="AJ24" s="195">
        <f>('21'!AI24/24)*0.454</f>
        <v>98.36666666666666</v>
      </c>
      <c r="AK24" s="21"/>
      <c r="AL24" s="196">
        <f>('21'!AK24/24)*0.454</f>
        <v>0</v>
      </c>
      <c r="AM24" s="197"/>
      <c r="AN24" s="196">
        <f>('21'!AM24/24)*0.454</f>
        <v>0</v>
      </c>
      <c r="AO24" s="21"/>
      <c r="AP24" s="196">
        <f>('21'!AO24/24)*0.454</f>
        <v>0</v>
      </c>
    </row>
    <row r="25" spans="1:42" ht="19.5" customHeight="1">
      <c r="A25" s="64">
        <v>0.41666666666666702</v>
      </c>
      <c r="B25" s="308">
        <v>0.28000000000000003</v>
      </c>
      <c r="C25" s="308">
        <v>0.61</v>
      </c>
      <c r="D25" s="308">
        <v>0.59</v>
      </c>
      <c r="E25" s="308">
        <v>0.56000000000000005</v>
      </c>
      <c r="F25" s="308">
        <v>0.62</v>
      </c>
      <c r="G25" s="308">
        <v>0.55000000000000004</v>
      </c>
      <c r="H25" s="308">
        <v>0.86</v>
      </c>
      <c r="I25" s="308">
        <v>0.54</v>
      </c>
      <c r="J25" s="308">
        <v>0.6</v>
      </c>
      <c r="K25" s="308">
        <v>0.51</v>
      </c>
      <c r="L25" s="308">
        <v>0.53</v>
      </c>
      <c r="M25" s="308">
        <v>0.62</v>
      </c>
      <c r="N25" s="308">
        <v>0.53</v>
      </c>
      <c r="O25" s="308">
        <v>0.65</v>
      </c>
      <c r="P25" s="308">
        <v>0.74</v>
      </c>
      <c r="Q25" s="308">
        <v>0.43</v>
      </c>
      <c r="R25" s="65" t="e">
        <f>#DIV/0!</f>
        <v>#DIV/0!</v>
      </c>
      <c r="S25" s="66"/>
      <c r="T25" s="1065" t="s">
        <v>0</v>
      </c>
      <c r="U25" s="1049">
        <f>ESCALA!$A$23</f>
        <v>43911</v>
      </c>
      <c r="X25" s="13">
        <v>0.83333333333333304</v>
      </c>
      <c r="Y25" s="54">
        <v>2636</v>
      </c>
      <c r="Z25" s="270">
        <v>935</v>
      </c>
      <c r="AA25" s="54">
        <v>1</v>
      </c>
      <c r="AB25" s="58">
        <f>IF('21'!AA25=1,(('21'!Z25*'21'!$AS$6*'21'!$AT$6)/('21'!Y25*0.0036)),IF('21'!AA25=2,(('21'!Z25*'21'!$AS$7*'21'!$AT$7)/('21'!Y25*0.0036))))</f>
        <v>65.521729050750295</v>
      </c>
      <c r="AC25" s="58"/>
      <c r="AD25" s="18">
        <f>(('21'!AC25*'21'!$Q$10*1000000))/('21'!Y25*3600)</f>
        <v>0</v>
      </c>
      <c r="AE25" s="183"/>
      <c r="AF25" s="184">
        <f>('21'!AE25/24)*0.454</f>
        <v>0</v>
      </c>
      <c r="AG25" s="19"/>
      <c r="AH25" s="184">
        <f>('21'!AG25/24)*0.454</f>
        <v>0</v>
      </c>
      <c r="AI25" s="183">
        <v>5200</v>
      </c>
      <c r="AJ25" s="184">
        <f>('21'!AI25/24)*0.454</f>
        <v>98.36666666666666</v>
      </c>
      <c r="AK25" s="21"/>
      <c r="AL25" s="185">
        <f>('21'!AK25/24)*0.454</f>
        <v>0</v>
      </c>
      <c r="AM25" s="21"/>
      <c r="AN25" s="185">
        <f>('21'!AM25/24)*0.454</f>
        <v>0</v>
      </c>
      <c r="AO25" s="21"/>
      <c r="AP25" s="185">
        <f>('21'!AO25/24)*0.454</f>
        <v>0</v>
      </c>
    </row>
    <row r="26" spans="1:42" ht="19.5" customHeight="1">
      <c r="A26" s="64">
        <v>0.66666666666666696</v>
      </c>
      <c r="B26" s="308"/>
      <c r="C26" s="308"/>
      <c r="D26" s="308"/>
      <c r="E26" s="309"/>
      <c r="F26" s="309"/>
      <c r="G26" s="309"/>
      <c r="H26" s="309"/>
      <c r="I26" s="309"/>
      <c r="J26" s="309"/>
      <c r="K26" s="309"/>
      <c r="L26" s="309"/>
      <c r="M26" s="309"/>
      <c r="N26" s="309"/>
      <c r="O26" s="309"/>
      <c r="P26" s="309"/>
      <c r="Q26" s="309"/>
      <c r="R26" s="65" t="e">
        <f>#DIV/0!</f>
        <v>#DIV/0!</v>
      </c>
      <c r="S26" s="67"/>
      <c r="T26" s="1065"/>
      <c r="U26" s="1049"/>
      <c r="X26" s="13">
        <v>0.875</v>
      </c>
      <c r="Y26" s="54">
        <v>2637</v>
      </c>
      <c r="Z26" s="270">
        <v>935</v>
      </c>
      <c r="AA26" s="54">
        <v>1</v>
      </c>
      <c r="AB26" s="58">
        <f>IF('21'!AA26=1,(('21'!Z26*'21'!$AS$6*'21'!$AT$6)/('21'!Y26*0.0036)),IF('21'!AA26=2,(('21'!Z26*'21'!$AS$7*'21'!$AT$7)/('21'!Y26*0.0036))))</f>
        <v>65.496881978679468</v>
      </c>
      <c r="AC26" s="58"/>
      <c r="AD26" s="18">
        <f>(('21'!AC26*'21'!$Q$10*1000000))/('21'!Y26*3600)</f>
        <v>0</v>
      </c>
      <c r="AE26" s="183"/>
      <c r="AF26" s="184">
        <f>('21'!AE26/24)*0.454</f>
        <v>0</v>
      </c>
      <c r="AG26" s="19"/>
      <c r="AH26" s="184">
        <f>('21'!AG26/24)*0.454</f>
        <v>0</v>
      </c>
      <c r="AI26" s="183">
        <v>5200</v>
      </c>
      <c r="AJ26" s="184">
        <f>('21'!AI26/24)*0.454</f>
        <v>98.36666666666666</v>
      </c>
      <c r="AK26" s="21"/>
      <c r="AL26" s="185">
        <f>('21'!AK26/24)*0.454</f>
        <v>0</v>
      </c>
      <c r="AM26" s="21"/>
      <c r="AN26" s="185">
        <f>('21'!AM26/24)*0.454</f>
        <v>0</v>
      </c>
      <c r="AO26" s="21"/>
      <c r="AP26" s="185">
        <f>('21'!AO26/24)*0.454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54">
        <v>2663</v>
      </c>
      <c r="Z27" s="270">
        <v>935</v>
      </c>
      <c r="AA27" s="54">
        <v>1</v>
      </c>
      <c r="AB27" s="58">
        <f>IF('21'!AA27=1,(('21'!Z24*'21'!$AS$6*'21'!$AT$6)/('21'!Y27*0.0036)),IF('21'!AA27=2,(('21'!Z24*'21'!$AS$7*'21'!$AT$7)/('21'!Y27*0.0036))))</f>
        <v>64.857408102808023</v>
      </c>
      <c r="AC27" s="58"/>
      <c r="AD27" s="18">
        <f>(('21'!AC27*'21'!$Q$10*1000000))/('21'!Y27*3600)</f>
        <v>0</v>
      </c>
      <c r="AE27" s="183"/>
      <c r="AF27" s="184">
        <f>('21'!AE27/24)*0.454</f>
        <v>0</v>
      </c>
      <c r="AG27" s="19"/>
      <c r="AH27" s="184">
        <f>('21'!AG27/24)*0.454</f>
        <v>0</v>
      </c>
      <c r="AI27" s="183">
        <v>5200</v>
      </c>
      <c r="AJ27" s="184">
        <f>('21'!AI27/24)*0.454</f>
        <v>98.36666666666666</v>
      </c>
      <c r="AK27" s="21"/>
      <c r="AL27" s="185">
        <f>('21'!AK27/24)*0.454</f>
        <v>0</v>
      </c>
      <c r="AM27" s="21"/>
      <c r="AN27" s="185">
        <f>('21'!AM27/24)*0.454</f>
        <v>0</v>
      </c>
      <c r="AO27" s="21"/>
      <c r="AP27" s="185">
        <f>('21'!AO27/24)*0.454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4">
        <v>2617</v>
      </c>
      <c r="Z28" s="270">
        <v>935</v>
      </c>
      <c r="AA28" s="54">
        <v>1</v>
      </c>
      <c r="AB28" s="58">
        <f>IF('21'!AA28=1,(('21'!Z25*'21'!$AS$6*'21'!$AT$6)/('21'!Y28*0.0036)),IF('21'!AA28=2,(('21'!Z25*'21'!$AS$7*'21'!$AT$7)/('21'!Y28*0.0036))))</f>
        <v>65.997431325096599</v>
      </c>
      <c r="AC28" s="58"/>
      <c r="AD28" s="18">
        <f>(('21'!AC28*'21'!$Q$10*1000000))/('21'!Y28*3600)</f>
        <v>0</v>
      </c>
      <c r="AE28" s="183"/>
      <c r="AF28" s="184">
        <f>('21'!AE28/24)*0.454</f>
        <v>0</v>
      </c>
      <c r="AG28" s="19"/>
      <c r="AH28" s="184">
        <f>('21'!AG28/24)*0.454</f>
        <v>0</v>
      </c>
      <c r="AI28" s="183">
        <v>5200</v>
      </c>
      <c r="AJ28" s="184">
        <f>('21'!AI28/24)*0.454</f>
        <v>98.36666666666666</v>
      </c>
      <c r="AK28" s="21"/>
      <c r="AL28" s="185">
        <f>('21'!AK28/24)*0.454</f>
        <v>0</v>
      </c>
      <c r="AM28" s="21"/>
      <c r="AN28" s="185">
        <f>('21'!AM28/24)*0.454</f>
        <v>0</v>
      </c>
      <c r="AO28" s="21"/>
      <c r="AP28" s="185">
        <f>('21'!AO28/24)*0.454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4">
        <v>2694</v>
      </c>
      <c r="Z29" s="270">
        <v>935</v>
      </c>
      <c r="AA29" s="54">
        <v>1</v>
      </c>
      <c r="AB29" s="58">
        <f>IF('21'!AA29=1,(('21'!Z26*'21'!$AS$6*'21'!$AT$6)/('21'!Y29*0.0036)),IF('21'!AA29=2,(('21'!Z26*'21'!$AS$7*'21'!$AT$7)/('21'!Y29*0.0036))))</f>
        <v>64.111090489152858</v>
      </c>
      <c r="AC29" s="58"/>
      <c r="AD29" s="18">
        <f>(('21'!AC29*'21'!$Q$10*1000000))/('21'!Y29*3600)</f>
        <v>0</v>
      </c>
      <c r="AE29" s="183"/>
      <c r="AF29" s="184">
        <f>('21'!AE29/24)*0.454</f>
        <v>0</v>
      </c>
      <c r="AG29" s="19"/>
      <c r="AH29" s="184">
        <f>('21'!AG29/24)*0.454</f>
        <v>0</v>
      </c>
      <c r="AI29" s="183">
        <v>5200</v>
      </c>
      <c r="AJ29" s="184">
        <f>('21'!AI29/24)*0.454</f>
        <v>98.36666666666666</v>
      </c>
      <c r="AK29" s="21"/>
      <c r="AL29" s="185">
        <f>('21'!AK29/24)*0.454</f>
        <v>0</v>
      </c>
      <c r="AM29" s="21"/>
      <c r="AN29" s="185">
        <f>('21'!AM29/24)*0.454</f>
        <v>0</v>
      </c>
      <c r="AO29" s="21"/>
      <c r="AP29" s="185">
        <f>('21'!AO29/24)*0.454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SUM('21'!Y6:Y29)*3.6</f>
        <v>232066.80000000002</v>
      </c>
      <c r="Z30" s="82">
        <f>SUM('21'!Z6:Z29)</f>
        <v>22440</v>
      </c>
      <c r="AA30" s="78"/>
      <c r="AB30" s="79"/>
      <c r="AC30" s="78"/>
      <c r="AD30" s="79"/>
      <c r="AE30" s="34"/>
      <c r="AF30" s="184">
        <f>SUM('21'!AF6:AF29)</f>
        <v>0</v>
      </c>
      <c r="AG30" s="34"/>
      <c r="AH30" s="184">
        <f>SUM('21'!AH6:AH29)</f>
        <v>0</v>
      </c>
      <c r="AI30" s="34"/>
      <c r="AJ30" s="184">
        <f>SUM('21'!AJ6:AJ29)</f>
        <v>2360.7999999999993</v>
      </c>
      <c r="AK30" s="80"/>
      <c r="AL30" s="185">
        <f>SUM('21'!AL6:AL29)</f>
        <v>0</v>
      </c>
      <c r="AM30" s="80"/>
      <c r="AN30" s="185">
        <f>SUM('21'!AN6:AN29)</f>
        <v>0</v>
      </c>
      <c r="AO30" s="80"/>
      <c r="AP30" s="185">
        <f>SUM('21'!AP6:AP29)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SUMIF('21'!AA6:AA29,"=1",'21'!Z6:Z29)</f>
        <v>22440</v>
      </c>
      <c r="AA32" s="82">
        <f>'21'!Z32*'21'!AS6</f>
        <v>29845.200000000001</v>
      </c>
      <c r="AB32" s="83">
        <f>SUMIF('21'!$AA$6:$AA$29,"=1",'21'!$AB$6:$AB$29)/COUNTIF('21'!$AA$6:$AA$29,"=1")</f>
        <v>64.312140722948982</v>
      </c>
      <c r="AC32" s="84">
        <f>SUMIF('21'!AA6:AA29,"=1",'21'!AC6:AC29)</f>
        <v>0</v>
      </c>
      <c r="AD32" s="84"/>
      <c r="AE32" s="85"/>
      <c r="AF32" s="86"/>
      <c r="AG32" s="85"/>
      <c r="AH32" s="86"/>
      <c r="AI32" s="85"/>
      <c r="AJ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SUMIF('21'!AA6:AA29,"=2",'21'!Z6:Z29)</f>
        <v>0</v>
      </c>
      <c r="AA33" s="82">
        <f>'21'!Z33*'21'!AS7</f>
        <v>0</v>
      </c>
      <c r="AB33" s="83" t="e">
        <f>SUMIF('21'!$AA$6:$AA$29,"=2",'21'!$AB$6:$AB$29)/COUNTIF('21'!$AA$6:$AA$29,"=2")</f>
        <v>#DIV/0!</v>
      </c>
      <c r="AC33" s="89">
        <f>SUMIF('21'!AA6:AA29,"=2",'21'!AC6:AC29)</f>
        <v>0</v>
      </c>
      <c r="AD33" s="89"/>
      <c r="AE33" s="90"/>
      <c r="AF33" s="91"/>
      <c r="AG33" s="90"/>
      <c r="AH33" s="91"/>
      <c r="AI33" s="90"/>
      <c r="AJ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AVERAGE('21'!Y6:Y29)</f>
        <v>2685.9583333333335</v>
      </c>
      <c r="Z34" s="96">
        <f>AVERAGE('21'!Z6:Z29)</f>
        <v>935</v>
      </c>
      <c r="AA34" s="97"/>
      <c r="AB34" s="97"/>
      <c r="AC34" s="98">
        <f>SUM('21'!AC6:AC29)/COUNTIF('21'!AC6:AC29,"&lt;&gt;0")</f>
        <v>0</v>
      </c>
      <c r="AD34" s="99" t="e">
        <f>SUM('21'!AD6:AD29)/COUNTIF('21'!AD6:AD29,"&lt;&gt;0")</f>
        <v>#DIV/0!</v>
      </c>
      <c r="AE34" s="78"/>
      <c r="AF34" s="98">
        <f>AVERAGE('21'!AF6:AF29)</f>
        <v>0</v>
      </c>
      <c r="AG34" s="98"/>
      <c r="AH34" s="98">
        <f>AVERAGE('21'!AH6:AH29)</f>
        <v>0</v>
      </c>
      <c r="AI34" s="98"/>
      <c r="AJ34" s="98">
        <f>'21'!AJ30/24</f>
        <v>98.366666666666632</v>
      </c>
      <c r="AK34" s="98"/>
      <c r="AL34" s="98">
        <f>AVERAGE('21'!AL6:AL29)</f>
        <v>0</v>
      </c>
      <c r="AM34" s="98"/>
      <c r="AN34" s="98">
        <f>AVERAGE('21'!AN6:AN29)</f>
        <v>0</v>
      </c>
      <c r="AO34" s="98"/>
      <c r="AP34" s="98">
        <f>AVERAGE('21'!AP6:AP29)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957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957"/>
      <c r="X36" s="105" t="s">
        <v>73</v>
      </c>
      <c r="Y36" s="106"/>
      <c r="Z36" s="107"/>
      <c r="AA36" s="108" t="s">
        <v>74</v>
      </c>
      <c r="AB36" s="106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81.7</v>
      </c>
      <c r="D37" s="186">
        <v>62.5</v>
      </c>
      <c r="E37" s="186">
        <v>57.5</v>
      </c>
      <c r="F37" s="186">
        <v>1</v>
      </c>
      <c r="G37" s="183">
        <v>0.1</v>
      </c>
      <c r="H37" s="183">
        <v>0</v>
      </c>
      <c r="I37" s="183">
        <v>0.1</v>
      </c>
      <c r="J37" s="183">
        <v>0.06</v>
      </c>
      <c r="K37" s="183">
        <v>0.03</v>
      </c>
      <c r="L37" s="1026">
        <v>0</v>
      </c>
      <c r="M37" s="1026"/>
      <c r="N37" s="1026"/>
      <c r="O37" s="10"/>
      <c r="P37" s="10"/>
      <c r="Q37" s="10"/>
      <c r="R37" s="10"/>
      <c r="S37" s="10"/>
      <c r="T37" s="10"/>
      <c r="U37" s="236">
        <f>'21'!V12</f>
        <v>0</v>
      </c>
      <c r="X37" s="962" t="s">
        <v>75</v>
      </c>
      <c r="Y37" s="962"/>
      <c r="Z37" s="110">
        <f>COUNTA('21'!Z6:Z29)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SUM('21'!AF30+'21'!AH30)</f>
        <v>0</v>
      </c>
      <c r="AL38" s="210" t="s">
        <v>78</v>
      </c>
      <c r="AM38" s="212">
        <f>SUM('21'!AL30+'21'!AN30)</f>
        <v>0</v>
      </c>
      <c r="AO38" s="210" t="s">
        <v>78</v>
      </c>
      <c r="AP38" s="211">
        <f>'21'!AJ30</f>
        <v>2360.7999999999993</v>
      </c>
      <c r="AQ38" s="210" t="s">
        <v>78</v>
      </c>
      <c r="AR38" s="212">
        <f>'21'!AP30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('21'!AK38/'21'!Y30)*1000</f>
        <v>0</v>
      </c>
      <c r="AL39" s="215" t="s">
        <v>86</v>
      </c>
      <c r="AM39" s="216">
        <f>('21'!AM38/'21'!Y30)*1000</f>
        <v>0</v>
      </c>
      <c r="AO39" s="213" t="s">
        <v>86</v>
      </c>
      <c r="AP39" s="214">
        <f>('21'!AP38/'21'!Y30)*1000</f>
        <v>10.172932965852931</v>
      </c>
      <c r="AQ39" s="215" t="s">
        <v>86</v>
      </c>
      <c r="AR39" s="216">
        <f>('21'!AR38/'21'!Y30)*1000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SUM('21'!AK38,'21'!AM38)</f>
        <v>0</v>
      </c>
      <c r="AM40" s="975"/>
      <c r="AO40" s="976" t="s">
        <v>90</v>
      </c>
      <c r="AP40" s="976"/>
      <c r="AQ40" s="1106">
        <f>SUM('21'!AP38,'21'!AR38)</f>
        <v>2360.7999999999993</v>
      </c>
      <c r="AR40" s="1106"/>
    </row>
    <row r="41" spans="1:44" ht="16.5" customHeight="1">
      <c r="A41" s="133">
        <f>COUNTA('21'!E7:E18)</f>
        <v>12</v>
      </c>
      <c r="B41" s="134">
        <f>COUNTA('21'!I7:I18)</f>
        <v>12</v>
      </c>
      <c r="C41" s="978">
        <f>COUNTA('21'!J7:J18)</f>
        <v>12</v>
      </c>
      <c r="D41" s="978">
        <f>COUNTA('21'!K7:K18)</f>
        <v>12</v>
      </c>
      <c r="E41" s="978">
        <f>COUNTIF('21'!E7:E18,"&gt;15")</f>
        <v>0</v>
      </c>
      <c r="F41" s="978"/>
      <c r="G41" s="978">
        <f>COUNTIF('21'!J7:J18,"&gt;1")</f>
        <v>0</v>
      </c>
      <c r="H41" s="978"/>
      <c r="I41" s="135"/>
      <c r="J41" s="978">
        <f>'21'!A41-'21'!E41</f>
        <v>12</v>
      </c>
      <c r="K41" s="978"/>
      <c r="L41" s="978">
        <f>'21'!C41-'21'!G41</f>
        <v>12</v>
      </c>
      <c r="M41" s="978"/>
      <c r="N41" s="135"/>
      <c r="O41" s="979">
        <f>COUNTIF('21'!J7:J18,"&lt;=0,5")</f>
        <v>0</v>
      </c>
      <c r="P41" s="979"/>
      <c r="Q41" s="979"/>
      <c r="R41" s="969"/>
      <c r="S41" s="980">
        <f>COUNTIF('21'!J7:J18,"&lt;=1,0")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SUM(('21'!AK38+'21'!AM38)/'21'!Y30)*1000</f>
        <v>0</v>
      </c>
      <c r="AM41" s="981"/>
      <c r="AO41" s="976" t="s">
        <v>91</v>
      </c>
      <c r="AP41" s="976"/>
      <c r="AQ41" s="981">
        <f>SUM(('21'!AP38+'21'!AR38)/'21'!Y30)*1000</f>
        <v>10.172932965852931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/>
      <c r="Z44" s="144" t="s">
        <v>101</v>
      </c>
      <c r="AA44" s="145"/>
      <c r="AB44" s="144" t="s">
        <v>101</v>
      </c>
      <c r="AC44" s="145"/>
      <c r="AD44" s="988"/>
      <c r="AE44" s="988"/>
      <c r="AF44" s="989" t="s">
        <v>102</v>
      </c>
      <c r="AG44" s="1002">
        <f>SUM('21'!Y45,'21'!AA45,'21'!AC45,'21'!AE45)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COUNTIF('21'!I7:I18,"&lt;=5,0")</f>
        <v>12</v>
      </c>
      <c r="I45" s="992"/>
      <c r="J45" s="992"/>
      <c r="K45" s="135"/>
      <c r="L45" s="974">
        <f>COUNTA('21'!L37)</f>
        <v>1</v>
      </c>
      <c r="M45" s="974"/>
      <c r="O45" s="146"/>
      <c r="P45" s="147"/>
      <c r="Q45" s="993">
        <f>'21'!S41-'21'!O41</f>
        <v>12</v>
      </c>
      <c r="R45" s="993"/>
      <c r="S45" s="993"/>
      <c r="T45" s="148"/>
      <c r="X45" s="149" t="s">
        <v>104</v>
      </c>
      <c r="Y45" s="150">
        <f>'21'!Y44*275.3</f>
        <v>0</v>
      </c>
      <c r="Z45" s="149" t="s">
        <v>104</v>
      </c>
      <c r="AA45" s="150">
        <f>262.4*'21'!AA44</f>
        <v>0</v>
      </c>
      <c r="AB45" s="149" t="s">
        <v>104</v>
      </c>
      <c r="AC45" s="150">
        <f>'21'!AC44*277.7</f>
        <v>0</v>
      </c>
      <c r="AD45" s="149" t="s">
        <v>104</v>
      </c>
      <c r="AE45" s="151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" customHeight="1">
      <c r="F46" s="152"/>
      <c r="X46" s="153" t="s">
        <v>105</v>
      </c>
      <c r="Y46" s="154">
        <f>'21'!AS6</f>
        <v>1.33</v>
      </c>
      <c r="Z46" s="153" t="s">
        <v>105</v>
      </c>
      <c r="AA46" s="155">
        <f>'21'!Y46</f>
        <v>1.33</v>
      </c>
      <c r="AB46" s="153" t="s">
        <v>105</v>
      </c>
      <c r="AC46" s="155">
        <f>'21'!Y46</f>
        <v>1.33</v>
      </c>
      <c r="AD46" s="153" t="s">
        <v>105</v>
      </c>
      <c r="AE46" s="156">
        <f>'21'!Y46</f>
        <v>1.33</v>
      </c>
      <c r="AF46" s="995" t="s">
        <v>106</v>
      </c>
      <c r="AG46" s="996">
        <f>SUM('21'!Y47,'21'!AA47,'21'!AC47,'21'!AE47)</f>
        <v>0</v>
      </c>
      <c r="AI46" s="144" t="s">
        <v>101</v>
      </c>
      <c r="AJ46" s="145"/>
      <c r="AK46" s="144" t="s">
        <v>101</v>
      </c>
      <c r="AL46" s="145"/>
      <c r="AM46" s="144" t="s">
        <v>101</v>
      </c>
      <c r="AN46" s="145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'21'!Y45*'21'!Y46</f>
        <v>0</v>
      </c>
      <c r="Z47" s="149" t="s">
        <v>108</v>
      </c>
      <c r="AA47" s="150">
        <f>'21'!AA45*'21'!AA46</f>
        <v>0</v>
      </c>
      <c r="AB47" s="149" t="s">
        <v>108</v>
      </c>
      <c r="AC47" s="150">
        <f>'21'!AC45*'21'!AC46</f>
        <v>0</v>
      </c>
      <c r="AD47" s="149" t="s">
        <v>108</v>
      </c>
      <c r="AE47" s="150">
        <f>'21'!AE45*'21'!AE46</f>
        <v>0</v>
      </c>
      <c r="AF47" s="995"/>
      <c r="AG47" s="996"/>
      <c r="AI47" s="149" t="s">
        <v>104</v>
      </c>
      <c r="AJ47" s="150">
        <f>AJ46*275.3</f>
        <v>0</v>
      </c>
      <c r="AK47" s="149" t="s">
        <v>104</v>
      </c>
      <c r="AL47" s="150">
        <f>262.4*'10'!AL46</f>
        <v>0</v>
      </c>
      <c r="AM47" s="149" t="s">
        <v>104</v>
      </c>
      <c r="AN47" s="150">
        <f>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Y46</f>
        <v>1.33</v>
      </c>
      <c r="AK48" s="160" t="s">
        <v>105</v>
      </c>
      <c r="AL48" s="154">
        <f>'10'!AJ48</f>
        <v>1.33</v>
      </c>
      <c r="AM48" s="160" t="s">
        <v>105</v>
      </c>
      <c r="AN48" s="154">
        <f>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AJ47*AJ48</f>
        <v>0</v>
      </c>
      <c r="AK49" s="149" t="s">
        <v>108</v>
      </c>
      <c r="AL49" s="150">
        <f>'10'!AL47*'10'!AL48</f>
        <v>0</v>
      </c>
      <c r="AM49" s="149" t="s">
        <v>108</v>
      </c>
      <c r="AN49" s="150">
        <f>AN47*AN48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COUNTA('21'!O7:O18)</f>
        <v>12</v>
      </c>
      <c r="P51" s="974">
        <f>COUNTA('21'!W17:W28)</f>
        <v>0</v>
      </c>
      <c r="R51" s="992">
        <f>COUNTIF('21'!O7:O18,"&gt;=0,5")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SUM('21'!Y53,'21'!AA53,'21'!AC53,'21'!AE53)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'21'!Y52*275.3</f>
        <v>0</v>
      </c>
      <c r="Z53" s="149" t="s">
        <v>104</v>
      </c>
      <c r="AA53" s="150">
        <f>262.4*'21'!AA52</f>
        <v>0</v>
      </c>
      <c r="AB53" s="149" t="s">
        <v>104</v>
      </c>
      <c r="AC53" s="167">
        <f>'21'!AC52*277.7</f>
        <v>0</v>
      </c>
      <c r="AD53" s="149" t="s">
        <v>104</v>
      </c>
      <c r="AE53" s="230"/>
      <c r="AF53" s="989"/>
      <c r="AG53" s="1002"/>
      <c r="AI53" s="144" t="s">
        <v>101</v>
      </c>
      <c r="AJ53" s="166"/>
      <c r="AK53" s="144" t="s">
        <v>101</v>
      </c>
      <c r="AL53" s="164"/>
      <c r="AM53" s="144" t="s">
        <v>101</v>
      </c>
      <c r="AN53" s="164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'21'!AS7</f>
        <v>1.34</v>
      </c>
      <c r="Z54" s="153" t="s">
        <v>105</v>
      </c>
      <c r="AA54" s="155">
        <f>'21'!Y54</f>
        <v>1.34</v>
      </c>
      <c r="AB54" s="153" t="s">
        <v>105</v>
      </c>
      <c r="AC54" s="155">
        <f>'21'!Y54</f>
        <v>1.34</v>
      </c>
      <c r="AD54" s="153" t="s">
        <v>105</v>
      </c>
      <c r="AE54" s="156">
        <f>'21'!Y54</f>
        <v>1.34</v>
      </c>
      <c r="AF54" s="995" t="s">
        <v>106</v>
      </c>
      <c r="AG54" s="996">
        <f>SUM('21'!Y55,'21'!AA55,'21'!AC55,'21'!AE55)</f>
        <v>0</v>
      </c>
      <c r="AI54" s="149" t="s">
        <v>104</v>
      </c>
      <c r="AJ54" s="150">
        <f>AJ53*275.3</f>
        <v>0</v>
      </c>
      <c r="AK54" s="149" t="s">
        <v>104</v>
      </c>
      <c r="AL54" s="150">
        <f>262.4*'10'!AL53</f>
        <v>0</v>
      </c>
      <c r="AM54" s="149" t="s">
        <v>104</v>
      </c>
      <c r="AN54" s="167">
        <f>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'21'!Y53*'21'!Y54</f>
        <v>0</v>
      </c>
      <c r="Z55" s="149" t="s">
        <v>108</v>
      </c>
      <c r="AA55" s="150">
        <f>'21'!AA53*'21'!AA54</f>
        <v>0</v>
      </c>
      <c r="AB55" s="149" t="s">
        <v>108</v>
      </c>
      <c r="AC55" s="150">
        <f>'21'!AC53*'21'!AC54</f>
        <v>0</v>
      </c>
      <c r="AD55" s="149" t="s">
        <v>108</v>
      </c>
      <c r="AE55" s="150">
        <f>'21'!AE53*'21'!AE54</f>
        <v>0</v>
      </c>
      <c r="AF55" s="995"/>
      <c r="AG55" s="996"/>
      <c r="AI55" s="153" t="s">
        <v>105</v>
      </c>
      <c r="AJ55" s="154">
        <f>Y54</f>
        <v>1.34</v>
      </c>
      <c r="AK55" s="153" t="s">
        <v>105</v>
      </c>
      <c r="AL55" s="154">
        <f>'10'!AJ55</f>
        <v>0</v>
      </c>
      <c r="AM55" s="153" t="s">
        <v>105</v>
      </c>
      <c r="AN55" s="154">
        <f>AJ55</f>
        <v>1.34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AJ54*AJ55</f>
        <v>0</v>
      </c>
      <c r="AK56" s="149" t="s">
        <v>108</v>
      </c>
      <c r="AL56" s="150">
        <f>'10'!AL54*'10'!AL55</f>
        <v>0</v>
      </c>
      <c r="AM56" s="149" t="s">
        <v>108</v>
      </c>
      <c r="AN56" s="150">
        <f>AN54*AN55</f>
        <v>0</v>
      </c>
      <c r="AO56" s="994"/>
      <c r="AP56" s="994"/>
      <c r="AQ56" s="994"/>
      <c r="AR56" s="994"/>
    </row>
    <row r="57" spans="15:44" ht="15.75" customHeight="1">
      <c r="O57" s="1003">
        <f>COUNTA('21'!N7:N18)</f>
        <v>12</v>
      </c>
      <c r="P57" s="1003"/>
      <c r="R57" s="1004">
        <f>COUNTIF('21'!N7:N18,"&gt;=6")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  <c r="AF58" t="s">
        <v>147</v>
      </c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29845.200000000001</v>
      </c>
      <c r="AR62" s="1016"/>
    </row>
    <row r="63" spans="15:44" ht="15" customHeight="1">
      <c r="X63" s="170" t="s">
        <v>124</v>
      </c>
      <c r="Y63" s="171"/>
      <c r="Z63" s="1013"/>
      <c r="AA63" s="1013"/>
      <c r="AB63" s="172" t="s">
        <v>124</v>
      </c>
      <c r="AC63" s="173">
        <v>0</v>
      </c>
      <c r="AE63" s="49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-29845.200000000001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>
        <f>'20'!$Y$68</f>
        <v>-2239.7333333333322</v>
      </c>
      <c r="Z65" s="1013"/>
      <c r="AA65" s="1013"/>
      <c r="AB65" s="176" t="s">
        <v>126</v>
      </c>
      <c r="AC65" s="241">
        <f>'20'!$AC$68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280">
        <f>SUM('21'!AK38,'21'!AP38)</f>
        <v>2360.7999999999993</v>
      </c>
      <c r="Z67" s="1013"/>
      <c r="AA67" s="1013"/>
      <c r="AB67" s="172" t="s">
        <v>124</v>
      </c>
      <c r="AC67" s="169">
        <f>SUM('21'!AM38,'21'!AR38)</f>
        <v>0</v>
      </c>
    </row>
    <row r="68" spans="24:29" ht="15.75" customHeight="1">
      <c r="X68" s="170" t="s">
        <v>128</v>
      </c>
      <c r="Y68" s="179">
        <f>SUM('21'!Y63,'21'!Y65)-'21'!Y67</f>
        <v>-4600.533333333331</v>
      </c>
      <c r="Z68" s="1013"/>
      <c r="AA68" s="1013"/>
      <c r="AB68" s="172" t="s">
        <v>128</v>
      </c>
      <c r="AC68" s="180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31" zoomScaleNormal="100" workbookViewId="0">
      <selection activeCell="AC52" sqref="AC52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4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4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281">
        <v>2641</v>
      </c>
      <c r="Z6" s="182">
        <v>935</v>
      </c>
      <c r="AA6" s="15">
        <v>1</v>
      </c>
      <c r="AB6" s="58">
        <f>IF('22'!AA6=1,(('22'!Z6*'22'!$AS$6*'22'!$AT$6)/('22'!Y6*0.0036)),IF('22'!AA6=2,(('22'!Z6*'22'!$AS$7*'22'!$AT$7)/('22'!Y6*0.0036))))</f>
        <v>65.397681854516378</v>
      </c>
      <c r="AC6" s="58"/>
      <c r="AD6" s="18">
        <f>(('22'!AC6*'22'!$Q$10*1000000))/('22'!Y6*3600)</f>
        <v>0</v>
      </c>
      <c r="AE6" s="183"/>
      <c r="AF6" s="184">
        <f>('22'!AE6/24)*0.454</f>
        <v>0</v>
      </c>
      <c r="AG6" s="19"/>
      <c r="AH6" s="184">
        <f>('22'!AG6/24)*0.454</f>
        <v>0</v>
      </c>
      <c r="AI6" s="183">
        <v>5200</v>
      </c>
      <c r="AJ6" s="184">
        <f>('22'!AI6/24)*0.454</f>
        <v>98.36666666666666</v>
      </c>
      <c r="AK6" s="21"/>
      <c r="AL6" s="185">
        <f>('22'!AK6/24)*0.454</f>
        <v>0</v>
      </c>
      <c r="AM6" s="21"/>
      <c r="AN6" s="185">
        <f>('22'!AM6/24)*0.454</f>
        <v>0</v>
      </c>
      <c r="AO6" s="21"/>
      <c r="AP6" s="185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10">
        <v>80</v>
      </c>
      <c r="C7" s="186">
        <v>12.5</v>
      </c>
      <c r="D7" s="186">
        <v>12.5</v>
      </c>
      <c r="E7" s="186">
        <v>2.5</v>
      </c>
      <c r="F7" s="186">
        <v>11</v>
      </c>
      <c r="G7" s="186">
        <v>1.9</v>
      </c>
      <c r="H7" s="186">
        <v>2.2000000000000002</v>
      </c>
      <c r="I7" s="186">
        <v>0.7</v>
      </c>
      <c r="J7" s="186">
        <v>0.8</v>
      </c>
      <c r="K7" s="186">
        <v>7.3</v>
      </c>
      <c r="L7" s="186">
        <v>6.8</v>
      </c>
      <c r="M7" s="186">
        <v>6.8</v>
      </c>
      <c r="N7" s="186">
        <v>6.5</v>
      </c>
      <c r="O7" s="186">
        <v>3</v>
      </c>
      <c r="P7" s="186"/>
      <c r="Q7" s="188"/>
      <c r="R7" s="37">
        <f>'21'!$Z$26</f>
        <v>935</v>
      </c>
      <c r="S7" s="187">
        <f>'21'!$AB$29</f>
        <v>64.111090489152858</v>
      </c>
      <c r="T7" s="37">
        <f>'21'!$Y$29</f>
        <v>2694</v>
      </c>
      <c r="U7" s="33" t="str">
        <f>IF('22'!AA6=1,'22'!AR6,'22'!AR7)</f>
        <v>S.A.L</v>
      </c>
      <c r="V7" s="1022">
        <f>ESCALA!$C$23</f>
        <v>0</v>
      </c>
      <c r="W7" s="1022"/>
      <c r="X7" s="13">
        <v>8.3333333333333301E-2</v>
      </c>
      <c r="Y7" s="281">
        <v>2716</v>
      </c>
      <c r="Z7" s="182">
        <v>935</v>
      </c>
      <c r="AA7" s="15">
        <v>1</v>
      </c>
      <c r="AB7" s="58">
        <f>IF('22'!AA7=1,(('22'!Z7*'22'!$AS$6*'22'!$AT$6)/('22'!Y7*0.0036)),IF('22'!AA7=2,(('22'!Z7*'22'!$AS$7*'22'!$AT$7)/('22'!Y7*0.0036))))</f>
        <v>63.591781214203891</v>
      </c>
      <c r="AC7" s="58"/>
      <c r="AD7" s="18">
        <f>(('22'!AC7*'22'!$Q$10*1000000))/('22'!Y7*3600)</f>
        <v>0</v>
      </c>
      <c r="AE7" s="183"/>
      <c r="AF7" s="184">
        <f>('22'!AE7/24)*0.454</f>
        <v>0</v>
      </c>
      <c r="AG7" s="19"/>
      <c r="AH7" s="184">
        <f>('22'!AG7/24)*0.454</f>
        <v>0</v>
      </c>
      <c r="AI7" s="183">
        <v>5200</v>
      </c>
      <c r="AJ7" s="184">
        <f>('22'!AI9/24)*0.454</f>
        <v>98.36666666666666</v>
      </c>
      <c r="AK7" s="21"/>
      <c r="AL7" s="185">
        <f>('22'!AK7/24)*0.454</f>
        <v>0</v>
      </c>
      <c r="AM7" s="21"/>
      <c r="AN7" s="185">
        <f>('22'!AM7/24)*0.454</f>
        <v>0</v>
      </c>
      <c r="AO7" s="21"/>
      <c r="AP7" s="185">
        <f>('22'!AO7/24)*0.454</f>
        <v>0</v>
      </c>
      <c r="AQ7" s="24">
        <v>2</v>
      </c>
      <c r="AR7" s="25" t="s">
        <v>146</v>
      </c>
      <c r="AS7" s="26">
        <v>1.3740000000000001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310">
        <v>80</v>
      </c>
      <c r="C8" s="186">
        <v>12.5</v>
      </c>
      <c r="D8" s="186">
        <v>12.5</v>
      </c>
      <c r="E8" s="186">
        <v>2.5</v>
      </c>
      <c r="F8" s="186">
        <v>10</v>
      </c>
      <c r="G8" s="186">
        <v>1.8</v>
      </c>
      <c r="H8" s="186">
        <v>2.1</v>
      </c>
      <c r="I8" s="186">
        <v>0.6</v>
      </c>
      <c r="J8" s="186">
        <v>0.8</v>
      </c>
      <c r="K8" s="186">
        <v>7.3</v>
      </c>
      <c r="L8" s="186">
        <v>6.8</v>
      </c>
      <c r="M8" s="186">
        <v>6.8</v>
      </c>
      <c r="N8" s="186">
        <v>6.5</v>
      </c>
      <c r="O8" s="186">
        <v>3</v>
      </c>
      <c r="P8" s="186"/>
      <c r="Q8" s="188"/>
      <c r="R8" s="35">
        <f>'22'!Z8</f>
        <v>935</v>
      </c>
      <c r="S8" s="36">
        <f>'22'!AB7</f>
        <v>63.591781214203891</v>
      </c>
      <c r="T8" s="37">
        <f>'22'!Y7</f>
        <v>2716</v>
      </c>
      <c r="U8" s="33" t="str">
        <f>IF('22'!AA7=1,'22'!AR6,'22'!AR7)</f>
        <v>S.A.L</v>
      </c>
      <c r="V8" s="1022"/>
      <c r="W8" s="1022"/>
      <c r="X8" s="13">
        <v>0.125</v>
      </c>
      <c r="Y8" s="281">
        <v>2685</v>
      </c>
      <c r="Z8" s="182">
        <v>935</v>
      </c>
      <c r="AA8" s="15">
        <v>1</v>
      </c>
      <c r="AB8" s="58">
        <f>IF('22'!AA8=1,(('22'!Z8*'22'!$AS$6*'22'!$AT$6)/('22'!Y8*0.0036)),IF('22'!AA8=2,(('22'!Z8*'22'!$AS$7*'22'!$AT$7)/('22'!Y8*0.0036))))</f>
        <v>64.325987999172355</v>
      </c>
      <c r="AC8" s="58"/>
      <c r="AD8" s="18">
        <f>(('22'!AC8*'22'!$Q$10*1000000))/('22'!Y8*3600)</f>
        <v>0</v>
      </c>
      <c r="AE8" s="183"/>
      <c r="AF8" s="184">
        <f>('22'!AE8/24)*0.454</f>
        <v>0</v>
      </c>
      <c r="AG8" s="19"/>
      <c r="AH8" s="184">
        <f>('22'!AG8/24)*0.454</f>
        <v>0</v>
      </c>
      <c r="AI8" s="183">
        <v>5200</v>
      </c>
      <c r="AJ8" s="184">
        <f>('22'!AI10/24)*0.454</f>
        <v>98.36666666666666</v>
      </c>
      <c r="AK8" s="21"/>
      <c r="AL8" s="185">
        <f>('22'!AK8/24)*0.454</f>
        <v>0</v>
      </c>
      <c r="AM8" s="21"/>
      <c r="AN8" s="185">
        <f>('22'!AM8/24)*0.454</f>
        <v>0</v>
      </c>
      <c r="AO8" s="21"/>
      <c r="AP8" s="185">
        <f>('22'!AO8/24)*0.454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310">
        <v>80</v>
      </c>
      <c r="C9" s="186">
        <v>12.5</v>
      </c>
      <c r="D9" s="186">
        <v>12.5</v>
      </c>
      <c r="E9" s="186">
        <v>2.5</v>
      </c>
      <c r="F9" s="186">
        <v>10</v>
      </c>
      <c r="G9" s="186">
        <v>1.8</v>
      </c>
      <c r="H9" s="186">
        <v>2</v>
      </c>
      <c r="I9" s="186">
        <v>0.6</v>
      </c>
      <c r="J9" s="186">
        <v>0.7</v>
      </c>
      <c r="K9" s="186">
        <v>7.3</v>
      </c>
      <c r="L9" s="186">
        <v>6.8</v>
      </c>
      <c r="M9" s="186">
        <v>6.8</v>
      </c>
      <c r="N9" s="186">
        <v>6.5</v>
      </c>
      <c r="O9" s="186">
        <v>2.8</v>
      </c>
      <c r="P9" s="186"/>
      <c r="Q9" s="188"/>
      <c r="R9" s="35">
        <f>'22'!Z10</f>
        <v>935</v>
      </c>
      <c r="S9" s="36">
        <f>'22'!AB9</f>
        <v>64.66315154540537</v>
      </c>
      <c r="T9" s="37">
        <f>'22'!Y9</f>
        <v>2671</v>
      </c>
      <c r="U9" s="33" t="str">
        <f>IF('22'!AA9=1,'22'!AR6,'22'!AR7)</f>
        <v>S.A.L</v>
      </c>
      <c r="V9" s="1022"/>
      <c r="W9" s="1022"/>
      <c r="X9" s="13">
        <v>0.16666666666666699</v>
      </c>
      <c r="Y9" s="281">
        <v>2671</v>
      </c>
      <c r="Z9" s="182">
        <v>935</v>
      </c>
      <c r="AA9" s="15">
        <v>1</v>
      </c>
      <c r="AB9" s="58">
        <f>IF('22'!AA9=1,(('22'!Z9*'22'!$AS$6*'22'!$AT$6)/('22'!Y9*0.0036)),IF('22'!AA9=2,(('22'!Z9*'22'!$AS$7*'22'!$AT$7)/('22'!Y9*0.0036))))</f>
        <v>64.66315154540537</v>
      </c>
      <c r="AC9" s="58"/>
      <c r="AD9" s="18">
        <f>(('22'!AC9*'22'!$Q$10*1000000))/('22'!Y9*3600)</f>
        <v>0</v>
      </c>
      <c r="AE9" s="183"/>
      <c r="AF9" s="184">
        <f>('22'!AE9/24)*0.454</f>
        <v>0</v>
      </c>
      <c r="AG9" s="19"/>
      <c r="AH9" s="184">
        <f>('22'!AG9/24)*0.454</f>
        <v>0</v>
      </c>
      <c r="AI9" s="183">
        <v>5200</v>
      </c>
      <c r="AJ9" s="184">
        <f>('22'!AI11/24)*0.454</f>
        <v>98.36666666666666</v>
      </c>
      <c r="AK9" s="21"/>
      <c r="AL9" s="185">
        <f>('22'!AK9/24)*0.454</f>
        <v>0</v>
      </c>
      <c r="AM9" s="21"/>
      <c r="AN9" s="185">
        <f>('22'!AM9/24)*0.454</f>
        <v>0</v>
      </c>
      <c r="AO9" s="21"/>
      <c r="AP9" s="185">
        <f>('22'!AO9/24)*0.454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310">
        <v>80</v>
      </c>
      <c r="C10" s="186">
        <v>12.5</v>
      </c>
      <c r="D10" s="186">
        <v>12.5</v>
      </c>
      <c r="E10" s="186">
        <v>2.5</v>
      </c>
      <c r="F10" s="186">
        <v>10</v>
      </c>
      <c r="G10" s="186">
        <v>1.8</v>
      </c>
      <c r="H10" s="186">
        <v>2</v>
      </c>
      <c r="I10" s="186">
        <v>0.6</v>
      </c>
      <c r="J10" s="186">
        <v>0.7</v>
      </c>
      <c r="K10" s="186">
        <v>7.3</v>
      </c>
      <c r="L10" s="186">
        <v>6.8</v>
      </c>
      <c r="M10" s="186">
        <v>6.8</v>
      </c>
      <c r="N10" s="186">
        <v>6.5</v>
      </c>
      <c r="O10" s="186">
        <v>2.8</v>
      </c>
      <c r="P10" s="186"/>
      <c r="Q10" s="188"/>
      <c r="R10" s="37">
        <f>'22'!Z12</f>
        <v>935</v>
      </c>
      <c r="S10" s="36">
        <f>'22'!AB11</f>
        <v>64.421961125616477</v>
      </c>
      <c r="T10" s="37">
        <f>'22'!Y11</f>
        <v>2681</v>
      </c>
      <c r="U10" s="33" t="str">
        <f>IF('22'!AA11=1,'22'!AR6,'22'!AR7)</f>
        <v>S.A.L</v>
      </c>
      <c r="V10" s="1022"/>
      <c r="W10" s="1022"/>
      <c r="X10" s="13">
        <v>0.20833333333333301</v>
      </c>
      <c r="Y10" s="281">
        <v>2703</v>
      </c>
      <c r="Z10" s="182">
        <v>935</v>
      </c>
      <c r="AA10" s="15">
        <v>1</v>
      </c>
      <c r="AB10" s="58">
        <f>IF('22'!AA10=1,(('22'!Z10*'22'!$AS$6*'22'!$AT$6)/('22'!Y10*0.0036)),IF('22'!AA10=2,(('22'!Z10*'22'!$AS$7*'22'!$AT$7)/('22'!Y10*0.0036))))</f>
        <v>63.897624039133468</v>
      </c>
      <c r="AC10" s="58"/>
      <c r="AD10" s="18">
        <f>(('22'!AC10*'22'!$Q$10*1000000))/('22'!Y10*3600)</f>
        <v>0</v>
      </c>
      <c r="AE10" s="183"/>
      <c r="AF10" s="184">
        <f>('22'!AE10/24)*0.454</f>
        <v>0</v>
      </c>
      <c r="AG10" s="19"/>
      <c r="AH10" s="184">
        <f>('22'!AG10/24)*0.454</f>
        <v>0</v>
      </c>
      <c r="AI10" s="183">
        <v>5200</v>
      </c>
      <c r="AJ10" s="184">
        <f>('22'!AI12/24)*0.454</f>
        <v>98.36666666666666</v>
      </c>
      <c r="AK10" s="21"/>
      <c r="AL10" s="185">
        <f>('22'!AK10/24)*0.454</f>
        <v>0</v>
      </c>
      <c r="AM10" s="21"/>
      <c r="AN10" s="185">
        <f>('22'!AM10/24)*0.454</f>
        <v>0</v>
      </c>
      <c r="AO10" s="21"/>
      <c r="AP10" s="185">
        <f>('22'!AO10/24)*0.454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310">
        <v>80</v>
      </c>
      <c r="C11" s="186">
        <v>12.5</v>
      </c>
      <c r="D11" s="186">
        <v>15</v>
      </c>
      <c r="E11" s="186">
        <v>2.5</v>
      </c>
      <c r="F11" s="186">
        <v>9.8000000000000007</v>
      </c>
      <c r="G11" s="186">
        <v>1.8</v>
      </c>
      <c r="H11" s="186">
        <v>2.5</v>
      </c>
      <c r="I11" s="186">
        <v>0.6</v>
      </c>
      <c r="J11" s="186">
        <v>0.7</v>
      </c>
      <c r="K11" s="186">
        <v>7.3</v>
      </c>
      <c r="L11" s="186">
        <v>6.8</v>
      </c>
      <c r="M11" s="186">
        <v>6.8</v>
      </c>
      <c r="N11" s="186">
        <v>6.6</v>
      </c>
      <c r="O11" s="186">
        <v>2.6</v>
      </c>
      <c r="P11" s="186"/>
      <c r="Q11" s="188"/>
      <c r="R11" s="37">
        <f>'22'!Z14</f>
        <v>935</v>
      </c>
      <c r="S11" s="36">
        <f>'22'!AB13</f>
        <v>66.454512419306582</v>
      </c>
      <c r="T11" s="37">
        <f>'22'!Y13</f>
        <v>2599</v>
      </c>
      <c r="U11" s="33" t="str">
        <f>IF('22'!AA13=1,'22'!AR6,'22'!AR7)</f>
        <v>S.A.L</v>
      </c>
      <c r="V11" s="1022"/>
      <c r="W11" s="1022"/>
      <c r="X11" s="13">
        <v>0.25</v>
      </c>
      <c r="Y11" s="281">
        <v>2681</v>
      </c>
      <c r="Z11" s="182">
        <v>935</v>
      </c>
      <c r="AA11" s="15">
        <v>1</v>
      </c>
      <c r="AB11" s="58">
        <f>IF('22'!AA11=1,(('22'!Z11*'22'!$AS$6*'22'!$AT$6)/('22'!Y11*0.0036)),IF('22'!AA11=2,(('22'!Z11*'22'!$AS$7*'22'!$AT$7)/('22'!Y11*0.0036))))</f>
        <v>64.421961125616477</v>
      </c>
      <c r="AC11" s="58"/>
      <c r="AD11" s="18">
        <f>(('22'!AC11*'22'!$Q$10*1000000))/('22'!Y11*3600)</f>
        <v>0</v>
      </c>
      <c r="AE11" s="183"/>
      <c r="AF11" s="184">
        <f>('22'!AE11/24)*0.454</f>
        <v>0</v>
      </c>
      <c r="AG11" s="19"/>
      <c r="AH11" s="184">
        <f>('22'!AG11/24)*0.454</f>
        <v>0</v>
      </c>
      <c r="AI11" s="183">
        <v>5200</v>
      </c>
      <c r="AJ11" s="184">
        <f>('22'!AI13/24)*0.454</f>
        <v>98.36666666666666</v>
      </c>
      <c r="AK11" s="21"/>
      <c r="AL11" s="185">
        <f>('22'!AK11/24)*0.454</f>
        <v>0</v>
      </c>
      <c r="AM11" s="21"/>
      <c r="AN11" s="185">
        <f>('22'!AM11/24)*0.454</f>
        <v>0</v>
      </c>
      <c r="AO11" s="21"/>
      <c r="AP11" s="185">
        <f>('22'!AO11/24)*0.454</f>
        <v>0</v>
      </c>
    </row>
    <row r="12" spans="1:47" ht="18.75" customHeight="1">
      <c r="A12" s="28">
        <v>0.41666666666666702</v>
      </c>
      <c r="B12" s="310">
        <v>80</v>
      </c>
      <c r="C12" s="186">
        <v>12.5</v>
      </c>
      <c r="D12" s="186">
        <v>12.5</v>
      </c>
      <c r="E12" s="186">
        <v>2.5</v>
      </c>
      <c r="F12" s="186">
        <v>9.8000000000000007</v>
      </c>
      <c r="G12" s="186">
        <v>1.8</v>
      </c>
      <c r="H12" s="186">
        <v>2.1</v>
      </c>
      <c r="I12" s="186">
        <v>0.6</v>
      </c>
      <c r="J12" s="186">
        <v>0.7</v>
      </c>
      <c r="K12" s="186">
        <v>7.3</v>
      </c>
      <c r="L12" s="186">
        <v>6.8</v>
      </c>
      <c r="M12" s="186">
        <v>6.8</v>
      </c>
      <c r="N12" s="186">
        <v>6.6</v>
      </c>
      <c r="O12" s="186">
        <v>2.8</v>
      </c>
      <c r="P12" s="186"/>
      <c r="Q12" s="188"/>
      <c r="R12" s="37">
        <f>'22'!Z16</f>
        <v>935</v>
      </c>
      <c r="S12" s="36">
        <f>'22'!AB15</f>
        <v>64.979412256500297</v>
      </c>
      <c r="T12" s="37">
        <f>'22'!Y15</f>
        <v>2658</v>
      </c>
      <c r="U12" s="33" t="str">
        <f>IF('22'!AA15=1,'22'!AR6,'22'!AR7)</f>
        <v>S.A.L</v>
      </c>
      <c r="V12" s="944">
        <f>ESCALA!$B$24</f>
        <v>0</v>
      </c>
      <c r="W12" s="944"/>
      <c r="X12" s="13">
        <v>0.29166666666666702</v>
      </c>
      <c r="Y12" s="281">
        <v>2669</v>
      </c>
      <c r="Z12" s="182">
        <v>935</v>
      </c>
      <c r="AA12" s="15">
        <v>1</v>
      </c>
      <c r="AB12" s="58">
        <f>IF('22'!AA12=1,(('22'!Z12*'22'!$AS$6*'22'!$AT$6)/('22'!Y12*0.0036)),IF('22'!AA12=2,(('22'!Z12*'22'!$AS$7*'22'!$AT$7)/('22'!Y12*0.0036))))</f>
        <v>64.711606510969574</v>
      </c>
      <c r="AC12" s="58"/>
      <c r="AD12" s="18">
        <f>(('22'!AC12*'22'!$Q$10*1000000))/('22'!Y12*3600)</f>
        <v>0</v>
      </c>
      <c r="AE12" s="183"/>
      <c r="AF12" s="184">
        <f>('22'!AE12/24)*0.454</f>
        <v>0</v>
      </c>
      <c r="AG12" s="19"/>
      <c r="AH12" s="184">
        <f>('22'!AG12/24)*0.454</f>
        <v>0</v>
      </c>
      <c r="AI12" s="183">
        <v>5200</v>
      </c>
      <c r="AJ12" s="184">
        <f>('22'!AI14/24)*0.454</f>
        <v>104.04166666666667</v>
      </c>
      <c r="AK12" s="21"/>
      <c r="AL12" s="185">
        <f>('22'!AK12/24)*0.454</f>
        <v>0</v>
      </c>
      <c r="AM12" s="21"/>
      <c r="AN12" s="185">
        <f>('22'!AM12/24)*0.454</f>
        <v>0</v>
      </c>
      <c r="AO12" s="21"/>
      <c r="AP12" s="185">
        <f>('22'!AO12/24)*0.454</f>
        <v>0</v>
      </c>
    </row>
    <row r="13" spans="1:47" ht="18.75" customHeight="1">
      <c r="A13" s="28">
        <v>0.5</v>
      </c>
      <c r="B13" s="310">
        <v>80</v>
      </c>
      <c r="C13" s="186">
        <v>12.5</v>
      </c>
      <c r="D13" s="186">
        <v>15</v>
      </c>
      <c r="E13" s="186">
        <v>2.5</v>
      </c>
      <c r="F13" s="186">
        <v>9.8000000000000007</v>
      </c>
      <c r="G13" s="186">
        <v>2.1</v>
      </c>
      <c r="H13" s="186">
        <v>2.7</v>
      </c>
      <c r="I13" s="186">
        <v>0.6</v>
      </c>
      <c r="J13" s="186">
        <v>0.6</v>
      </c>
      <c r="K13" s="186">
        <v>7.3</v>
      </c>
      <c r="L13" s="186">
        <v>6.8</v>
      </c>
      <c r="M13" s="186">
        <v>6.8</v>
      </c>
      <c r="N13" s="186">
        <v>6.6</v>
      </c>
      <c r="O13" s="186">
        <v>3</v>
      </c>
      <c r="P13" s="186"/>
      <c r="Q13" s="188"/>
      <c r="R13" s="37">
        <f>'22'!Z18</f>
        <v>935</v>
      </c>
      <c r="S13" s="36">
        <f>'22'!AB17</f>
        <v>63.732574825748252</v>
      </c>
      <c r="T13" s="37">
        <f>'22'!Y17</f>
        <v>2710</v>
      </c>
      <c r="U13" s="33" t="str">
        <f>IF('22'!AA17=1,'22'!AR6,'22'!AR7)</f>
        <v>S.A.L</v>
      </c>
      <c r="V13" s="944"/>
      <c r="W13" s="944"/>
      <c r="X13" s="13">
        <v>0.33333333333333298</v>
      </c>
      <c r="Y13" s="281">
        <v>2599</v>
      </c>
      <c r="Z13" s="182">
        <v>935</v>
      </c>
      <c r="AA13" s="15">
        <v>1</v>
      </c>
      <c r="AB13" s="58">
        <f>IF('22'!AA13=1,(('22'!Z13*'22'!$AS$6*'22'!$AT$6)/('22'!Y13*0.0036)),IF('22'!AA13=2,(('22'!Z13*'22'!$AS$7*'22'!$AT$7)/('22'!Y13*0.0036))))</f>
        <v>66.454512419306582</v>
      </c>
      <c r="AC13" s="58"/>
      <c r="AD13" s="18">
        <f>(('22'!AC13*'22'!$Q$10*1000000))/('22'!Y13*3600)</f>
        <v>0</v>
      </c>
      <c r="AE13" s="183"/>
      <c r="AF13" s="184">
        <f>('22'!AE13/24)*0.454</f>
        <v>0</v>
      </c>
      <c r="AG13" s="19"/>
      <c r="AH13" s="184">
        <f>('22'!AG13/24)*0.454</f>
        <v>0</v>
      </c>
      <c r="AI13" s="183">
        <v>5200</v>
      </c>
      <c r="AJ13" s="184">
        <f>('22'!AI15/24)*0.454</f>
        <v>104.04166666666667</v>
      </c>
      <c r="AK13" s="21"/>
      <c r="AL13" s="185">
        <f>('22'!AK13/24)*0.454</f>
        <v>0</v>
      </c>
      <c r="AM13" s="21"/>
      <c r="AN13" s="185">
        <f>('22'!AM13/24)*0.454</f>
        <v>0</v>
      </c>
      <c r="AO13" s="21"/>
      <c r="AP13" s="185">
        <f>('22'!AO13/24)*0.454</f>
        <v>0</v>
      </c>
    </row>
    <row r="14" spans="1:47" ht="18.75" customHeight="1">
      <c r="A14" s="28">
        <v>0.58333333333333304</v>
      </c>
      <c r="B14" s="310">
        <v>80</v>
      </c>
      <c r="C14" s="186">
        <v>12.5</v>
      </c>
      <c r="D14" s="186">
        <v>15</v>
      </c>
      <c r="E14" s="186">
        <v>2.5</v>
      </c>
      <c r="F14" s="186">
        <v>9.8000000000000007</v>
      </c>
      <c r="G14" s="186">
        <v>2.1</v>
      </c>
      <c r="H14" s="186">
        <v>2.4</v>
      </c>
      <c r="I14" s="186">
        <v>0.6</v>
      </c>
      <c r="J14" s="186">
        <v>0.6</v>
      </c>
      <c r="K14" s="186">
        <v>7.3</v>
      </c>
      <c r="L14" s="186">
        <v>6.8</v>
      </c>
      <c r="M14" s="186">
        <v>6.8</v>
      </c>
      <c r="N14" s="186">
        <v>6.6</v>
      </c>
      <c r="O14" s="186">
        <v>3</v>
      </c>
      <c r="P14" s="186"/>
      <c r="Q14" s="188"/>
      <c r="R14" s="37">
        <f>'22'!Z20</f>
        <v>935</v>
      </c>
      <c r="S14" s="36">
        <f>'22'!AB19</f>
        <v>65.846465031558438</v>
      </c>
      <c r="T14" s="37">
        <f>'22'!Y19</f>
        <v>2623</v>
      </c>
      <c r="U14" s="33" t="str">
        <f>IF('22'!AA19=1,'22'!AR6,'22'!AR7)</f>
        <v>S.A.L</v>
      </c>
      <c r="V14" s="944"/>
      <c r="W14" s="944"/>
      <c r="X14" s="13">
        <v>0.375</v>
      </c>
      <c r="Y14" s="281">
        <v>2608</v>
      </c>
      <c r="Z14" s="182">
        <v>935</v>
      </c>
      <c r="AA14" s="15">
        <v>1</v>
      </c>
      <c r="AB14" s="58">
        <f>IF('22'!AA14=1,(('22'!Z14*'22'!$AS$6*'22'!$AT$6)/('22'!Y14*0.0036)),IF('22'!AA14=2,(('22'!Z14*'22'!$AS$7*'22'!$AT$7)/('22'!Y14*0.0036))))</f>
        <v>66.225183197000675</v>
      </c>
      <c r="AC14" s="58"/>
      <c r="AD14" s="18">
        <f>(('22'!AC14*'22'!$Q$10*1000000))/('22'!Y14*3600)</f>
        <v>0</v>
      </c>
      <c r="AE14" s="183"/>
      <c r="AF14" s="184">
        <f>('22'!AE14/24)*0.454</f>
        <v>0</v>
      </c>
      <c r="AG14" s="19"/>
      <c r="AH14" s="184">
        <f>('22'!AG14/24)*0.454</f>
        <v>0</v>
      </c>
      <c r="AI14" s="183">
        <v>5500</v>
      </c>
      <c r="AJ14" s="184">
        <f>('22'!AI16/24)*0.454</f>
        <v>104.04166666666667</v>
      </c>
      <c r="AK14" s="21"/>
      <c r="AL14" s="185">
        <f>('22'!AK14/24)*0.454</f>
        <v>0</v>
      </c>
      <c r="AM14" s="21"/>
      <c r="AN14" s="185">
        <f>('22'!AM14/24)*0.454</f>
        <v>0</v>
      </c>
      <c r="AO14" s="21"/>
      <c r="AP14" s="185">
        <f>('22'!AO14/24)*0.454</f>
        <v>0</v>
      </c>
    </row>
    <row r="15" spans="1:47" ht="18.75" customHeight="1">
      <c r="A15" s="28">
        <v>0.66666666666666696</v>
      </c>
      <c r="B15" s="310">
        <v>80</v>
      </c>
      <c r="C15" s="186">
        <v>12.5</v>
      </c>
      <c r="D15" s="186">
        <v>15</v>
      </c>
      <c r="E15" s="186">
        <v>2.5</v>
      </c>
      <c r="F15" s="186">
        <v>10</v>
      </c>
      <c r="G15" s="186">
        <v>2</v>
      </c>
      <c r="H15" s="186">
        <v>2.7</v>
      </c>
      <c r="I15" s="186">
        <v>0.6</v>
      </c>
      <c r="J15" s="186">
        <v>0.7</v>
      </c>
      <c r="K15" s="186">
        <v>7.3</v>
      </c>
      <c r="L15" s="186">
        <v>6.8</v>
      </c>
      <c r="M15" s="186">
        <v>6.8</v>
      </c>
      <c r="N15" s="186">
        <v>6.6</v>
      </c>
      <c r="O15" s="186">
        <v>3</v>
      </c>
      <c r="P15" s="186"/>
      <c r="Q15" s="188"/>
      <c r="R15" s="37">
        <f>'22'!Z22</f>
        <v>935</v>
      </c>
      <c r="S15" s="36">
        <f>'22'!AB21</f>
        <v>64.59060500290866</v>
      </c>
      <c r="T15" s="37">
        <f>'22'!Y21</f>
        <v>2674</v>
      </c>
      <c r="U15" s="33" t="str">
        <f>IF('22'!AA21=1,'22'!AR6,'22'!AR7)</f>
        <v>S.A.L</v>
      </c>
      <c r="V15" s="944"/>
      <c r="W15" s="944"/>
      <c r="X15" s="13">
        <v>0.41666666666666702</v>
      </c>
      <c r="Y15" s="281">
        <v>2658</v>
      </c>
      <c r="Z15" s="182">
        <v>935</v>
      </c>
      <c r="AA15" s="15">
        <v>1</v>
      </c>
      <c r="AB15" s="58">
        <f>IF('22'!AA15=1,(('22'!Z15*'22'!$AS$6*'22'!$AT$6)/('22'!Y15*0.0036)),IF('22'!AA15=2,(('22'!Z15*'22'!$AS$7*'22'!$AT$7)/('22'!Y15*0.0036))))</f>
        <v>64.979412256500297</v>
      </c>
      <c r="AC15" s="58"/>
      <c r="AD15" s="18">
        <f>(('22'!AC15*'22'!$Q$10*1000000))/('22'!Y15*3600)</f>
        <v>0</v>
      </c>
      <c r="AE15" s="183"/>
      <c r="AF15" s="184">
        <f>('22'!AE15/24)*0.454</f>
        <v>0</v>
      </c>
      <c r="AG15" s="19"/>
      <c r="AH15" s="184">
        <f>('22'!AG15/24)*0.454</f>
        <v>0</v>
      </c>
      <c r="AI15" s="183">
        <v>5500</v>
      </c>
      <c r="AJ15" s="184">
        <f>('22'!AI17/24)*0.454</f>
        <v>104.04166666666667</v>
      </c>
      <c r="AK15" s="21"/>
      <c r="AL15" s="185">
        <f>('22'!AK15/24)*0.454</f>
        <v>0</v>
      </c>
      <c r="AM15" s="21"/>
      <c r="AN15" s="185">
        <f>('22'!AM15/24)*0.454</f>
        <v>0</v>
      </c>
      <c r="AO15" s="21"/>
      <c r="AP15" s="185">
        <f>('22'!AO15/24)*0.454</f>
        <v>0</v>
      </c>
    </row>
    <row r="16" spans="1:47" ht="18.75" customHeight="1">
      <c r="A16" s="28">
        <v>0.75</v>
      </c>
      <c r="B16" s="310">
        <v>80</v>
      </c>
      <c r="C16" s="186">
        <v>12.5</v>
      </c>
      <c r="D16" s="186">
        <v>15</v>
      </c>
      <c r="E16" s="186">
        <v>2.5</v>
      </c>
      <c r="F16" s="186">
        <v>9.6999999999999993</v>
      </c>
      <c r="G16" s="186">
        <v>2</v>
      </c>
      <c r="H16" s="186">
        <v>2.8</v>
      </c>
      <c r="I16" s="186">
        <v>0.6</v>
      </c>
      <c r="J16" s="186">
        <v>0.7</v>
      </c>
      <c r="K16" s="186">
        <v>7.3</v>
      </c>
      <c r="L16" s="186">
        <v>6.8</v>
      </c>
      <c r="M16" s="186">
        <v>6.8</v>
      </c>
      <c r="N16" s="186">
        <v>6.6</v>
      </c>
      <c r="O16" s="186">
        <v>3.3</v>
      </c>
      <c r="P16" s="186"/>
      <c r="Q16" s="188"/>
      <c r="R16" s="37">
        <f>'22'!Z24</f>
        <v>935</v>
      </c>
      <c r="S16" s="36">
        <f>'22'!AB23</f>
        <v>64.954974718983749</v>
      </c>
      <c r="T16" s="37">
        <f>'22'!Y23</f>
        <v>2659</v>
      </c>
      <c r="U16" s="33" t="str">
        <f>IF('22'!AA23=1,'22'!AR6,'22'!AR7)</f>
        <v>S.A.L</v>
      </c>
      <c r="V16" s="944"/>
      <c r="W16" s="944"/>
      <c r="X16" s="13">
        <v>0.45833333333333298</v>
      </c>
      <c r="Y16" s="281">
        <v>2671</v>
      </c>
      <c r="Z16" s="182">
        <v>935</v>
      </c>
      <c r="AA16" s="15">
        <v>1</v>
      </c>
      <c r="AB16" s="58">
        <f>IF('22'!AA16=1,(('22'!Z16*'22'!$AS$6*'22'!$AT$6)/('22'!Y16*0.0036)),IF('22'!AA16=2,(('22'!Z16*'22'!$AS$7*'22'!$AT$7)/('22'!Y16*0.0036))))</f>
        <v>64.66315154540537</v>
      </c>
      <c r="AC16" s="58"/>
      <c r="AD16" s="18">
        <f>(('22'!AC16*'22'!$Q$10*1000000))/('22'!Y16*3600)</f>
        <v>0</v>
      </c>
      <c r="AE16" s="183"/>
      <c r="AF16" s="184">
        <f>('22'!AE16/24)*0.454</f>
        <v>0</v>
      </c>
      <c r="AG16" s="19"/>
      <c r="AH16" s="184">
        <f>('22'!AG16/24)*0.454</f>
        <v>0</v>
      </c>
      <c r="AI16" s="183">
        <v>5500</v>
      </c>
      <c r="AJ16" s="184">
        <f>('22'!AI16/24)*0.454</f>
        <v>104.04166666666667</v>
      </c>
      <c r="AK16" s="21"/>
      <c r="AL16" s="185">
        <f>('22'!AK16/24)*0.454</f>
        <v>0</v>
      </c>
      <c r="AM16" s="21"/>
      <c r="AN16" s="185">
        <f>('22'!AM16/24)*0.454</f>
        <v>0</v>
      </c>
      <c r="AO16" s="21"/>
      <c r="AP16" s="185">
        <f>('22'!AO16/24)*0.454</f>
        <v>0</v>
      </c>
    </row>
    <row r="17" spans="1:42" ht="18.75" customHeight="1">
      <c r="A17" s="28">
        <v>0.83333333333333304</v>
      </c>
      <c r="B17" s="310">
        <v>80</v>
      </c>
      <c r="C17" s="186">
        <v>12.5</v>
      </c>
      <c r="D17" s="186">
        <v>15</v>
      </c>
      <c r="E17" s="186">
        <v>2.5</v>
      </c>
      <c r="F17" s="186">
        <v>9.6999999999999993</v>
      </c>
      <c r="G17" s="186">
        <v>2.1</v>
      </c>
      <c r="H17" s="186">
        <v>3</v>
      </c>
      <c r="I17" s="186">
        <v>0.6</v>
      </c>
      <c r="J17" s="186">
        <v>0.7</v>
      </c>
      <c r="K17" s="186">
        <v>7.3</v>
      </c>
      <c r="L17" s="186">
        <v>6.8</v>
      </c>
      <c r="M17" s="186">
        <v>6.8</v>
      </c>
      <c r="N17" s="186">
        <v>6.6</v>
      </c>
      <c r="O17" s="186">
        <v>3.3</v>
      </c>
      <c r="P17" s="186"/>
      <c r="Q17" s="188"/>
      <c r="R17" s="37">
        <f>'22'!Z26</f>
        <v>935</v>
      </c>
      <c r="S17" s="36">
        <f>'22'!AB25</f>
        <v>63.921272308578004</v>
      </c>
      <c r="T17" s="37">
        <f>'22'!Y25</f>
        <v>2702</v>
      </c>
      <c r="U17" s="33" t="str">
        <f>IF('22'!AA25=1,'22'!AR6,'22'!AR7)</f>
        <v>S.A.L</v>
      </c>
      <c r="V17" s="945">
        <f>ESCALA!$C$24</f>
        <v>0</v>
      </c>
      <c r="W17" s="945"/>
      <c r="X17" s="13">
        <v>0.5</v>
      </c>
      <c r="Y17" s="281">
        <v>2710</v>
      </c>
      <c r="Z17" s="182">
        <v>935</v>
      </c>
      <c r="AA17" s="15">
        <v>1</v>
      </c>
      <c r="AB17" s="58">
        <f>IF('22'!AA17=1,(('22'!Z17*'22'!$AS$6*'22'!$AT$6)/('22'!Y17*0.0036)),IF('22'!AA17=2,(('22'!Z17*'22'!$AS$7*'22'!$AT$7)/('22'!Y17*0.0036))))</f>
        <v>63.732574825748252</v>
      </c>
      <c r="AC17" s="58"/>
      <c r="AD17" s="18">
        <f>(('22'!AC17*'22'!$Q$10*1000000))/('22'!Y17*3600)</f>
        <v>0</v>
      </c>
      <c r="AE17" s="183"/>
      <c r="AF17" s="184">
        <f>('22'!AE17/24)*0.454</f>
        <v>0</v>
      </c>
      <c r="AG17" s="19"/>
      <c r="AH17" s="184">
        <f>('22'!AG17/24)*0.454</f>
        <v>0</v>
      </c>
      <c r="AI17" s="183">
        <v>5500</v>
      </c>
      <c r="AJ17" s="184">
        <f>('22'!AI17/24)*0.454</f>
        <v>104.04166666666667</v>
      </c>
      <c r="AK17" s="21"/>
      <c r="AL17" s="185">
        <f>('22'!AK17/24)*0.454</f>
        <v>0</v>
      </c>
      <c r="AM17" s="21"/>
      <c r="AN17" s="185">
        <f>('22'!AM17/24)*0.454</f>
        <v>0</v>
      </c>
      <c r="AO17" s="21"/>
      <c r="AP17" s="185">
        <f>('22'!AO17/24)*0.454</f>
        <v>0</v>
      </c>
    </row>
    <row r="18" spans="1:42" ht="19.5" customHeight="1">
      <c r="A18" s="28">
        <v>0.91666666666666696</v>
      </c>
      <c r="B18" s="310">
        <v>80</v>
      </c>
      <c r="C18" s="186">
        <v>12.5</v>
      </c>
      <c r="D18" s="186">
        <v>15</v>
      </c>
      <c r="E18" s="186">
        <v>2.5</v>
      </c>
      <c r="F18" s="186">
        <v>9.6999999999999993</v>
      </c>
      <c r="G18" s="186">
        <v>2</v>
      </c>
      <c r="H18" s="186">
        <v>2.5</v>
      </c>
      <c r="I18" s="186">
        <v>0.7</v>
      </c>
      <c r="J18" s="186">
        <v>0.8</v>
      </c>
      <c r="K18" s="186">
        <v>7.3</v>
      </c>
      <c r="L18" s="186">
        <v>6.8</v>
      </c>
      <c r="M18" s="186">
        <v>6.8</v>
      </c>
      <c r="N18" s="186">
        <v>6.6</v>
      </c>
      <c r="O18" s="186">
        <v>3.3</v>
      </c>
      <c r="P18" s="186"/>
      <c r="Q18" s="188"/>
      <c r="R18" s="37">
        <f>'22'!Z28</f>
        <v>935</v>
      </c>
      <c r="S18" s="36">
        <f>'22'!AB27</f>
        <v>64.638951264138399</v>
      </c>
      <c r="T18" s="37">
        <f>'22'!Y27</f>
        <v>2672</v>
      </c>
      <c r="U18" s="33" t="str">
        <f>IF('22'!AA27=1,'22'!AR6,'22'!AR7)</f>
        <v>S.A.L</v>
      </c>
      <c r="V18" s="945"/>
      <c r="W18" s="945"/>
      <c r="X18" s="13">
        <v>0.54166666666666696</v>
      </c>
      <c r="Y18" s="281">
        <v>2669</v>
      </c>
      <c r="Z18" s="182">
        <v>935</v>
      </c>
      <c r="AA18" s="15">
        <v>1</v>
      </c>
      <c r="AB18" s="58">
        <f>IF('22'!AA18=1,(('22'!Z18*'22'!$AS$6*'22'!$AT$6)/('22'!Y18*0.0036)),IF('22'!AA18=2,(('22'!Z18*'22'!$AS$7*'22'!$AT$7)/('22'!Y18*0.0036))))</f>
        <v>64.711606510969574</v>
      </c>
      <c r="AC18" s="58"/>
      <c r="AD18" s="18">
        <f>(('22'!AC18*'22'!$Q$10*1000000))/('22'!Y18*3600)</f>
        <v>0</v>
      </c>
      <c r="AE18" s="183"/>
      <c r="AF18" s="184">
        <f>('22'!AE18/24)*0.454</f>
        <v>0</v>
      </c>
      <c r="AG18" s="19"/>
      <c r="AH18" s="184">
        <f>('22'!AG18/24)*0.454</f>
        <v>0</v>
      </c>
      <c r="AI18" s="183">
        <v>5500</v>
      </c>
      <c r="AJ18" s="184">
        <f>('22'!AI18/24)*0.454</f>
        <v>104.04166666666667</v>
      </c>
      <c r="AK18" s="21"/>
      <c r="AL18" s="185">
        <f>('22'!AK18/24)*0.454</f>
        <v>0</v>
      </c>
      <c r="AM18" s="21"/>
      <c r="AN18" s="185">
        <f>('22'!AM18/24)*0.454</f>
        <v>0</v>
      </c>
      <c r="AO18" s="21"/>
      <c r="AP18" s="185">
        <f>('22'!AO18/24)*0.454</f>
        <v>0</v>
      </c>
    </row>
    <row r="19" spans="1:42" ht="18.75" customHeight="1">
      <c r="A19" s="10" t="s">
        <v>52</v>
      </c>
      <c r="B19" s="189">
        <f>AVERAGE('22'!B7:B18)</f>
        <v>80</v>
      </c>
      <c r="C19" s="69">
        <f>AVERAGE('22'!C7:C18)</f>
        <v>12.5</v>
      </c>
      <c r="D19" s="69">
        <f>AVERAGE('22'!D7:D18)</f>
        <v>13.958333333333334</v>
      </c>
      <c r="E19" s="69">
        <f>AVERAGE('22'!E7:E18)</f>
        <v>2.5</v>
      </c>
      <c r="F19" s="69">
        <f>AVERAGE('22'!F7:F18)</f>
        <v>9.9416666666666664</v>
      </c>
      <c r="G19" s="69">
        <f>AVERAGE('22'!G7:G18)</f>
        <v>1.9333333333333336</v>
      </c>
      <c r="H19" s="69">
        <f>AVERAGE('22'!H7:H18)</f>
        <v>2.4166666666666665</v>
      </c>
      <c r="I19" s="69">
        <f>AVERAGE('22'!I7:I18)</f>
        <v>0.61666666666666659</v>
      </c>
      <c r="J19" s="69">
        <f>AVERAGE('22'!J7:J18)</f>
        <v>0.70833333333333337</v>
      </c>
      <c r="K19" s="69">
        <f>AVERAGE('22'!K7:K18)</f>
        <v>7.299999999999998</v>
      </c>
      <c r="L19" s="69">
        <f>AVERAGE('22'!L7:L18)</f>
        <v>6.799999999999998</v>
      </c>
      <c r="M19" s="69">
        <f>AVERAGE('22'!M7:M18)</f>
        <v>6.799999999999998</v>
      </c>
      <c r="N19" s="69">
        <f>AVERAGE('22'!N7:N18)</f>
        <v>6.5666666666666664</v>
      </c>
      <c r="O19" s="69">
        <f>AVERAGE('22'!O7:O18)</f>
        <v>2.9916666666666667</v>
      </c>
      <c r="P19" s="190" t="e">
        <f>AVERAGE('22'!P7:P18)</f>
        <v>#DIV/0!</v>
      </c>
      <c r="Q19" s="191" t="e">
        <f>AVERAGE('22'!Q7:Q18)</f>
        <v>#DIV/0!</v>
      </c>
      <c r="R19" s="191">
        <f>AVERAGE('22'!R7:R18)</f>
        <v>935</v>
      </c>
      <c r="S19" s="191">
        <f>AVERAGE('22'!S7:S18)</f>
        <v>64.658896016841751</v>
      </c>
      <c r="T19" s="946"/>
      <c r="U19" s="946"/>
      <c r="V19" s="49"/>
      <c r="W19" s="50"/>
      <c r="X19" s="13">
        <v>0.58333333333333304</v>
      </c>
      <c r="Y19" s="281">
        <v>2623</v>
      </c>
      <c r="Z19" s="182">
        <v>935</v>
      </c>
      <c r="AA19" s="15">
        <v>1</v>
      </c>
      <c r="AB19" s="58">
        <f>IF('22'!AA19=1,(('22'!Z19*'22'!$AS$6*'22'!$AT$6)/('22'!Y19*0.0036)),IF('22'!AA19=2,(('22'!Z19*'22'!$AS$7*'22'!$AT$7)/('22'!Y19*0.0036))))</f>
        <v>65.846465031558438</v>
      </c>
      <c r="AC19" s="58"/>
      <c r="AD19" s="18">
        <f>(('22'!AC19*'22'!$Q$10*1000000))/('22'!Y19*3600)</f>
        <v>0</v>
      </c>
      <c r="AE19" s="183"/>
      <c r="AF19" s="184">
        <f>('22'!AE19/24)*0.454</f>
        <v>0</v>
      </c>
      <c r="AG19" s="19"/>
      <c r="AH19" s="184">
        <f>('22'!AG19/24)*0.454</f>
        <v>0</v>
      </c>
      <c r="AI19" s="183">
        <v>5500</v>
      </c>
      <c r="AJ19" s="184">
        <f>('22'!AI19/24)*0.454</f>
        <v>104.04166666666667</v>
      </c>
      <c r="AK19" s="21"/>
      <c r="AL19" s="185">
        <f>('22'!AK19/24)*0.454</f>
        <v>0</v>
      </c>
      <c r="AM19" s="21"/>
      <c r="AN19" s="185">
        <f>('22'!AM19/24)*0.454</f>
        <v>0</v>
      </c>
      <c r="AO19" s="21"/>
      <c r="AP19" s="185">
        <f>('22'!AO19/24)*0.454</f>
        <v>0</v>
      </c>
    </row>
    <row r="20" spans="1:42" ht="18.75" customHeight="1">
      <c r="A20" s="10" t="s">
        <v>53</v>
      </c>
      <c r="B20" s="189">
        <f>MAX('22'!B7:B18)</f>
        <v>80</v>
      </c>
      <c r="C20" s="189">
        <f>MAX('22'!C7:C18)</f>
        <v>12.5</v>
      </c>
      <c r="D20" s="69">
        <f>MAX('22'!D7:D18)</f>
        <v>15</v>
      </c>
      <c r="E20" s="69">
        <f>MAX('22'!E7:E18)</f>
        <v>2.5</v>
      </c>
      <c r="F20" s="69">
        <f>MAX('22'!F7:F18)</f>
        <v>11</v>
      </c>
      <c r="G20" s="69">
        <f>MAX('22'!G7:G18)</f>
        <v>2.1</v>
      </c>
      <c r="H20" s="69">
        <f>MAX('22'!H7:H18)</f>
        <v>3</v>
      </c>
      <c r="I20" s="69">
        <f>MAX('22'!I7:I18)</f>
        <v>0.7</v>
      </c>
      <c r="J20" s="69">
        <f>MAX('22'!J7:J18)</f>
        <v>0.8</v>
      </c>
      <c r="K20" s="69">
        <f>MAX('22'!K7:K18)</f>
        <v>7.3</v>
      </c>
      <c r="L20" s="69">
        <f>MAX('22'!L7:L18)</f>
        <v>6.8</v>
      </c>
      <c r="M20" s="69">
        <f>MAX('22'!M7:M18)</f>
        <v>6.8</v>
      </c>
      <c r="N20" s="69">
        <f>MAX('22'!N7:N18)</f>
        <v>6.6</v>
      </c>
      <c r="O20" s="70">
        <f>MAX('22'!O7:O18)</f>
        <v>3.3</v>
      </c>
      <c r="P20" s="70">
        <f>MAX('22'!P7:P18)</f>
        <v>0</v>
      </c>
      <c r="Q20" s="70">
        <f>MAX('22'!Q7:Q18)</f>
        <v>0</v>
      </c>
      <c r="R20" s="70">
        <f>MAX('22'!R7:R18)</f>
        <v>935</v>
      </c>
      <c r="S20" s="70">
        <f>MAX('22'!S7:S18)</f>
        <v>66.454512419306582</v>
      </c>
      <c r="T20" s="946"/>
      <c r="U20" s="946"/>
      <c r="X20" s="13">
        <v>0.625</v>
      </c>
      <c r="Y20" s="281">
        <v>2571</v>
      </c>
      <c r="Z20" s="182">
        <v>935</v>
      </c>
      <c r="AA20" s="15">
        <v>1</v>
      </c>
      <c r="AB20" s="58">
        <f>IF('22'!AA20=1,(('22'!Z20*'22'!$AS$6*'22'!$AT$6)/('22'!Y20*0.0036)),IF('22'!AA20=2,(('22'!Z20*'22'!$AS$7*'22'!$AT$7)/('22'!Y20*0.0036))))</f>
        <v>67.178248843943123</v>
      </c>
      <c r="AC20" s="58"/>
      <c r="AD20" s="18">
        <f>(('22'!AC20*'22'!$Q$10*1000000))/('22'!Y20*3600)</f>
        <v>0</v>
      </c>
      <c r="AE20" s="183"/>
      <c r="AF20" s="184">
        <f>('22'!AE20/24)*0.454</f>
        <v>0</v>
      </c>
      <c r="AG20" s="19"/>
      <c r="AH20" s="184">
        <f>('22'!AG20/24)*0.454</f>
        <v>0</v>
      </c>
      <c r="AI20" s="183">
        <v>5500</v>
      </c>
      <c r="AJ20" s="184">
        <f>('22'!AI20/24)*0.454</f>
        <v>104.04166666666667</v>
      </c>
      <c r="AK20" s="21"/>
      <c r="AL20" s="185">
        <f>('22'!AK20/24)*0.454</f>
        <v>0</v>
      </c>
      <c r="AM20" s="21"/>
      <c r="AN20" s="185">
        <f>('22'!AM20/24)*0.454</f>
        <v>0</v>
      </c>
      <c r="AO20" s="21"/>
      <c r="AP20" s="185">
        <f>('22'!AO20/24)*0.454</f>
        <v>0</v>
      </c>
    </row>
    <row r="21" spans="1:42" ht="19.5" customHeight="1">
      <c r="A21" s="10" t="s">
        <v>54</v>
      </c>
      <c r="B21" s="189">
        <f>MIN('22'!B7:B18)</f>
        <v>80</v>
      </c>
      <c r="C21" s="69">
        <f>MIN('22'!C7:C18)</f>
        <v>12.5</v>
      </c>
      <c r="D21" s="69">
        <f>MIN('22'!D7:D18)</f>
        <v>12.5</v>
      </c>
      <c r="E21" s="69">
        <f>MIN('22'!E7:E18)</f>
        <v>2.5</v>
      </c>
      <c r="F21" s="69">
        <f>MIN('22'!F7:F18)</f>
        <v>9.6999999999999993</v>
      </c>
      <c r="G21" s="192">
        <f>MIN('22'!G7:G18)</f>
        <v>1.8</v>
      </c>
      <c r="H21" s="311">
        <f>MIN('22'!H7:H18)</f>
        <v>2</v>
      </c>
      <c r="I21" s="192">
        <f>MIN('22'!I7:I18)</f>
        <v>0.6</v>
      </c>
      <c r="J21" s="192">
        <f>MIN('22'!J7:J18)</f>
        <v>0.6</v>
      </c>
      <c r="K21" s="192">
        <f>MIN('22'!K7:K18)</f>
        <v>7.3</v>
      </c>
      <c r="L21" s="192">
        <f>MIN('22'!L7:L18)</f>
        <v>6.8</v>
      </c>
      <c r="M21" s="192">
        <f>MIN('22'!M7:M18)</f>
        <v>6.8</v>
      </c>
      <c r="N21" s="192">
        <f>MIN('22'!N7:N18)</f>
        <v>6.5</v>
      </c>
      <c r="O21" s="193">
        <f>MIN('22'!O7:O18)</f>
        <v>2.6</v>
      </c>
      <c r="P21" s="193">
        <f>MIN('22'!P7:P18)</f>
        <v>0</v>
      </c>
      <c r="Q21" s="193">
        <f>MIN('22'!Q7:Q18)</f>
        <v>0</v>
      </c>
      <c r="R21" s="193">
        <f>MIN('22'!R7:R18)</f>
        <v>935</v>
      </c>
      <c r="S21" s="193">
        <f>MIN('22'!S7:S18)</f>
        <v>63.591781214203891</v>
      </c>
      <c r="T21" s="946"/>
      <c r="U21" s="946"/>
      <c r="X21" s="13">
        <v>0.66666666666666696</v>
      </c>
      <c r="Y21" s="281">
        <v>2674</v>
      </c>
      <c r="Z21" s="182">
        <v>935</v>
      </c>
      <c r="AA21" s="15">
        <v>1</v>
      </c>
      <c r="AB21" s="58">
        <f>IF('22'!AA21=1,(('22'!Z21*'22'!$AS$6*'22'!$AT$6)/('22'!Y21*0.0036)),IF('22'!AA21=2,(('22'!Z21*'22'!$AS$7*'22'!$AT$7)/('22'!Y21*0.0036))))</f>
        <v>64.59060500290866</v>
      </c>
      <c r="AC21" s="58"/>
      <c r="AD21" s="18">
        <f>(('22'!AC21*'22'!$Q$10*1000000))/('22'!Y21*3600)</f>
        <v>0</v>
      </c>
      <c r="AE21" s="183"/>
      <c r="AF21" s="184">
        <f>('22'!AE21/24)*0.454</f>
        <v>0</v>
      </c>
      <c r="AG21" s="19"/>
      <c r="AH21" s="184">
        <f>('22'!AG21/24)*0.454</f>
        <v>0</v>
      </c>
      <c r="AI21" s="183">
        <v>5500</v>
      </c>
      <c r="AJ21" s="184">
        <f>('22'!AI21/24)*0.454</f>
        <v>104.04166666666667</v>
      </c>
      <c r="AK21" s="21"/>
      <c r="AL21" s="185">
        <f>('22'!AK21/24)*0.454</f>
        <v>0</v>
      </c>
      <c r="AM21" s="21"/>
      <c r="AN21" s="185">
        <f>('22'!AM21/24)*0.454</f>
        <v>0</v>
      </c>
      <c r="AO21" s="21"/>
      <c r="AP21" s="185">
        <f>('22'!AO21/24)*0.454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312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281">
        <v>2683</v>
      </c>
      <c r="Z22" s="182">
        <v>935</v>
      </c>
      <c r="AA22" s="15">
        <v>1</v>
      </c>
      <c r="AB22" s="58">
        <f>IF('22'!AA22=1,(('22'!Z22*'22'!$AS$6*'22'!$AT$6)/('22'!Y22*0.0036)),IF('22'!AA22=2,(('22'!Z22*'22'!$AS$7*'22'!$AT$7)/('22'!Y22*0.0036))))</f>
        <v>64.373938791568307</v>
      </c>
      <c r="AC22" s="58"/>
      <c r="AD22" s="18">
        <f>(('22'!AC22*'22'!$Q$10*1000000))/('22'!Y22*3600)</f>
        <v>0</v>
      </c>
      <c r="AE22" s="183"/>
      <c r="AF22" s="184">
        <f>('22'!AE22/24)*0.454</f>
        <v>0</v>
      </c>
      <c r="AG22" s="19"/>
      <c r="AH22" s="184">
        <f>('22'!AG22/24)*0.454</f>
        <v>0</v>
      </c>
      <c r="AI22" s="183">
        <v>5500</v>
      </c>
      <c r="AJ22" s="184">
        <f>('22'!AI22/24)*0.454</f>
        <v>104.04166666666667</v>
      </c>
      <c r="AK22" s="21"/>
      <c r="AL22" s="185">
        <f>('22'!AK22/24)*0.454</f>
        <v>0</v>
      </c>
      <c r="AM22" s="21"/>
      <c r="AN22" s="185">
        <f>('22'!AM22/24)*0.454</f>
        <v>0</v>
      </c>
      <c r="AO22" s="21"/>
      <c r="AP22" s="185">
        <f>('22'!AO22/24)*0.454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281">
        <v>2659</v>
      </c>
      <c r="Z23" s="182">
        <v>935</v>
      </c>
      <c r="AA23" s="15">
        <v>1</v>
      </c>
      <c r="AB23" s="58">
        <f>IF('22'!AA23=1,(('22'!Z23*'22'!$AS$6*'22'!$AT$6)/('22'!Y23*0.0036)),IF('22'!AA23=2,(('22'!Z23*'22'!$AS$7*'22'!$AT$7)/('22'!Y23*0.0036))))</f>
        <v>64.954974718983749</v>
      </c>
      <c r="AC23" s="58"/>
      <c r="AD23" s="18">
        <f>(('22'!AC23*'22'!$Q$10*1000000))/('22'!Y23*3600)</f>
        <v>0</v>
      </c>
      <c r="AE23" s="183"/>
      <c r="AF23" s="184">
        <f>('22'!AE23/24)*0.454</f>
        <v>0</v>
      </c>
      <c r="AG23" s="19"/>
      <c r="AH23" s="184">
        <f>('22'!AG23/24)*0.454</f>
        <v>0</v>
      </c>
      <c r="AI23" s="183">
        <v>5500</v>
      </c>
      <c r="AJ23" s="184">
        <f>('22'!AI23/24)*0.454</f>
        <v>104.04166666666667</v>
      </c>
      <c r="AK23" s="21"/>
      <c r="AL23" s="185">
        <f>('22'!AK23/24)*0.454</f>
        <v>0</v>
      </c>
      <c r="AM23" s="21"/>
      <c r="AN23" s="185">
        <f>('22'!AM23/24)*0.454</f>
        <v>0</v>
      </c>
      <c r="AO23" s="21"/>
      <c r="AP23" s="185">
        <f>('22'!AO23/24)*0.454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281">
        <v>2695</v>
      </c>
      <c r="Z24" s="182">
        <v>935</v>
      </c>
      <c r="AA24" s="15">
        <v>1</v>
      </c>
      <c r="AB24" s="16">
        <f>IF('22'!AA24=1,(('22'!Z24*'22'!$AS$6*'22'!$AT$6)/('22'!Y24*0.0036)),IF('22'!AA24=2,(('22'!Z24*'22'!$AS$7*'22'!$AT$7)/('22'!Y24*0.0036))))</f>
        <v>64.087301587301582</v>
      </c>
      <c r="AC24" s="16"/>
      <c r="AD24" s="194">
        <f>(('22'!AC24*'22'!$Q$10*1000000))/('22'!Y24*3600)</f>
        <v>0</v>
      </c>
      <c r="AE24" s="183"/>
      <c r="AF24" s="195">
        <f>('22'!AE24/24)*0.454</f>
        <v>0</v>
      </c>
      <c r="AG24" s="173"/>
      <c r="AH24" s="195">
        <f>('22'!AG24/24)*0.454</f>
        <v>0</v>
      </c>
      <c r="AI24" s="183">
        <v>5500</v>
      </c>
      <c r="AJ24" s="195">
        <f>('22'!AI24/24)*0.454</f>
        <v>104.04166666666667</v>
      </c>
      <c r="AK24" s="21"/>
      <c r="AL24" s="196">
        <f>('22'!AK24/24)*0.454</f>
        <v>0</v>
      </c>
      <c r="AM24" s="197"/>
      <c r="AN24" s="196">
        <f>('22'!AM24/24)*0.454</f>
        <v>0</v>
      </c>
      <c r="AO24" s="21"/>
      <c r="AP24" s="196">
        <f>('22'!AO24/24)*0.454</f>
        <v>0</v>
      </c>
    </row>
    <row r="25" spans="1:42" ht="19.5" customHeight="1">
      <c r="A25" s="64">
        <v>0.41666666666666702</v>
      </c>
      <c r="B25" s="198"/>
      <c r="C25" s="261">
        <v>0.63</v>
      </c>
      <c r="D25" s="261">
        <v>0.63</v>
      </c>
      <c r="E25" s="199">
        <v>0.61</v>
      </c>
      <c r="F25" s="199">
        <v>0.52</v>
      </c>
      <c r="G25" s="199">
        <v>0.62</v>
      </c>
      <c r="H25" s="199">
        <v>0.7</v>
      </c>
      <c r="I25" s="199">
        <v>0.67</v>
      </c>
      <c r="J25" s="199">
        <v>0.56000000000000005</v>
      </c>
      <c r="K25" s="199">
        <v>0.62</v>
      </c>
      <c r="L25" s="199">
        <v>0.66</v>
      </c>
      <c r="M25" s="199">
        <v>0.54</v>
      </c>
      <c r="N25" s="199">
        <v>0.55000000000000004</v>
      </c>
      <c r="O25" s="199">
        <v>0.62</v>
      </c>
      <c r="P25" s="199">
        <v>0.56999999999999995</v>
      </c>
      <c r="Q25" s="199"/>
      <c r="R25" s="65" t="e">
        <f>#DIV/0!</f>
        <v>#DIV/0!</v>
      </c>
      <c r="S25" s="66"/>
      <c r="T25" s="1042" t="s">
        <v>0</v>
      </c>
      <c r="U25" s="1049">
        <f>ESCALA!$A$24</f>
        <v>43912</v>
      </c>
      <c r="X25" s="13">
        <v>0.83333333333333304</v>
      </c>
      <c r="Y25" s="281">
        <v>2702</v>
      </c>
      <c r="Z25" s="182">
        <v>935</v>
      </c>
      <c r="AA25" s="15">
        <v>1</v>
      </c>
      <c r="AB25" s="58">
        <f>IF('22'!AA25=1,(('22'!Z25*'22'!$AS$6*'22'!$AT$6)/('22'!Y25*0.0036)),IF('22'!AA25=2,(('22'!Z25*'22'!$AS$7*'22'!$AT$7)/('22'!Y25*0.0036))))</f>
        <v>63.921272308578004</v>
      </c>
      <c r="AC25" s="58"/>
      <c r="AD25" s="18">
        <f>(('22'!AC25*'22'!$Q$10*1000000))/('22'!Y25*3600)</f>
        <v>0</v>
      </c>
      <c r="AE25" s="183"/>
      <c r="AF25" s="184">
        <f>('22'!AE25/24)*0.454</f>
        <v>0</v>
      </c>
      <c r="AG25" s="19"/>
      <c r="AH25" s="184">
        <f>('22'!AG25/24)*0.454</f>
        <v>0</v>
      </c>
      <c r="AI25" s="183">
        <v>5500</v>
      </c>
      <c r="AJ25" s="184">
        <f>('22'!AI25/24)*0.454</f>
        <v>104.04166666666667</v>
      </c>
      <c r="AK25" s="21"/>
      <c r="AL25" s="185">
        <f>('22'!AK25/24)*0.454</f>
        <v>0</v>
      </c>
      <c r="AM25" s="21"/>
      <c r="AN25" s="185">
        <f>('22'!AM25/24)*0.454</f>
        <v>0</v>
      </c>
      <c r="AO25" s="21"/>
      <c r="AP25" s="185">
        <f>('22'!AO25/24)*0.454</f>
        <v>0</v>
      </c>
    </row>
    <row r="26" spans="1:42" ht="19.5" customHeight="1">
      <c r="A26" s="64">
        <v>0.66666666666666696</v>
      </c>
      <c r="B26" s="259"/>
      <c r="C26" s="259"/>
      <c r="D26" s="259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65" t="e">
        <f>#DIV/0!</f>
        <v>#DIV/0!</v>
      </c>
      <c r="S26" s="67"/>
      <c r="T26" s="1042"/>
      <c r="U26" s="1049"/>
      <c r="X26" s="13">
        <v>0.875</v>
      </c>
      <c r="Y26" s="281">
        <v>2683</v>
      </c>
      <c r="Z26" s="182">
        <v>935</v>
      </c>
      <c r="AA26" s="15">
        <v>1</v>
      </c>
      <c r="AB26" s="16">
        <f>IF('22'!AA26=1,(('22'!Z26*'22'!$AS$6*'22'!$AT$6)/('22'!Y26*0.0036)),IF('22'!AA26=2,(('22'!Z26*'22'!$AS$7*'22'!$AT$7)/('22'!Y26*0.0036))))</f>
        <v>64.373938791568307</v>
      </c>
      <c r="AC26" s="58"/>
      <c r="AD26" s="18">
        <f>(('22'!AC26*'22'!$Q$10*1000000))/('22'!Y26*3600)</f>
        <v>0</v>
      </c>
      <c r="AE26" s="183"/>
      <c r="AF26" s="184">
        <f>('22'!AE26/24)*0.454</f>
        <v>0</v>
      </c>
      <c r="AG26" s="19"/>
      <c r="AH26" s="184">
        <f>('22'!AG26/24)*0.454</f>
        <v>0</v>
      </c>
      <c r="AI26" s="183">
        <v>5500</v>
      </c>
      <c r="AJ26" s="184">
        <f>('22'!AI26/24)*0.454</f>
        <v>104.04166666666667</v>
      </c>
      <c r="AK26" s="21"/>
      <c r="AL26" s="185">
        <f>('22'!AK26/24)*0.454</f>
        <v>0</v>
      </c>
      <c r="AM26" s="21"/>
      <c r="AN26" s="185">
        <f>('22'!AM26/24)*0.454</f>
        <v>0</v>
      </c>
      <c r="AO26" s="21"/>
      <c r="AP26" s="185">
        <f>('22'!AO26/24)*0.454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281">
        <v>2672</v>
      </c>
      <c r="Z27" s="182">
        <v>935</v>
      </c>
      <c r="AA27" s="15">
        <v>1</v>
      </c>
      <c r="AB27" s="58">
        <f>IF('22'!AA27=1,(('22'!Z27*'22'!$AS$6*'22'!$AT$6)/('22'!Y27*0.0036)),IF('22'!AA27=2,(('22'!Z27*'22'!$AS$7*'22'!$AT$7)/('22'!Y27*0.0036))))</f>
        <v>64.638951264138399</v>
      </c>
      <c r="AC27" s="58"/>
      <c r="AD27" s="18">
        <f>(('22'!AC27*'22'!$Q$10*1000000))/('22'!Y27*3600)</f>
        <v>0</v>
      </c>
      <c r="AE27" s="183"/>
      <c r="AF27" s="184">
        <f>('22'!AE27/24)*0.454</f>
        <v>0</v>
      </c>
      <c r="AG27" s="19"/>
      <c r="AH27" s="184">
        <f>('22'!AG27/24)*0.454</f>
        <v>0</v>
      </c>
      <c r="AI27" s="183">
        <v>5500</v>
      </c>
      <c r="AJ27" s="184">
        <f>('22'!AI27/24)*0.454</f>
        <v>104.04166666666667</v>
      </c>
      <c r="AK27" s="21"/>
      <c r="AL27" s="185">
        <f>('22'!AK27/24)*0.454</f>
        <v>0</v>
      </c>
      <c r="AM27" s="21"/>
      <c r="AN27" s="185">
        <f>('22'!AM27/24)*0.454</f>
        <v>0</v>
      </c>
      <c r="AO27" s="21"/>
      <c r="AP27" s="185">
        <f>('22'!AO27/24)*0.454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281">
        <v>2681</v>
      </c>
      <c r="Z28" s="182">
        <v>935</v>
      </c>
      <c r="AA28" s="15">
        <v>1</v>
      </c>
      <c r="AB28" s="58">
        <f>IF('22'!AA28=1,(('22'!Z28*'22'!$AS$6*'22'!$AT$6)/('22'!Y28*0.0036)),IF('22'!AA28=2,(('22'!Z28*'22'!$AS$7*'22'!$AT$7)/('22'!Y28*0.0036))))</f>
        <v>64.421961125616477</v>
      </c>
      <c r="AC28" s="58"/>
      <c r="AD28" s="18">
        <f>(('22'!AC28*'22'!$Q$10*1000000))/('22'!Y28*3600)</f>
        <v>0</v>
      </c>
      <c r="AE28" s="183"/>
      <c r="AF28" s="184">
        <f>('22'!AE28/24)*0.454</f>
        <v>0</v>
      </c>
      <c r="AG28" s="19"/>
      <c r="AH28" s="184">
        <f>('22'!AG28/24)*0.454</f>
        <v>0</v>
      </c>
      <c r="AI28" s="183">
        <v>5500</v>
      </c>
      <c r="AJ28" s="184">
        <f>('22'!AI28/24)*0.454</f>
        <v>104.04166666666667</v>
      </c>
      <c r="AK28" s="21"/>
      <c r="AL28" s="185">
        <f>('22'!AK28/24)*0.454</f>
        <v>0</v>
      </c>
      <c r="AM28" s="21"/>
      <c r="AN28" s="185">
        <f>('22'!AM28/24)*0.454</f>
        <v>0</v>
      </c>
      <c r="AO28" s="21"/>
      <c r="AP28" s="185">
        <f>('22'!AO28/24)*0.454</f>
        <v>0</v>
      </c>
    </row>
    <row r="29" spans="1:42" ht="18.75" customHeight="1">
      <c r="A29" s="953"/>
      <c r="B29" s="953"/>
      <c r="C29" s="953"/>
      <c r="D29" s="953"/>
      <c r="E29" s="953"/>
      <c r="F29" s="953"/>
      <c r="G29" s="953"/>
      <c r="H29" s="953"/>
      <c r="I29" s="953"/>
      <c r="J29" s="953"/>
      <c r="K29" s="953"/>
      <c r="L29" s="953"/>
      <c r="M29" s="953"/>
      <c r="N29" s="953"/>
      <c r="O29" s="953"/>
      <c r="P29" s="953"/>
      <c r="Q29" s="953"/>
      <c r="R29" s="953"/>
      <c r="S29" s="953"/>
      <c r="T29" s="953"/>
      <c r="U29" s="953"/>
      <c r="X29" s="13">
        <v>1</v>
      </c>
      <c r="Y29" s="281">
        <v>2659</v>
      </c>
      <c r="Z29" s="182">
        <v>935</v>
      </c>
      <c r="AA29" s="15">
        <v>1</v>
      </c>
      <c r="AB29" s="58">
        <f>IF('22'!AA29=1,(('22'!Z29*'22'!$AS$6*'22'!$AT$6)/('22'!Y29*0.0036)),IF('22'!AA29=2,(('22'!Z29*'22'!$AS$7*'22'!$AT$7)/('22'!Y29*0.0036))))</f>
        <v>64.954974718983749</v>
      </c>
      <c r="AC29" s="58"/>
      <c r="AD29" s="18">
        <f>(('22'!AC29*'22'!$Q$10*1000000))/('22'!Y29*3600)</f>
        <v>0</v>
      </c>
      <c r="AE29" s="183"/>
      <c r="AF29" s="184">
        <f>('22'!AE29/24)*0.454</f>
        <v>0</v>
      </c>
      <c r="AG29" s="19"/>
      <c r="AH29" s="184">
        <f>('22'!AG29/24)*0.454</f>
        <v>0</v>
      </c>
      <c r="AI29" s="183">
        <v>5500</v>
      </c>
      <c r="AJ29" s="184">
        <f>('22'!AI29/24)*0.454</f>
        <v>104.04166666666667</v>
      </c>
      <c r="AK29" s="21"/>
      <c r="AL29" s="185">
        <f>('22'!AK29/24)*0.454</f>
        <v>0</v>
      </c>
      <c r="AM29" s="21"/>
      <c r="AN29" s="185">
        <f>('22'!AM29/24)*0.454</f>
        <v>0</v>
      </c>
      <c r="AO29" s="21"/>
      <c r="AP29" s="185">
        <f>('22'!AO29/24)*0.454</f>
        <v>0</v>
      </c>
    </row>
    <row r="30" spans="1:42" ht="18.75" customHeight="1">
      <c r="A30" s="953"/>
      <c r="B30" s="953"/>
      <c r="C30" s="953"/>
      <c r="D30" s="953"/>
      <c r="E30" s="953"/>
      <c r="F30" s="953"/>
      <c r="G30" s="953"/>
      <c r="H30" s="953"/>
      <c r="I30" s="953"/>
      <c r="J30" s="953"/>
      <c r="K30" s="953"/>
      <c r="L30" s="953"/>
      <c r="M30" s="953"/>
      <c r="N30" s="953"/>
      <c r="O30" s="953"/>
      <c r="P30" s="953"/>
      <c r="Q30" s="953"/>
      <c r="R30" s="953"/>
      <c r="S30" s="953"/>
      <c r="T30" s="953"/>
      <c r="U30" s="953"/>
      <c r="X30" s="75" t="s">
        <v>55</v>
      </c>
      <c r="Y30" s="201">
        <f>SUM('22'!Y6:Y29)*3.6</f>
        <v>230338.80000000002</v>
      </c>
      <c r="Z30" s="82">
        <f>SUM('22'!Z6:Z29)</f>
        <v>22440</v>
      </c>
      <c r="AA30" s="78"/>
      <c r="AB30" s="79"/>
      <c r="AC30" s="78"/>
      <c r="AD30" s="79"/>
      <c r="AE30" s="34"/>
      <c r="AF30" s="184">
        <f>SUM('22'!AF6:AF29)</f>
        <v>0</v>
      </c>
      <c r="AG30" s="34"/>
      <c r="AH30" s="184">
        <f>SUM('22'!AH6:AH29)</f>
        <v>0</v>
      </c>
      <c r="AI30" s="34"/>
      <c r="AJ30" s="184">
        <f>SUM('22'!AJ6:AJ29)</f>
        <v>2462.9499999999998</v>
      </c>
      <c r="AK30" s="80"/>
      <c r="AL30" s="185">
        <f>SUM('22'!AL6:AL29)</f>
        <v>0</v>
      </c>
      <c r="AM30" s="80"/>
      <c r="AN30" s="185">
        <f>SUM('22'!AN6:AN29)</f>
        <v>0</v>
      </c>
      <c r="AO30" s="80"/>
      <c r="AP30" s="185">
        <f>SUM('22'!AP6:AP29)</f>
        <v>0</v>
      </c>
    </row>
    <row r="31" spans="1:42" ht="15" customHeight="1">
      <c r="A31" s="953"/>
      <c r="B31" s="953"/>
      <c r="C31" s="953"/>
      <c r="D31" s="953"/>
      <c r="E31" s="953"/>
      <c r="F31" s="953"/>
      <c r="G31" s="953"/>
      <c r="H31" s="953"/>
      <c r="I31" s="953"/>
      <c r="J31" s="953"/>
      <c r="K31" s="953"/>
      <c r="L31" s="953"/>
      <c r="M31" s="953"/>
      <c r="N31" s="953"/>
      <c r="O31" s="953"/>
      <c r="P31" s="953"/>
      <c r="Q31" s="953"/>
      <c r="R31" s="953"/>
      <c r="S31" s="953"/>
      <c r="T31" s="953"/>
      <c r="U31" s="953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953"/>
      <c r="B32" s="953"/>
      <c r="C32" s="953"/>
      <c r="D32" s="953"/>
      <c r="E32" s="953"/>
      <c r="F32" s="953"/>
      <c r="G32" s="953"/>
      <c r="H32" s="953"/>
      <c r="I32" s="953"/>
      <c r="J32" s="953"/>
      <c r="K32" s="953"/>
      <c r="L32" s="953"/>
      <c r="M32" s="953"/>
      <c r="N32" s="953"/>
      <c r="O32" s="953"/>
      <c r="P32" s="953"/>
      <c r="Q32" s="953"/>
      <c r="R32" s="953"/>
      <c r="S32" s="953"/>
      <c r="T32" s="953"/>
      <c r="U32" s="953"/>
      <c r="X32" s="955" t="s">
        <v>60</v>
      </c>
      <c r="Y32" s="955"/>
      <c r="Z32" s="82">
        <f>SUMIF('22'!AA6:AA29,"=1",'22'!Z6:Z29)</f>
        <v>22440</v>
      </c>
      <c r="AA32" s="82">
        <f>'22'!Z32*'22'!AS6</f>
        <v>29845.200000000001</v>
      </c>
      <c r="AB32" s="83">
        <f>SUMIF('22'!$AA$6:$AA$29,"=1",'22'!$AB$6:$AB$29)/COUNTIF('22'!$AA$6:$AA$29,"=1")</f>
        <v>64.79661946787904</v>
      </c>
      <c r="AC32" s="84">
        <f>SUMIF('22'!AA6:AA29,"=1",'22'!AC6:AC29)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953"/>
      <c r="B33" s="953"/>
      <c r="C33" s="953"/>
      <c r="D33" s="953"/>
      <c r="E33" s="953"/>
      <c r="F33" s="953"/>
      <c r="G33" s="953"/>
      <c r="H33" s="953"/>
      <c r="I33" s="953"/>
      <c r="J33" s="953"/>
      <c r="K33" s="953"/>
      <c r="L33" s="953"/>
      <c r="M33" s="953"/>
      <c r="N33" s="953"/>
      <c r="O33" s="953"/>
      <c r="P33" s="953"/>
      <c r="Q33" s="953"/>
      <c r="R33" s="953"/>
      <c r="S33" s="953"/>
      <c r="T33" s="953"/>
      <c r="U33" s="953"/>
      <c r="X33" s="955" t="s">
        <v>148</v>
      </c>
      <c r="Y33" s="955"/>
      <c r="Z33" s="82">
        <f>SUMIF('22'!AA6:AA29,"=2",'22'!Z6:Z29)</f>
        <v>0</v>
      </c>
      <c r="AA33" s="82">
        <f>'22'!Z33*'22'!AS7</f>
        <v>0</v>
      </c>
      <c r="AB33" s="83" t="e">
        <f>SUMIF('22'!$AA$6:$AA$29,"=2",'22'!$AB$6:$AB$29)/COUNTIF('22'!$AA$6:$AA$29,"=2")</f>
        <v>#DIV/0!</v>
      </c>
      <c r="AC33" s="89">
        <f>SUMIF('22'!AA6:AA29,"=2",'22'!AC6:AC29)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953"/>
      <c r="B34" s="953"/>
      <c r="C34" s="953"/>
      <c r="D34" s="953"/>
      <c r="E34" s="953"/>
      <c r="F34" s="953"/>
      <c r="G34" s="953"/>
      <c r="H34" s="953"/>
      <c r="I34" s="953"/>
      <c r="J34" s="953"/>
      <c r="K34" s="953"/>
      <c r="L34" s="953"/>
      <c r="M34" s="953"/>
      <c r="N34" s="953"/>
      <c r="O34" s="953"/>
      <c r="P34" s="953"/>
      <c r="Q34" s="953"/>
      <c r="R34" s="953"/>
      <c r="S34" s="953"/>
      <c r="T34" s="953"/>
      <c r="U34" s="953"/>
      <c r="X34" s="94" t="s">
        <v>52</v>
      </c>
      <c r="Y34" s="95">
        <f>AVERAGE('22'!Y6:Y29)</f>
        <v>2665.9583333333335</v>
      </c>
      <c r="Z34" s="96">
        <f>AVERAGE('22'!Z6:Z29)</f>
        <v>935</v>
      </c>
      <c r="AA34" s="97"/>
      <c r="AB34" s="97"/>
      <c r="AC34" s="98">
        <f>SUM('22'!AC6:AC29)/COUNTIF('22'!AC6:AC29,"&lt;&gt;0")</f>
        <v>0</v>
      </c>
      <c r="AD34" s="99" t="e">
        <f>SUM('22'!AD6:AD29)/COUNTIF('22'!AD6:AD29,"&lt;&gt;0")</f>
        <v>#DIV/0!</v>
      </c>
      <c r="AE34" s="78"/>
      <c r="AF34" s="98">
        <f>AVERAGE('22'!AF6:AF29)</f>
        <v>0</v>
      </c>
      <c r="AG34" s="98"/>
      <c r="AH34" s="98">
        <f>AVERAGE('22'!AH6:AH29)</f>
        <v>0</v>
      </c>
      <c r="AI34" s="98"/>
      <c r="AJ34" s="98">
        <f>'22'!AJ30/24</f>
        <v>102.62291666666665</v>
      </c>
      <c r="AK34" s="98"/>
      <c r="AL34" s="98">
        <f>AVERAGE('22'!AL6:AL29)</f>
        <v>0</v>
      </c>
      <c r="AM34" s="98"/>
      <c r="AN34" s="98">
        <f>AVERAGE('22'!AN6:AN29)</f>
        <v>0</v>
      </c>
      <c r="AO34" s="98"/>
      <c r="AP34" s="98">
        <f>AVERAGE('22'!AP6:AP29)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50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50"/>
      <c r="X36" s="105" t="s">
        <v>73</v>
      </c>
      <c r="Y36" s="106">
        <v>0</v>
      </c>
      <c r="Z36" s="107"/>
      <c r="AA36" s="108" t="s">
        <v>74</v>
      </c>
      <c r="AB36" s="106">
        <v>6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84.7</v>
      </c>
      <c r="D37" s="186">
        <v>66.5</v>
      </c>
      <c r="E37" s="186">
        <v>56.4</v>
      </c>
      <c r="F37" s="186">
        <v>1</v>
      </c>
      <c r="G37" s="183">
        <v>0.1</v>
      </c>
      <c r="H37" s="183">
        <v>0.1</v>
      </c>
      <c r="I37" s="183">
        <v>0.1</v>
      </c>
      <c r="J37" s="183">
        <v>0.06</v>
      </c>
      <c r="K37" s="183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36">
        <f>'22'!V12</f>
        <v>0</v>
      </c>
      <c r="X37" s="962" t="s">
        <v>75</v>
      </c>
      <c r="Y37" s="962"/>
      <c r="Z37" s="110">
        <f>COUNTA('22'!Z6:Z29)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SUM('22'!AF30+'22'!AH30)</f>
        <v>0</v>
      </c>
      <c r="AL38" s="210" t="s">
        <v>78</v>
      </c>
      <c r="AM38" s="212">
        <f>SUM('22'!AL30+'22'!AN30)</f>
        <v>0</v>
      </c>
      <c r="AO38" s="210" t="s">
        <v>78</v>
      </c>
      <c r="AP38" s="211">
        <f>'22'!AJ30</f>
        <v>2462.9499999999998</v>
      </c>
      <c r="AQ38" s="210" t="s">
        <v>78</v>
      </c>
      <c r="AR38" s="212">
        <f>'22'!AP30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('22'!AK38/'22'!Y30)*1000</f>
        <v>0</v>
      </c>
      <c r="AL39" s="215" t="s">
        <v>86</v>
      </c>
      <c r="AM39" s="216">
        <f>('22'!AM38/'22'!Y30)*1000</f>
        <v>0</v>
      </c>
      <c r="AO39" s="213" t="s">
        <v>86</v>
      </c>
      <c r="AP39" s="214">
        <f>('22'!AP38/'22'!Y30)*1000</f>
        <v>10.692727408495658</v>
      </c>
      <c r="AQ39" s="215" t="s">
        <v>86</v>
      </c>
      <c r="AR39" s="216">
        <f>('22'!AR38/'22'!Y30)*1000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SUM('22'!AK38,'22'!AM38)</f>
        <v>0</v>
      </c>
      <c r="AM40" s="975"/>
      <c r="AO40" s="976" t="s">
        <v>90</v>
      </c>
      <c r="AP40" s="976"/>
      <c r="AQ40" s="1106">
        <f>SUM(AP38,AR38)</f>
        <v>2462.9499999999998</v>
      </c>
      <c r="AR40" s="1106"/>
    </row>
    <row r="41" spans="1:44" ht="16.5" customHeight="1">
      <c r="A41" s="133">
        <f>COUNTA('22'!E7:E18)</f>
        <v>12</v>
      </c>
      <c r="B41" s="134">
        <f>COUNTA('22'!I7:I18)</f>
        <v>12</v>
      </c>
      <c r="C41" s="978">
        <f>COUNTA('22'!J7:J18)</f>
        <v>12</v>
      </c>
      <c r="D41" s="978">
        <f>COUNTA('22'!K7:K18)</f>
        <v>12</v>
      </c>
      <c r="E41" s="978">
        <f>COUNTIF('22'!E7:E18,"&gt;15")</f>
        <v>0</v>
      </c>
      <c r="F41" s="978"/>
      <c r="G41" s="978">
        <f>COUNTIF('22'!J7:J18,"&gt;1")</f>
        <v>0</v>
      </c>
      <c r="H41" s="978"/>
      <c r="I41" s="135"/>
      <c r="J41" s="978">
        <f>'22'!A41-'22'!E41</f>
        <v>12</v>
      </c>
      <c r="K41" s="978"/>
      <c r="L41" s="978">
        <f>'22'!C41-'22'!G41</f>
        <v>12</v>
      </c>
      <c r="M41" s="978"/>
      <c r="N41" s="135"/>
      <c r="O41" s="979">
        <f>COUNTIF('22'!J7:J18,"&lt;=0,5")</f>
        <v>0</v>
      </c>
      <c r="P41" s="979"/>
      <c r="Q41" s="979"/>
      <c r="R41" s="969"/>
      <c r="S41" s="980">
        <f>COUNTIF('22'!J7:J18,"&lt;=1,0")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SUM(('22'!AK38+'22'!AM38)/'22'!Y30)*1000</f>
        <v>0</v>
      </c>
      <c r="AM41" s="981"/>
      <c r="AO41" s="976" t="s">
        <v>91</v>
      </c>
      <c r="AP41" s="976"/>
      <c r="AQ41" s="981">
        <f>SUM(('22'!AP38+'22'!AR38)/'22'!Y30)*1000</f>
        <v>10.692727408495658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>
        <v>138</v>
      </c>
      <c r="Z44" s="144" t="s">
        <v>101</v>
      </c>
      <c r="AA44" s="145"/>
      <c r="AB44" s="144" t="s">
        <v>101</v>
      </c>
      <c r="AC44" s="145">
        <v>97</v>
      </c>
      <c r="AD44" s="988"/>
      <c r="AE44" s="988"/>
      <c r="AF44" s="989" t="s">
        <v>102</v>
      </c>
      <c r="AG44" s="1002">
        <f>SUM('22'!Y45,'22'!AA45,'22'!AC45,'22'!AE45)</f>
        <v>214428.3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COUNTIF('22'!I7:I18,"&lt;=5,0")</f>
        <v>12</v>
      </c>
      <c r="I45" s="992"/>
      <c r="J45" s="992"/>
      <c r="K45" s="135"/>
      <c r="L45" s="974">
        <f>COUNTA('22'!L37)</f>
        <v>1</v>
      </c>
      <c r="M45" s="974"/>
      <c r="O45" s="146"/>
      <c r="P45" s="147"/>
      <c r="Q45" s="993">
        <f>'22'!S41-'22'!O41</f>
        <v>12</v>
      </c>
      <c r="R45" s="993"/>
      <c r="S45" s="993"/>
      <c r="T45" s="148"/>
      <c r="X45" s="149" t="s">
        <v>104</v>
      </c>
      <c r="Y45" s="150">
        <f>'22'!Y44*275.3</f>
        <v>37991.4</v>
      </c>
      <c r="Z45" s="149" t="s">
        <v>104</v>
      </c>
      <c r="AA45" s="150">
        <f>262.4*'22'!AA44</f>
        <v>0</v>
      </c>
      <c r="AB45" s="149" t="s">
        <v>104</v>
      </c>
      <c r="AC45" s="150">
        <f>'22'!AC44*277.7</f>
        <v>26936.899999999998</v>
      </c>
      <c r="AD45" s="149" t="s">
        <v>104</v>
      </c>
      <c r="AE45" s="151">
        <v>149500</v>
      </c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79"/>
      <c r="AP45" s="1079"/>
      <c r="AQ45" s="142"/>
      <c r="AR45" s="143"/>
    </row>
    <row r="46" spans="1:44" ht="15" customHeight="1">
      <c r="F46" s="152"/>
      <c r="X46" s="153" t="s">
        <v>105</v>
      </c>
      <c r="Y46" s="154">
        <f>'22'!AS6</f>
        <v>1.33</v>
      </c>
      <c r="Z46" s="153" t="s">
        <v>105</v>
      </c>
      <c r="AA46" s="155">
        <f>'22'!Y46</f>
        <v>1.33</v>
      </c>
      <c r="AB46" s="153" t="s">
        <v>105</v>
      </c>
      <c r="AC46" s="154">
        <f>'22'!Y46</f>
        <v>1.33</v>
      </c>
      <c r="AD46" s="153" t="s">
        <v>105</v>
      </c>
      <c r="AE46" s="256">
        <f>'22'!Y46</f>
        <v>1.33</v>
      </c>
      <c r="AF46" s="995" t="s">
        <v>106</v>
      </c>
      <c r="AG46" s="996">
        <f>SUM('22'!Y47,'22'!AA47,'22'!AC47,'22'!AE47)</f>
        <v>285189.63899999997</v>
      </c>
      <c r="AI46" s="144" t="s">
        <v>101</v>
      </c>
      <c r="AJ46" s="145">
        <v>50</v>
      </c>
      <c r="AK46" s="144" t="s">
        <v>101</v>
      </c>
      <c r="AL46" s="145"/>
      <c r="AM46" s="144" t="s">
        <v>101</v>
      </c>
      <c r="AN46" s="145">
        <v>36</v>
      </c>
      <c r="AO46" s="1079"/>
      <c r="AP46" s="1079"/>
      <c r="AQ46" s="989" t="s">
        <v>102</v>
      </c>
      <c r="AR46" s="990">
        <f>SUM('10'!AJ47,'10'!AL47,'10'!AN47,'10'!AP47)</f>
        <v>0</v>
      </c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'22'!Y45*'22'!Y46</f>
        <v>50528.562000000005</v>
      </c>
      <c r="Z47" s="149" t="s">
        <v>108</v>
      </c>
      <c r="AA47" s="150">
        <f>'22'!AA45*'22'!AA46</f>
        <v>0</v>
      </c>
      <c r="AB47" s="149" t="s">
        <v>108</v>
      </c>
      <c r="AC47" s="150">
        <f>'22'!AC45*'22'!AC46</f>
        <v>35826.076999999997</v>
      </c>
      <c r="AD47" s="149" t="s">
        <v>108</v>
      </c>
      <c r="AE47" s="150">
        <f>'22'!AE45*'22'!AE46</f>
        <v>198835</v>
      </c>
      <c r="AF47" s="995"/>
      <c r="AG47" s="996"/>
      <c r="AI47" s="149" t="s">
        <v>104</v>
      </c>
      <c r="AJ47" s="150">
        <f>AJ46*275.3</f>
        <v>13765</v>
      </c>
      <c r="AK47" s="149" t="s">
        <v>104</v>
      </c>
      <c r="AL47" s="150">
        <f>262.4*'10'!AL46</f>
        <v>0</v>
      </c>
      <c r="AM47" s="149" t="s">
        <v>104</v>
      </c>
      <c r="AN47" s="150">
        <f>AN46*277.7</f>
        <v>9997.1999999999989</v>
      </c>
      <c r="AO47" s="1079"/>
      <c r="AP47" s="1079"/>
      <c r="AQ47" s="989"/>
      <c r="AR47" s="990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Y46</f>
        <v>1.33</v>
      </c>
      <c r="AK48" s="160" t="s">
        <v>105</v>
      </c>
      <c r="AL48" s="154">
        <f>'10'!AJ48</f>
        <v>1.33</v>
      </c>
      <c r="AM48" s="160" t="s">
        <v>105</v>
      </c>
      <c r="AN48" s="154">
        <f>AJ48</f>
        <v>1.33</v>
      </c>
      <c r="AO48" s="1079"/>
      <c r="AP48" s="1079"/>
      <c r="AQ48" s="995" t="s">
        <v>106</v>
      </c>
      <c r="AR48" s="996">
        <f>SUM('10'!AJ49,'10'!AL49,'10'!AN49,'10'!AP49)</f>
        <v>0</v>
      </c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AJ47*AJ48</f>
        <v>18307.45</v>
      </c>
      <c r="AK49" s="149" t="s">
        <v>108</v>
      </c>
      <c r="AL49" s="150">
        <f>'10'!AL47*'10'!AL48</f>
        <v>0</v>
      </c>
      <c r="AM49" s="149" t="s">
        <v>108</v>
      </c>
      <c r="AN49" s="150">
        <f>AN47*AN48</f>
        <v>13296.276</v>
      </c>
      <c r="AO49" s="1079"/>
      <c r="AP49" s="1079"/>
      <c r="AQ49" s="995"/>
      <c r="AR49" s="99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COUNTA('22'!O7:O18)</f>
        <v>12</v>
      </c>
      <c r="P51" s="974">
        <f>COUNTA('22'!W17:W28)</f>
        <v>0</v>
      </c>
      <c r="R51" s="992">
        <f>COUNTIF('22'!O7:O18,"&gt;=0,5")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 t="s">
        <v>155</v>
      </c>
      <c r="AD52" s="1001"/>
      <c r="AE52" s="1001"/>
      <c r="AF52" s="989" t="s">
        <v>102</v>
      </c>
      <c r="AG52" s="1002" t="e">
        <f>SUM('22'!Y53,'22'!AA53,'22'!AC53,'22'!AE53)</f>
        <v>#VALUE!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79"/>
      <c r="AP52" s="1079"/>
      <c r="AQ52" s="313"/>
      <c r="AR52" s="31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'22'!Y52*275.3</f>
        <v>0</v>
      </c>
      <c r="Z53" s="149" t="s">
        <v>104</v>
      </c>
      <c r="AA53" s="150">
        <f>262.4*'22'!AA52</f>
        <v>0</v>
      </c>
      <c r="AB53" s="149" t="s">
        <v>104</v>
      </c>
      <c r="AC53" s="167" t="e">
        <f>'22'!AC52*277.7</f>
        <v>#VALUE!</v>
      </c>
      <c r="AD53" s="149" t="s">
        <v>104</v>
      </c>
      <c r="AE53" s="230">
        <v>0</v>
      </c>
      <c r="AF53" s="989"/>
      <c r="AG53" s="1002"/>
      <c r="AI53" s="144" t="s">
        <v>101</v>
      </c>
      <c r="AJ53" s="166"/>
      <c r="AK53" s="144" t="s">
        <v>101</v>
      </c>
      <c r="AL53" s="164"/>
      <c r="AM53" s="144" t="s">
        <v>101</v>
      </c>
      <c r="AN53" s="164"/>
      <c r="AO53" s="1079"/>
      <c r="AP53" s="1079"/>
      <c r="AQ53" s="989" t="s">
        <v>102</v>
      </c>
      <c r="AR53" s="1002">
        <f>'10'!AJ54+'10'!AL54+'10'!AN54+'10'!AP54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'22'!AS7</f>
        <v>1.3740000000000001</v>
      </c>
      <c r="Z54" s="153" t="s">
        <v>105</v>
      </c>
      <c r="AA54" s="155">
        <f>'22'!Y54</f>
        <v>1.3740000000000001</v>
      </c>
      <c r="AB54" s="153" t="s">
        <v>105</v>
      </c>
      <c r="AC54" s="154">
        <f>'22'!Y54</f>
        <v>1.3740000000000001</v>
      </c>
      <c r="AD54" s="153" t="s">
        <v>105</v>
      </c>
      <c r="AE54" s="256">
        <f>'22'!Y54</f>
        <v>1.3740000000000001</v>
      </c>
      <c r="AF54" s="995" t="s">
        <v>106</v>
      </c>
      <c r="AG54" s="996" t="e">
        <f>SUM('22'!Y55,'22'!AA55,'22'!AC55,'22'!AE55)</f>
        <v>#VALUE!</v>
      </c>
      <c r="AI54" s="149" t="s">
        <v>104</v>
      </c>
      <c r="AJ54" s="150">
        <f>AJ53*275.3</f>
        <v>0</v>
      </c>
      <c r="AK54" s="149" t="s">
        <v>104</v>
      </c>
      <c r="AL54" s="150">
        <f>262.4*AL53</f>
        <v>0</v>
      </c>
      <c r="AM54" s="149" t="s">
        <v>104</v>
      </c>
      <c r="AN54" s="167">
        <f>AN53*277.7</f>
        <v>0</v>
      </c>
      <c r="AO54" s="1079"/>
      <c r="AP54" s="1079"/>
      <c r="AQ54" s="989"/>
      <c r="AR54" s="1002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'22'!Y53*'22'!Y54</f>
        <v>0</v>
      </c>
      <c r="Z55" s="149" t="s">
        <v>108</v>
      </c>
      <c r="AA55" s="150">
        <f>'22'!AA53*'22'!AA54</f>
        <v>0</v>
      </c>
      <c r="AB55" s="149" t="s">
        <v>108</v>
      </c>
      <c r="AC55" s="150" t="e">
        <f>'22'!AC53*'22'!AC54</f>
        <v>#VALUE!</v>
      </c>
      <c r="AD55" s="149" t="s">
        <v>108</v>
      </c>
      <c r="AE55" s="150">
        <f>'22'!AE53*'22'!AE54</f>
        <v>0</v>
      </c>
      <c r="AF55" s="995"/>
      <c r="AG55" s="996"/>
      <c r="AI55" s="153" t="s">
        <v>105</v>
      </c>
      <c r="AJ55" s="154">
        <f>Y54</f>
        <v>1.3740000000000001</v>
      </c>
      <c r="AK55" s="153" t="s">
        <v>105</v>
      </c>
      <c r="AL55" s="154">
        <f>'10'!AJ55</f>
        <v>0</v>
      </c>
      <c r="AM55" s="153" t="s">
        <v>105</v>
      </c>
      <c r="AN55" s="154">
        <f>AJ55</f>
        <v>1.3740000000000001</v>
      </c>
      <c r="AO55" s="1079"/>
      <c r="AP55" s="1079"/>
      <c r="AQ55" s="995" t="s">
        <v>106</v>
      </c>
      <c r="AR55" s="996">
        <f>SUM('10'!AJ56,'10'!AL56,'10'!AN56,'10'!AP56)</f>
        <v>0</v>
      </c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AJ54*AJ55</f>
        <v>0</v>
      </c>
      <c r="AK56" s="149" t="s">
        <v>108</v>
      </c>
      <c r="AL56" s="150">
        <f>AL54*AL55</f>
        <v>0</v>
      </c>
      <c r="AM56" s="149" t="s">
        <v>108</v>
      </c>
      <c r="AN56" s="150">
        <f>AN54*AN55</f>
        <v>0</v>
      </c>
      <c r="AO56" s="1079"/>
      <c r="AP56" s="1079"/>
      <c r="AQ56" s="995"/>
      <c r="AR56" s="996"/>
    </row>
    <row r="57" spans="15:44" ht="15.75" customHeight="1">
      <c r="O57" s="1003">
        <f>COUNTA('22'!N7:N18)</f>
        <v>12</v>
      </c>
      <c r="P57" s="1003"/>
      <c r="R57" s="1004">
        <f>COUNTIF('22'!N7:N18,"&gt;=6")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5">
        <f>AJ56+AL56+AN56</f>
        <v>0</v>
      </c>
      <c r="AM61" s="1015"/>
      <c r="AN61" s="1010" t="s">
        <v>121</v>
      </c>
      <c r="AO61" s="1010"/>
      <c r="AP61" s="1010"/>
      <c r="AQ61" s="1011">
        <f>AJ49+AL49+AN49</f>
        <v>31603.726000000002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29845.200000000001</v>
      </c>
      <c r="AR62" s="1016"/>
    </row>
    <row r="63" spans="15:44" ht="15" customHeight="1">
      <c r="X63" s="170" t="s">
        <v>124</v>
      </c>
      <c r="Y63" s="171">
        <v>0</v>
      </c>
      <c r="Z63" s="1013"/>
      <c r="AA63" s="1013"/>
      <c r="AB63" s="172" t="s">
        <v>124</v>
      </c>
      <c r="AC63" s="173">
        <v>0</v>
      </c>
      <c r="AE63" s="49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1758.5260000000017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>
        <f>'21'!$Y$68</f>
        <v>-4600.533333333331</v>
      </c>
      <c r="Z65" s="1013"/>
      <c r="AA65" s="1013"/>
      <c r="AB65" s="176" t="s">
        <v>126</v>
      </c>
      <c r="AC65" s="241">
        <f>'21'!$AC$68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280">
        <f>SUM('22'!AK38,'22'!AP38)</f>
        <v>2462.9499999999998</v>
      </c>
      <c r="Z67" s="1013"/>
      <c r="AA67" s="1013"/>
      <c r="AB67" s="172" t="s">
        <v>124</v>
      </c>
      <c r="AC67" s="169">
        <f>SUM('22'!AM38,'22'!AR38)</f>
        <v>0</v>
      </c>
    </row>
    <row r="68" spans="24:29" ht="15.75" customHeight="1">
      <c r="X68" s="170" t="s">
        <v>128</v>
      </c>
      <c r="Y68" s="179">
        <f>SUM('22'!Y63,'22'!Y65)-'22'!Y67</f>
        <v>-7063.4833333333308</v>
      </c>
      <c r="Z68" s="1013"/>
      <c r="AA68" s="1013"/>
      <c r="AB68" s="172" t="s">
        <v>128</v>
      </c>
      <c r="AC68" s="180">
        <f>SUM('22'!AC63,'22'!AC65)-'22'!AC67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H7" sqref="H7:H18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07" t="s">
        <v>13</v>
      </c>
      <c r="U4" s="110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07"/>
      <c r="U5" s="110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7.100000000000001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08"/>
      <c r="V6" s="932"/>
      <c r="W6" s="932"/>
      <c r="X6" s="13">
        <v>4.1666666666666699E-2</v>
      </c>
      <c r="Y6" s="54">
        <v>2647</v>
      </c>
      <c r="Z6" s="182">
        <v>935</v>
      </c>
      <c r="AA6" s="15">
        <v>1</v>
      </c>
      <c r="AB6" s="58">
        <f>IF('23'!AA6=1,(('23'!Z6*'23'!$AS$6*'23'!$AT$6)/('23'!Y6*0.0036)),IF('23'!AA6=2,(('23'!Z6*'23'!$AS$7*'23'!$AT$7)/('23'!Y6*0.0036))))</f>
        <v>65.740041136716627</v>
      </c>
      <c r="AC6" s="58"/>
      <c r="AD6" s="18">
        <f>(('23'!AC6*'23'!$Q$10*1000000))/('23'!Y6*3600)</f>
        <v>0</v>
      </c>
      <c r="AE6" s="183">
        <v>1250</v>
      </c>
      <c r="AF6" s="184">
        <f>('23'!AE6/24)*0.454</f>
        <v>23.645833333333336</v>
      </c>
      <c r="AG6" s="183">
        <v>1250</v>
      </c>
      <c r="AH6" s="184">
        <f>('23'!AG6/24)*0.454</f>
        <v>23.645833333333336</v>
      </c>
      <c r="AI6" s="182">
        <v>5500</v>
      </c>
      <c r="AJ6" s="184">
        <f>('23'!AI6/24)*0.454</f>
        <v>104.04166666666667</v>
      </c>
      <c r="AK6" s="21"/>
      <c r="AL6" s="185">
        <f>('23'!AK6/24)*0.454</f>
        <v>0</v>
      </c>
      <c r="AM6" s="21"/>
      <c r="AN6" s="185">
        <f>('23'!AM6/24)*0.454</f>
        <v>0</v>
      </c>
      <c r="AO6" s="21"/>
      <c r="AP6" s="185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310">
        <v>80</v>
      </c>
      <c r="C7" s="186">
        <v>12.5</v>
      </c>
      <c r="D7" s="186">
        <v>15</v>
      </c>
      <c r="E7" s="186">
        <v>2.5</v>
      </c>
      <c r="F7" s="186">
        <v>9.5</v>
      </c>
      <c r="G7" s="186">
        <v>2</v>
      </c>
      <c r="H7" s="186">
        <v>2.5</v>
      </c>
      <c r="I7" s="186">
        <v>0.7</v>
      </c>
      <c r="J7" s="186">
        <v>0.8</v>
      </c>
      <c r="K7" s="186">
        <v>7.3</v>
      </c>
      <c r="L7" s="186">
        <v>6.8</v>
      </c>
      <c r="M7" s="186">
        <v>6.8</v>
      </c>
      <c r="N7" s="186">
        <v>6.6</v>
      </c>
      <c r="O7" s="186">
        <v>3.3</v>
      </c>
      <c r="P7" s="186"/>
      <c r="Q7" s="188"/>
      <c r="R7" s="37">
        <f>'22'!Z29</f>
        <v>935</v>
      </c>
      <c r="S7" s="187">
        <f>'22'!$AB$29</f>
        <v>64.954974718983749</v>
      </c>
      <c r="T7" s="37">
        <f>'22'!$Y$29</f>
        <v>2659</v>
      </c>
      <c r="U7" s="33" t="str">
        <f>IF('23'!AA6=1,'23'!AR6,'23'!AR7)</f>
        <v>S.A.L</v>
      </c>
      <c r="V7" s="1022">
        <f>ESCALA!$C$24</f>
        <v>0</v>
      </c>
      <c r="W7" s="1022"/>
      <c r="X7" s="13">
        <v>8.3333333333333301E-2</v>
      </c>
      <c r="Y7" s="54">
        <v>2643</v>
      </c>
      <c r="Z7" s="182">
        <v>935</v>
      </c>
      <c r="AA7" s="15">
        <v>1</v>
      </c>
      <c r="AB7" s="58">
        <f>IF('23'!AA7=1,(('23'!Z7*'23'!$AS$6*'23'!$AT$6)/('23'!Y7*0.0036)),IF('23'!AA7=2,(('23'!Z7*'23'!$AS$7*'23'!$AT$7)/('23'!Y7*0.0036))))</f>
        <v>65.839534199352599</v>
      </c>
      <c r="AC7" s="58"/>
      <c r="AD7" s="18">
        <f>(('23'!AC7*'23'!$Q$10*1000000))/('23'!Y7*3600)</f>
        <v>0</v>
      </c>
      <c r="AE7" s="183">
        <v>1250</v>
      </c>
      <c r="AF7" s="184">
        <f>('23'!AE7/24)*0.454</f>
        <v>23.645833333333336</v>
      </c>
      <c r="AG7" s="183">
        <v>1250</v>
      </c>
      <c r="AH7" s="184">
        <f>('23'!AG7/24)*0.454</f>
        <v>23.645833333333336</v>
      </c>
      <c r="AI7" s="182">
        <v>5500</v>
      </c>
      <c r="AJ7" s="184">
        <f>('23'!AI7/24)*0.454</f>
        <v>104.04166666666667</v>
      </c>
      <c r="AK7" s="21"/>
      <c r="AL7" s="185">
        <f>('23'!AK7/24)*0.454</f>
        <v>0</v>
      </c>
      <c r="AM7" s="21"/>
      <c r="AN7" s="185">
        <f>('23'!AM7/24)*0.454</f>
        <v>0</v>
      </c>
      <c r="AO7" s="21"/>
      <c r="AP7" s="185">
        <f>('23'!AO7/24)*0.454</f>
        <v>0</v>
      </c>
      <c r="AQ7" s="24">
        <v>2</v>
      </c>
      <c r="AR7" s="25" t="s">
        <v>49</v>
      </c>
      <c r="AS7" s="26">
        <v>1.33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310">
        <v>80</v>
      </c>
      <c r="C8" s="186">
        <v>12.5</v>
      </c>
      <c r="D8" s="186">
        <v>15</v>
      </c>
      <c r="E8" s="186">
        <v>2.5</v>
      </c>
      <c r="F8" s="186">
        <v>9.6999999999999993</v>
      </c>
      <c r="G8" s="186">
        <v>2</v>
      </c>
      <c r="H8" s="186">
        <v>2.4</v>
      </c>
      <c r="I8" s="186">
        <v>0.7</v>
      </c>
      <c r="J8" s="186">
        <v>0.8</v>
      </c>
      <c r="K8" s="186">
        <v>7.3</v>
      </c>
      <c r="L8" s="186">
        <v>6.8</v>
      </c>
      <c r="M8" s="186">
        <v>6.8</v>
      </c>
      <c r="N8" s="186">
        <v>6.6</v>
      </c>
      <c r="O8" s="186">
        <v>3.3</v>
      </c>
      <c r="P8" s="186"/>
      <c r="Q8" s="188"/>
      <c r="R8" s="35">
        <f>'23'!Z7</f>
        <v>935</v>
      </c>
      <c r="S8" s="36">
        <f>'23'!AB7</f>
        <v>65.839534199352599</v>
      </c>
      <c r="T8" s="37">
        <f>'23'!Y7</f>
        <v>2643</v>
      </c>
      <c r="U8" s="33" t="str">
        <f>IF('23'!AA7=1,'23'!AR6,'23'!AR7)</f>
        <v>S.A.L</v>
      </c>
      <c r="V8" s="1022"/>
      <c r="W8" s="1022"/>
      <c r="X8" s="13">
        <v>0.125</v>
      </c>
      <c r="Y8" s="54">
        <v>2654</v>
      </c>
      <c r="Z8" s="182">
        <v>935</v>
      </c>
      <c r="AA8" s="15">
        <v>1</v>
      </c>
      <c r="AB8" s="58">
        <f>IF('23'!AA8=1,(('23'!Z8*'23'!$AS$6*'23'!$AT$6)/('23'!Y8*0.0036)),IF('23'!AA8=2,(('23'!Z8*'23'!$AS$7*'23'!$AT$7)/('23'!Y8*0.0036))))</f>
        <v>65.566649920455504</v>
      </c>
      <c r="AC8" s="58"/>
      <c r="AD8" s="18">
        <f>(('23'!AC8*'23'!$Q$10*1000000))/('23'!Y8*3600)</f>
        <v>0</v>
      </c>
      <c r="AE8" s="183">
        <v>1250</v>
      </c>
      <c r="AF8" s="184">
        <f>('23'!AE8/24)*0.454</f>
        <v>23.645833333333336</v>
      </c>
      <c r="AG8" s="183">
        <v>1250</v>
      </c>
      <c r="AH8" s="184">
        <f>('23'!AG8/24)*0.454</f>
        <v>23.645833333333336</v>
      </c>
      <c r="AI8" s="182">
        <v>5500</v>
      </c>
      <c r="AJ8" s="184">
        <f>('23'!AI8/24)*0.454</f>
        <v>104.04166666666667</v>
      </c>
      <c r="AK8" s="21"/>
      <c r="AL8" s="185">
        <f>('23'!AK8/24)*0.454</f>
        <v>0</v>
      </c>
      <c r="AM8" s="21"/>
      <c r="AN8" s="185">
        <f>('23'!AM8/24)*0.454</f>
        <v>0</v>
      </c>
      <c r="AO8" s="21"/>
      <c r="AP8" s="185">
        <f>('23'!AO8/24)*0.454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310">
        <v>80</v>
      </c>
      <c r="C9" s="186">
        <v>12.5</v>
      </c>
      <c r="D9" s="186">
        <v>15</v>
      </c>
      <c r="E9" s="186">
        <v>2.5</v>
      </c>
      <c r="F9" s="186">
        <v>10</v>
      </c>
      <c r="G9" s="186">
        <v>2</v>
      </c>
      <c r="H9" s="186">
        <v>2.4</v>
      </c>
      <c r="I9" s="186">
        <v>0.7</v>
      </c>
      <c r="J9" s="186">
        <v>0.8</v>
      </c>
      <c r="K9" s="186">
        <v>7.3</v>
      </c>
      <c r="L9" s="186">
        <v>6.8</v>
      </c>
      <c r="M9" s="186">
        <v>6.8</v>
      </c>
      <c r="N9" s="186">
        <v>6.6</v>
      </c>
      <c r="O9" s="186">
        <v>3.3</v>
      </c>
      <c r="P9" s="186"/>
      <c r="Q9" s="188"/>
      <c r="R9" s="37">
        <f>'23'!Z9</f>
        <v>935</v>
      </c>
      <c r="S9" s="36">
        <f>'23'!AB9</f>
        <v>65.076248649547082</v>
      </c>
      <c r="T9" s="37">
        <f>'23'!Y9</f>
        <v>2674</v>
      </c>
      <c r="U9" s="33" t="str">
        <f>IF('23'!AA9=1,'23'!AR6,'23'!AR7)</f>
        <v>S.A.L</v>
      </c>
      <c r="V9" s="1022"/>
      <c r="W9" s="1022"/>
      <c r="X9" s="13">
        <v>0.16666666666666699</v>
      </c>
      <c r="Y9" s="54">
        <v>2674</v>
      </c>
      <c r="Z9" s="182">
        <v>935</v>
      </c>
      <c r="AA9" s="15">
        <v>1</v>
      </c>
      <c r="AB9" s="58">
        <f>IF('23'!AA9=1,(('23'!Z9*'23'!$AS$6*'23'!$AT$6)/('23'!Y9*0.0036)),IF('23'!AA9=2,(('23'!Z9*'23'!$AS$7*'23'!$AT$7)/('23'!Y9*0.0036))))</f>
        <v>65.076248649547082</v>
      </c>
      <c r="AC9" s="58"/>
      <c r="AD9" s="18">
        <f>(('23'!AC9*'23'!$Q$10*1000000))/('23'!Y9*3600)</f>
        <v>0</v>
      </c>
      <c r="AE9" s="183">
        <v>1250</v>
      </c>
      <c r="AF9" s="184">
        <f>('23'!AE9/24)*0.454</f>
        <v>23.645833333333336</v>
      </c>
      <c r="AG9" s="183">
        <v>1250</v>
      </c>
      <c r="AH9" s="184">
        <f>('23'!AG9/24)*0.454</f>
        <v>23.645833333333336</v>
      </c>
      <c r="AI9" s="182">
        <v>5500</v>
      </c>
      <c r="AJ9" s="184">
        <f>('23'!AI9/24)*0.454</f>
        <v>104.04166666666667</v>
      </c>
      <c r="AK9" s="21"/>
      <c r="AL9" s="185">
        <f>('23'!AK9/24)*0.454</f>
        <v>0</v>
      </c>
      <c r="AM9" s="21"/>
      <c r="AN9" s="185">
        <f>('23'!AM9/24)*0.454</f>
        <v>0</v>
      </c>
      <c r="AO9" s="21"/>
      <c r="AP9" s="185">
        <f>('23'!AO9/24)*0.454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310">
        <v>80</v>
      </c>
      <c r="C10" s="186">
        <v>12.5</v>
      </c>
      <c r="D10" s="186">
        <v>15</v>
      </c>
      <c r="E10" s="186">
        <v>2.5</v>
      </c>
      <c r="F10" s="186">
        <v>10.8</v>
      </c>
      <c r="G10" s="186">
        <v>2</v>
      </c>
      <c r="H10" s="186">
        <v>2.2999999999999998</v>
      </c>
      <c r="I10" s="186">
        <v>0.7</v>
      </c>
      <c r="J10" s="186">
        <v>0.8</v>
      </c>
      <c r="K10" s="186">
        <v>7.3</v>
      </c>
      <c r="L10" s="186">
        <v>6.8</v>
      </c>
      <c r="M10" s="186">
        <v>6.8</v>
      </c>
      <c r="N10" s="186">
        <v>6.6</v>
      </c>
      <c r="O10" s="186">
        <v>3.3</v>
      </c>
      <c r="P10" s="186"/>
      <c r="Q10" s="188"/>
      <c r="R10" s="37">
        <f>'23'!Z11</f>
        <v>935</v>
      </c>
      <c r="S10" s="36">
        <f>'23'!AB11</f>
        <v>64.140762583445962</v>
      </c>
      <c r="T10" s="37">
        <f>'23'!Y11</f>
        <v>2713</v>
      </c>
      <c r="U10" s="33" t="str">
        <f>IF('23'!AA11=1,'23'!AR6,'23'!AR7)</f>
        <v>S.A.L</v>
      </c>
      <c r="V10" s="1022"/>
      <c r="W10" s="1022"/>
      <c r="X10" s="13">
        <v>0.20833333333333301</v>
      </c>
      <c r="Y10" s="54">
        <v>2732</v>
      </c>
      <c r="Z10" s="182">
        <v>935</v>
      </c>
      <c r="AA10" s="15">
        <v>1</v>
      </c>
      <c r="AB10" s="58">
        <f>IF('23'!AA10=1,(('23'!Z10*'23'!$AS$6*'23'!$AT$6)/('23'!Y10*0.0036)),IF('23'!AA10=2,(('23'!Z10*'23'!$AS$7*'23'!$AT$7)/('23'!Y10*0.0036))))</f>
        <v>63.69468846591834</v>
      </c>
      <c r="AC10" s="58"/>
      <c r="AD10" s="18">
        <f>(('23'!AC10*'23'!$Q$10*1000000))/('23'!Y10*3600)</f>
        <v>0</v>
      </c>
      <c r="AE10" s="183">
        <v>1250</v>
      </c>
      <c r="AF10" s="184">
        <f>('23'!AE10/24)*0.454</f>
        <v>23.645833333333336</v>
      </c>
      <c r="AG10" s="183">
        <v>1250</v>
      </c>
      <c r="AH10" s="184">
        <f>('23'!AG10/24)*0.454</f>
        <v>23.645833333333336</v>
      </c>
      <c r="AI10" s="182">
        <v>5500</v>
      </c>
      <c r="AJ10" s="184">
        <f>('23'!AI10/24)*0.454</f>
        <v>104.04166666666667</v>
      </c>
      <c r="AK10" s="21"/>
      <c r="AL10" s="185">
        <f>('23'!AK10/24)*0.454</f>
        <v>0</v>
      </c>
      <c r="AM10" s="21"/>
      <c r="AN10" s="185">
        <f>('23'!AM10/24)*0.454</f>
        <v>0</v>
      </c>
      <c r="AO10" s="21"/>
      <c r="AP10" s="185">
        <f>('23'!AO10/24)*0.454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310">
        <v>80</v>
      </c>
      <c r="C11" s="186">
        <v>15</v>
      </c>
      <c r="D11" s="186">
        <v>15</v>
      </c>
      <c r="E11" s="186">
        <v>2.5</v>
      </c>
      <c r="F11" s="186">
        <v>11</v>
      </c>
      <c r="G11" s="186">
        <v>2.1</v>
      </c>
      <c r="H11" s="186">
        <v>2.2000000000000002</v>
      </c>
      <c r="I11" s="186">
        <v>0.6</v>
      </c>
      <c r="J11" s="186">
        <v>0.6</v>
      </c>
      <c r="K11" s="186">
        <v>7.3</v>
      </c>
      <c r="L11" s="186">
        <v>6.8</v>
      </c>
      <c r="M11" s="186">
        <v>6.8</v>
      </c>
      <c r="N11" s="186">
        <v>6.6</v>
      </c>
      <c r="O11" s="186">
        <v>3</v>
      </c>
      <c r="P11" s="186"/>
      <c r="Q11" s="188"/>
      <c r="R11" s="37">
        <f>'23'!Z13</f>
        <v>935</v>
      </c>
      <c r="S11" s="36">
        <f>'23'!AB13</f>
        <v>65.222597034815934</v>
      </c>
      <c r="T11" s="37">
        <f>'23'!Y13</f>
        <v>2668</v>
      </c>
      <c r="U11" s="33" t="str">
        <f>IF('23'!AA13=1,'23'!AR6,'23'!AR7)</f>
        <v>S.A.L</v>
      </c>
      <c r="V11" s="1022"/>
      <c r="W11" s="1022"/>
      <c r="X11" s="13">
        <v>0.25</v>
      </c>
      <c r="Y11" s="54">
        <v>2713</v>
      </c>
      <c r="Z11" s="182">
        <v>935</v>
      </c>
      <c r="AA11" s="15">
        <v>1</v>
      </c>
      <c r="AB11" s="58">
        <f>IF('23'!AA11=1,(('23'!Z11*'23'!$AS$6*'23'!$AT$6)/('23'!Y11*0.0036)),IF('23'!AA11=2,(('23'!Z11*'23'!$AS$7*'23'!$AT$7)/('23'!Y11*0.0036))))</f>
        <v>64.140762583445962</v>
      </c>
      <c r="AC11" s="58"/>
      <c r="AD11" s="18">
        <f>(('23'!AC11*'23'!$Q$10*1000000))/('23'!Y11*3600)</f>
        <v>0</v>
      </c>
      <c r="AE11" s="183">
        <v>1250</v>
      </c>
      <c r="AF11" s="184">
        <f>('23'!AE11/24)*0.454</f>
        <v>23.645833333333336</v>
      </c>
      <c r="AG11" s="183">
        <v>1250</v>
      </c>
      <c r="AH11" s="184">
        <f>('23'!AG11/24)*0.454</f>
        <v>23.645833333333336</v>
      </c>
      <c r="AI11" s="182">
        <v>5500</v>
      </c>
      <c r="AJ11" s="184">
        <f>('23'!AI11/24)*0.454</f>
        <v>104.04166666666667</v>
      </c>
      <c r="AK11" s="21"/>
      <c r="AL11" s="185">
        <f>('23'!AK11/24)*0.454</f>
        <v>0</v>
      </c>
      <c r="AM11" s="21"/>
      <c r="AN11" s="185">
        <f>('23'!AM11/24)*0.454</f>
        <v>0</v>
      </c>
      <c r="AO11" s="21"/>
      <c r="AP11" s="185">
        <f>('23'!AO11/24)*0.454</f>
        <v>0</v>
      </c>
    </row>
    <row r="12" spans="1:47" ht="18.75" customHeight="1">
      <c r="A12" s="28">
        <v>0.41666666666666702</v>
      </c>
      <c r="B12" s="310">
        <v>80</v>
      </c>
      <c r="C12" s="186">
        <v>15</v>
      </c>
      <c r="D12" s="186">
        <v>15</v>
      </c>
      <c r="E12" s="186">
        <v>2.5</v>
      </c>
      <c r="F12" s="186">
        <v>11</v>
      </c>
      <c r="G12" s="186">
        <v>2.2000000000000002</v>
      </c>
      <c r="H12" s="186">
        <v>2.2999999999999998</v>
      </c>
      <c r="I12" s="186">
        <v>0.6</v>
      </c>
      <c r="J12" s="186">
        <v>0.6</v>
      </c>
      <c r="K12" s="186">
        <v>7.3</v>
      </c>
      <c r="L12" s="186">
        <v>6.8</v>
      </c>
      <c r="M12" s="186">
        <v>6.8</v>
      </c>
      <c r="N12" s="186">
        <v>6.6</v>
      </c>
      <c r="O12" s="186">
        <v>3</v>
      </c>
      <c r="P12" s="186"/>
      <c r="Q12" s="188"/>
      <c r="R12" s="37">
        <f>'23'!Z15</f>
        <v>935</v>
      </c>
      <c r="S12" s="36">
        <f>'23'!AB15</f>
        <v>65.394170946594855</v>
      </c>
      <c r="T12" s="37">
        <f>'23'!Y15</f>
        <v>2661</v>
      </c>
      <c r="U12" s="33" t="str">
        <f>IF('23'!AA15=1,'23'!AR6,'23'!AR7)</f>
        <v>S.A.L</v>
      </c>
      <c r="V12" s="944">
        <f>ESCALA!$B$25</f>
        <v>0</v>
      </c>
      <c r="W12" s="944"/>
      <c r="X12" s="13">
        <v>0.29166666666666702</v>
      </c>
      <c r="Y12" s="54">
        <v>2708</v>
      </c>
      <c r="Z12" s="182">
        <v>935</v>
      </c>
      <c r="AA12" s="15">
        <v>1</v>
      </c>
      <c r="AB12" s="58">
        <f>IF('23'!AA12=1,(('23'!Z12*'23'!$AS$6*'23'!$AT$6)/('23'!Y12*0.0036)),IF('23'!AA12=2,(('23'!Z12*'23'!$AS$7*'23'!$AT$7)/('23'!Y12*0.0036))))</f>
        <v>64.259190874774347</v>
      </c>
      <c r="AC12" s="58"/>
      <c r="AD12" s="18">
        <f>(('23'!AC12*'23'!$Q$10*1000000))/('23'!Y12*3600)</f>
        <v>0</v>
      </c>
      <c r="AE12" s="183">
        <v>1250</v>
      </c>
      <c r="AF12" s="184">
        <f>('23'!AE12/24)*0.454</f>
        <v>23.645833333333336</v>
      </c>
      <c r="AG12" s="183">
        <v>1250</v>
      </c>
      <c r="AH12" s="184">
        <f>('23'!AG12/24)*0.454</f>
        <v>23.645833333333336</v>
      </c>
      <c r="AI12" s="182">
        <v>5500</v>
      </c>
      <c r="AJ12" s="184">
        <f>('23'!AI12/24)*0.454</f>
        <v>104.04166666666667</v>
      </c>
      <c r="AK12" s="21"/>
      <c r="AL12" s="185">
        <f>('23'!AK12/24)*0.454</f>
        <v>0</v>
      </c>
      <c r="AM12" s="21"/>
      <c r="AN12" s="185">
        <f>('23'!AM12/24)*0.454</f>
        <v>0</v>
      </c>
      <c r="AO12" s="21"/>
      <c r="AP12" s="185">
        <f>('23'!AO12/24)*0.454</f>
        <v>0</v>
      </c>
    </row>
    <row r="13" spans="1:47" ht="18.75" customHeight="1">
      <c r="A13" s="28">
        <v>0.5</v>
      </c>
      <c r="B13" s="310">
        <v>80</v>
      </c>
      <c r="C13" s="186">
        <v>15</v>
      </c>
      <c r="D13" s="186">
        <v>15</v>
      </c>
      <c r="E13" s="186">
        <v>2.5</v>
      </c>
      <c r="F13" s="186">
        <v>12</v>
      </c>
      <c r="G13" s="186">
        <v>2.4</v>
      </c>
      <c r="H13" s="186">
        <v>2.2999999999999998</v>
      </c>
      <c r="I13" s="186">
        <v>0.6</v>
      </c>
      <c r="J13" s="186">
        <v>0.6</v>
      </c>
      <c r="K13" s="186">
        <v>7.3</v>
      </c>
      <c r="L13" s="186">
        <v>6.8</v>
      </c>
      <c r="M13" s="186">
        <v>6.8</v>
      </c>
      <c r="N13" s="186">
        <v>6.6</v>
      </c>
      <c r="O13" s="186">
        <v>3.2</v>
      </c>
      <c r="P13" s="186"/>
      <c r="Q13" s="188"/>
      <c r="R13" s="37">
        <f>'23'!Z17</f>
        <v>877</v>
      </c>
      <c r="S13" s="36">
        <f>'23'!AB17</f>
        <v>60.880061336980397</v>
      </c>
      <c r="T13" s="37">
        <f>'23'!Y17</f>
        <v>2681</v>
      </c>
      <c r="U13" s="33" t="str">
        <f>IF('23'!AA17=1,'23'!AR6,'23'!AR7)</f>
        <v>S.A.L</v>
      </c>
      <c r="V13" s="944"/>
      <c r="W13" s="944"/>
      <c r="X13" s="13">
        <v>0.33333333333333298</v>
      </c>
      <c r="Y13" s="54">
        <v>2668</v>
      </c>
      <c r="Z13" s="182">
        <v>935</v>
      </c>
      <c r="AA13" s="15">
        <v>1</v>
      </c>
      <c r="AB13" s="58">
        <f>IF('23'!AA13=1,(('23'!Z13*'23'!$AS$6*'23'!$AT$6)/('23'!Y13*0.0036)),IF('23'!AA13=2,(('23'!Z13*'23'!$AS$7*'23'!$AT$7)/('23'!Y13*0.0036))))</f>
        <v>65.222597034815934</v>
      </c>
      <c r="AC13" s="58"/>
      <c r="AD13" s="18">
        <f>(('23'!AC13*'23'!$Q$10*1000000))/('23'!Y13*3600)</f>
        <v>0</v>
      </c>
      <c r="AE13" s="183">
        <v>1250</v>
      </c>
      <c r="AF13" s="184">
        <f>('23'!AE13/24)*0.454</f>
        <v>23.645833333333336</v>
      </c>
      <c r="AG13" s="183">
        <v>1250</v>
      </c>
      <c r="AH13" s="184">
        <f>('23'!AG13/24)*0.454</f>
        <v>23.645833333333336</v>
      </c>
      <c r="AI13" s="182">
        <v>5000</v>
      </c>
      <c r="AJ13" s="184">
        <f>('23'!AI13/24)*0.454</f>
        <v>94.583333333333343</v>
      </c>
      <c r="AK13" s="21"/>
      <c r="AL13" s="185">
        <f>('23'!AK13/24)*0.454</f>
        <v>0</v>
      </c>
      <c r="AM13" s="21"/>
      <c r="AN13" s="185">
        <f>('23'!AM13/24)*0.454</f>
        <v>0</v>
      </c>
      <c r="AO13" s="21"/>
      <c r="AP13" s="185">
        <f>('23'!AO13/24)*0.454</f>
        <v>0</v>
      </c>
    </row>
    <row r="14" spans="1:47" ht="18.75" customHeight="1">
      <c r="A14" s="28">
        <v>0.58333333333333304</v>
      </c>
      <c r="B14" s="310">
        <v>80</v>
      </c>
      <c r="C14" s="186">
        <v>15</v>
      </c>
      <c r="D14" s="186">
        <v>15</v>
      </c>
      <c r="E14" s="186">
        <v>2.5</v>
      </c>
      <c r="F14" s="186">
        <v>13</v>
      </c>
      <c r="G14" s="186">
        <v>2.4</v>
      </c>
      <c r="H14" s="186">
        <v>2.5</v>
      </c>
      <c r="I14" s="186">
        <v>0.6</v>
      </c>
      <c r="J14" s="186">
        <v>0.6</v>
      </c>
      <c r="K14" s="186">
        <v>7.3</v>
      </c>
      <c r="L14" s="186">
        <v>6.8</v>
      </c>
      <c r="M14" s="186">
        <v>6.8</v>
      </c>
      <c r="N14" s="186">
        <v>6.6</v>
      </c>
      <c r="O14" s="186">
        <v>3.5</v>
      </c>
      <c r="P14" s="186"/>
      <c r="Q14" s="188"/>
      <c r="R14" s="37">
        <f>'23'!Z19</f>
        <v>877</v>
      </c>
      <c r="S14" s="36">
        <f>'23'!AB19</f>
        <v>61.755370580569227</v>
      </c>
      <c r="T14" s="37">
        <f>'23'!Y19</f>
        <v>2643</v>
      </c>
      <c r="U14" s="33" t="str">
        <f>IF('23'!AA19=1,'23'!AR6,'23'!AR7)</f>
        <v>S.A.L</v>
      </c>
      <c r="V14" s="944"/>
      <c r="W14" s="944"/>
      <c r="X14" s="13">
        <v>0.375</v>
      </c>
      <c r="Y14" s="54">
        <v>2670</v>
      </c>
      <c r="Z14" s="182">
        <v>935</v>
      </c>
      <c r="AA14" s="15">
        <v>1</v>
      </c>
      <c r="AB14" s="58">
        <f>IF('23'!AA14=1,(('23'!Z14*'23'!$AS$6*'23'!$AT$6)/('23'!Y14*0.0036)),IF('23'!AA14=2,(('23'!Z14*'23'!$AS$7*'23'!$AT$7)/('23'!Y14*0.0036))))</f>
        <v>65.173741156887232</v>
      </c>
      <c r="AC14" s="58"/>
      <c r="AD14" s="18">
        <f>(('23'!AC14*'23'!$Q$10*1000000))/('23'!Y14*3600)</f>
        <v>0</v>
      </c>
      <c r="AE14" s="183">
        <v>1250</v>
      </c>
      <c r="AF14" s="184">
        <f>('23'!AE14/24)*0.454</f>
        <v>23.645833333333336</v>
      </c>
      <c r="AG14" s="183">
        <v>1250</v>
      </c>
      <c r="AH14" s="184">
        <f>('23'!AG14/24)*0.454</f>
        <v>23.645833333333336</v>
      </c>
      <c r="AI14" s="182">
        <v>5000</v>
      </c>
      <c r="AJ14" s="184">
        <f>('23'!AI14/24)*0.454</f>
        <v>94.583333333333343</v>
      </c>
      <c r="AK14" s="21"/>
      <c r="AL14" s="185">
        <f>('23'!AK14/24)*0.454</f>
        <v>0</v>
      </c>
      <c r="AM14" s="21"/>
      <c r="AN14" s="185">
        <f>('23'!AM14/24)*0.454</f>
        <v>0</v>
      </c>
      <c r="AO14" s="21"/>
      <c r="AP14" s="185">
        <f>('23'!AO14/24)*0.454</f>
        <v>0</v>
      </c>
    </row>
    <row r="15" spans="1:47" ht="18.75" customHeight="1">
      <c r="A15" s="28">
        <v>0.66666666666666696</v>
      </c>
      <c r="B15" s="310">
        <v>80</v>
      </c>
      <c r="C15" s="186">
        <v>15</v>
      </c>
      <c r="D15" s="186">
        <v>15</v>
      </c>
      <c r="E15" s="186">
        <v>2.5</v>
      </c>
      <c r="F15" s="186">
        <v>12</v>
      </c>
      <c r="G15" s="186">
        <v>2.5</v>
      </c>
      <c r="H15" s="186">
        <v>2.5</v>
      </c>
      <c r="I15" s="186">
        <v>0.6</v>
      </c>
      <c r="J15" s="186">
        <v>0.6</v>
      </c>
      <c r="K15" s="186">
        <v>7.3</v>
      </c>
      <c r="L15" s="186">
        <v>6.8</v>
      </c>
      <c r="M15" s="186">
        <v>6.8</v>
      </c>
      <c r="N15" s="186">
        <v>6.6</v>
      </c>
      <c r="O15" s="186">
        <v>3.5</v>
      </c>
      <c r="P15" s="186"/>
      <c r="Q15" s="188"/>
      <c r="R15" s="37">
        <f>'23'!Z21</f>
        <v>979</v>
      </c>
      <c r="S15" s="36">
        <f>'23'!AB21</f>
        <v>68.833690131385652</v>
      </c>
      <c r="T15" s="37">
        <f>'23'!Y21</f>
        <v>2647</v>
      </c>
      <c r="U15" s="33" t="str">
        <f>IF('23'!AA21=1,'23'!AR6,'23'!AR7)</f>
        <v>S.A.L</v>
      </c>
      <c r="V15" s="944"/>
      <c r="W15" s="944"/>
      <c r="X15" s="13">
        <v>0.41666666666666702</v>
      </c>
      <c r="Y15" s="54">
        <v>2661</v>
      </c>
      <c r="Z15" s="182">
        <v>935</v>
      </c>
      <c r="AA15" s="15">
        <v>1</v>
      </c>
      <c r="AB15" s="58">
        <f>IF('23'!AA15=1,(('23'!Z15*'23'!$AS$6*'23'!$AT$6)/('23'!Y15*0.0036)),IF('23'!AA15=2,(('23'!Z15*'23'!$AS$7*'23'!$AT$7)/('23'!Y15*0.0036))))</f>
        <v>65.394170946594855</v>
      </c>
      <c r="AC15" s="58"/>
      <c r="AD15" s="18">
        <f>(('23'!AC15*'23'!$Q$10*1000000))/('23'!Y15*3600)</f>
        <v>0</v>
      </c>
      <c r="AE15" s="183">
        <v>1250</v>
      </c>
      <c r="AF15" s="184">
        <f>('23'!AE15/24)*0.454</f>
        <v>23.645833333333336</v>
      </c>
      <c r="AG15" s="183">
        <v>1250</v>
      </c>
      <c r="AH15" s="184">
        <f>('23'!AG15/24)*0.454</f>
        <v>23.645833333333336</v>
      </c>
      <c r="AI15" s="182">
        <v>5000</v>
      </c>
      <c r="AJ15" s="184">
        <f>('23'!AI15/24)*0.454</f>
        <v>94.583333333333343</v>
      </c>
      <c r="AK15" s="21"/>
      <c r="AL15" s="185">
        <f>('23'!AK15/24)*0.454</f>
        <v>0</v>
      </c>
      <c r="AM15" s="21"/>
      <c r="AN15" s="185">
        <f>('23'!AM15/24)*0.454</f>
        <v>0</v>
      </c>
      <c r="AO15" s="21"/>
      <c r="AP15" s="185">
        <f>('23'!AO15/24)*0.454</f>
        <v>0</v>
      </c>
    </row>
    <row r="16" spans="1:47" ht="18.75" customHeight="1">
      <c r="A16" s="28">
        <v>0.75</v>
      </c>
      <c r="B16" s="310">
        <v>80</v>
      </c>
      <c r="C16" s="186">
        <v>15</v>
      </c>
      <c r="D16" s="186">
        <v>15</v>
      </c>
      <c r="E16" s="186">
        <v>2.5</v>
      </c>
      <c r="F16" s="186">
        <v>12</v>
      </c>
      <c r="G16" s="186">
        <v>2</v>
      </c>
      <c r="H16" s="186">
        <v>2.6</v>
      </c>
      <c r="I16" s="186">
        <v>0.6</v>
      </c>
      <c r="J16" s="186">
        <v>0.6</v>
      </c>
      <c r="K16" s="186">
        <v>7.3</v>
      </c>
      <c r="L16" s="186">
        <v>6.8</v>
      </c>
      <c r="M16" s="186">
        <v>6.8</v>
      </c>
      <c r="N16" s="186">
        <v>6.6</v>
      </c>
      <c r="O16" s="186">
        <v>3.5</v>
      </c>
      <c r="P16" s="186"/>
      <c r="Q16" s="188"/>
      <c r="R16" s="37">
        <f>'23'!Z23</f>
        <v>979</v>
      </c>
      <c r="S16" s="36">
        <f>'23'!AB23</f>
        <v>68.266308646600905</v>
      </c>
      <c r="T16" s="37">
        <f>'23'!Y23</f>
        <v>2669</v>
      </c>
      <c r="U16" s="33" t="str">
        <f>IF('23'!AA23=1,'23'!AR6,'23'!AR7)</f>
        <v>S.A.L</v>
      </c>
      <c r="V16" s="944"/>
      <c r="W16" s="944"/>
      <c r="X16" s="13">
        <v>0.45833333333333298</v>
      </c>
      <c r="Y16" s="54">
        <v>2684</v>
      </c>
      <c r="Z16" s="182">
        <v>877</v>
      </c>
      <c r="AA16" s="15">
        <v>1</v>
      </c>
      <c r="AB16" s="58">
        <f>IF('23'!AA16=1,(('23'!Z16*'23'!$AS$6*'23'!$AT$6)/('23'!Y16*0.0036)),IF('23'!AA16=2,(('23'!Z16*'23'!$AS$7*'23'!$AT$7)/('23'!Y16*0.0036))))</f>
        <v>60.812013578407026</v>
      </c>
      <c r="AC16" s="58"/>
      <c r="AD16" s="18">
        <f>(('23'!AC16*'23'!$Q$10*1000000))/('23'!Y16*3600)</f>
        <v>0</v>
      </c>
      <c r="AE16" s="183">
        <v>1250</v>
      </c>
      <c r="AF16" s="184">
        <f>('23'!AE16/24)*0.454</f>
        <v>23.645833333333336</v>
      </c>
      <c r="AG16" s="183">
        <v>1250</v>
      </c>
      <c r="AH16" s="184">
        <f>('23'!AG16/24)*0.454</f>
        <v>23.645833333333336</v>
      </c>
      <c r="AI16" s="182">
        <v>5000</v>
      </c>
      <c r="AJ16" s="184">
        <f>('23'!AI16/24)*0.454</f>
        <v>94.583333333333343</v>
      </c>
      <c r="AK16" s="21"/>
      <c r="AL16" s="185">
        <f>('23'!AK16/24)*0.454</f>
        <v>0</v>
      </c>
      <c r="AM16" s="21"/>
      <c r="AN16" s="185">
        <f>('23'!AM16/24)*0.454</f>
        <v>0</v>
      </c>
      <c r="AO16" s="21"/>
      <c r="AP16" s="185">
        <f>('23'!AO16/24)*0.454</f>
        <v>0</v>
      </c>
    </row>
    <row r="17" spans="1:42" ht="18.75" customHeight="1">
      <c r="A17" s="28">
        <v>0.83333333333333304</v>
      </c>
      <c r="B17" s="310">
        <v>80</v>
      </c>
      <c r="C17" s="186">
        <v>12.5</v>
      </c>
      <c r="D17" s="186">
        <v>15</v>
      </c>
      <c r="E17" s="186">
        <v>2.5</v>
      </c>
      <c r="F17" s="186">
        <v>12</v>
      </c>
      <c r="G17" s="186">
        <v>1.9</v>
      </c>
      <c r="H17" s="186">
        <v>2.1</v>
      </c>
      <c r="I17" s="186">
        <v>0.6</v>
      </c>
      <c r="J17" s="186">
        <v>0.6</v>
      </c>
      <c r="K17" s="186">
        <v>7.3</v>
      </c>
      <c r="L17" s="186">
        <v>6.8</v>
      </c>
      <c r="M17" s="186">
        <v>6.8</v>
      </c>
      <c r="N17" s="186">
        <v>6.6</v>
      </c>
      <c r="O17" s="186">
        <v>3.5</v>
      </c>
      <c r="P17" s="186"/>
      <c r="Q17" s="188"/>
      <c r="R17" s="37">
        <f>'23'!Z25</f>
        <v>979</v>
      </c>
      <c r="S17" s="36">
        <f>'23'!AB25</f>
        <v>68.523045422255663</v>
      </c>
      <c r="T17" s="37">
        <f>'23'!Y25</f>
        <v>2659</v>
      </c>
      <c r="U17" s="33" t="str">
        <f>IF('23'!AA25=1,'23'!AR6,'23'!AR7)</f>
        <v>S.A.L</v>
      </c>
      <c r="V17" s="945">
        <f>ESCALA!$C$25</f>
        <v>0</v>
      </c>
      <c r="W17" s="945"/>
      <c r="X17" s="13">
        <v>0.5</v>
      </c>
      <c r="Y17" s="54">
        <v>2681</v>
      </c>
      <c r="Z17" s="182">
        <v>877</v>
      </c>
      <c r="AA17" s="15">
        <v>1</v>
      </c>
      <c r="AB17" s="58">
        <f>IF('23'!AA17=1,(('23'!Z17*'23'!$AS$6*'23'!$AT$6)/('23'!Y17*0.0036)),IF('23'!AA17=2,(('23'!Z17*'23'!$AS$7*'23'!$AT$7)/('23'!Y17*0.0036))))</f>
        <v>60.880061336980397</v>
      </c>
      <c r="AC17" s="58"/>
      <c r="AD17" s="18">
        <f>(('23'!AC17*'23'!$Q$10*1000000))/('23'!Y17*3600)</f>
        <v>0</v>
      </c>
      <c r="AE17" s="183">
        <v>1250</v>
      </c>
      <c r="AF17" s="184">
        <f>('23'!AE17/24)*0.454</f>
        <v>23.645833333333336</v>
      </c>
      <c r="AG17" s="183">
        <v>1250</v>
      </c>
      <c r="AH17" s="184">
        <f>('23'!AG17/24)*0.454</f>
        <v>23.645833333333336</v>
      </c>
      <c r="AI17" s="182">
        <v>5000</v>
      </c>
      <c r="AJ17" s="184">
        <f>('23'!AI17/24)*0.454</f>
        <v>94.583333333333343</v>
      </c>
      <c r="AK17" s="21"/>
      <c r="AL17" s="185">
        <f>('23'!AK17/24)*0.454</f>
        <v>0</v>
      </c>
      <c r="AM17" s="21"/>
      <c r="AN17" s="185">
        <f>('23'!AM17/24)*0.454</f>
        <v>0</v>
      </c>
      <c r="AO17" s="21"/>
      <c r="AP17" s="185">
        <f>('23'!AO17/24)*0.454</f>
        <v>0</v>
      </c>
    </row>
    <row r="18" spans="1:42" ht="19.5" customHeight="1">
      <c r="A18" s="28">
        <v>0.91666666666666696</v>
      </c>
      <c r="B18" s="310">
        <v>80</v>
      </c>
      <c r="C18" s="186">
        <v>12.5</v>
      </c>
      <c r="D18" s="186">
        <v>15</v>
      </c>
      <c r="E18" s="186">
        <v>2.5</v>
      </c>
      <c r="F18" s="186">
        <v>11</v>
      </c>
      <c r="G18" s="186">
        <v>1.9</v>
      </c>
      <c r="H18" s="186">
        <v>2</v>
      </c>
      <c r="I18" s="186">
        <v>0.6</v>
      </c>
      <c r="J18" s="186">
        <v>0.6</v>
      </c>
      <c r="K18" s="186">
        <v>7.3</v>
      </c>
      <c r="L18" s="186">
        <v>6.8</v>
      </c>
      <c r="M18" s="186">
        <v>6.8</v>
      </c>
      <c r="N18" s="186">
        <v>6.6</v>
      </c>
      <c r="O18" s="186">
        <v>3.5</v>
      </c>
      <c r="P18" s="186"/>
      <c r="Q18" s="188"/>
      <c r="R18" s="37">
        <f>'23'!Z27</f>
        <v>979</v>
      </c>
      <c r="S18" s="36">
        <f>'23'!AB27</f>
        <v>68.807695535414581</v>
      </c>
      <c r="T18" s="37">
        <f>'23'!Y27</f>
        <v>2648</v>
      </c>
      <c r="U18" s="33" t="str">
        <f>IF('23'!AA27=1,'23'!AR6,'23'!AR7)</f>
        <v>S.A.L</v>
      </c>
      <c r="V18" s="945"/>
      <c r="W18" s="945"/>
      <c r="X18" s="13">
        <v>0.54166666666666696</v>
      </c>
      <c r="Y18" s="54">
        <v>2599</v>
      </c>
      <c r="Z18" s="182">
        <v>877</v>
      </c>
      <c r="AA18" s="15">
        <v>1</v>
      </c>
      <c r="AB18" s="58">
        <f>IF('23'!AA18=1,(('23'!Z18*'23'!$AS$6*'23'!$AT$6)/('23'!Y18*0.0036)),IF('23'!AA18=2,(('23'!Z18*'23'!$AS$7*'23'!$AT$7)/('23'!Y18*0.0036))))</f>
        <v>62.800863580009413</v>
      </c>
      <c r="AC18" s="58"/>
      <c r="AD18" s="18">
        <f>(('23'!AC18*'23'!$Q$10*1000000))/('23'!Y18*3600)</f>
        <v>0</v>
      </c>
      <c r="AE18" s="183">
        <v>1250</v>
      </c>
      <c r="AF18" s="184">
        <f>('23'!AE18/24)*0.454</f>
        <v>23.645833333333336</v>
      </c>
      <c r="AG18" s="183">
        <v>1250</v>
      </c>
      <c r="AH18" s="184">
        <f>('23'!AG18/24)*0.454</f>
        <v>23.645833333333336</v>
      </c>
      <c r="AI18" s="182">
        <v>5000</v>
      </c>
      <c r="AJ18" s="184">
        <f>('23'!AI18/24)*0.454</f>
        <v>94.583333333333343</v>
      </c>
      <c r="AK18" s="21"/>
      <c r="AL18" s="185">
        <f>('23'!AK18/24)*0.454</f>
        <v>0</v>
      </c>
      <c r="AM18" s="21"/>
      <c r="AN18" s="185">
        <f>('23'!AM18/24)*0.454</f>
        <v>0</v>
      </c>
      <c r="AO18" s="21"/>
      <c r="AP18" s="185">
        <f>('23'!AO18/24)*0.454</f>
        <v>0</v>
      </c>
    </row>
    <row r="19" spans="1:42" ht="18.75" customHeight="1">
      <c r="A19" s="10" t="s">
        <v>52</v>
      </c>
      <c r="B19" s="189">
        <f>AVERAGE('23'!B7:B18)</f>
        <v>80</v>
      </c>
      <c r="C19" s="69">
        <f>AVERAGE('23'!C7:C18)</f>
        <v>13.75</v>
      </c>
      <c r="D19" s="69">
        <f>AVERAGE('23'!D7:D18)</f>
        <v>15</v>
      </c>
      <c r="E19" s="69">
        <f>AVERAGE('23'!E7:E18)</f>
        <v>2.5</v>
      </c>
      <c r="F19" s="69">
        <f>AVERAGE('23'!F7:F18)</f>
        <v>11.166666666666666</v>
      </c>
      <c r="G19" s="69">
        <f>AVERAGE('23'!G7:G18)</f>
        <v>2.1166666666666667</v>
      </c>
      <c r="H19" s="69">
        <f>AVERAGE('23'!H7:H18)</f>
        <v>2.3416666666666672</v>
      </c>
      <c r="I19" s="69">
        <f>AVERAGE('23'!I7:I18)</f>
        <v>0.63333333333333319</v>
      </c>
      <c r="J19" s="69">
        <f>AVERAGE('23'!J7:J18)</f>
        <v>0.66666666666666652</v>
      </c>
      <c r="K19" s="69">
        <f>AVERAGE('23'!K7:K18)</f>
        <v>7.299999999999998</v>
      </c>
      <c r="L19" s="69">
        <f>AVERAGE('23'!L7:L18)</f>
        <v>6.799999999999998</v>
      </c>
      <c r="M19" s="69">
        <f>AVERAGE('23'!M7:M18)</f>
        <v>6.799999999999998</v>
      </c>
      <c r="N19" s="69">
        <f>AVERAGE('23'!N7:N18)</f>
        <v>6.5999999999999988</v>
      </c>
      <c r="O19" s="69">
        <f>AVERAGE('23'!O7:O18)</f>
        <v>3.3249999999999997</v>
      </c>
      <c r="P19" s="190" t="e">
        <f>AVERAGE('23'!P7:P18)</f>
        <v>#DIV/0!</v>
      </c>
      <c r="Q19" s="191" t="e">
        <f>AVERAGE('23'!Q7:Q18)</f>
        <v>#DIV/0!</v>
      </c>
      <c r="R19" s="191">
        <f>AVERAGE('23'!R7:R18)</f>
        <v>940</v>
      </c>
      <c r="S19" s="191">
        <f>AVERAGE('23'!S7:S18)</f>
        <v>65.641204982162222</v>
      </c>
      <c r="T19" s="946"/>
      <c r="U19" s="946"/>
      <c r="V19" s="49"/>
      <c r="W19" s="50"/>
      <c r="X19" s="13">
        <v>0.58333333333333304</v>
      </c>
      <c r="Y19" s="54">
        <v>2643</v>
      </c>
      <c r="Z19" s="182">
        <v>877</v>
      </c>
      <c r="AA19" s="15">
        <v>1</v>
      </c>
      <c r="AB19" s="58">
        <f>IF('23'!AA19=1,(('23'!Z19*'23'!$AS$6*'23'!$AT$6)/('23'!Y19*0.0036)),IF('23'!AA19=2,(('23'!Z19*'23'!$AS$7*'23'!$AT$7)/('23'!Y19*0.0036))))</f>
        <v>61.755370580569227</v>
      </c>
      <c r="AC19" s="58"/>
      <c r="AD19" s="18">
        <f>(('23'!AC19*'23'!$Q$10*1000000))/('23'!Y19*3600)</f>
        <v>0</v>
      </c>
      <c r="AE19" s="183">
        <v>1250</v>
      </c>
      <c r="AF19" s="184">
        <f>('23'!AE19/24)*0.454</f>
        <v>23.645833333333336</v>
      </c>
      <c r="AG19" s="183">
        <v>1250</v>
      </c>
      <c r="AH19" s="184">
        <f>('23'!AG19/24)*0.454</f>
        <v>23.645833333333336</v>
      </c>
      <c r="AI19" s="182">
        <v>5000</v>
      </c>
      <c r="AJ19" s="184">
        <f>('23'!AI19/24)*0.454</f>
        <v>94.583333333333343</v>
      </c>
      <c r="AK19" s="21"/>
      <c r="AL19" s="185">
        <f>('23'!AK19/24)*0.454</f>
        <v>0</v>
      </c>
      <c r="AM19" s="21"/>
      <c r="AN19" s="185">
        <f>('23'!AM19/24)*0.454</f>
        <v>0</v>
      </c>
      <c r="AO19" s="21"/>
      <c r="AP19" s="185">
        <f>('23'!AO19/24)*0.454</f>
        <v>0</v>
      </c>
    </row>
    <row r="20" spans="1:42" ht="18.75" customHeight="1">
      <c r="A20" s="10" t="s">
        <v>53</v>
      </c>
      <c r="B20" s="189">
        <f>MAX('23'!B7:B18)</f>
        <v>80</v>
      </c>
      <c r="C20" s="69">
        <f>MAX('23'!C7:C18)</f>
        <v>15</v>
      </c>
      <c r="D20" s="69">
        <f>MAX('23'!D7:D18)</f>
        <v>15</v>
      </c>
      <c r="E20" s="69">
        <f>MAX('23'!E7:E18)</f>
        <v>2.5</v>
      </c>
      <c r="F20" s="69">
        <f>MAX('23'!F7:F18)</f>
        <v>13</v>
      </c>
      <c r="G20" s="69">
        <f>MAX('23'!G7:G18)</f>
        <v>2.5</v>
      </c>
      <c r="H20" s="69">
        <v>0.2</v>
      </c>
      <c r="I20" s="69">
        <f>MAX('23'!I7:I18)</f>
        <v>0.7</v>
      </c>
      <c r="J20" s="69">
        <f>MAX('23'!J7:J18)</f>
        <v>0.8</v>
      </c>
      <c r="K20" s="69">
        <f>MAX('23'!K7:K18)</f>
        <v>7.3</v>
      </c>
      <c r="L20" s="69">
        <f>MAX('23'!L7:L18)</f>
        <v>6.8</v>
      </c>
      <c r="M20" s="69">
        <f>MAX('23'!M7:M18)</f>
        <v>6.8</v>
      </c>
      <c r="N20" s="69">
        <f>MAX('23'!N7:N18)</f>
        <v>6.6</v>
      </c>
      <c r="O20" s="70">
        <f>MAX('23'!O7:O18)</f>
        <v>3.5</v>
      </c>
      <c r="P20" s="70">
        <f>MAX('23'!P7:P18)</f>
        <v>0</v>
      </c>
      <c r="Q20" s="70">
        <f>MAX('23'!Q7:Q18)</f>
        <v>0</v>
      </c>
      <c r="R20" s="70">
        <f>MAX('23'!R7:R18)</f>
        <v>979</v>
      </c>
      <c r="S20" s="70">
        <f>MAX('23'!S7:S18)</f>
        <v>68.833690131385652</v>
      </c>
      <c r="T20" s="946"/>
      <c r="U20" s="946"/>
      <c r="X20" s="13">
        <v>0.625</v>
      </c>
      <c r="Y20" s="54">
        <v>2653</v>
      </c>
      <c r="Z20" s="182">
        <v>877</v>
      </c>
      <c r="AA20" s="15">
        <v>1</v>
      </c>
      <c r="AB20" s="58">
        <f>IF('23'!AA20=1,(('23'!Z20*'23'!$AS$6*'23'!$AT$6)/('23'!Y20*0.0036)),IF('23'!AA20=2,(('23'!Z20*'23'!$AS$7*'23'!$AT$7)/('23'!Y20*0.0036))))</f>
        <v>61.52259496586673</v>
      </c>
      <c r="AC20" s="58"/>
      <c r="AD20" s="18">
        <f>(('23'!AC20*'23'!$Q$10*1000000))/('23'!Y20*3600)</f>
        <v>0</v>
      </c>
      <c r="AE20" s="183">
        <v>1250</v>
      </c>
      <c r="AF20" s="184">
        <f>('23'!AE20/24)*0.454</f>
        <v>23.645833333333336</v>
      </c>
      <c r="AG20" s="183">
        <v>1250</v>
      </c>
      <c r="AH20" s="184">
        <f>('23'!AG20/24)*0.454</f>
        <v>23.645833333333336</v>
      </c>
      <c r="AI20" s="182">
        <v>5000</v>
      </c>
      <c r="AJ20" s="184">
        <f>('23'!AI20/24)*0.454</f>
        <v>94.583333333333343</v>
      </c>
      <c r="AK20" s="21"/>
      <c r="AL20" s="185">
        <f>('23'!AK20/24)*0.454</f>
        <v>0</v>
      </c>
      <c r="AM20" s="21"/>
      <c r="AN20" s="185">
        <f>('23'!AM20/24)*0.454</f>
        <v>0</v>
      </c>
      <c r="AO20" s="21"/>
      <c r="AP20" s="185">
        <f>('23'!AO20/24)*0.454</f>
        <v>0</v>
      </c>
    </row>
    <row r="21" spans="1:42" ht="19.5" customHeight="1">
      <c r="A21" s="10" t="s">
        <v>54</v>
      </c>
      <c r="B21" s="189">
        <f>MIN('23'!B7:B18)</f>
        <v>80</v>
      </c>
      <c r="C21" s="69">
        <f>MIN('23'!C7:C18)</f>
        <v>12.5</v>
      </c>
      <c r="D21" s="69">
        <f>MIN('23'!D7:D18)</f>
        <v>15</v>
      </c>
      <c r="E21" s="69">
        <f>MIN('23'!E7:E18)</f>
        <v>2.5</v>
      </c>
      <c r="F21" s="69">
        <f>MIN('23'!F7:F18)</f>
        <v>9.5</v>
      </c>
      <c r="G21" s="192">
        <f>MIN('23'!G7:G18)</f>
        <v>1.9</v>
      </c>
      <c r="H21" s="192">
        <f>MIN('23'!H7:H18)</f>
        <v>2</v>
      </c>
      <c r="I21" s="192">
        <f>MIN('23'!I7:I18)</f>
        <v>0.6</v>
      </c>
      <c r="J21" s="192">
        <f>MIN('23'!J7:J18)</f>
        <v>0.6</v>
      </c>
      <c r="K21" s="192">
        <f>MIN('23'!K7:K18)</f>
        <v>7.3</v>
      </c>
      <c r="L21" s="192">
        <f>MIN('23'!L7:L18)</f>
        <v>6.8</v>
      </c>
      <c r="M21" s="192">
        <f>MIN('23'!M7:M18)</f>
        <v>6.8</v>
      </c>
      <c r="N21" s="192">
        <f>MIN('23'!N7:N18)</f>
        <v>6.6</v>
      </c>
      <c r="O21" s="193">
        <f>MIN('23'!O7:O18)</f>
        <v>3</v>
      </c>
      <c r="P21" s="193">
        <f>MIN('23'!P7:P18)</f>
        <v>0</v>
      </c>
      <c r="Q21" s="193">
        <f>MIN('23'!Q7:Q18)</f>
        <v>0</v>
      </c>
      <c r="R21" s="193">
        <f>MIN('23'!R7:R18)</f>
        <v>877</v>
      </c>
      <c r="S21" s="193">
        <f>MIN('23'!S7:S18)</f>
        <v>60.880061336980397</v>
      </c>
      <c r="T21" s="946"/>
      <c r="U21" s="946"/>
      <c r="X21" s="13">
        <v>0.66666666666666696</v>
      </c>
      <c r="Y21" s="54">
        <v>2647</v>
      </c>
      <c r="Z21" s="182">
        <v>979</v>
      </c>
      <c r="AA21" s="15">
        <v>1</v>
      </c>
      <c r="AB21" s="58">
        <f>IF('23'!AA21=1,(('23'!Z21*'23'!$AS$6*'23'!$AT$6)/('23'!Y21*0.0036)),IF('23'!AA21=2,(('23'!Z21*'23'!$AS$7*'23'!$AT$7)/('23'!Y21*0.0036))))</f>
        <v>68.833690131385652</v>
      </c>
      <c r="AC21" s="58"/>
      <c r="AD21" s="18">
        <f>(('23'!AC21*'23'!$Q$10*1000000))/('23'!Y21*3600)</f>
        <v>0</v>
      </c>
      <c r="AE21" s="183">
        <v>1250</v>
      </c>
      <c r="AF21" s="184">
        <f>('23'!AE21/24)*0.454</f>
        <v>23.645833333333336</v>
      </c>
      <c r="AG21" s="183">
        <v>1250</v>
      </c>
      <c r="AH21" s="184">
        <f>('23'!AG21/24)*0.454</f>
        <v>23.645833333333336</v>
      </c>
      <c r="AI21" s="182">
        <v>5000</v>
      </c>
      <c r="AJ21" s="184">
        <f>('23'!AI21/24)*0.454</f>
        <v>94.583333333333343</v>
      </c>
      <c r="AK21" s="21"/>
      <c r="AL21" s="185">
        <f>('23'!AK21/24)*0.454</f>
        <v>0</v>
      </c>
      <c r="AM21" s="21"/>
      <c r="AN21" s="185">
        <f>('23'!AM21/24)*0.454</f>
        <v>0</v>
      </c>
      <c r="AO21" s="21"/>
      <c r="AP21" s="185">
        <f>('23'!AO21/24)*0.454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54">
        <v>2645</v>
      </c>
      <c r="Z22" s="182">
        <v>979</v>
      </c>
      <c r="AA22" s="15">
        <v>1</v>
      </c>
      <c r="AB22" s="58">
        <f>IF('23'!AA22=1,(('23'!Z22*'23'!$AS$6*'23'!$AT$6)/('23'!Y22*0.0036)),IF('23'!AA22=2,(('23'!Z22*'23'!$AS$7*'23'!$AT$7)/('23'!Y22*0.0036))))</f>
        <v>68.885738290275157</v>
      </c>
      <c r="AC22" s="58"/>
      <c r="AD22" s="18">
        <f>(('23'!AC22*'23'!$Q$10*1000000))/('23'!Y22*3600)</f>
        <v>0</v>
      </c>
      <c r="AE22" s="183">
        <v>1250</v>
      </c>
      <c r="AF22" s="184">
        <f>('23'!AE22/24)*0.454</f>
        <v>23.645833333333336</v>
      </c>
      <c r="AG22" s="183">
        <v>1250</v>
      </c>
      <c r="AH22" s="184">
        <f>('23'!AG22/24)*0.454</f>
        <v>23.645833333333336</v>
      </c>
      <c r="AI22" s="182">
        <v>5000</v>
      </c>
      <c r="AJ22" s="184">
        <f>('23'!AI22/24)*0.454</f>
        <v>94.583333333333343</v>
      </c>
      <c r="AK22" s="21"/>
      <c r="AL22" s="185">
        <f>('23'!AK22/24)*0.454</f>
        <v>0</v>
      </c>
      <c r="AM22" s="21"/>
      <c r="AN22" s="185">
        <f>('23'!AM22/24)*0.454</f>
        <v>0</v>
      </c>
      <c r="AO22" s="21"/>
      <c r="AP22" s="185">
        <f>('23'!AO22/24)*0.454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54">
        <v>2669</v>
      </c>
      <c r="Z23" s="182">
        <v>979</v>
      </c>
      <c r="AA23" s="15">
        <v>1</v>
      </c>
      <c r="AB23" s="58">
        <f>IF('23'!AA23=1,(('23'!Z23*'23'!$AS$6*'23'!$AT$6)/('23'!Y23*0.0036)),IF('23'!AA23=2,(('23'!Z23*'23'!$AS$7*'23'!$AT$7)/('23'!Y23*0.0036))))</f>
        <v>68.266308646600905</v>
      </c>
      <c r="AC23" s="58"/>
      <c r="AD23" s="18">
        <f>(('23'!AC23*'23'!$Q$10*1000000))/('23'!Y23*3600)</f>
        <v>0</v>
      </c>
      <c r="AE23" s="183">
        <v>1250</v>
      </c>
      <c r="AF23" s="184">
        <f>('23'!AE23/24)*0.454</f>
        <v>23.645833333333336</v>
      </c>
      <c r="AG23" s="183">
        <v>1250</v>
      </c>
      <c r="AH23" s="184">
        <f>('23'!AG23/24)*0.454</f>
        <v>23.645833333333336</v>
      </c>
      <c r="AI23" s="182">
        <v>5400</v>
      </c>
      <c r="AJ23" s="184">
        <f>('23'!AI23/24)*0.454</f>
        <v>102.15</v>
      </c>
      <c r="AK23" s="21"/>
      <c r="AL23" s="185">
        <f>('23'!AK23/24)*0.454</f>
        <v>0</v>
      </c>
      <c r="AM23" s="21"/>
      <c r="AN23" s="185">
        <f>('23'!AM23/24)*0.454</f>
        <v>0</v>
      </c>
      <c r="AO23" s="21"/>
      <c r="AP23" s="185">
        <f>('23'!AO23/24)*0.454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54">
        <v>2645</v>
      </c>
      <c r="Z24" s="182">
        <v>979</v>
      </c>
      <c r="AA24" s="15">
        <v>1</v>
      </c>
      <c r="AB24" s="16">
        <f>IF('23'!AA24=1,(('23'!Z24*'23'!$AS$6*'23'!$AT$6)/('23'!Y24*0.0036)),IF('23'!AA24=2,(('23'!Z24*'23'!$AS$7*'23'!$AT$7)/('23'!Y24*0.0036))))</f>
        <v>68.885738290275157</v>
      </c>
      <c r="AC24" s="16"/>
      <c r="AD24" s="194">
        <f>(('23'!AC24*'23'!$Q$10*1000000))/('23'!Y24*3600)</f>
        <v>0</v>
      </c>
      <c r="AE24" s="183"/>
      <c r="AF24" s="195">
        <f>('23'!AE24/24)*0.454</f>
        <v>0</v>
      </c>
      <c r="AG24" s="173"/>
      <c r="AH24" s="195">
        <f>('23'!AG24/24)*0.454</f>
        <v>0</v>
      </c>
      <c r="AI24" s="182">
        <v>5400</v>
      </c>
      <c r="AJ24" s="195">
        <f>('23'!AI24/24)*0.454</f>
        <v>102.15</v>
      </c>
      <c r="AK24" s="21"/>
      <c r="AL24" s="196">
        <f>('23'!AK24/24)*0.454</f>
        <v>0</v>
      </c>
      <c r="AM24" s="197"/>
      <c r="AN24" s="196">
        <f>('23'!AM24/24)*0.454</f>
        <v>0</v>
      </c>
      <c r="AO24" s="21"/>
      <c r="AP24" s="196">
        <f>('23'!AO24/24)*0.454</f>
        <v>0</v>
      </c>
    </row>
    <row r="25" spans="1:42" ht="19.5" customHeight="1">
      <c r="A25" s="64">
        <v>0.41666666666666702</v>
      </c>
      <c r="B25" s="198">
        <v>0.32</v>
      </c>
      <c r="C25" s="198">
        <v>0.65</v>
      </c>
      <c r="D25" s="198">
        <v>0.61</v>
      </c>
      <c r="E25" s="199">
        <v>0.75</v>
      </c>
      <c r="F25" s="199">
        <v>0.62</v>
      </c>
      <c r="G25" s="199">
        <v>0.65</v>
      </c>
      <c r="H25" s="199">
        <v>0.59</v>
      </c>
      <c r="I25" s="199">
        <v>0.65</v>
      </c>
      <c r="J25" s="199">
        <v>0.6</v>
      </c>
      <c r="K25" s="199">
        <v>0.61</v>
      </c>
      <c r="L25" s="199">
        <v>0.64</v>
      </c>
      <c r="M25" s="199">
        <v>0.72</v>
      </c>
      <c r="N25" s="199">
        <v>0.68</v>
      </c>
      <c r="O25" s="199">
        <v>0.57999999999999996</v>
      </c>
      <c r="P25" s="199">
        <v>0.54</v>
      </c>
      <c r="Q25" s="199">
        <v>0.28000000000000003</v>
      </c>
      <c r="R25" s="65" t="e">
        <f>#DIV/0!</f>
        <v>#DIV/0!</v>
      </c>
      <c r="S25" s="66"/>
      <c r="T25" s="1100" t="s">
        <v>0</v>
      </c>
      <c r="U25" s="1049">
        <f>ESCALA!$A$25</f>
        <v>43913</v>
      </c>
      <c r="X25" s="13">
        <v>0.83333333333333304</v>
      </c>
      <c r="Y25" s="54">
        <v>2659</v>
      </c>
      <c r="Z25" s="182">
        <v>979</v>
      </c>
      <c r="AA25" s="15">
        <v>1</v>
      </c>
      <c r="AB25" s="58">
        <f>IF('23'!AA25=1,(('23'!Z25*'23'!$AS$6*'23'!$AT$6)/('23'!Y25*0.0036)),IF('23'!AA25=2,(('23'!Z25*'23'!$AS$7*'23'!$AT$7)/('23'!Y25*0.0036))))</f>
        <v>68.523045422255663</v>
      </c>
      <c r="AC25" s="58"/>
      <c r="AD25" s="18">
        <f>(('23'!AC25*'23'!$Q$10*1000000))/('23'!Y25*3600)</f>
        <v>0</v>
      </c>
      <c r="AE25" s="183"/>
      <c r="AF25" s="184">
        <f>('23'!AE25/24)*0.454</f>
        <v>0</v>
      </c>
      <c r="AG25" s="19"/>
      <c r="AH25" s="184">
        <f>('23'!AG25/24)*0.454</f>
        <v>0</v>
      </c>
      <c r="AI25" s="182">
        <v>5400</v>
      </c>
      <c r="AJ25" s="184">
        <f>('23'!AI25/24)*0.454</f>
        <v>102.15</v>
      </c>
      <c r="AK25" s="21"/>
      <c r="AL25" s="185">
        <f>('23'!AK25/24)*0.454</f>
        <v>0</v>
      </c>
      <c r="AM25" s="21"/>
      <c r="AN25" s="185">
        <f>('23'!AM25/24)*0.454</f>
        <v>0</v>
      </c>
      <c r="AO25" s="21"/>
      <c r="AP25" s="185">
        <f>('23'!AO25/24)*0.454</f>
        <v>0</v>
      </c>
    </row>
    <row r="26" spans="1:42" ht="19.5" customHeight="1">
      <c r="A26" s="64">
        <v>0.66666666666666696</v>
      </c>
      <c r="B26" s="261"/>
      <c r="C26" s="261"/>
      <c r="D26" s="259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65" t="e">
        <f>#DIV/0!</f>
        <v>#DIV/0!</v>
      </c>
      <c r="S26" s="67"/>
      <c r="T26" s="1100"/>
      <c r="U26" s="1049"/>
      <c r="X26" s="13">
        <v>0.875</v>
      </c>
      <c r="Y26" s="54">
        <v>2684</v>
      </c>
      <c r="Z26" s="182">
        <v>979</v>
      </c>
      <c r="AA26" s="15">
        <v>1</v>
      </c>
      <c r="AB26" s="16">
        <f>IF('23'!AA26=1,(('23'!Z26*'23'!$AS$6*'23'!$AT$6)/('23'!Y26*0.0036)),IF('23'!AA26=2,(('23'!Z26*'23'!$AS$7*'23'!$AT$7)/('23'!Y26*0.0036))))</f>
        <v>67.884790528233154</v>
      </c>
      <c r="AC26" s="58"/>
      <c r="AD26" s="18">
        <f>(('23'!AC26*'23'!$Q$10*1000000))/('23'!Y26*3600)</f>
        <v>0</v>
      </c>
      <c r="AE26" s="183"/>
      <c r="AF26" s="184">
        <f>('23'!AE26/24)*0.454</f>
        <v>0</v>
      </c>
      <c r="AG26" s="19"/>
      <c r="AH26" s="184">
        <f>('23'!AG26/24)*0.454</f>
        <v>0</v>
      </c>
      <c r="AI26" s="182">
        <v>5400</v>
      </c>
      <c r="AJ26" s="184">
        <f>('23'!AI26/24)*0.454</f>
        <v>102.15</v>
      </c>
      <c r="AK26" s="21"/>
      <c r="AL26" s="185">
        <f>('23'!AK26/24)*0.454</f>
        <v>0</v>
      </c>
      <c r="AM26" s="21"/>
      <c r="AN26" s="185">
        <f>('23'!AM26/24)*0.454</f>
        <v>0</v>
      </c>
      <c r="AO26" s="21"/>
      <c r="AP26" s="185">
        <f>('23'!AO26/24)*0.454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54">
        <v>2648</v>
      </c>
      <c r="Z27" s="182">
        <v>979</v>
      </c>
      <c r="AA27" s="15">
        <v>1</v>
      </c>
      <c r="AB27" s="58">
        <f>IF('23'!AA27=1,(('23'!Z27*'23'!$AS$6*'23'!$AT$6)/('23'!Y27*0.0036)),IF('23'!AA27=2,(('23'!Z27*'23'!$AS$7*'23'!$AT$7)/('23'!Y27*0.0036))))</f>
        <v>68.807695535414581</v>
      </c>
      <c r="AC27" s="58"/>
      <c r="AD27" s="18">
        <f>(('23'!AC27*'23'!$Q$10*1000000))/('23'!Y27*3600)</f>
        <v>0</v>
      </c>
      <c r="AE27" s="183"/>
      <c r="AF27" s="184">
        <f>('23'!AE27/24)*0.454</f>
        <v>0</v>
      </c>
      <c r="AG27" s="19"/>
      <c r="AH27" s="184">
        <f>('23'!AG27/24)*0.454</f>
        <v>0</v>
      </c>
      <c r="AI27" s="182">
        <v>5400</v>
      </c>
      <c r="AJ27" s="184">
        <f>('23'!AI27/24)*0.454</f>
        <v>102.15</v>
      </c>
      <c r="AK27" s="21"/>
      <c r="AL27" s="185">
        <f>('23'!AK27/24)*0.454</f>
        <v>0</v>
      </c>
      <c r="AM27" s="21"/>
      <c r="AN27" s="185">
        <f>('23'!AM27/24)*0.454</f>
        <v>0</v>
      </c>
      <c r="AO27" s="21"/>
      <c r="AP27" s="185">
        <f>('23'!AO27/24)*0.454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4">
        <v>2632</v>
      </c>
      <c r="Z28" s="182">
        <v>979</v>
      </c>
      <c r="AA28" s="15">
        <v>1</v>
      </c>
      <c r="AB28" s="58">
        <f>IF('23'!AA28=1,(('23'!Z28*'23'!$AS$6*'23'!$AT$6)/('23'!Y28*0.0036)),IF('23'!AA28=2,(('23'!Z28*'23'!$AS$7*'23'!$AT$7)/('23'!Y28*0.0036))))</f>
        <v>69.225979398851749</v>
      </c>
      <c r="AC28" s="58"/>
      <c r="AD28" s="18">
        <f>(('23'!AC28*'23'!$Q$10*1000000))/('23'!Y28*3600)</f>
        <v>0</v>
      </c>
      <c r="AE28" s="183"/>
      <c r="AF28" s="184">
        <f>('23'!AE28/24)*0.454</f>
        <v>0</v>
      </c>
      <c r="AG28" s="19"/>
      <c r="AH28" s="184">
        <f>('23'!AG28/24)*0.454</f>
        <v>0</v>
      </c>
      <c r="AI28" s="182">
        <v>5400</v>
      </c>
      <c r="AJ28" s="184">
        <f>('23'!AI28/24)*0.454</f>
        <v>102.15</v>
      </c>
      <c r="AK28" s="21"/>
      <c r="AL28" s="185">
        <f>('23'!AK28/24)*0.454</f>
        <v>0</v>
      </c>
      <c r="AM28" s="21"/>
      <c r="AN28" s="185">
        <f>('23'!AM28/24)*0.454</f>
        <v>0</v>
      </c>
      <c r="AO28" s="21"/>
      <c r="AP28" s="185">
        <f>('23'!AO28/24)*0.454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4">
        <v>2655</v>
      </c>
      <c r="Z29" s="182">
        <v>979</v>
      </c>
      <c r="AA29" s="15">
        <v>1</v>
      </c>
      <c r="AB29" s="58">
        <f>IF('23'!AA29=1,(('23'!Z29*'23'!$AS$6*'23'!$AT$6)/('23'!Y29*0.0036)),IF('23'!AA29=2,(('23'!Z29*'23'!$AS$7*'23'!$AT$7)/('23'!Y29*0.0036))))</f>
        <v>68.626281648880521</v>
      </c>
      <c r="AC29" s="58"/>
      <c r="AD29" s="18">
        <f>(('23'!AC29*'23'!$Q$10*1000000))/('23'!Y29*3600)</f>
        <v>0</v>
      </c>
      <c r="AE29" s="183"/>
      <c r="AF29" s="184">
        <f>('23'!AE29/24)*0.454</f>
        <v>0</v>
      </c>
      <c r="AG29" s="19"/>
      <c r="AH29" s="184">
        <f>('23'!AG29/24)*0.454</f>
        <v>0</v>
      </c>
      <c r="AI29" s="182">
        <v>5400</v>
      </c>
      <c r="AJ29" s="184">
        <f>('23'!AI29/24)*0.454</f>
        <v>102.15</v>
      </c>
      <c r="AK29" s="21"/>
      <c r="AL29" s="185">
        <f>('23'!AK29/24)*0.454</f>
        <v>0</v>
      </c>
      <c r="AM29" s="21"/>
      <c r="AN29" s="185">
        <f>('23'!AM29/24)*0.454</f>
        <v>0</v>
      </c>
      <c r="AO29" s="21"/>
      <c r="AP29" s="185">
        <f>('23'!AO29/24)*0.454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SUM('23'!Y6:Y29)*3.6</f>
        <v>230090.4</v>
      </c>
      <c r="Z30" s="82">
        <f>SUM('23'!Z6:Z29)</f>
        <v>22546</v>
      </c>
      <c r="AA30" s="78"/>
      <c r="AB30" s="79"/>
      <c r="AC30" s="78"/>
      <c r="AD30" s="79"/>
      <c r="AE30" s="34"/>
      <c r="AF30" s="184">
        <f>SUM('23'!AF6:AF29)</f>
        <v>425.62499999999994</v>
      </c>
      <c r="AG30" s="34"/>
      <c r="AH30" s="184">
        <f>SUM('23'!AH6:AH29)</f>
        <v>425.62499999999994</v>
      </c>
      <c r="AI30" s="34"/>
      <c r="AJ30" s="184">
        <f>SUM('23'!AJ6:AJ29)</f>
        <v>2389.1750000000002</v>
      </c>
      <c r="AK30" s="80"/>
      <c r="AL30" s="185">
        <f>SUM('23'!AL6:AL29)</f>
        <v>0</v>
      </c>
      <c r="AM30" s="80"/>
      <c r="AN30" s="185">
        <f>SUM('23'!AN6:AN29)</f>
        <v>0</v>
      </c>
      <c r="AO30" s="80"/>
      <c r="AP30" s="185">
        <f>SUM('23'!AP6:AP29)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SUMIF('23'!AA6:AA29,"=1",'23'!Z6:Z29)</f>
        <v>22546</v>
      </c>
      <c r="AA32" s="82">
        <f>'23'!Z32*'23'!AS6</f>
        <v>30211.640000000003</v>
      </c>
      <c r="AB32" s="83">
        <f>SUMIF('23'!$AA$6:$AA$29,"=1",'23'!$AB$6:$AB$29)/COUNTIF('23'!$AA$6:$AA$29,"=1")</f>
        <v>65.659074870938056</v>
      </c>
      <c r="AC32" s="84">
        <f>SUMIF('23'!AA6:AA29,"=1",'23'!AC6:AC29)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SUMIF('23'!AA6:AA29,"=2",'23'!Z6:Z29)</f>
        <v>0</v>
      </c>
      <c r="AA33" s="82">
        <f>'23'!Z33*'23'!AS7</f>
        <v>0</v>
      </c>
      <c r="AB33" s="83" t="e">
        <f>SUMIF('23'!$AA$6:$AA$29,"=2",'23'!$AB$6:$AB$29)/COUNTIF('23'!$AA$6:$AA$29,"=2")</f>
        <v>#DIV/0!</v>
      </c>
      <c r="AC33" s="89">
        <f>SUMIF('23'!AA6:AA29,"=2",'23'!AC6:AC29)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AVERAGE('23'!Y6:Y29)</f>
        <v>2663.0833333333335</v>
      </c>
      <c r="Z34" s="96">
        <f>AVERAGE('23'!Z6:Z29)</f>
        <v>939.41666666666663</v>
      </c>
      <c r="AA34" s="97"/>
      <c r="AB34" s="97"/>
      <c r="AC34" s="98">
        <f>SUM('23'!AC6:AC29)/COUNTIF('23'!AC6:AC29,"&lt;&gt;0")</f>
        <v>0</v>
      </c>
      <c r="AD34" s="99" t="e">
        <f>SUM('23'!AD6:AD29)/COUNTIF('23'!AD6:AD29,"&lt;&gt;0")</f>
        <v>#DIV/0!</v>
      </c>
      <c r="AE34" s="78"/>
      <c r="AF34" s="98">
        <f>AVERAGE('23'!AF6:AF29)</f>
        <v>17.734374999999996</v>
      </c>
      <c r="AG34" s="98"/>
      <c r="AH34" s="98">
        <f>AVERAGE('23'!AH6:AH29)</f>
        <v>17.734374999999996</v>
      </c>
      <c r="AI34" s="98"/>
      <c r="AJ34" s="98">
        <f>'23'!AJ30/24</f>
        <v>99.548958333333346</v>
      </c>
      <c r="AK34" s="98"/>
      <c r="AL34" s="98">
        <f>AVERAGE('23'!AL6:AL29)</f>
        <v>0</v>
      </c>
      <c r="AM34" s="98"/>
      <c r="AN34" s="98">
        <f>AVERAGE('23'!AN6:AN29)</f>
        <v>0</v>
      </c>
      <c r="AO34" s="98"/>
      <c r="AP34" s="98">
        <f>AVERAGE('23'!AP6:AP29)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50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50"/>
      <c r="X36" s="105" t="s">
        <v>73</v>
      </c>
      <c r="Y36" s="106"/>
      <c r="Z36" s="107"/>
      <c r="AA36" s="108" t="s">
        <v>74</v>
      </c>
      <c r="AB36" s="106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83.7</v>
      </c>
      <c r="D37" s="186">
        <v>65.5</v>
      </c>
      <c r="E37" s="186">
        <v>58.5</v>
      </c>
      <c r="F37" s="186">
        <v>0.8</v>
      </c>
      <c r="G37" s="186">
        <v>0</v>
      </c>
      <c r="H37" s="186">
        <v>0</v>
      </c>
      <c r="I37" s="183">
        <v>0.1</v>
      </c>
      <c r="J37" s="183">
        <v>0.06</v>
      </c>
      <c r="K37" s="183">
        <v>0.03</v>
      </c>
      <c r="L37" s="1026">
        <v>0</v>
      </c>
      <c r="M37" s="1026"/>
      <c r="N37" s="1026"/>
      <c r="O37" s="10"/>
      <c r="P37" s="10"/>
      <c r="Q37" s="10"/>
      <c r="R37" s="10"/>
      <c r="S37" s="10"/>
      <c r="T37" s="10"/>
      <c r="U37" s="236">
        <f>'23'!V12</f>
        <v>0</v>
      </c>
      <c r="X37" s="1062" t="s">
        <v>75</v>
      </c>
      <c r="Y37" s="1062"/>
      <c r="Z37" s="110">
        <f>COUNTA('23'!Z6:Z29)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>
        <v>0</v>
      </c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SUM('23'!AF30+'23'!AH30)</f>
        <v>851.24999999999989</v>
      </c>
      <c r="AL38" s="210" t="s">
        <v>78</v>
      </c>
      <c r="AM38" s="212">
        <f>SUM('23'!AL30+'23'!AN30)</f>
        <v>0</v>
      </c>
      <c r="AO38" s="210" t="s">
        <v>78</v>
      </c>
      <c r="AP38" s="211">
        <f>'23'!AJ30</f>
        <v>2389.1750000000002</v>
      </c>
      <c r="AQ38" s="210" t="s">
        <v>78</v>
      </c>
      <c r="AR38" s="212">
        <f>'23'!AP30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('23'!AK38/'23'!Y30)*1000</f>
        <v>3.6996328399620317</v>
      </c>
      <c r="AL39" s="215" t="s">
        <v>86</v>
      </c>
      <c r="AM39" s="216">
        <f>('23'!AM38/'23'!Y30)*1000</f>
        <v>0</v>
      </c>
      <c r="AO39" s="213" t="s">
        <v>86</v>
      </c>
      <c r="AP39" s="214">
        <f>('23'!AP38/'23'!Y30)*1000</f>
        <v>10.383636170826771</v>
      </c>
      <c r="AQ39" s="215" t="s">
        <v>86</v>
      </c>
      <c r="AR39" s="216">
        <f>('23'!AR38/'23'!Y30)*1000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SUM('23'!AK38,'23'!AM38)</f>
        <v>851.24999999999989</v>
      </c>
      <c r="AM40" s="975"/>
      <c r="AO40" s="976" t="s">
        <v>90</v>
      </c>
      <c r="AP40" s="976"/>
      <c r="AQ40" s="977">
        <f>SUM('23'!AP38,'23'!AR38)</f>
        <v>2389.1750000000002</v>
      </c>
      <c r="AR40" s="977"/>
    </row>
    <row r="41" spans="1:44" ht="16.5" customHeight="1">
      <c r="A41" s="133">
        <f>COUNTA('23'!E7:E18)</f>
        <v>12</v>
      </c>
      <c r="B41" s="134">
        <f>COUNTA('23'!I7:I18)</f>
        <v>12</v>
      </c>
      <c r="C41" s="978">
        <f>COUNTA('23'!J7:J18)</f>
        <v>12</v>
      </c>
      <c r="D41" s="978">
        <f>COUNTA('23'!K7:K18)</f>
        <v>12</v>
      </c>
      <c r="E41" s="978">
        <f>COUNTIF('23'!E7:E18,"&gt;15")</f>
        <v>0</v>
      </c>
      <c r="F41" s="978"/>
      <c r="G41" s="978">
        <f>COUNTIF('23'!J7:J18,"&gt;1")</f>
        <v>0</v>
      </c>
      <c r="H41" s="978"/>
      <c r="I41" s="135"/>
      <c r="J41" s="978">
        <f>'23'!A41-'23'!E41</f>
        <v>12</v>
      </c>
      <c r="K41" s="978"/>
      <c r="L41" s="978">
        <f>'23'!C41-'23'!G41</f>
        <v>12</v>
      </c>
      <c r="M41" s="978"/>
      <c r="N41" s="135"/>
      <c r="O41" s="979">
        <f>COUNTIF('23'!J7:J18,"&lt;=0,5")</f>
        <v>0</v>
      </c>
      <c r="P41" s="979"/>
      <c r="Q41" s="979"/>
      <c r="R41" s="969"/>
      <c r="S41" s="980">
        <f>COUNTIF('23'!J7:J18,"&lt;=1,0")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SUM(('23'!AK38+'23'!AM38)/'23'!Y30)*1000</f>
        <v>3.6996328399620317</v>
      </c>
      <c r="AM41" s="981"/>
      <c r="AO41" s="976" t="s">
        <v>91</v>
      </c>
      <c r="AP41" s="976"/>
      <c r="AQ41" s="981">
        <f>SUM(('23'!AP38+'23'!AR38)/'23'!Y30)*1000</f>
        <v>10.383636170826771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/>
      <c r="Z44" s="144" t="s">
        <v>101</v>
      </c>
      <c r="AA44" s="145"/>
      <c r="AB44" s="144" t="s">
        <v>101</v>
      </c>
      <c r="AC44" s="145"/>
      <c r="AD44" s="988"/>
      <c r="AE44" s="988"/>
      <c r="AF44" s="989" t="s">
        <v>102</v>
      </c>
      <c r="AG44" s="1002">
        <f>SUM('23'!Y45,'23'!AA45,'23'!AC45,'23'!AE45)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COUNTIF('23'!I7:I18,"&lt;=5,0")</f>
        <v>12</v>
      </c>
      <c r="I45" s="992"/>
      <c r="J45" s="992"/>
      <c r="K45" s="135"/>
      <c r="L45" s="974">
        <f>COUNTA('23'!L37)</f>
        <v>1</v>
      </c>
      <c r="M45" s="974"/>
      <c r="O45" s="146"/>
      <c r="P45" s="147"/>
      <c r="Q45" s="993">
        <f>'23'!S41-'23'!O41</f>
        <v>12</v>
      </c>
      <c r="R45" s="993"/>
      <c r="S45" s="993"/>
      <c r="T45" s="148"/>
      <c r="X45" s="149" t="s">
        <v>104</v>
      </c>
      <c r="Y45" s="150">
        <f>'23'!Y44*275.3</f>
        <v>0</v>
      </c>
      <c r="Z45" s="149" t="s">
        <v>104</v>
      </c>
      <c r="AA45" s="150">
        <f>262.4*'23'!AA44</f>
        <v>0</v>
      </c>
      <c r="AB45" s="149" t="s">
        <v>104</v>
      </c>
      <c r="AC45" s="150">
        <f>'23'!AC44*277.7</f>
        <v>0</v>
      </c>
      <c r="AD45" s="149" t="s">
        <v>104</v>
      </c>
      <c r="AE45" s="151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2"/>
      <c r="X46" s="153" t="s">
        <v>105</v>
      </c>
      <c r="Y46" s="154">
        <f>'23'!AS6</f>
        <v>1.34</v>
      </c>
      <c r="Z46" s="153" t="s">
        <v>105</v>
      </c>
      <c r="AA46" s="155">
        <f>'23'!Y46</f>
        <v>1.34</v>
      </c>
      <c r="AB46" s="153" t="s">
        <v>105</v>
      </c>
      <c r="AC46" s="155">
        <f>'23'!Y46</f>
        <v>1.34</v>
      </c>
      <c r="AD46" s="153" t="s">
        <v>105</v>
      </c>
      <c r="AE46" s="156">
        <f>'23'!Y46</f>
        <v>1.34</v>
      </c>
      <c r="AF46" s="995" t="s">
        <v>106</v>
      </c>
      <c r="AG46" s="996">
        <f>SUM('23'!Y47,'23'!AA47,'23'!AC47,'23'!AE47)</f>
        <v>0</v>
      </c>
      <c r="AI46" s="315" t="s">
        <v>101</v>
      </c>
      <c r="AJ46" s="316"/>
      <c r="AK46" s="315" t="s">
        <v>101</v>
      </c>
      <c r="AL46" s="316"/>
      <c r="AM46" s="315" t="s">
        <v>101</v>
      </c>
      <c r="AN46" s="316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'23'!Y45*'23'!Y46</f>
        <v>0</v>
      </c>
      <c r="Z47" s="149" t="s">
        <v>108</v>
      </c>
      <c r="AA47" s="150">
        <f>'23'!AA45*'23'!AA46</f>
        <v>0</v>
      </c>
      <c r="AB47" s="149" t="s">
        <v>108</v>
      </c>
      <c r="AC47" s="150">
        <f>'23'!AC45*'23'!AC46</f>
        <v>0</v>
      </c>
      <c r="AD47" s="149" t="s">
        <v>108</v>
      </c>
      <c r="AE47" s="150">
        <f>'23'!AE45*'23'!AE46</f>
        <v>0</v>
      </c>
      <c r="AF47" s="995"/>
      <c r="AG47" s="996"/>
      <c r="AI47" s="317" t="s">
        <v>104</v>
      </c>
      <c r="AJ47" s="318">
        <f>'10'!AJ46*275.3</f>
        <v>0</v>
      </c>
      <c r="AK47" s="317" t="s">
        <v>104</v>
      </c>
      <c r="AL47" s="318">
        <f>262.4*'10'!AL46</f>
        <v>0</v>
      </c>
      <c r="AM47" s="317" t="s">
        <v>104</v>
      </c>
      <c r="AN47" s="318">
        <f>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319" t="s">
        <v>105</v>
      </c>
      <c r="AJ48" s="320">
        <f>'10'!Y46</f>
        <v>1.33</v>
      </c>
      <c r="AK48" s="321" t="s">
        <v>105</v>
      </c>
      <c r="AL48" s="320">
        <f>'10'!AJ48</f>
        <v>1.33</v>
      </c>
      <c r="AM48" s="321" t="s">
        <v>105</v>
      </c>
      <c r="AN48" s="320">
        <f>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317" t="s">
        <v>108</v>
      </c>
      <c r="AJ49" s="318">
        <f>'10'!AJ47*'10'!AJ48</f>
        <v>0</v>
      </c>
      <c r="AK49" s="317" t="s">
        <v>108</v>
      </c>
      <c r="AL49" s="318">
        <f>'10'!AL47*'10'!AL48</f>
        <v>0</v>
      </c>
      <c r="AM49" s="317" t="s">
        <v>108</v>
      </c>
      <c r="AN49" s="318">
        <f>AN47*AN48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</row>
    <row r="51" spans="15:44" ht="16.5" customHeight="1">
      <c r="O51" s="974">
        <f>COUNTA('23'!O7:O18)</f>
        <v>12</v>
      </c>
      <c r="P51" s="974">
        <f>COUNTA('23'!W17:W28)</f>
        <v>0</v>
      </c>
      <c r="R51" s="992">
        <f>COUNTIF('23'!O7:O18,"&gt;=0,5")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SUM('23'!Y53,'23'!AA53,'23'!AC53,'23'!AE53)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'23'!Y52*275.3</f>
        <v>0</v>
      </c>
      <c r="Z53" s="149" t="s">
        <v>104</v>
      </c>
      <c r="AA53" s="150">
        <f>262.4*'23'!AA52</f>
        <v>0</v>
      </c>
      <c r="AB53" s="149" t="s">
        <v>104</v>
      </c>
      <c r="AC53" s="167">
        <f>'23'!AC52*277.7</f>
        <v>0</v>
      </c>
      <c r="AD53" s="149" t="s">
        <v>104</v>
      </c>
      <c r="AE53" s="230">
        <v>0</v>
      </c>
      <c r="AF53" s="989"/>
      <c r="AG53" s="1002"/>
      <c r="AI53" s="315" t="s">
        <v>101</v>
      </c>
      <c r="AJ53" s="322">
        <v>0</v>
      </c>
      <c r="AK53" s="315" t="s">
        <v>101</v>
      </c>
      <c r="AL53" s="323"/>
      <c r="AM53" s="315" t="s">
        <v>101</v>
      </c>
      <c r="AN53" s="32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'23'!AS7</f>
        <v>1.33</v>
      </c>
      <c r="Z54" s="153" t="s">
        <v>105</v>
      </c>
      <c r="AA54" s="155">
        <f>'23'!Y54</f>
        <v>1.33</v>
      </c>
      <c r="AB54" s="153" t="s">
        <v>105</v>
      </c>
      <c r="AC54" s="155">
        <f>'23'!Y54</f>
        <v>1.33</v>
      </c>
      <c r="AD54" s="153" t="s">
        <v>105</v>
      </c>
      <c r="AE54" s="156">
        <f>'23'!Y54</f>
        <v>1.33</v>
      </c>
      <c r="AF54" s="995" t="s">
        <v>106</v>
      </c>
      <c r="AG54" s="996">
        <f>SUM('23'!Y55,'23'!AA55,'23'!AC55,'23'!AE55)</f>
        <v>0</v>
      </c>
      <c r="AI54" s="317" t="s">
        <v>104</v>
      </c>
      <c r="AJ54" s="318">
        <f>AJ53*275.3</f>
        <v>0</v>
      </c>
      <c r="AK54" s="317" t="s">
        <v>104</v>
      </c>
      <c r="AL54" s="318">
        <f>262.4*'10'!AL53</f>
        <v>0</v>
      </c>
      <c r="AM54" s="317" t="s">
        <v>104</v>
      </c>
      <c r="AN54" s="324">
        <f>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'23'!Y53*'23'!Y54</f>
        <v>0</v>
      </c>
      <c r="Z55" s="149" t="s">
        <v>108</v>
      </c>
      <c r="AA55" s="150">
        <f>'23'!AA53*'23'!AA54</f>
        <v>0</v>
      </c>
      <c r="AB55" s="149" t="s">
        <v>108</v>
      </c>
      <c r="AC55" s="150">
        <f>'23'!AC53*'23'!AC54</f>
        <v>0</v>
      </c>
      <c r="AD55" s="149" t="s">
        <v>108</v>
      </c>
      <c r="AE55" s="150">
        <f>'23'!AE53*'23'!AE54</f>
        <v>0</v>
      </c>
      <c r="AF55" s="995"/>
      <c r="AG55" s="996"/>
      <c r="AI55" s="319" t="s">
        <v>105</v>
      </c>
      <c r="AJ55" s="320">
        <f>Y54</f>
        <v>1.33</v>
      </c>
      <c r="AK55" s="319" t="s">
        <v>105</v>
      </c>
      <c r="AL55" s="320">
        <f>'10'!AJ55</f>
        <v>0</v>
      </c>
      <c r="AM55" s="319" t="s">
        <v>105</v>
      </c>
      <c r="AN55" s="320">
        <f>AJ55</f>
        <v>1.33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317" t="s">
        <v>108</v>
      </c>
      <c r="AJ56" s="318">
        <f>AJ54*AJ55</f>
        <v>0</v>
      </c>
      <c r="AK56" s="317" t="s">
        <v>108</v>
      </c>
      <c r="AL56" s="318">
        <f>'10'!AL54*'10'!AL55</f>
        <v>0</v>
      </c>
      <c r="AM56" s="317" t="s">
        <v>108</v>
      </c>
      <c r="AN56" s="318">
        <f>AN54*AN55</f>
        <v>0</v>
      </c>
      <c r="AO56" s="994"/>
      <c r="AP56" s="994"/>
      <c r="AQ56" s="994"/>
      <c r="AR56" s="994"/>
    </row>
    <row r="57" spans="15:44" ht="15.75" customHeight="1">
      <c r="O57" s="1003">
        <f>COUNTA('23'!N7:N18)</f>
        <v>12</v>
      </c>
      <c r="P57" s="1003"/>
      <c r="R57" s="1004">
        <f>COUNTIF('23'!N7:N18,"&gt;=6")</f>
        <v>12</v>
      </c>
      <c r="S57" s="1004"/>
      <c r="T57" s="1004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109" t="s">
        <v>121</v>
      </c>
      <c r="AJ61" s="1109"/>
      <c r="AK61" s="1109"/>
      <c r="AL61" s="1110">
        <f>AJ56+AL56+AN56</f>
        <v>0</v>
      </c>
      <c r="AM61" s="1110"/>
      <c r="AN61" s="1109" t="s">
        <v>121</v>
      </c>
      <c r="AO61" s="1109"/>
      <c r="AP61" s="1109"/>
      <c r="AQ61" s="1110">
        <f>AJ49+AL49+AN49</f>
        <v>0</v>
      </c>
      <c r="AR61" s="1110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109" t="s">
        <v>123</v>
      </c>
      <c r="AJ62" s="1109"/>
      <c r="AK62" s="1109"/>
      <c r="AL62" s="1111">
        <f>AA33</f>
        <v>0</v>
      </c>
      <c r="AM62" s="1111"/>
      <c r="AN62" s="1109" t="s">
        <v>123</v>
      </c>
      <c r="AO62" s="1109"/>
      <c r="AP62" s="1109"/>
      <c r="AQ62" s="1112">
        <f>'10'!AA32</f>
        <v>30004.800000000003</v>
      </c>
      <c r="AR62" s="1112"/>
    </row>
    <row r="63" spans="15:44" ht="15" customHeight="1">
      <c r="X63" s="170" t="s">
        <v>124</v>
      </c>
      <c r="Y63" s="171">
        <v>0</v>
      </c>
      <c r="Z63" s="1013"/>
      <c r="AA63" s="1013"/>
      <c r="AB63" s="172" t="s">
        <v>124</v>
      </c>
      <c r="AC63" s="173"/>
      <c r="AE63" s="49"/>
      <c r="AI63" s="1109" t="s">
        <v>125</v>
      </c>
      <c r="AJ63" s="1109"/>
      <c r="AK63" s="1109"/>
      <c r="AL63" s="1110">
        <f>AL61-AL62</f>
        <v>0</v>
      </c>
      <c r="AM63" s="1110"/>
      <c r="AN63" s="1109" t="s">
        <v>125</v>
      </c>
      <c r="AO63" s="1109"/>
      <c r="AP63" s="1109"/>
      <c r="AQ63" s="1110">
        <f>'10'!AQ61-'10'!AQ62</f>
        <v>-30004.800000000003</v>
      </c>
      <c r="AR63" s="1110"/>
    </row>
    <row r="64" spans="15:44" ht="15" customHeight="1">
      <c r="X64" s="170"/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>
        <f>'22'!$Y$68</f>
        <v>-7063.4833333333308</v>
      </c>
      <c r="Z65" s="1013"/>
      <c r="AA65" s="1013"/>
      <c r="AB65" s="176" t="s">
        <v>126</v>
      </c>
      <c r="AC65" s="241">
        <f>'22'!$AC$68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280">
        <f>SUM('23'!AK38,'23'!AP38)</f>
        <v>3240.4250000000002</v>
      </c>
      <c r="Z67" s="1013"/>
      <c r="AA67" s="1013"/>
      <c r="AB67" s="172" t="s">
        <v>124</v>
      </c>
      <c r="AC67" s="169">
        <f>SUM('23'!AM38,'23'!AR38)</f>
        <v>0</v>
      </c>
    </row>
    <row r="68" spans="24:29" ht="15.75" customHeight="1">
      <c r="X68" s="170" t="s">
        <v>128</v>
      </c>
      <c r="Y68" s="179">
        <f>SUM('23'!Y63,'23'!Y65)-'23'!Y67</f>
        <v>-10303.908333333331</v>
      </c>
      <c r="Z68" s="1013"/>
      <c r="AA68" s="1013"/>
      <c r="AB68" s="172" t="s">
        <v>128</v>
      </c>
      <c r="AC68" s="180">
        <f>SUM('23'!AC63,'23'!AC65)-'23'!AC67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conditionalFormatting sqref="O19">
    <cfRule type="cellIs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7" zoomScaleNormal="100" workbookViewId="0">
      <selection activeCell="AI12" sqref="AI12:AI29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924" t="s">
        <v>5</v>
      </c>
      <c r="E2" s="924"/>
      <c r="F2" s="924"/>
      <c r="G2" s="924"/>
      <c r="H2" s="924"/>
      <c r="I2" s="924"/>
      <c r="J2" s="924"/>
      <c r="K2" s="924"/>
      <c r="L2" s="924"/>
      <c r="M2" s="924"/>
      <c r="N2" s="924"/>
      <c r="O2" s="924"/>
      <c r="P2" s="924"/>
      <c r="Q2" s="924"/>
      <c r="R2" s="924"/>
      <c r="S2" s="924"/>
      <c r="T2" s="924"/>
      <c r="U2" s="924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924"/>
      <c r="E3" s="924"/>
      <c r="F3" s="924"/>
      <c r="G3" s="924"/>
      <c r="H3" s="924"/>
      <c r="I3" s="924"/>
      <c r="J3" s="924"/>
      <c r="K3" s="924"/>
      <c r="L3" s="924"/>
      <c r="M3" s="924"/>
      <c r="N3" s="924"/>
      <c r="O3" s="924"/>
      <c r="P3" s="924"/>
      <c r="Q3" s="924"/>
      <c r="R3" s="924"/>
      <c r="S3" s="924"/>
      <c r="T3" s="924"/>
      <c r="U3" s="924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13" t="s">
        <v>13</v>
      </c>
      <c r="U4" s="104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13"/>
      <c r="U5" s="104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7.100000000000001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41"/>
      <c r="V6" s="932"/>
      <c r="W6" s="932"/>
      <c r="X6" s="13">
        <v>4.1666666666666699E-2</v>
      </c>
      <c r="Y6" s="54">
        <v>2710</v>
      </c>
      <c r="Z6" s="182">
        <v>979</v>
      </c>
      <c r="AA6" s="15">
        <v>1</v>
      </c>
      <c r="AB6" s="58">
        <f>IF('24'!AA6=1,(('24'!Z6*'24'!$AS$6*'24'!$AT$6)/('24'!Y6*0.0036)),IF('24'!AA6=2,(('24'!Z6*'24'!$AS$7*'24'!$AT$7)/('24'!Y6*0.0036))))</f>
        <v>66.731754817548179</v>
      </c>
      <c r="AC6" s="58"/>
      <c r="AD6" s="18">
        <f>(('24'!AC6*'24'!$Q$10*1000000))/('24'!Y6*3600)</f>
        <v>0</v>
      </c>
      <c r="AE6" s="183"/>
      <c r="AF6" s="184">
        <f>('24'!AE6/24)*0.454</f>
        <v>0</v>
      </c>
      <c r="AG6" s="19"/>
      <c r="AH6" s="184">
        <f>('24'!AG6/24)*0.454</f>
        <v>0</v>
      </c>
      <c r="AI6" s="182">
        <v>5400</v>
      </c>
      <c r="AJ6" s="184">
        <f>('24'!AI6/24)*0.454</f>
        <v>102.15</v>
      </c>
      <c r="AK6" s="21"/>
      <c r="AL6" s="185">
        <f>('24'!AK6/24)*0.454</f>
        <v>0</v>
      </c>
      <c r="AM6" s="21"/>
      <c r="AN6" s="185">
        <f>('24'!AM6/24)*0.454</f>
        <v>0</v>
      </c>
      <c r="AO6" s="21"/>
      <c r="AP6" s="185">
        <f>('24'!AO6/24)*0.454</f>
        <v>0</v>
      </c>
      <c r="AQ6" s="24">
        <v>1</v>
      </c>
      <c r="AR6" s="325" t="s">
        <v>48</v>
      </c>
      <c r="AS6" s="26">
        <v>1.33</v>
      </c>
      <c r="AT6" s="325">
        <v>0.5</v>
      </c>
      <c r="AU6" s="27">
        <v>0</v>
      </c>
    </row>
    <row r="7" spans="1:47" ht="18.75" customHeight="1">
      <c r="A7" s="28">
        <v>0</v>
      </c>
      <c r="B7" s="186">
        <v>80</v>
      </c>
      <c r="C7" s="186">
        <v>12.5</v>
      </c>
      <c r="D7" s="186">
        <v>12.5</v>
      </c>
      <c r="E7" s="186">
        <v>2.5</v>
      </c>
      <c r="F7" s="186">
        <v>12</v>
      </c>
      <c r="G7" s="186">
        <v>1.7</v>
      </c>
      <c r="H7" s="186">
        <v>2</v>
      </c>
      <c r="I7" s="186">
        <v>0.6</v>
      </c>
      <c r="J7" s="186">
        <v>0.6</v>
      </c>
      <c r="K7" s="186">
        <v>7.3</v>
      </c>
      <c r="L7" s="186">
        <v>6.8</v>
      </c>
      <c r="M7" s="186">
        <v>6.8</v>
      </c>
      <c r="N7" s="186">
        <v>6.6</v>
      </c>
      <c r="O7" s="186">
        <v>3.5</v>
      </c>
      <c r="P7" s="186"/>
      <c r="Q7" s="188"/>
      <c r="R7" s="37">
        <f>'23'!$Z$29</f>
        <v>979</v>
      </c>
      <c r="S7" s="187">
        <f>'23'!$AB$29</f>
        <v>68.626281648880521</v>
      </c>
      <c r="T7" s="37">
        <f>'23'!$Y$29</f>
        <v>2655</v>
      </c>
      <c r="U7" s="33" t="str">
        <f>IF('24'!AA6=1,'24'!AR6,'24'!AR7)</f>
        <v>S.A.L</v>
      </c>
      <c r="V7" s="1022">
        <f>ESCALA!$C$25</f>
        <v>0</v>
      </c>
      <c r="W7" s="1022"/>
      <c r="X7" s="13">
        <v>8.3333333333333301E-2</v>
      </c>
      <c r="Y7" s="54">
        <v>2640</v>
      </c>
      <c r="Z7" s="182">
        <v>979</v>
      </c>
      <c r="AA7" s="15">
        <v>1</v>
      </c>
      <c r="AB7" s="58">
        <f>IF('24'!AA7=1,(('24'!Z7*'24'!$AS$6*'24'!$AT$6)/('24'!Y7*0.0036)),IF('24'!AA7=2,(('24'!Z7*'24'!$AS$7*'24'!$AT$7)/('24'!Y7*0.0036))))</f>
        <v>68.501157407407419</v>
      </c>
      <c r="AC7" s="58"/>
      <c r="AD7" s="18">
        <f>(('24'!AC7*'24'!$Q$10*1000000))/('24'!Y7*3600)</f>
        <v>0</v>
      </c>
      <c r="AE7" s="183"/>
      <c r="AF7" s="184">
        <f>('24'!AE7/24)*0.454</f>
        <v>0</v>
      </c>
      <c r="AG7" s="19"/>
      <c r="AH7" s="184">
        <f>('24'!AG7/24)*0.454</f>
        <v>0</v>
      </c>
      <c r="AI7" s="182">
        <v>5400</v>
      </c>
      <c r="AJ7" s="184">
        <f>('24'!AI7/24)*0.454</f>
        <v>102.15</v>
      </c>
      <c r="AK7" s="21"/>
      <c r="AL7" s="185">
        <f>('24'!AK7/24)*0.454</f>
        <v>0</v>
      </c>
      <c r="AM7" s="21"/>
      <c r="AN7" s="185">
        <f>('24'!AM7/24)*0.454</f>
        <v>0</v>
      </c>
      <c r="AO7" s="21"/>
      <c r="AP7" s="185">
        <f>('24'!AO7/24)*0.454</f>
        <v>0</v>
      </c>
      <c r="AQ7" s="24">
        <v>2</v>
      </c>
      <c r="AR7" s="325" t="s">
        <v>49</v>
      </c>
      <c r="AS7" s="26">
        <v>1.345</v>
      </c>
      <c r="AT7" s="325">
        <v>1</v>
      </c>
      <c r="AU7" s="34">
        <v>24</v>
      </c>
    </row>
    <row r="8" spans="1:47" ht="18.75" customHeight="1">
      <c r="A8" s="28">
        <v>8.3333333333333301E-2</v>
      </c>
      <c r="B8" s="186">
        <v>80</v>
      </c>
      <c r="C8" s="186">
        <v>12.5</v>
      </c>
      <c r="D8" s="186">
        <v>12.5</v>
      </c>
      <c r="E8" s="186">
        <v>2.5</v>
      </c>
      <c r="F8" s="186">
        <v>12</v>
      </c>
      <c r="G8" s="186">
        <v>1.7</v>
      </c>
      <c r="H8" s="186">
        <v>1.9</v>
      </c>
      <c r="I8" s="186">
        <v>0.6</v>
      </c>
      <c r="J8" s="186">
        <v>0.6</v>
      </c>
      <c r="K8" s="186">
        <v>7.3</v>
      </c>
      <c r="L8" s="186">
        <v>6.8</v>
      </c>
      <c r="M8" s="186">
        <v>6.8</v>
      </c>
      <c r="N8" s="186">
        <v>6.6</v>
      </c>
      <c r="O8" s="186">
        <v>3.2</v>
      </c>
      <c r="P8" s="186"/>
      <c r="Q8" s="188"/>
      <c r="R8" s="35">
        <f>'24'!Z7</f>
        <v>979</v>
      </c>
      <c r="S8" s="36">
        <f>'24'!AB7</f>
        <v>68.501157407407419</v>
      </c>
      <c r="T8" s="37">
        <f>'24'!Y7</f>
        <v>2640</v>
      </c>
      <c r="U8" s="33" t="str">
        <f>IF('24'!AA7=1,'24'!AR6,'24'!AR7)</f>
        <v>S.A.L</v>
      </c>
      <c r="V8" s="1022"/>
      <c r="W8" s="1022"/>
      <c r="X8" s="13">
        <v>0.125</v>
      </c>
      <c r="Y8" s="54">
        <v>2628</v>
      </c>
      <c r="Z8" s="182">
        <v>979</v>
      </c>
      <c r="AA8" s="15">
        <v>1</v>
      </c>
      <c r="AB8" s="58">
        <f>IF('24'!AA8=1,(('24'!Z8*'24'!$AS$6*'24'!$AT$6)/('24'!Y8*0.0036)),IF('24'!AA8=2,(('24'!Z8*'24'!$AS$7*'24'!$AT$7)/('24'!Y8*0.0036))))</f>
        <v>68.813948080500609</v>
      </c>
      <c r="AC8" s="58"/>
      <c r="AD8" s="18">
        <f>(('24'!AC8*'24'!$Q$10*1000000))/('24'!Y8*3600)</f>
        <v>0</v>
      </c>
      <c r="AE8" s="183"/>
      <c r="AF8" s="184">
        <f>('24'!AE8/24)*0.454</f>
        <v>0</v>
      </c>
      <c r="AG8" s="19"/>
      <c r="AH8" s="184">
        <f>('24'!AG8/24)*0.454</f>
        <v>0</v>
      </c>
      <c r="AI8" s="182">
        <v>5400</v>
      </c>
      <c r="AJ8" s="184">
        <f>('24'!AI8/24)*0.454</f>
        <v>102.15</v>
      </c>
      <c r="AK8" s="21"/>
      <c r="AL8" s="185">
        <f>('24'!AK8/24)*0.454</f>
        <v>0</v>
      </c>
      <c r="AM8" s="21"/>
      <c r="AN8" s="185">
        <f>('24'!AM8/24)*0.454</f>
        <v>0</v>
      </c>
      <c r="AO8" s="21"/>
      <c r="AP8" s="185">
        <f>('24'!AO8/24)*0.454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80</v>
      </c>
      <c r="C9" s="186">
        <v>12.5</v>
      </c>
      <c r="D9" s="186">
        <v>12.5</v>
      </c>
      <c r="E9" s="186">
        <v>2.5</v>
      </c>
      <c r="F9" s="186">
        <v>12</v>
      </c>
      <c r="G9" s="186">
        <v>1.6</v>
      </c>
      <c r="H9" s="186">
        <v>1.9</v>
      </c>
      <c r="I9" s="186">
        <v>0.5</v>
      </c>
      <c r="J9" s="186">
        <v>0.6</v>
      </c>
      <c r="K9" s="186">
        <v>7.3</v>
      </c>
      <c r="L9" s="186">
        <v>6.8</v>
      </c>
      <c r="M9" s="186">
        <v>6.8</v>
      </c>
      <c r="N9" s="186">
        <v>6.6</v>
      </c>
      <c r="O9" s="186">
        <v>3</v>
      </c>
      <c r="P9" s="186"/>
      <c r="Q9" s="188"/>
      <c r="R9" s="37">
        <f>'24'!Z9</f>
        <v>979</v>
      </c>
      <c r="S9" s="36">
        <f>'24'!AB9</f>
        <v>68.062873750679557</v>
      </c>
      <c r="T9" s="37">
        <f>'24'!Y9</f>
        <v>2657</v>
      </c>
      <c r="U9" s="33" t="str">
        <f>IF('24'!AA9=1,'24'!AR6,'24'!AR7)</f>
        <v>S.A.L</v>
      </c>
      <c r="V9" s="1022"/>
      <c r="W9" s="1022"/>
      <c r="X9" s="13">
        <v>0.16666666666666699</v>
      </c>
      <c r="Y9" s="54">
        <v>2657</v>
      </c>
      <c r="Z9" s="182">
        <v>979</v>
      </c>
      <c r="AA9" s="15">
        <v>1</v>
      </c>
      <c r="AB9" s="58">
        <f>IF('24'!AA9=1,(('24'!Z9*'24'!$AS$6*'24'!$AT$6)/('24'!Y9*0.0036)),IF('24'!AA9=2,(('24'!Z9*'24'!$AS$7*'24'!$AT$7)/('24'!Y9*0.0036))))</f>
        <v>68.062873750679557</v>
      </c>
      <c r="AC9" s="58"/>
      <c r="AD9" s="18">
        <f>(('24'!AC9*'24'!$Q$10*1000000))/('24'!Y9*3600)</f>
        <v>0</v>
      </c>
      <c r="AE9" s="183"/>
      <c r="AF9" s="184">
        <f>('24'!AE9/24)*0.454</f>
        <v>0</v>
      </c>
      <c r="AG9" s="19"/>
      <c r="AH9" s="184">
        <f>('24'!AG9/24)*0.454</f>
        <v>0</v>
      </c>
      <c r="AI9" s="182">
        <v>5400</v>
      </c>
      <c r="AJ9" s="184">
        <f>('24'!AI9/24)*0.454</f>
        <v>102.15</v>
      </c>
      <c r="AK9" s="21"/>
      <c r="AL9" s="185">
        <f>('24'!AK9/24)*0.454</f>
        <v>0</v>
      </c>
      <c r="AM9" s="21"/>
      <c r="AN9" s="185">
        <f>('24'!AM9/24)*0.454</f>
        <v>0</v>
      </c>
      <c r="AO9" s="21"/>
      <c r="AP9" s="185">
        <f>('24'!AO9/24)*0.454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80</v>
      </c>
      <c r="C10" s="186">
        <v>12.5</v>
      </c>
      <c r="D10" s="186">
        <v>12.5</v>
      </c>
      <c r="E10" s="186">
        <v>2.5</v>
      </c>
      <c r="F10" s="186">
        <v>12</v>
      </c>
      <c r="G10" s="186">
        <v>1.6</v>
      </c>
      <c r="H10" s="186">
        <v>1.9</v>
      </c>
      <c r="I10" s="186">
        <v>0.5</v>
      </c>
      <c r="J10" s="186">
        <v>0.6</v>
      </c>
      <c r="K10" s="186">
        <v>7.3</v>
      </c>
      <c r="L10" s="186">
        <v>6.8</v>
      </c>
      <c r="M10" s="186">
        <v>6.8</v>
      </c>
      <c r="N10" s="186">
        <v>6.6</v>
      </c>
      <c r="O10" s="186">
        <v>2.8</v>
      </c>
      <c r="P10" s="186"/>
      <c r="Q10" s="188"/>
      <c r="R10" s="37">
        <f>'24'!Z11</f>
        <v>979</v>
      </c>
      <c r="S10" s="36">
        <f>'24'!AB11</f>
        <v>67.453582825645498</v>
      </c>
      <c r="T10" s="37">
        <f>'24'!Y11</f>
        <v>2681</v>
      </c>
      <c r="U10" s="33" t="str">
        <f>IF('24'!AA11=1,'24'!AR6,'24'!AR7)</f>
        <v>S.A.L</v>
      </c>
      <c r="V10" s="1022"/>
      <c r="W10" s="1022"/>
      <c r="X10" s="13">
        <v>0.20833333333333301</v>
      </c>
      <c r="Y10" s="54">
        <v>2697</v>
      </c>
      <c r="Z10" s="182">
        <v>979</v>
      </c>
      <c r="AA10" s="15">
        <v>1</v>
      </c>
      <c r="AB10" s="58">
        <f>IF('24'!AA10=1,(('24'!Z10*'24'!$AS$6*'24'!$AT$6)/('24'!Y10*0.0036)),IF('24'!AA10=2,(('24'!Z10*'24'!$AS$7*'24'!$AT$7)/('24'!Y10*0.0036))))</f>
        <v>67.053413257528959</v>
      </c>
      <c r="AC10" s="58"/>
      <c r="AD10" s="18">
        <f>(('24'!AC10*'24'!$Q$10*1000000))/('24'!Y10*3600)</f>
        <v>0</v>
      </c>
      <c r="AE10" s="183"/>
      <c r="AF10" s="184">
        <f>('24'!AE10/24)*0.454</f>
        <v>0</v>
      </c>
      <c r="AG10" s="19"/>
      <c r="AH10" s="184">
        <f>('24'!AG10/24)*0.454</f>
        <v>0</v>
      </c>
      <c r="AI10" s="182">
        <v>5400</v>
      </c>
      <c r="AJ10" s="184">
        <f>('24'!AI10/24)*0.454</f>
        <v>102.15</v>
      </c>
      <c r="AK10" s="21"/>
      <c r="AL10" s="185">
        <f>('24'!AK10/24)*0.454</f>
        <v>0</v>
      </c>
      <c r="AM10" s="21"/>
      <c r="AN10" s="185">
        <f>('24'!AM10/24)*0.454</f>
        <v>0</v>
      </c>
      <c r="AO10" s="21"/>
      <c r="AP10" s="185">
        <f>('24'!AO10/24)*0.454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6">
        <v>80</v>
      </c>
      <c r="C11" s="186">
        <v>12.5</v>
      </c>
      <c r="D11" s="186">
        <v>12.5</v>
      </c>
      <c r="E11" s="186">
        <v>2.5</v>
      </c>
      <c r="F11" s="186">
        <v>12.1</v>
      </c>
      <c r="G11" s="186">
        <v>2</v>
      </c>
      <c r="H11" s="186">
        <v>2.2999999999999998</v>
      </c>
      <c r="I11" s="186">
        <v>0.5</v>
      </c>
      <c r="J11" s="186">
        <v>0.6</v>
      </c>
      <c r="K11" s="186">
        <v>7.3</v>
      </c>
      <c r="L11" s="186">
        <v>6.8</v>
      </c>
      <c r="M11" s="186">
        <v>6.8</v>
      </c>
      <c r="N11" s="186">
        <v>6.6</v>
      </c>
      <c r="O11" s="186">
        <v>2.6</v>
      </c>
      <c r="P11" s="186"/>
      <c r="Q11" s="188"/>
      <c r="R11" s="37">
        <f>'24'!Z13</f>
        <v>979</v>
      </c>
      <c r="S11" s="36">
        <f>'24'!AB13</f>
        <v>68.011679411641808</v>
      </c>
      <c r="T11" s="37">
        <f>'24'!Y13</f>
        <v>2659</v>
      </c>
      <c r="U11" s="33" t="str">
        <f>IF('24'!AA13=1,'24'!AR6,'24'!AR7)</f>
        <v>S.A.L</v>
      </c>
      <c r="V11" s="1022"/>
      <c r="W11" s="1022"/>
      <c r="X11" s="13">
        <v>0.25</v>
      </c>
      <c r="Y11" s="54">
        <v>2681</v>
      </c>
      <c r="Z11" s="182">
        <v>979</v>
      </c>
      <c r="AA11" s="15">
        <v>1</v>
      </c>
      <c r="AB11" s="58">
        <f>IF('24'!AA11=1,(('24'!Z11*'24'!$AS$6*'24'!$AT$6)/('24'!Y11*0.0036)),IF('24'!AA11=2,(('24'!Z11*'24'!$AS$7*'24'!$AT$7)/('24'!Y11*0.0036))))</f>
        <v>67.453582825645498</v>
      </c>
      <c r="AC11" s="58"/>
      <c r="AD11" s="18">
        <f>(('24'!AC11*'24'!$Q$10*1000000))/('24'!Y11*3600)</f>
        <v>0</v>
      </c>
      <c r="AE11" s="183"/>
      <c r="AF11" s="184">
        <f>('24'!AE11/24)*0.454</f>
        <v>0</v>
      </c>
      <c r="AG11" s="19"/>
      <c r="AH11" s="184">
        <f>('24'!AG11/24)*0.454</f>
        <v>0</v>
      </c>
      <c r="AI11" s="182">
        <v>5400</v>
      </c>
      <c r="AJ11" s="184">
        <f>('24'!AI11/24)*0.454</f>
        <v>102.15</v>
      </c>
      <c r="AK11" s="21"/>
      <c r="AL11" s="185">
        <f>('24'!AK11/24)*0.454</f>
        <v>0</v>
      </c>
      <c r="AM11" s="21"/>
      <c r="AN11" s="185">
        <f>('24'!AM11/24)*0.454</f>
        <v>0</v>
      </c>
      <c r="AO11" s="21"/>
      <c r="AP11" s="185">
        <f>('24'!AO11/24)*0.454</f>
        <v>0</v>
      </c>
    </row>
    <row r="12" spans="1:47" ht="18.75" customHeight="1">
      <c r="A12" s="28">
        <v>0.41666666666666702</v>
      </c>
      <c r="B12" s="186">
        <v>80</v>
      </c>
      <c r="C12" s="186">
        <v>12.5</v>
      </c>
      <c r="D12" s="186">
        <v>12.5</v>
      </c>
      <c r="E12" s="186">
        <v>2.5</v>
      </c>
      <c r="F12" s="186">
        <v>13.5</v>
      </c>
      <c r="G12" s="186">
        <v>2.15</v>
      </c>
      <c r="H12" s="186">
        <v>2.19</v>
      </c>
      <c r="I12" s="186">
        <v>0.5</v>
      </c>
      <c r="J12" s="186">
        <v>0.6</v>
      </c>
      <c r="K12" s="186">
        <v>7.3</v>
      </c>
      <c r="L12" s="186">
        <v>6.8</v>
      </c>
      <c r="M12" s="186">
        <v>6.8</v>
      </c>
      <c r="N12" s="186">
        <v>6.6</v>
      </c>
      <c r="O12" s="186">
        <v>2.8</v>
      </c>
      <c r="P12" s="186"/>
      <c r="Q12" s="188"/>
      <c r="R12" s="37">
        <f>'24'!Z15</f>
        <v>979</v>
      </c>
      <c r="S12" s="36">
        <f>'24'!AB15</f>
        <v>70.449184088646504</v>
      </c>
      <c r="T12" s="37">
        <f>'24'!Y15</f>
        <v>2567</v>
      </c>
      <c r="U12" s="33" t="str">
        <f>IF('24'!AA15=1,'24'!AR6,'24'!AR7)</f>
        <v>S.A.L</v>
      </c>
      <c r="V12" s="944">
        <f>ESCALA!$B$26</f>
        <v>0</v>
      </c>
      <c r="W12" s="944"/>
      <c r="X12" s="13">
        <v>0.29166666666666702</v>
      </c>
      <c r="Y12" s="54">
        <v>2630</v>
      </c>
      <c r="Z12" s="182">
        <v>979</v>
      </c>
      <c r="AA12" s="15">
        <v>1</v>
      </c>
      <c r="AB12" s="58">
        <f>IF('24'!AA12=1,(('24'!Z12*'24'!$AS$6*'24'!$AT$6)/('24'!Y12*0.0036)),IF('24'!AA12=2,(('24'!Z12*'24'!$AS$7*'24'!$AT$7)/('24'!Y12*0.0036))))</f>
        <v>68.761618081960293</v>
      </c>
      <c r="AC12" s="58"/>
      <c r="AD12" s="18">
        <f>(('24'!AC12*'24'!$Q$10*1000000))/('24'!Y12*3600)</f>
        <v>0</v>
      </c>
      <c r="AE12" s="183"/>
      <c r="AF12" s="184">
        <f>('24'!AE12/24)*0.454</f>
        <v>0</v>
      </c>
      <c r="AG12" s="19"/>
      <c r="AH12" s="184">
        <f>('24'!AG12/24)*0.454</f>
        <v>0</v>
      </c>
      <c r="AI12" s="182">
        <v>5400</v>
      </c>
      <c r="AJ12" s="184">
        <f>('24'!AI12/24)*0.454</f>
        <v>102.15</v>
      </c>
      <c r="AK12" s="21"/>
      <c r="AL12" s="185">
        <f>('24'!AK12/24)*0.454</f>
        <v>0</v>
      </c>
      <c r="AM12" s="21"/>
      <c r="AN12" s="185">
        <f>('24'!AM12/24)*0.454</f>
        <v>0</v>
      </c>
      <c r="AO12" s="21"/>
      <c r="AP12" s="185">
        <f>('24'!AO12/24)*0.454</f>
        <v>0</v>
      </c>
    </row>
    <row r="13" spans="1:47" ht="18.75" customHeight="1">
      <c r="A13" s="28">
        <v>0.5</v>
      </c>
      <c r="B13" s="186">
        <v>80</v>
      </c>
      <c r="C13" s="186">
        <v>12.5</v>
      </c>
      <c r="D13" s="186">
        <v>12.5</v>
      </c>
      <c r="E13" s="186">
        <v>2.5</v>
      </c>
      <c r="F13" s="186">
        <v>12.8</v>
      </c>
      <c r="G13" s="186">
        <v>2.1800000000000002</v>
      </c>
      <c r="H13" s="186">
        <v>2.1800000000000002</v>
      </c>
      <c r="I13" s="186">
        <v>0.6</v>
      </c>
      <c r="J13" s="186">
        <v>0.6</v>
      </c>
      <c r="K13" s="186">
        <v>7.3</v>
      </c>
      <c r="L13" s="186">
        <v>6.8</v>
      </c>
      <c r="M13" s="186">
        <v>6.8</v>
      </c>
      <c r="N13" s="186">
        <v>6.6</v>
      </c>
      <c r="O13" s="186">
        <v>2.8</v>
      </c>
      <c r="P13" s="186"/>
      <c r="Q13" s="188"/>
      <c r="R13" s="37">
        <f>'24'!Z17</f>
        <v>979</v>
      </c>
      <c r="S13" s="36">
        <f>'24'!AB17</f>
        <v>69.024067005937241</v>
      </c>
      <c r="T13" s="37">
        <f>'24'!Y17</f>
        <v>2620</v>
      </c>
      <c r="U13" s="33" t="str">
        <f>IF('24'!AA17=1,'24'!AR6,'24'!AR7)</f>
        <v>S.A.L</v>
      </c>
      <c r="V13" s="944"/>
      <c r="W13" s="944"/>
      <c r="X13" s="13">
        <v>0.33333333333333298</v>
      </c>
      <c r="Y13" s="54">
        <v>2659</v>
      </c>
      <c r="Z13" s="182">
        <v>979</v>
      </c>
      <c r="AA13" s="15">
        <v>1</v>
      </c>
      <c r="AB13" s="58">
        <f>IF('24'!AA13=1,(('24'!Z13*'24'!$AS$6*'24'!$AT$6)/('24'!Y13*0.0036)),IF('24'!AA13=2,(('24'!Z13*'24'!$AS$7*'24'!$AT$7)/('24'!Y13*0.0036))))</f>
        <v>68.011679411641808</v>
      </c>
      <c r="AC13" s="58"/>
      <c r="AD13" s="18">
        <f>(('24'!AC13*'24'!$Q$10*1000000))/('24'!Y13*3600)</f>
        <v>0</v>
      </c>
      <c r="AE13" s="183"/>
      <c r="AF13" s="184">
        <f>('24'!AE13/24)*0.454</f>
        <v>0</v>
      </c>
      <c r="AG13" s="19"/>
      <c r="AH13" s="184">
        <f>('24'!AG13/24)*0.454</f>
        <v>0</v>
      </c>
      <c r="AI13" s="182">
        <v>5400</v>
      </c>
      <c r="AJ13" s="184">
        <f>('24'!AI13/24)*0.454</f>
        <v>102.15</v>
      </c>
      <c r="AK13" s="21"/>
      <c r="AL13" s="185">
        <f>('24'!AK13/24)*0.454</f>
        <v>0</v>
      </c>
      <c r="AM13" s="21"/>
      <c r="AN13" s="185">
        <f>('24'!AM13/24)*0.454</f>
        <v>0</v>
      </c>
      <c r="AO13" s="21"/>
      <c r="AP13" s="185">
        <f>('24'!AO13/24)*0.454</f>
        <v>0</v>
      </c>
    </row>
    <row r="14" spans="1:47" ht="18.75" customHeight="1">
      <c r="A14" s="28">
        <v>0.58333333333333304</v>
      </c>
      <c r="B14" s="186">
        <v>80</v>
      </c>
      <c r="C14" s="186">
        <v>12.5</v>
      </c>
      <c r="D14" s="186">
        <v>12.5</v>
      </c>
      <c r="E14" s="186">
        <v>2.5</v>
      </c>
      <c r="F14" s="186">
        <v>11.7</v>
      </c>
      <c r="G14" s="186">
        <v>2.4</v>
      </c>
      <c r="H14" s="186">
        <v>2.2000000000000002</v>
      </c>
      <c r="I14" s="186">
        <v>0.6</v>
      </c>
      <c r="J14" s="186">
        <v>0.6</v>
      </c>
      <c r="K14" s="186">
        <v>7.3</v>
      </c>
      <c r="L14" s="186">
        <v>6.8</v>
      </c>
      <c r="M14" s="186">
        <v>6.8</v>
      </c>
      <c r="N14" s="186">
        <v>6.6</v>
      </c>
      <c r="O14" s="186">
        <v>2.8</v>
      </c>
      <c r="P14" s="186"/>
      <c r="Q14" s="188"/>
      <c r="R14" s="37">
        <f>'24'!Z19</f>
        <v>979</v>
      </c>
      <c r="S14" s="36">
        <f>'24'!AB19</f>
        <v>67.960562027642084</v>
      </c>
      <c r="T14" s="37">
        <f>'24'!Y19</f>
        <v>2661</v>
      </c>
      <c r="U14" s="33" t="str">
        <f>IF('24'!AA19=1,'24'!AR6,'24'!AR7)</f>
        <v>S.A.L</v>
      </c>
      <c r="V14" s="944"/>
      <c r="W14" s="944"/>
      <c r="X14" s="13">
        <v>0.375</v>
      </c>
      <c r="Y14" s="54">
        <v>2632</v>
      </c>
      <c r="Z14" s="182">
        <v>979</v>
      </c>
      <c r="AA14" s="15">
        <v>1</v>
      </c>
      <c r="AB14" s="58">
        <f>IF('24'!AA14=1,(('24'!Z14*'24'!$AS$6*'24'!$AT$6)/('24'!Y14*0.0036)),IF('24'!AA14=2,(('24'!Z14*'24'!$AS$7*'24'!$AT$7)/('24'!Y14*0.0036))))</f>
        <v>68.709367612293164</v>
      </c>
      <c r="AC14" s="58"/>
      <c r="AD14" s="18">
        <f>(('24'!AC14*'24'!$Q$10*1000000))/('24'!Y14*3600)</f>
        <v>0</v>
      </c>
      <c r="AE14" s="183"/>
      <c r="AF14" s="184">
        <f>('24'!AE14/24)*0.454</f>
        <v>0</v>
      </c>
      <c r="AG14" s="19"/>
      <c r="AH14" s="184">
        <f>('24'!AG14/24)*0.454</f>
        <v>0</v>
      </c>
      <c r="AI14" s="182">
        <v>5400</v>
      </c>
      <c r="AJ14" s="184">
        <f>('24'!AI14/24)*0.454</f>
        <v>102.15</v>
      </c>
      <c r="AK14" s="21"/>
      <c r="AL14" s="185">
        <f>('24'!AK14/24)*0.454</f>
        <v>0</v>
      </c>
      <c r="AM14" s="21"/>
      <c r="AN14" s="185">
        <f>('24'!AM14/24)*0.454</f>
        <v>0</v>
      </c>
      <c r="AO14" s="21"/>
      <c r="AP14" s="185">
        <f>('24'!AO14/24)*0.454</f>
        <v>0</v>
      </c>
    </row>
    <row r="15" spans="1:47" ht="18.75" customHeight="1">
      <c r="A15" s="28">
        <v>0.66666666666666696</v>
      </c>
      <c r="B15" s="186">
        <v>80</v>
      </c>
      <c r="C15" s="186">
        <v>12.5</v>
      </c>
      <c r="D15" s="186">
        <v>12.5</v>
      </c>
      <c r="E15" s="186">
        <v>2.5</v>
      </c>
      <c r="F15" s="186">
        <v>12.2</v>
      </c>
      <c r="G15" s="186">
        <v>2.2000000000000002</v>
      </c>
      <c r="H15" s="186">
        <v>2.1800000000000002</v>
      </c>
      <c r="I15" s="186">
        <v>0.6</v>
      </c>
      <c r="J15" s="186">
        <v>0.6</v>
      </c>
      <c r="K15" s="186">
        <v>7.3</v>
      </c>
      <c r="L15" s="186">
        <v>6.8</v>
      </c>
      <c r="M15" s="186">
        <v>6.8</v>
      </c>
      <c r="N15" s="186">
        <v>6.6</v>
      </c>
      <c r="O15" s="186">
        <v>2.8</v>
      </c>
      <c r="P15" s="186"/>
      <c r="Q15" s="188"/>
      <c r="R15" s="37">
        <f>'24'!Z21</f>
        <v>979</v>
      </c>
      <c r="S15" s="36">
        <f>'24'!AB21</f>
        <v>67.756858582074031</v>
      </c>
      <c r="T15" s="37">
        <f>'24'!Y21</f>
        <v>2669</v>
      </c>
      <c r="U15" s="33" t="str">
        <f>IF('24'!AA21=1,'24'!AR6,'24'!AR7)</f>
        <v>S.A.L</v>
      </c>
      <c r="V15" s="944"/>
      <c r="W15" s="944"/>
      <c r="X15" s="13">
        <v>0.41666666666666702</v>
      </c>
      <c r="Y15" s="54">
        <v>2567</v>
      </c>
      <c r="Z15" s="182">
        <v>979</v>
      </c>
      <c r="AA15" s="15">
        <v>1</v>
      </c>
      <c r="AB15" s="58">
        <f>IF('24'!AA15=1,(('24'!Z15*'24'!$AS$6*'24'!$AT$6)/('24'!Y15*0.0036)),IF('24'!AA15=2,(('24'!Z15*'24'!$AS$7*'24'!$AT$7)/('24'!Y15*0.0036))))</f>
        <v>70.449184088646504</v>
      </c>
      <c r="AC15" s="58"/>
      <c r="AD15" s="18">
        <f>(('24'!AC15*'24'!$Q$10*1000000))/('24'!Y15*3600)</f>
        <v>0</v>
      </c>
      <c r="AE15" s="183"/>
      <c r="AF15" s="184">
        <f>('24'!AE15/24)*0.454</f>
        <v>0</v>
      </c>
      <c r="AG15" s="19"/>
      <c r="AH15" s="184">
        <f>('24'!AG15/24)*0.454</f>
        <v>0</v>
      </c>
      <c r="AI15" s="182">
        <v>5400</v>
      </c>
      <c r="AJ15" s="184">
        <f>('24'!AI15/24)*0.454</f>
        <v>102.15</v>
      </c>
      <c r="AK15" s="21"/>
      <c r="AL15" s="185">
        <f>('24'!AK15/24)*0.454</f>
        <v>0</v>
      </c>
      <c r="AM15" s="21"/>
      <c r="AN15" s="185">
        <f>('24'!AM15/24)*0.454</f>
        <v>0</v>
      </c>
      <c r="AO15" s="21"/>
      <c r="AP15" s="185">
        <f>('24'!AO15/24)*0.454</f>
        <v>0</v>
      </c>
    </row>
    <row r="16" spans="1:47" ht="18.75" customHeight="1">
      <c r="A16" s="28">
        <v>0.75</v>
      </c>
      <c r="B16" s="186">
        <v>80</v>
      </c>
      <c r="C16" s="186">
        <v>12.5</v>
      </c>
      <c r="D16" s="186">
        <v>12.5</v>
      </c>
      <c r="E16" s="186">
        <v>2.5</v>
      </c>
      <c r="F16" s="186">
        <v>12.3</v>
      </c>
      <c r="G16" s="186">
        <v>2</v>
      </c>
      <c r="H16" s="186">
        <v>2.2999999999999998</v>
      </c>
      <c r="I16" s="186">
        <v>0.56999999999999995</v>
      </c>
      <c r="J16" s="186">
        <v>0.6</v>
      </c>
      <c r="K16" s="186">
        <v>7.3</v>
      </c>
      <c r="L16" s="186">
        <v>6.8</v>
      </c>
      <c r="M16" s="186">
        <v>6.8</v>
      </c>
      <c r="N16" s="186">
        <v>6.6</v>
      </c>
      <c r="O16" s="186">
        <v>2.8</v>
      </c>
      <c r="P16" s="186"/>
      <c r="Q16" s="188"/>
      <c r="R16" s="37">
        <f>'24'!Z23</f>
        <v>979</v>
      </c>
      <c r="S16" s="36">
        <f>'24'!AB23</f>
        <v>68.320005876673818</v>
      </c>
      <c r="T16" s="37">
        <f>'24'!Y23</f>
        <v>2647</v>
      </c>
      <c r="U16" s="33" t="str">
        <f>IF('24'!AA23=1,'24'!AR6,'24'!AR7)</f>
        <v>S.A.L</v>
      </c>
      <c r="V16" s="944"/>
      <c r="W16" s="944"/>
      <c r="X16" s="13">
        <v>0.45833333333333298</v>
      </c>
      <c r="Y16" s="54">
        <v>2575</v>
      </c>
      <c r="Z16" s="182">
        <v>979</v>
      </c>
      <c r="AA16" s="15">
        <v>1</v>
      </c>
      <c r="AB16" s="58">
        <f>IF('24'!AA16=1,(('24'!Z16*'24'!$AS$6*'24'!$AT$6)/('24'!Y16*0.0036)),IF('24'!AA16=2,(('24'!Z16*'24'!$AS$7*'24'!$AT$7)/('24'!Y16*0.0036))))</f>
        <v>70.230312837108968</v>
      </c>
      <c r="AC16" s="58"/>
      <c r="AD16" s="18">
        <f>(('24'!AC16*'24'!$Q$10*1000000))/('24'!Y16*3600)</f>
        <v>0</v>
      </c>
      <c r="AE16" s="183"/>
      <c r="AF16" s="184">
        <f>('24'!AE16/24)*0.454</f>
        <v>0</v>
      </c>
      <c r="AG16" s="19"/>
      <c r="AH16" s="184">
        <f>('24'!AG16/24)*0.454</f>
        <v>0</v>
      </c>
      <c r="AI16" s="182">
        <v>5400</v>
      </c>
      <c r="AJ16" s="184">
        <f>('24'!AI16/24)*0.454</f>
        <v>102.15</v>
      </c>
      <c r="AK16" s="21"/>
      <c r="AL16" s="185">
        <f>('24'!AK16/24)*0.454</f>
        <v>0</v>
      </c>
      <c r="AM16" s="21"/>
      <c r="AN16" s="185">
        <f>('24'!AM16/24)*0.454</f>
        <v>0</v>
      </c>
      <c r="AO16" s="21"/>
      <c r="AP16" s="185">
        <f>('24'!AO16/24)*0.454</f>
        <v>0</v>
      </c>
    </row>
    <row r="17" spans="1:42" ht="18.75" customHeight="1">
      <c r="A17" s="28">
        <v>0.83333333333333304</v>
      </c>
      <c r="B17" s="186">
        <v>80</v>
      </c>
      <c r="C17" s="186">
        <v>12.5</v>
      </c>
      <c r="D17" s="186">
        <v>12.5</v>
      </c>
      <c r="E17" s="186">
        <v>2.5</v>
      </c>
      <c r="F17" s="186">
        <v>12.5</v>
      </c>
      <c r="G17" s="186">
        <v>1.94</v>
      </c>
      <c r="H17" s="186">
        <v>2.34</v>
      </c>
      <c r="I17" s="186">
        <v>0.59</v>
      </c>
      <c r="J17" s="186">
        <v>0.6</v>
      </c>
      <c r="K17" s="186">
        <v>7.3</v>
      </c>
      <c r="L17" s="186">
        <v>6.8</v>
      </c>
      <c r="M17" s="186">
        <v>6.8</v>
      </c>
      <c r="N17" s="186">
        <v>6.6</v>
      </c>
      <c r="O17" s="186">
        <v>2.8</v>
      </c>
      <c r="P17" s="186"/>
      <c r="Q17" s="188"/>
      <c r="R17" s="37">
        <f>'24'!Z25</f>
        <v>979</v>
      </c>
      <c r="S17" s="36">
        <f>'24'!AB25</f>
        <v>67.935032139577601</v>
      </c>
      <c r="T17" s="37">
        <f>'24'!Y25</f>
        <v>2662</v>
      </c>
      <c r="U17" s="33" t="str">
        <f>IF('24'!AA25=1,'24'!AR6,'24'!AR7)</f>
        <v>S.A.L</v>
      </c>
      <c r="V17" s="945">
        <f>ESCALA!$C$26</f>
        <v>0</v>
      </c>
      <c r="W17" s="945"/>
      <c r="X17" s="13">
        <v>0.5</v>
      </c>
      <c r="Y17" s="54">
        <v>2620</v>
      </c>
      <c r="Z17" s="182">
        <v>979</v>
      </c>
      <c r="AA17" s="15">
        <v>1</v>
      </c>
      <c r="AB17" s="58">
        <f>IF('24'!AA17=1,(('24'!Z17*'24'!$AS$6*'24'!$AT$6)/('24'!Y17*0.0036)),IF('24'!AA17=2,(('24'!Z17*'24'!$AS$7*'24'!$AT$7)/('24'!Y17*0.0036))))</f>
        <v>69.024067005937241</v>
      </c>
      <c r="AC17" s="58"/>
      <c r="AD17" s="18">
        <f>(('24'!AC17*'24'!$Q$10*1000000))/('24'!Y17*3600)</f>
        <v>0</v>
      </c>
      <c r="AE17" s="183"/>
      <c r="AF17" s="184">
        <f>('24'!AE17/24)*0.454</f>
        <v>0</v>
      </c>
      <c r="AG17" s="19"/>
      <c r="AH17" s="184">
        <f>('24'!AG17/24)*0.454</f>
        <v>0</v>
      </c>
      <c r="AI17" s="182">
        <v>5400</v>
      </c>
      <c r="AJ17" s="184">
        <f>('24'!AI17/24)*0.454</f>
        <v>102.15</v>
      </c>
      <c r="AK17" s="21"/>
      <c r="AL17" s="185">
        <f>('24'!AK17/24)*0.454</f>
        <v>0</v>
      </c>
      <c r="AM17" s="21"/>
      <c r="AN17" s="185">
        <f>('24'!AM17/24)*0.454</f>
        <v>0</v>
      </c>
      <c r="AO17" s="21"/>
      <c r="AP17" s="185">
        <f>('24'!AO17/24)*0.454</f>
        <v>0</v>
      </c>
    </row>
    <row r="18" spans="1:42" ht="19.5" customHeight="1">
      <c r="A18" s="28">
        <v>0.91666666666666696</v>
      </c>
      <c r="B18" s="186">
        <v>80</v>
      </c>
      <c r="C18" s="186">
        <v>12.5</v>
      </c>
      <c r="D18" s="186">
        <v>12.5</v>
      </c>
      <c r="E18" s="186">
        <v>2.5</v>
      </c>
      <c r="F18" s="186">
        <v>10.9</v>
      </c>
      <c r="G18" s="186">
        <v>1.7</v>
      </c>
      <c r="H18" s="186">
        <v>2.02</v>
      </c>
      <c r="I18" s="186">
        <v>0.63</v>
      </c>
      <c r="J18" s="186">
        <v>0.7</v>
      </c>
      <c r="K18" s="186">
        <v>7.3</v>
      </c>
      <c r="L18" s="186">
        <v>6.8</v>
      </c>
      <c r="M18" s="186">
        <v>6.8</v>
      </c>
      <c r="N18" s="186">
        <v>6.6</v>
      </c>
      <c r="O18" s="186">
        <v>2.8</v>
      </c>
      <c r="P18" s="326"/>
      <c r="Q18" s="188"/>
      <c r="R18" s="37">
        <f>'24'!Z27</f>
        <v>979</v>
      </c>
      <c r="S18" s="36">
        <f>'24'!AB27</f>
        <v>66.756388171116868</v>
      </c>
      <c r="T18" s="37">
        <f>'24'!Y27</f>
        <v>2709</v>
      </c>
      <c r="U18" s="33" t="str">
        <f>IF('24'!AA27=1,'24'!AR6,'24'!AR7)</f>
        <v>S.A.L</v>
      </c>
      <c r="V18" s="945"/>
      <c r="W18" s="945"/>
      <c r="X18" s="13">
        <v>0.54166666666666696</v>
      </c>
      <c r="Y18" s="54">
        <v>2664</v>
      </c>
      <c r="Z18" s="182">
        <v>979</v>
      </c>
      <c r="AA18" s="15">
        <v>1</v>
      </c>
      <c r="AB18" s="58">
        <f>IF('24'!AA18=1,(('24'!Z18*'24'!$AS$6*'24'!$AT$6)/('24'!Y18*0.0036)),IF('24'!AA18=2,(('24'!Z18*'24'!$AS$7*'24'!$AT$7)/('24'!Y18*0.0036))))</f>
        <v>67.884029863196545</v>
      </c>
      <c r="AC18" s="58"/>
      <c r="AD18" s="18">
        <f>(('24'!AC18*'24'!$Q$10*1000000))/('24'!Y18*3600)</f>
        <v>0</v>
      </c>
      <c r="AE18" s="183"/>
      <c r="AF18" s="184">
        <f>('24'!AE18/24)*0.454</f>
        <v>0</v>
      </c>
      <c r="AG18" s="19"/>
      <c r="AH18" s="184">
        <f>('24'!AG18/24)*0.454</f>
        <v>0</v>
      </c>
      <c r="AI18" s="182">
        <v>5400</v>
      </c>
      <c r="AJ18" s="184">
        <f>('24'!AI18/24)*0.454</f>
        <v>102.15</v>
      </c>
      <c r="AK18" s="21"/>
      <c r="AL18" s="185">
        <f>('24'!AK18/24)*0.454</f>
        <v>0</v>
      </c>
      <c r="AM18" s="21"/>
      <c r="AN18" s="185">
        <f>('24'!AM18/24)*0.454</f>
        <v>0</v>
      </c>
      <c r="AO18" s="21"/>
      <c r="AP18" s="185">
        <f>('24'!AO18/24)*0.454</f>
        <v>0</v>
      </c>
    </row>
    <row r="19" spans="1:42" ht="18.75" customHeight="1">
      <c r="A19" s="10" t="s">
        <v>52</v>
      </c>
      <c r="B19" s="189">
        <f>AVERAGE('24'!B7:B18)</f>
        <v>80</v>
      </c>
      <c r="C19" s="69">
        <f>AVERAGE('24'!C7:C18)</f>
        <v>12.5</v>
      </c>
      <c r="D19" s="69">
        <f>AVERAGE('24'!D7:D18)</f>
        <v>12.5</v>
      </c>
      <c r="E19" s="69">
        <f>AVERAGE('24'!E7:E18)</f>
        <v>2.5</v>
      </c>
      <c r="F19" s="69">
        <f>AVERAGE('24'!F7:F18)</f>
        <v>12.166666666666666</v>
      </c>
      <c r="G19" s="69">
        <f>AVERAGE('24'!G7:G18)</f>
        <v>1.9308333333333334</v>
      </c>
      <c r="H19" s="69">
        <f>AVERAGE('24'!H7:H18)</f>
        <v>2.1175000000000002</v>
      </c>
      <c r="I19" s="69">
        <f>AVERAGE('24'!I7:I18)</f>
        <v>0.5658333333333333</v>
      </c>
      <c r="J19" s="69">
        <f>AVERAGE('24'!J7:J18)</f>
        <v>0.60833333333333328</v>
      </c>
      <c r="K19" s="69">
        <f>AVERAGE('24'!K7:K18)</f>
        <v>7.299999999999998</v>
      </c>
      <c r="L19" s="69">
        <f>AVERAGE('24'!L7:L18)</f>
        <v>6.799999999999998</v>
      </c>
      <c r="M19" s="69">
        <f>AVERAGE('24'!M7:M18)</f>
        <v>6.799999999999998</v>
      </c>
      <c r="N19" s="69">
        <f>AVERAGE('24'!N7:N18)</f>
        <v>6.5999999999999988</v>
      </c>
      <c r="O19" s="69">
        <f>AVERAGE('24'!O7:O18)</f>
        <v>2.8916666666666671</v>
      </c>
      <c r="P19" s="190" t="e">
        <f>AVERAGE('24'!P7:P18)</f>
        <v>#DIV/0!</v>
      </c>
      <c r="Q19" s="191" t="e">
        <f>AVERAGE('24'!Q7:Q18)</f>
        <v>#DIV/0!</v>
      </c>
      <c r="R19" s="191">
        <f>AVERAGE('24'!R7:R18)</f>
        <v>979</v>
      </c>
      <c r="S19" s="191">
        <f>AVERAGE('24'!S7:S18)</f>
        <v>68.238139411326912</v>
      </c>
      <c r="T19" s="946"/>
      <c r="U19" s="946"/>
      <c r="V19" s="49"/>
      <c r="W19" s="50"/>
      <c r="X19" s="13">
        <v>0.58333333333333304</v>
      </c>
      <c r="Y19" s="54">
        <v>2661</v>
      </c>
      <c r="Z19" s="182">
        <v>979</v>
      </c>
      <c r="AA19" s="15">
        <v>1</v>
      </c>
      <c r="AB19" s="58">
        <f>IF('24'!AA19=1,(('24'!Z19*'24'!$AS$6*'24'!$AT$6)/('24'!Y19*0.0036)),IF('24'!AA19=2,(('24'!Z19*'24'!$AS$7*'24'!$AT$7)/('24'!Y19*0.0036))))</f>
        <v>67.960562027642084</v>
      </c>
      <c r="AC19" s="58"/>
      <c r="AD19" s="18">
        <f>(('24'!AC19*'24'!$Q$10*1000000))/('24'!Y19*3600)</f>
        <v>0</v>
      </c>
      <c r="AE19" s="183"/>
      <c r="AF19" s="184">
        <f>('24'!AE19/24)*0.454</f>
        <v>0</v>
      </c>
      <c r="AG19" s="19"/>
      <c r="AH19" s="184">
        <f>('24'!AG19/24)*0.454</f>
        <v>0</v>
      </c>
      <c r="AI19" s="182">
        <v>5400</v>
      </c>
      <c r="AJ19" s="184">
        <f>('24'!AI19/24)*0.454</f>
        <v>102.15</v>
      </c>
      <c r="AK19" s="21"/>
      <c r="AL19" s="185">
        <f>('24'!AK19/24)*0.454</f>
        <v>0</v>
      </c>
      <c r="AM19" s="21"/>
      <c r="AN19" s="185">
        <f>('24'!AM19/24)*0.454</f>
        <v>0</v>
      </c>
      <c r="AO19" s="21"/>
      <c r="AP19" s="185">
        <f>('24'!AO19/24)*0.454</f>
        <v>0</v>
      </c>
    </row>
    <row r="20" spans="1:42" ht="18.75" customHeight="1">
      <c r="A20" s="10" t="s">
        <v>53</v>
      </c>
      <c r="B20" s="189">
        <f>MAX('24'!B7:B18)</f>
        <v>80</v>
      </c>
      <c r="C20" s="189">
        <f>MAX('24'!C7:C18)</f>
        <v>12.5</v>
      </c>
      <c r="D20" s="69">
        <f>MAX('24'!D7:D18)</f>
        <v>12.5</v>
      </c>
      <c r="E20" s="69">
        <f>MAX('24'!E7:E18)</f>
        <v>2.5</v>
      </c>
      <c r="F20" s="69">
        <f>MAX('24'!F7:F18)</f>
        <v>13.5</v>
      </c>
      <c r="G20" s="69">
        <f>MAX('24'!G7:G18)</f>
        <v>2.4</v>
      </c>
      <c r="H20" s="69">
        <f>MAX('24'!H7:H18)</f>
        <v>2.34</v>
      </c>
      <c r="I20" s="69">
        <f>MAX('24'!I7:I18)</f>
        <v>0.63</v>
      </c>
      <c r="J20" s="69">
        <f>MAX('24'!J7:J18)</f>
        <v>0.7</v>
      </c>
      <c r="K20" s="69">
        <f>MAX('24'!K7:K18)</f>
        <v>7.3</v>
      </c>
      <c r="L20" s="69">
        <f>MAX('24'!L7:L18)</f>
        <v>6.8</v>
      </c>
      <c r="M20" s="69">
        <f>MAX('24'!M7:M18)</f>
        <v>6.8</v>
      </c>
      <c r="N20" s="69">
        <f>MAX('24'!N7:N18)</f>
        <v>6.6</v>
      </c>
      <c r="O20" s="70">
        <f>MAX('24'!O7:O18)</f>
        <v>3.5</v>
      </c>
      <c r="P20" s="70">
        <f>MAX('24'!P7:P18)</f>
        <v>0</v>
      </c>
      <c r="Q20" s="70">
        <f>MAX('24'!Q7:Q18)</f>
        <v>0</v>
      </c>
      <c r="R20" s="70">
        <f>MAX('24'!R7:R18)</f>
        <v>979</v>
      </c>
      <c r="S20" s="70">
        <f>MAX('24'!S7:S18)</f>
        <v>70.449184088646504</v>
      </c>
      <c r="T20" s="946"/>
      <c r="U20" s="946"/>
      <c r="X20" s="13">
        <v>0.625</v>
      </c>
      <c r="Y20" s="54">
        <v>2664</v>
      </c>
      <c r="Z20" s="182">
        <v>979</v>
      </c>
      <c r="AA20" s="15">
        <v>1</v>
      </c>
      <c r="AB20" s="58">
        <f>IF('24'!AA20=1,(('24'!Z20*'24'!$AS$6*'24'!$AT$6)/('24'!Y20*0.0036)),IF('24'!AA20=2,(('24'!Z20*'24'!$AS$7*'24'!$AT$7)/('24'!Y20*0.0036))))</f>
        <v>67.884029863196545</v>
      </c>
      <c r="AC20" s="58"/>
      <c r="AD20" s="18">
        <f>(('24'!AC20*'24'!$Q$10*1000000))/('24'!Y20*3600)</f>
        <v>0</v>
      </c>
      <c r="AE20" s="183"/>
      <c r="AF20" s="184">
        <f>('24'!AE20/24)*0.454</f>
        <v>0</v>
      </c>
      <c r="AG20" s="19"/>
      <c r="AH20" s="184">
        <f>('24'!AG20/24)*0.454</f>
        <v>0</v>
      </c>
      <c r="AI20" s="182">
        <v>5400</v>
      </c>
      <c r="AJ20" s="184">
        <f>('24'!AI20/24)*0.454</f>
        <v>102.15</v>
      </c>
      <c r="AK20" s="21"/>
      <c r="AL20" s="185">
        <f>('24'!AK20/24)*0.454</f>
        <v>0</v>
      </c>
      <c r="AM20" s="21"/>
      <c r="AN20" s="185">
        <f>('24'!AM20/24)*0.454</f>
        <v>0</v>
      </c>
      <c r="AO20" s="21"/>
      <c r="AP20" s="185">
        <f>('24'!AO20/24)*0.454</f>
        <v>0</v>
      </c>
    </row>
    <row r="21" spans="1:42" ht="19.5" customHeight="1">
      <c r="A21" s="10" t="s">
        <v>54</v>
      </c>
      <c r="B21" s="189">
        <f>MIN('24'!B7:B18)</f>
        <v>80</v>
      </c>
      <c r="C21" s="69">
        <f>MIN('24'!C7:C18)</f>
        <v>12.5</v>
      </c>
      <c r="D21" s="69">
        <f>MIN('24'!D7:D18)</f>
        <v>12.5</v>
      </c>
      <c r="E21" s="69">
        <f>MIN('24'!E7:E18)</f>
        <v>2.5</v>
      </c>
      <c r="F21" s="69">
        <f>MIN('24'!F7:F18)</f>
        <v>10.9</v>
      </c>
      <c r="G21" s="192">
        <f>MIN('24'!G7:G18)</f>
        <v>1.6</v>
      </c>
      <c r="H21" s="192">
        <f>MIN('24'!H7:H18)</f>
        <v>1.9</v>
      </c>
      <c r="I21" s="192">
        <f>MIN('24'!I7:I18)</f>
        <v>0.5</v>
      </c>
      <c r="J21" s="192">
        <f>MIN('24'!J7:J18)</f>
        <v>0.6</v>
      </c>
      <c r="K21" s="192">
        <f>MIN('24'!K7:K18)</f>
        <v>7.3</v>
      </c>
      <c r="L21" s="192">
        <f>MIN('24'!L7:L18)</f>
        <v>6.8</v>
      </c>
      <c r="M21" s="192">
        <f>MIN('24'!M7:M18)</f>
        <v>6.8</v>
      </c>
      <c r="N21" s="192">
        <f>MIN('24'!N7:N18)</f>
        <v>6.6</v>
      </c>
      <c r="O21" s="193">
        <f>MIN('24'!O7:O18)</f>
        <v>2.6</v>
      </c>
      <c r="P21" s="193">
        <f>MIN('24'!P7:P18)</f>
        <v>0</v>
      </c>
      <c r="Q21" s="193">
        <f>MIN('24'!Q7:Q18)</f>
        <v>0</v>
      </c>
      <c r="R21" s="193">
        <f>MIN('24'!R7:R18)</f>
        <v>979</v>
      </c>
      <c r="S21" s="193">
        <f>MIN('24'!S7:S18)</f>
        <v>66.756388171116868</v>
      </c>
      <c r="T21" s="946"/>
      <c r="U21" s="946"/>
      <c r="X21" s="13">
        <v>0.66666666666666696</v>
      </c>
      <c r="Y21" s="54">
        <v>2669</v>
      </c>
      <c r="Z21" s="182">
        <v>979</v>
      </c>
      <c r="AA21" s="15">
        <v>1</v>
      </c>
      <c r="AB21" s="58">
        <f>IF('24'!AA21=1,(('24'!Z21*'24'!$AS$6*'24'!$AT$6)/('24'!Y21*0.0036)),IF('24'!AA21=2,(('24'!Z21*'24'!$AS$7*'24'!$AT$7)/('24'!Y21*0.0036))))</f>
        <v>67.756858582074031</v>
      </c>
      <c r="AC21" s="58"/>
      <c r="AD21" s="18">
        <f>(('24'!AC21*'24'!$Q$10*1000000))/('24'!Y21*3600)</f>
        <v>0</v>
      </c>
      <c r="AE21" s="183"/>
      <c r="AF21" s="184">
        <f>('24'!AE21/24)*0.454</f>
        <v>0</v>
      </c>
      <c r="AG21" s="19"/>
      <c r="AH21" s="184">
        <f>('24'!AG21/24)*0.454</f>
        <v>0</v>
      </c>
      <c r="AI21" s="182">
        <v>5400</v>
      </c>
      <c r="AJ21" s="184">
        <f>('24'!AI21/24)*0.454</f>
        <v>102.15</v>
      </c>
      <c r="AK21" s="21"/>
      <c r="AL21" s="185">
        <f>('24'!AK21/24)*0.454</f>
        <v>0</v>
      </c>
      <c r="AM21" s="21"/>
      <c r="AN21" s="185">
        <f>('24'!AM21/24)*0.454</f>
        <v>0</v>
      </c>
      <c r="AO21" s="21"/>
      <c r="AP21" s="185">
        <f>('24'!AO21/24)*0.454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54">
        <v>2622</v>
      </c>
      <c r="Z22" s="182">
        <v>979</v>
      </c>
      <c r="AA22" s="15">
        <v>1</v>
      </c>
      <c r="AB22" s="58">
        <f>IF('24'!AA22=1,(('24'!Z22*'24'!$AS$6*'24'!$AT$6)/('24'!Y22*0.0036)),IF('24'!AA22=2,(('24'!Z22*'24'!$AS$7*'24'!$AT$7)/('24'!Y22*0.0036))))</f>
        <v>68.971417069243174</v>
      </c>
      <c r="AC22" s="58"/>
      <c r="AD22" s="18">
        <f>(('24'!AC22*'24'!$Q$10*1000000))/('24'!Y22*3600)</f>
        <v>0</v>
      </c>
      <c r="AE22" s="183"/>
      <c r="AF22" s="184">
        <f>('24'!AE22/24)*0.454</f>
        <v>0</v>
      </c>
      <c r="AG22" s="19"/>
      <c r="AH22" s="184">
        <f>('24'!AG22/24)*0.454</f>
        <v>0</v>
      </c>
      <c r="AI22" s="182">
        <v>5400</v>
      </c>
      <c r="AJ22" s="184">
        <f>('24'!AI22/24)*0.454</f>
        <v>102.15</v>
      </c>
      <c r="AK22" s="21"/>
      <c r="AL22" s="185">
        <f>('24'!AK22/24)*0.454</f>
        <v>0</v>
      </c>
      <c r="AM22" s="21"/>
      <c r="AN22" s="185">
        <f>('24'!AM22/24)*0.454</f>
        <v>0</v>
      </c>
      <c r="AO22" s="21"/>
      <c r="AP22" s="185">
        <f>('24'!AO22/24)*0.454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54">
        <v>2647</v>
      </c>
      <c r="Z23" s="182">
        <v>979</v>
      </c>
      <c r="AA23" s="15">
        <v>1</v>
      </c>
      <c r="AB23" s="58">
        <f>IF('24'!AA23=1,(('24'!Z23*'24'!$AS$6*'24'!$AT$6)/('24'!Y23*0.0036)),IF('24'!AA23=2,(('24'!Z23*'24'!$AS$7*'24'!$AT$7)/('24'!Y23*0.0036))))</f>
        <v>68.320005876673818</v>
      </c>
      <c r="AC23" s="58"/>
      <c r="AD23" s="18">
        <f>(('24'!AC23*'24'!$Q$10*1000000))/('24'!Y23*3600)</f>
        <v>0</v>
      </c>
      <c r="AE23" s="183"/>
      <c r="AF23" s="184">
        <f>('24'!AE23/24)*0.454</f>
        <v>0</v>
      </c>
      <c r="AG23" s="19"/>
      <c r="AH23" s="184">
        <f>('24'!AG23/24)*0.454</f>
        <v>0</v>
      </c>
      <c r="AI23" s="182">
        <v>5400</v>
      </c>
      <c r="AJ23" s="184">
        <f>('24'!AI23/24)*0.454</f>
        <v>102.15</v>
      </c>
      <c r="AK23" s="21"/>
      <c r="AL23" s="185">
        <f>('24'!AK23/24)*0.454</f>
        <v>0</v>
      </c>
      <c r="AM23" s="21"/>
      <c r="AN23" s="185">
        <f>('24'!AM23/24)*0.454</f>
        <v>0</v>
      </c>
      <c r="AO23" s="21"/>
      <c r="AP23" s="185">
        <f>('24'!AO23/24)*0.454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54">
        <v>2637</v>
      </c>
      <c r="Z24" s="182">
        <v>979</v>
      </c>
      <c r="AA24" s="15">
        <v>1</v>
      </c>
      <c r="AB24" s="16">
        <f>IF('24'!AA24=1,(('24'!Z24*'24'!$AS$6*'24'!$AT$6)/('24'!Y24*0.0036)),IF('24'!AA24=2,(('24'!Z24*'24'!$AS$7*'24'!$AT$7)/('24'!Y24*0.0036))))</f>
        <v>68.579088189440867</v>
      </c>
      <c r="AC24" s="16"/>
      <c r="AD24" s="194">
        <f>(('24'!AC24*'24'!$Q$10*1000000))/('24'!Y24*3600)</f>
        <v>0</v>
      </c>
      <c r="AE24" s="183"/>
      <c r="AF24" s="195">
        <f>('24'!AE24/24)*0.454</f>
        <v>0</v>
      </c>
      <c r="AG24" s="173"/>
      <c r="AH24" s="195">
        <f>('24'!AG24/24)*0.454</f>
        <v>0</v>
      </c>
      <c r="AI24" s="182">
        <v>5400</v>
      </c>
      <c r="AJ24" s="195">
        <f>('24'!AI24/24)*0.454</f>
        <v>102.15</v>
      </c>
      <c r="AK24" s="21"/>
      <c r="AL24" s="196">
        <f>('24'!AK24/24)*0.454</f>
        <v>0</v>
      </c>
      <c r="AM24" s="197"/>
      <c r="AN24" s="196">
        <f>('24'!AM24/24)*0.454</f>
        <v>0</v>
      </c>
      <c r="AO24" s="21"/>
      <c r="AP24" s="196">
        <f>('24'!AO24/24)*0.454</f>
        <v>0</v>
      </c>
    </row>
    <row r="25" spans="1:42" ht="19.5" customHeight="1">
      <c r="A25" s="64">
        <v>0.41666666666666702</v>
      </c>
      <c r="B25" s="261"/>
      <c r="C25" s="261"/>
      <c r="D25" s="259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65" t="e">
        <f>#DIV/0!</f>
        <v>#DIV/0!</v>
      </c>
      <c r="S25" s="66"/>
      <c r="T25" s="1023" t="s">
        <v>0</v>
      </c>
      <c r="U25" s="1114">
        <f>ESCALA!$A$26</f>
        <v>43914</v>
      </c>
      <c r="X25" s="13">
        <v>0.83333333333333304</v>
      </c>
      <c r="Y25" s="54">
        <v>2662</v>
      </c>
      <c r="Z25" s="182">
        <v>979</v>
      </c>
      <c r="AA25" s="15">
        <v>1</v>
      </c>
      <c r="AB25" s="58">
        <f>IF('24'!AA25=1,(('24'!Z25*'24'!$AS$6*'24'!$AT$6)/('24'!Y25*0.0036)),IF('24'!AA25=2,(('24'!Z25*'24'!$AS$7*'24'!$AT$7)/('24'!Y25*0.0036))))</f>
        <v>67.935032139577601</v>
      </c>
      <c r="AC25" s="58"/>
      <c r="AD25" s="18">
        <f>(('24'!AC25*'24'!$Q$10*1000000))/('24'!Y25*3600)</f>
        <v>0</v>
      </c>
      <c r="AE25" s="183"/>
      <c r="AF25" s="184">
        <f>('24'!AE25/24)*0.454</f>
        <v>0</v>
      </c>
      <c r="AG25" s="19"/>
      <c r="AH25" s="184">
        <f>('24'!AG25/24)*0.454</f>
        <v>0</v>
      </c>
      <c r="AI25" s="182">
        <v>5400</v>
      </c>
      <c r="AJ25" s="184">
        <f>('24'!AI25/24)*0.454</f>
        <v>102.15</v>
      </c>
      <c r="AK25" s="21"/>
      <c r="AL25" s="185">
        <f>('24'!AK25/24)*0.454</f>
        <v>0</v>
      </c>
      <c r="AM25" s="21"/>
      <c r="AN25" s="185">
        <f>('24'!AM25/24)*0.454</f>
        <v>0</v>
      </c>
      <c r="AO25" s="21"/>
      <c r="AP25" s="185">
        <f>('24'!AO25/24)*0.454</f>
        <v>0</v>
      </c>
    </row>
    <row r="26" spans="1:42" ht="19.5" customHeight="1">
      <c r="A26" s="64">
        <v>0.66666666666666696</v>
      </c>
      <c r="B26" s="261" t="s">
        <v>131</v>
      </c>
      <c r="C26" s="261">
        <v>0.74</v>
      </c>
      <c r="D26" s="261">
        <v>0.82</v>
      </c>
      <c r="E26" s="262">
        <v>0.77</v>
      </c>
      <c r="F26" s="262">
        <v>0.56999999999999995</v>
      </c>
      <c r="G26" s="262">
        <v>0.6</v>
      </c>
      <c r="H26" s="262">
        <v>0.6</v>
      </c>
      <c r="I26" s="262">
        <v>0.64</v>
      </c>
      <c r="J26" s="262">
        <v>0.75</v>
      </c>
      <c r="K26" s="262">
        <v>0.73</v>
      </c>
      <c r="L26" s="262">
        <v>0.83</v>
      </c>
      <c r="M26" s="262">
        <v>0.64</v>
      </c>
      <c r="N26" s="262">
        <v>0.72</v>
      </c>
      <c r="O26" s="262">
        <v>0.66</v>
      </c>
      <c r="P26" s="262">
        <v>0.7</v>
      </c>
      <c r="Q26" s="262">
        <v>0.6</v>
      </c>
      <c r="R26" s="65" t="e">
        <f>#DIV/0!</f>
        <v>#DIV/0!</v>
      </c>
      <c r="S26" s="67"/>
      <c r="T26" s="1023"/>
      <c r="U26" s="1114"/>
      <c r="X26" s="13">
        <v>0.875</v>
      </c>
      <c r="Y26" s="54">
        <v>2658</v>
      </c>
      <c r="Z26" s="182">
        <v>979</v>
      </c>
      <c r="AA26" s="15">
        <v>1</v>
      </c>
      <c r="AB26" s="58">
        <f>IF('24'!AA26=1,(('24'!Z26*'24'!$AS$6*'24'!$AT$6)/('24'!Y26*0.0036)),IF('24'!AA26=2,(('24'!Z26*'24'!$AS$7*'24'!$AT$7)/('24'!Y26*0.0036))))</f>
        <v>68.037266950923851</v>
      </c>
      <c r="AC26" s="58"/>
      <c r="AD26" s="18">
        <f>(('24'!AC26*'24'!$Q$10*1000000))/('24'!Y26*3600)</f>
        <v>0</v>
      </c>
      <c r="AE26" s="183"/>
      <c r="AF26" s="184">
        <f>('24'!AE26/24)*0.454</f>
        <v>0</v>
      </c>
      <c r="AG26" s="19"/>
      <c r="AH26" s="184">
        <f>('24'!AG26/24)*0.454</f>
        <v>0</v>
      </c>
      <c r="AI26" s="182">
        <v>5400</v>
      </c>
      <c r="AJ26" s="184">
        <f>('24'!AI26/24)*0.454</f>
        <v>102.15</v>
      </c>
      <c r="AK26" s="21"/>
      <c r="AL26" s="185">
        <f>('24'!AK26/24)*0.454</f>
        <v>0</v>
      </c>
      <c r="AM26" s="21"/>
      <c r="AN26" s="185">
        <f>('24'!AM26/24)*0.454</f>
        <v>0</v>
      </c>
      <c r="AO26" s="21"/>
      <c r="AP26" s="185">
        <f>('24'!AO26/24)*0.454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54">
        <v>2709</v>
      </c>
      <c r="Z27" s="182">
        <v>979</v>
      </c>
      <c r="AA27" s="15">
        <v>1</v>
      </c>
      <c r="AB27" s="58">
        <f>IF('24'!AA27=1,(('24'!Z27*'24'!$AS$6*'24'!$AT$6)/('24'!Y27*0.0036)),IF('24'!AA27=2,(('24'!Z27*'24'!$AS$7*'24'!$AT$7)/('24'!Y27*0.0036))))</f>
        <v>66.756388171116868</v>
      </c>
      <c r="AC27" s="58"/>
      <c r="AD27" s="18">
        <f>(('24'!AC27*'24'!$Q$10*1000000))/('24'!Y27*3600)</f>
        <v>0</v>
      </c>
      <c r="AE27" s="183"/>
      <c r="AF27" s="184">
        <f>('24'!AE27/24)*0.454</f>
        <v>0</v>
      </c>
      <c r="AG27" s="19"/>
      <c r="AH27" s="184">
        <f>('24'!AG27/24)*0.454</f>
        <v>0</v>
      </c>
      <c r="AI27" s="182">
        <v>5400</v>
      </c>
      <c r="AJ27" s="184">
        <f>('24'!AI27/24)*0.454</f>
        <v>102.15</v>
      </c>
      <c r="AK27" s="21"/>
      <c r="AL27" s="185">
        <f>('24'!AK27/24)*0.454</f>
        <v>0</v>
      </c>
      <c r="AM27" s="21"/>
      <c r="AN27" s="185">
        <f>('24'!AM27/24)*0.454</f>
        <v>0</v>
      </c>
      <c r="AO27" s="21"/>
      <c r="AP27" s="185">
        <f>('24'!AO27/24)*0.454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4">
        <v>2650</v>
      </c>
      <c r="Z28" s="182">
        <v>979</v>
      </c>
      <c r="AA28" s="15">
        <v>1</v>
      </c>
      <c r="AB28" s="58">
        <f>IF('24'!AA28=1,(('24'!Z28*'24'!$AS$6*'24'!$AT$6)/('24'!Y28*0.0036)),IF('24'!AA28=2,(('24'!Z28*'24'!$AS$7*'24'!$AT$7)/('24'!Y28*0.0036))))</f>
        <v>68.242662473794567</v>
      </c>
      <c r="AC28" s="58"/>
      <c r="AD28" s="18">
        <f>(('24'!AC28*'24'!$Q$10*1000000))/('24'!Y28*3600)</f>
        <v>0</v>
      </c>
      <c r="AE28" s="183"/>
      <c r="AF28" s="184">
        <f>('24'!AE28/24)*0.454</f>
        <v>0</v>
      </c>
      <c r="AG28" s="19"/>
      <c r="AH28" s="184">
        <f>('24'!AG28/24)*0.454</f>
        <v>0</v>
      </c>
      <c r="AI28" s="182">
        <v>5400</v>
      </c>
      <c r="AJ28" s="184">
        <f>('24'!AI28/24)*0.454</f>
        <v>102.15</v>
      </c>
      <c r="AK28" s="21"/>
      <c r="AL28" s="185">
        <f>('24'!AK28/24)*0.454</f>
        <v>0</v>
      </c>
      <c r="AM28" s="21"/>
      <c r="AN28" s="185">
        <f>('24'!AM28/24)*0.454</f>
        <v>0</v>
      </c>
      <c r="AO28" s="21"/>
      <c r="AP28" s="185">
        <f>('24'!AO28/24)*0.454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4">
        <v>2610</v>
      </c>
      <c r="Z29" s="182">
        <v>979</v>
      </c>
      <c r="AA29" s="15">
        <v>1</v>
      </c>
      <c r="AB29" s="58">
        <f>IF('24'!AA29=1,(('24'!Z29*'24'!$AS$6*'24'!$AT$6)/('24'!Y29*0.0036)),IF('24'!AA29=2,(('24'!Z29*'24'!$AS$7*'24'!$AT$7)/('24'!Y29*0.0036))))</f>
        <v>69.288527032779925</v>
      </c>
      <c r="AC29" s="58"/>
      <c r="AD29" s="18">
        <f>(('24'!AC29*'24'!$Q$10*1000000))/('24'!Y29*3600)</f>
        <v>0</v>
      </c>
      <c r="AE29" s="183"/>
      <c r="AF29" s="184">
        <f>('24'!AE29/24)*0.454</f>
        <v>0</v>
      </c>
      <c r="AG29" s="19"/>
      <c r="AH29" s="184">
        <f>('24'!AG29/24)*0.454</f>
        <v>0</v>
      </c>
      <c r="AI29" s="182">
        <v>5400</v>
      </c>
      <c r="AJ29" s="184">
        <f>('24'!AI29/24)*0.454</f>
        <v>102.15</v>
      </c>
      <c r="AK29" s="21"/>
      <c r="AL29" s="185">
        <f>('24'!AK29/24)*0.454</f>
        <v>0</v>
      </c>
      <c r="AM29" s="21"/>
      <c r="AN29" s="185">
        <f>('24'!AM29/24)*0.454</f>
        <v>0</v>
      </c>
      <c r="AO29" s="21"/>
      <c r="AP29" s="185">
        <f>('24'!AO29/24)*0.454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SUM('24'!Y6:Y29)*3.6</f>
        <v>228776.4</v>
      </c>
      <c r="Z30" s="82">
        <f>SUM('24'!Z6:Z29)</f>
        <v>23496</v>
      </c>
      <c r="AA30" s="78"/>
      <c r="AB30" s="79"/>
      <c r="AC30" s="78"/>
      <c r="AD30" s="79"/>
      <c r="AE30" s="34"/>
      <c r="AF30" s="184">
        <f>SUM('24'!AF6:AF29)</f>
        <v>0</v>
      </c>
      <c r="AG30" s="34"/>
      <c r="AH30" s="184">
        <f>SUM('24'!AH6:AH29)</f>
        <v>0</v>
      </c>
      <c r="AI30" s="34"/>
      <c r="AJ30" s="184">
        <f>SUM('24'!AJ6:AJ29)</f>
        <v>2451.6000000000008</v>
      </c>
      <c r="AK30" s="80"/>
      <c r="AL30" s="185">
        <f>SUM('24'!AL6:AL29)</f>
        <v>0</v>
      </c>
      <c r="AM30" s="80"/>
      <c r="AN30" s="185">
        <f>SUM('24'!AN6:AN29)</f>
        <v>0</v>
      </c>
      <c r="AO30" s="80"/>
      <c r="AP30" s="185">
        <f>SUM('24'!AP6:AP29)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SUMIF('24'!AA6:AA29,"=1",'24'!Z6:Z29)</f>
        <v>23496</v>
      </c>
      <c r="AA32" s="82">
        <f>'24'!Z32*'24'!AS6</f>
        <v>31249.68</v>
      </c>
      <c r="AB32" s="83">
        <f>SUMIF('24'!$AA$6:$AA$29,"=1",'24'!$AB$6:$AB$29)/COUNTIF('24'!$AA$6:$AA$29,"=1")</f>
        <v>68.309117809023249</v>
      </c>
      <c r="AC32" s="84">
        <f>SUMIF('24'!AA6:AA29,"=1",'24'!AC6:AC29)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SUMIF('24'!AA6:AA29,"=2",'24'!Z6:Z29)</f>
        <v>0</v>
      </c>
      <c r="AA33" s="82">
        <f>'24'!Z33*'24'!AS7</f>
        <v>0</v>
      </c>
      <c r="AB33" s="83" t="e">
        <f>SUMIF('24'!$AA$6:$AA$29,"=2",'24'!$AB$6:$AB$29)/COUNTIF('24'!$AA$6:$AA$29,"=2")</f>
        <v>#DIV/0!</v>
      </c>
      <c r="AC33" s="89">
        <f>SUMIF('24'!AA6:AA29,"=2",'24'!AC6:AC29)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AVERAGE('24'!Y6:Y29)</f>
        <v>2647.875</v>
      </c>
      <c r="Z34" s="96">
        <f>AVERAGE('24'!Z6:Z29)</f>
        <v>979</v>
      </c>
      <c r="AA34" s="97"/>
      <c r="AB34" s="97"/>
      <c r="AC34" s="98">
        <f>SUM('24'!AC6:AC29)/COUNTIF('24'!AC6:AC29,"&lt;&gt;0")</f>
        <v>0</v>
      </c>
      <c r="AD34" s="99" t="e">
        <f>SUM('24'!AD6:AD29)/COUNTIF('24'!AD6:AD29,"&lt;&gt;0")</f>
        <v>#DIV/0!</v>
      </c>
      <c r="AE34" s="78"/>
      <c r="AF34" s="98">
        <f>AVERAGE('24'!AF6:AF29)</f>
        <v>0</v>
      </c>
      <c r="AG34" s="98"/>
      <c r="AH34" s="98">
        <f>AVERAGE('24'!AH6:AH29)</f>
        <v>0</v>
      </c>
      <c r="AI34" s="98"/>
      <c r="AJ34" s="98">
        <f>'24'!AJ30/24</f>
        <v>102.15000000000003</v>
      </c>
      <c r="AK34" s="98"/>
      <c r="AL34" s="98">
        <f>AVERAGE('24'!AL6:AL29)</f>
        <v>0</v>
      </c>
      <c r="AM34" s="98"/>
      <c r="AN34" s="98">
        <f>AVERAGE('24'!AN6:AN29)</f>
        <v>0</v>
      </c>
      <c r="AO34" s="98"/>
      <c r="AP34" s="98">
        <f>AVERAGE('24'!AP6:AP29)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66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66"/>
      <c r="X36" s="105" t="s">
        <v>73</v>
      </c>
      <c r="Y36" s="106"/>
      <c r="Z36" s="107"/>
      <c r="AA36" s="108" t="s">
        <v>74</v>
      </c>
      <c r="AB36" s="106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84.7</v>
      </c>
      <c r="D37" s="186">
        <v>64.599999999999994</v>
      </c>
      <c r="E37" s="186">
        <v>55.5</v>
      </c>
      <c r="F37" s="186">
        <v>1</v>
      </c>
      <c r="G37" s="183">
        <v>0</v>
      </c>
      <c r="H37" s="183">
        <v>0</v>
      </c>
      <c r="I37" s="183">
        <v>0.1</v>
      </c>
      <c r="J37" s="183">
        <v>0.06</v>
      </c>
      <c r="K37" s="183">
        <v>0.03</v>
      </c>
      <c r="L37" s="1026">
        <v>0</v>
      </c>
      <c r="M37" s="1026"/>
      <c r="N37" s="1026"/>
      <c r="O37" s="10"/>
      <c r="P37" s="10"/>
      <c r="Q37" s="10"/>
      <c r="R37" s="10"/>
      <c r="S37" s="10"/>
      <c r="T37" s="10"/>
      <c r="U37" s="288">
        <f>'24'!V12</f>
        <v>0</v>
      </c>
      <c r="X37" s="962" t="s">
        <v>75</v>
      </c>
      <c r="Y37" s="962"/>
      <c r="Z37" s="110">
        <f>COUNTA('24'!Z6:Z29)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>
        <v>0.1</v>
      </c>
      <c r="J38" s="206">
        <v>0.06</v>
      </c>
      <c r="K38" s="206">
        <v>0.03</v>
      </c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327" t="s">
        <v>78</v>
      </c>
      <c r="AK38" s="211">
        <f>SUM('24'!AF30+'24'!AH30)</f>
        <v>0</v>
      </c>
      <c r="AL38" s="327" t="s">
        <v>78</v>
      </c>
      <c r="AM38" s="212">
        <f>SUM('24'!AL30+'24'!AN30)</f>
        <v>0</v>
      </c>
      <c r="AO38" s="210" t="s">
        <v>78</v>
      </c>
      <c r="AP38" s="211">
        <f>'24'!AJ30</f>
        <v>2451.6000000000008</v>
      </c>
      <c r="AQ38" s="327" t="s">
        <v>78</v>
      </c>
      <c r="AR38" s="212">
        <f>'24'!AP30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328" t="s">
        <v>86</v>
      </c>
      <c r="AK39" s="214">
        <f>('24'!AK38/'24'!Y30)*1000</f>
        <v>0</v>
      </c>
      <c r="AL39" s="329" t="s">
        <v>86</v>
      </c>
      <c r="AM39" s="216">
        <f>('24'!AM38/'24'!Y30)*1000</f>
        <v>0</v>
      </c>
      <c r="AO39" s="328" t="s">
        <v>86</v>
      </c>
      <c r="AP39" s="214">
        <f>('24'!AP38/'24'!Y30)*1000</f>
        <v>10.716140301184916</v>
      </c>
      <c r="AQ39" s="329" t="s">
        <v>86</v>
      </c>
      <c r="AR39" s="216">
        <f>('24'!AR38/'24'!Y30)*1000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SUM('24'!AK38,'24'!AM38)</f>
        <v>0</v>
      </c>
      <c r="AM40" s="975"/>
      <c r="AO40" s="976" t="s">
        <v>90</v>
      </c>
      <c r="AP40" s="976"/>
      <c r="AQ40" s="977">
        <f>SUM('24'!AP38,'24'!AR38)</f>
        <v>2451.6000000000008</v>
      </c>
      <c r="AR40" s="977"/>
    </row>
    <row r="41" spans="1:44" ht="16.5" customHeight="1">
      <c r="A41" s="133">
        <f>COUNTA('24'!E7:E18)</f>
        <v>12</v>
      </c>
      <c r="B41" s="134">
        <f>COUNTA('24'!I7:I18)</f>
        <v>12</v>
      </c>
      <c r="C41" s="978">
        <f>COUNTA('24'!J7:J18)</f>
        <v>12</v>
      </c>
      <c r="D41" s="978">
        <f>COUNTA('24'!K7:K18)</f>
        <v>12</v>
      </c>
      <c r="E41" s="978">
        <f>COUNTIF('24'!E7:E18,"&gt;15")</f>
        <v>0</v>
      </c>
      <c r="F41" s="978"/>
      <c r="G41" s="978">
        <f>COUNTIF('24'!J7:J18,"&gt;1")</f>
        <v>0</v>
      </c>
      <c r="H41" s="978"/>
      <c r="I41" s="135"/>
      <c r="J41" s="978">
        <f>'24'!A41-'24'!E41</f>
        <v>12</v>
      </c>
      <c r="K41" s="978"/>
      <c r="L41" s="978">
        <f>'24'!C41-'24'!G41</f>
        <v>12</v>
      </c>
      <c r="M41" s="978"/>
      <c r="N41" s="135"/>
      <c r="O41" s="979">
        <f>COUNTIF('24'!J7:J18,"&lt;=0,5")</f>
        <v>0</v>
      </c>
      <c r="P41" s="979"/>
      <c r="Q41" s="979"/>
      <c r="R41" s="969"/>
      <c r="S41" s="980">
        <f>COUNTIF('24'!J7:J18,"&lt;=1,0")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SUM(('24'!AK38+'24'!AM38)/'24'!Y30)*1000</f>
        <v>0</v>
      </c>
      <c r="AM41" s="981"/>
      <c r="AO41" s="976" t="s">
        <v>91</v>
      </c>
      <c r="AP41" s="976"/>
      <c r="AQ41" s="981">
        <f>SUM(('24'!AP38+'24'!AR38)/'24'!Y30)*1000</f>
        <v>10.716140301184916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/>
      <c r="Z44" s="144" t="s">
        <v>101</v>
      </c>
      <c r="AA44" s="145"/>
      <c r="AB44" s="144" t="s">
        <v>101</v>
      </c>
      <c r="AC44" s="145"/>
      <c r="AD44" s="1115"/>
      <c r="AE44" s="1115"/>
      <c r="AF44" s="989" t="s">
        <v>102</v>
      </c>
      <c r="AG44" s="1002">
        <f>SUM('24'!Y45,'24'!AA45,'24'!AC45,'24'!AE45)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COUNTIF('24'!I7:I18,"&lt;=5,0")</f>
        <v>12</v>
      </c>
      <c r="I45" s="992"/>
      <c r="J45" s="992"/>
      <c r="K45" s="135"/>
      <c r="L45" s="974">
        <f>COUNTA('24'!L37)</f>
        <v>1</v>
      </c>
      <c r="M45" s="974"/>
      <c r="O45" s="146"/>
      <c r="P45" s="147"/>
      <c r="Q45" s="993">
        <f>'24'!S41-'24'!O41</f>
        <v>12</v>
      </c>
      <c r="R45" s="993"/>
      <c r="S45" s="993"/>
      <c r="T45" s="148"/>
      <c r="X45" s="149" t="s">
        <v>104</v>
      </c>
      <c r="Y45" s="150">
        <f>'24'!Y44*275.3</f>
        <v>0</v>
      </c>
      <c r="Z45" s="149" t="s">
        <v>104</v>
      </c>
      <c r="AA45" s="150">
        <f>262.4*'24'!AA44</f>
        <v>0</v>
      </c>
      <c r="AB45" s="149" t="s">
        <v>104</v>
      </c>
      <c r="AC45" s="150">
        <f>'24'!AC44*277.7</f>
        <v>0</v>
      </c>
      <c r="AD45" s="149" t="s">
        <v>104</v>
      </c>
      <c r="AE45" s="151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" customHeight="1">
      <c r="F46" s="152"/>
      <c r="X46" s="153" t="s">
        <v>105</v>
      </c>
      <c r="Y46" s="154">
        <f>'24'!AS6</f>
        <v>1.33</v>
      </c>
      <c r="Z46" s="153" t="s">
        <v>105</v>
      </c>
      <c r="AA46" s="155">
        <f>'24'!Y46</f>
        <v>1.33</v>
      </c>
      <c r="AB46" s="153" t="s">
        <v>105</v>
      </c>
      <c r="AC46" s="155">
        <f>'24'!Y46</f>
        <v>1.33</v>
      </c>
      <c r="AD46" s="153" t="s">
        <v>105</v>
      </c>
      <c r="AE46" s="156">
        <f>'24'!Y46</f>
        <v>1.33</v>
      </c>
      <c r="AF46" s="995" t="s">
        <v>106</v>
      </c>
      <c r="AG46" s="996">
        <f>SUM('24'!Y47,'24'!AA47,'24'!AC47,'24'!AE47)</f>
        <v>0</v>
      </c>
      <c r="AI46" s="144" t="s">
        <v>101</v>
      </c>
      <c r="AJ46" s="145"/>
      <c r="AK46" s="144" t="s">
        <v>101</v>
      </c>
      <c r="AL46" s="145"/>
      <c r="AM46" s="144" t="s">
        <v>101</v>
      </c>
      <c r="AN46" s="145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'24'!Y45*'24'!Y46</f>
        <v>0</v>
      </c>
      <c r="Z47" s="149" t="s">
        <v>108</v>
      </c>
      <c r="AA47" s="150">
        <f>'24'!AA45*'24'!AA46</f>
        <v>0</v>
      </c>
      <c r="AB47" s="149" t="s">
        <v>108</v>
      </c>
      <c r="AC47" s="150">
        <f>'24'!AC45*'24'!AC46</f>
        <v>0</v>
      </c>
      <c r="AD47" s="149" t="s">
        <v>108</v>
      </c>
      <c r="AE47" s="150">
        <f>'24'!AE45*'24'!AE46</f>
        <v>0</v>
      </c>
      <c r="AF47" s="995"/>
      <c r="AG47" s="996"/>
      <c r="AI47" s="149" t="s">
        <v>104</v>
      </c>
      <c r="AJ47" s="150">
        <f>AJ46*275.3</f>
        <v>0</v>
      </c>
      <c r="AK47" s="149" t="s">
        <v>104</v>
      </c>
      <c r="AL47" s="150">
        <f>262.4*'10'!AL46</f>
        <v>0</v>
      </c>
      <c r="AM47" s="149" t="s">
        <v>104</v>
      </c>
      <c r="AN47" s="150">
        <f>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Y46</f>
        <v>1.33</v>
      </c>
      <c r="AK48" s="160" t="s">
        <v>105</v>
      </c>
      <c r="AL48" s="154">
        <f>'10'!AJ48</f>
        <v>1.33</v>
      </c>
      <c r="AM48" s="160" t="s">
        <v>105</v>
      </c>
      <c r="AN48" s="154">
        <f>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AJ47*AJ48</f>
        <v>0</v>
      </c>
      <c r="AK49" s="149" t="s">
        <v>108</v>
      </c>
      <c r="AL49" s="150">
        <f>'10'!AL47*'10'!AL48</f>
        <v>0</v>
      </c>
      <c r="AM49" s="149" t="s">
        <v>108</v>
      </c>
      <c r="AN49" s="150">
        <f>AN47*AN48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COUNTA('24'!O7:O18)</f>
        <v>12</v>
      </c>
      <c r="P51" s="974">
        <f>COUNTA('24'!W17:W28)</f>
        <v>0</v>
      </c>
      <c r="R51" s="992">
        <f>COUNTIF('24'!O7:O18,"&gt;=0,5")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SUM('24'!Y53,'24'!AA53,'24'!AC53,'24'!AE53)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'24'!Y52*275.3</f>
        <v>0</v>
      </c>
      <c r="Z53" s="149" t="s">
        <v>104</v>
      </c>
      <c r="AA53" s="150">
        <f>262.4*'24'!AA52</f>
        <v>0</v>
      </c>
      <c r="AB53" s="149" t="s">
        <v>104</v>
      </c>
      <c r="AC53" s="167">
        <f>'24'!AC52*277.7</f>
        <v>0</v>
      </c>
      <c r="AD53" s="149" t="s">
        <v>104</v>
      </c>
      <c r="AE53" s="230"/>
      <c r="AF53" s="989"/>
      <c r="AG53" s="1002"/>
      <c r="AI53" s="144" t="s">
        <v>101</v>
      </c>
      <c r="AJ53" s="166"/>
      <c r="AK53" s="144" t="s">
        <v>101</v>
      </c>
      <c r="AL53" s="164"/>
      <c r="AM53" s="144" t="s">
        <v>101</v>
      </c>
      <c r="AN53" s="164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'24'!AS7</f>
        <v>1.345</v>
      </c>
      <c r="Z54" s="153" t="s">
        <v>105</v>
      </c>
      <c r="AA54" s="155">
        <f>'24'!Y54</f>
        <v>1.345</v>
      </c>
      <c r="AB54" s="153" t="s">
        <v>105</v>
      </c>
      <c r="AC54" s="155">
        <f>'24'!Y54</f>
        <v>1.345</v>
      </c>
      <c r="AD54" s="153" t="s">
        <v>105</v>
      </c>
      <c r="AE54" s="156">
        <f>'24'!Y54</f>
        <v>1.345</v>
      </c>
      <c r="AF54" s="995" t="s">
        <v>106</v>
      </c>
      <c r="AG54" s="996">
        <f>SUM('24'!Y55,'24'!AA55,'24'!AC55,'24'!AE55)</f>
        <v>0</v>
      </c>
      <c r="AI54" s="149" t="s">
        <v>104</v>
      </c>
      <c r="AJ54" s="150">
        <f>AJ53*275.3</f>
        <v>0</v>
      </c>
      <c r="AK54" s="149" t="s">
        <v>104</v>
      </c>
      <c r="AL54" s="150">
        <f>262.4*'10'!AL53</f>
        <v>0</v>
      </c>
      <c r="AM54" s="149" t="s">
        <v>104</v>
      </c>
      <c r="AN54" s="167">
        <f>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'24'!Y53*'24'!Y54</f>
        <v>0</v>
      </c>
      <c r="Z55" s="149" t="s">
        <v>108</v>
      </c>
      <c r="AA55" s="150">
        <f>'24'!AA53*'24'!AA54</f>
        <v>0</v>
      </c>
      <c r="AB55" s="149" t="s">
        <v>108</v>
      </c>
      <c r="AC55" s="150">
        <f>'24'!AC53*'24'!AC54</f>
        <v>0</v>
      </c>
      <c r="AD55" s="149" t="s">
        <v>108</v>
      </c>
      <c r="AE55" s="150">
        <f>'24'!AE53*'24'!AE54</f>
        <v>0</v>
      </c>
      <c r="AF55" s="995"/>
      <c r="AG55" s="996"/>
      <c r="AI55" s="153" t="s">
        <v>105</v>
      </c>
      <c r="AJ55" s="154">
        <f>Y54</f>
        <v>1.345</v>
      </c>
      <c r="AK55" s="153" t="s">
        <v>105</v>
      </c>
      <c r="AL55" s="154">
        <f>'10'!AJ55</f>
        <v>0</v>
      </c>
      <c r="AM55" s="153" t="s">
        <v>105</v>
      </c>
      <c r="AN55" s="154">
        <f>AJ55</f>
        <v>1.345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AJ54*AJ55</f>
        <v>0</v>
      </c>
      <c r="AK56" s="149" t="s">
        <v>108</v>
      </c>
      <c r="AL56" s="150">
        <f>'10'!AL54*'10'!AL55</f>
        <v>0</v>
      </c>
      <c r="AM56" s="149" t="s">
        <v>108</v>
      </c>
      <c r="AN56" s="150">
        <f>AN54*AN55</f>
        <v>0</v>
      </c>
      <c r="AO56" s="994"/>
      <c r="AP56" s="994"/>
      <c r="AQ56" s="994"/>
      <c r="AR56" s="994"/>
    </row>
    <row r="57" spans="15:44" ht="15.75" customHeight="1">
      <c r="O57" s="1003">
        <f>COUNTA('24'!N7:N18)</f>
        <v>12</v>
      </c>
      <c r="P57" s="1003"/>
      <c r="R57" s="1004">
        <f>COUNTIF('24'!N7:N18,"&gt;=6")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31249.68</v>
      </c>
      <c r="AR62" s="1016"/>
    </row>
    <row r="63" spans="15:44" ht="15" customHeight="1">
      <c r="X63" s="170" t="s">
        <v>124</v>
      </c>
      <c r="Y63" s="171">
        <v>0</v>
      </c>
      <c r="Z63" s="1013"/>
      <c r="AA63" s="1013"/>
      <c r="AB63" s="172" t="s">
        <v>124</v>
      </c>
      <c r="AC63" s="173">
        <v>0</v>
      </c>
      <c r="AE63" s="49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-31249.68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>
        <f>'23'!$Y$68</f>
        <v>-10303.908333333331</v>
      </c>
      <c r="Z65" s="1013"/>
      <c r="AA65" s="1013"/>
      <c r="AB65" s="176" t="s">
        <v>126</v>
      </c>
      <c r="AC65" s="241">
        <f>'23'!$AC$68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280">
        <f>SUM('24'!AK38,'24'!AP38)</f>
        <v>2451.6000000000008</v>
      </c>
      <c r="Z67" s="1013"/>
      <c r="AA67" s="1013"/>
      <c r="AB67" s="172" t="s">
        <v>124</v>
      </c>
      <c r="AC67" s="169">
        <f>SUM('24'!AM38,'24'!AR38)</f>
        <v>0</v>
      </c>
    </row>
    <row r="68" spans="24:29" ht="15.75" customHeight="1">
      <c r="X68" s="170" t="s">
        <v>128</v>
      </c>
      <c r="Y68" s="179">
        <f>SUM('24'!Y63,'24'!Y65)-'24'!Y67</f>
        <v>-12755.508333333331</v>
      </c>
      <c r="Z68" s="1013"/>
      <c r="AA68" s="1013"/>
      <c r="AB68" s="172" t="s">
        <v>128</v>
      </c>
      <c r="AC68" s="180">
        <f>SUM('24'!AC63,'24'!AC65)-'24'!AC67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conditionalFormatting sqref="O19">
    <cfRule type="cellIs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O1" zoomScaleNormal="100" workbookViewId="0">
      <selection activeCell="AI29" sqref="AI29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07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149</v>
      </c>
      <c r="AF4" s="937" t="s">
        <v>150</v>
      </c>
      <c r="AG4" s="937" t="s">
        <v>151</v>
      </c>
      <c r="AH4" s="937" t="s">
        <v>152</v>
      </c>
      <c r="AI4" s="937" t="s">
        <v>153</v>
      </c>
      <c r="AJ4" s="937" t="s">
        <v>154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07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4">
        <v>2646</v>
      </c>
      <c r="Z6" s="183">
        <v>979</v>
      </c>
      <c r="AA6" s="15">
        <v>1</v>
      </c>
      <c r="AB6" s="58">
        <f>IF('25'!AA6=1,(('25'!Z6*'25'!$AS$6*'25'!$AT$6)/('25'!Y6*0.0036)),IF('25'!AA6=2,(('25'!Z6*'25'!$AS$7*'25'!$AT$7)/('25'!Y6*0.0036))))</f>
        <v>68.345825984714892</v>
      </c>
      <c r="AC6" s="58"/>
      <c r="AD6" s="18">
        <f>(('25'!AC6*'25'!$Q$10*1000000))/('25'!Y6*3600)</f>
        <v>0</v>
      </c>
      <c r="AE6" s="183"/>
      <c r="AF6" s="184">
        <f>('25'!AE6/24)*0.454</f>
        <v>0</v>
      </c>
      <c r="AG6" s="19"/>
      <c r="AH6" s="184">
        <f>('25'!AG6/24)*0.454</f>
        <v>0</v>
      </c>
      <c r="AI6" s="183">
        <v>5400</v>
      </c>
      <c r="AJ6" s="184">
        <f>('25'!AI6/24)*0.454</f>
        <v>102.15</v>
      </c>
      <c r="AK6" s="21"/>
      <c r="AL6" s="185">
        <f>('25'!AK6/24)*0.454</f>
        <v>0</v>
      </c>
      <c r="AM6" s="21"/>
      <c r="AN6" s="185">
        <f>('25'!AM6/24)*0.454</f>
        <v>0</v>
      </c>
      <c r="AO6" s="23"/>
      <c r="AP6" s="185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6">
        <v>80</v>
      </c>
      <c r="C7" s="186">
        <v>12.5</v>
      </c>
      <c r="D7" s="186">
        <v>12.5</v>
      </c>
      <c r="E7" s="186">
        <v>2.5</v>
      </c>
      <c r="F7" s="186">
        <v>9.98</v>
      </c>
      <c r="G7" s="186">
        <v>1.59</v>
      </c>
      <c r="H7" s="186">
        <v>1.99</v>
      </c>
      <c r="I7" s="186">
        <v>0.64</v>
      </c>
      <c r="J7" s="186">
        <v>0.68</v>
      </c>
      <c r="K7" s="186">
        <v>7.3</v>
      </c>
      <c r="L7" s="186">
        <v>6.8</v>
      </c>
      <c r="M7" s="186">
        <v>6.8</v>
      </c>
      <c r="N7" s="186">
        <v>6.6</v>
      </c>
      <c r="O7" s="186">
        <v>2.8</v>
      </c>
      <c r="P7" s="186"/>
      <c r="Q7" s="188"/>
      <c r="R7" s="37">
        <f>'24'!$Z$29</f>
        <v>979</v>
      </c>
      <c r="S7" s="187">
        <f>'24'!$AB$29</f>
        <v>69.288527032779925</v>
      </c>
      <c r="T7" s="37">
        <f>'24'!$Y$29</f>
        <v>2610</v>
      </c>
      <c r="U7" s="33" t="str">
        <f>IF('25'!AA6=1,'25'!AR6,'25'!AR7)</f>
        <v>S.A.L</v>
      </c>
      <c r="V7" s="1022">
        <f>ESCALA!$C$26</f>
        <v>0</v>
      </c>
      <c r="W7" s="1022"/>
      <c r="X7" s="13">
        <v>8.3333333333333301E-2</v>
      </c>
      <c r="Y7" s="54">
        <v>2649</v>
      </c>
      <c r="Z7" s="183">
        <v>979</v>
      </c>
      <c r="AA7" s="15">
        <v>1</v>
      </c>
      <c r="AB7" s="58">
        <f>IF('25'!AA7=1,(('25'!Z7*'25'!$AS$6*'25'!$AT$6)/('25'!Y7*0.0036)),IF('25'!AA7=2,(('25'!Z7*'25'!$AS$7*'25'!$AT$7)/('25'!Y7*0.0036))))</f>
        <v>68.268424143282587</v>
      </c>
      <c r="AC7" s="58"/>
      <c r="AD7" s="18">
        <f>(('25'!AC7*'25'!$Q$10*1000000))/('25'!Y7*3600)</f>
        <v>0</v>
      </c>
      <c r="AE7" s="183"/>
      <c r="AF7" s="184">
        <f>('25'!AE7/24)*0.454</f>
        <v>0</v>
      </c>
      <c r="AG7" s="19"/>
      <c r="AH7" s="184">
        <f>('25'!AG7/24)*0.454</f>
        <v>0</v>
      </c>
      <c r="AI7" s="183">
        <v>5400</v>
      </c>
      <c r="AJ7" s="184">
        <f>('25'!AI7/24)*0.454</f>
        <v>102.15</v>
      </c>
      <c r="AK7" s="21"/>
      <c r="AL7" s="185">
        <f>('25'!AK7/24)*0.454</f>
        <v>0</v>
      </c>
      <c r="AM7" s="21"/>
      <c r="AN7" s="185">
        <f>('25'!AM7/24)*0.454</f>
        <v>0</v>
      </c>
      <c r="AO7" s="23"/>
      <c r="AP7" s="185">
        <f>('25'!AO7/24)*0.454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6">
        <v>80</v>
      </c>
      <c r="C8" s="186">
        <v>12.5</v>
      </c>
      <c r="D8" s="186">
        <v>12.5</v>
      </c>
      <c r="E8" s="186">
        <v>2.5</v>
      </c>
      <c r="F8" s="186">
        <v>10.5</v>
      </c>
      <c r="G8" s="186">
        <v>1.63</v>
      </c>
      <c r="H8" s="186">
        <v>1.97</v>
      </c>
      <c r="I8" s="186">
        <v>0.61</v>
      </c>
      <c r="J8" s="186">
        <v>0.7</v>
      </c>
      <c r="K8" s="186">
        <v>7.3</v>
      </c>
      <c r="L8" s="186">
        <v>6.8</v>
      </c>
      <c r="M8" s="186">
        <v>6.8</v>
      </c>
      <c r="N8" s="186">
        <v>6.6</v>
      </c>
      <c r="O8" s="186">
        <v>2.8</v>
      </c>
      <c r="P8" s="186"/>
      <c r="Q8" s="188"/>
      <c r="R8" s="35">
        <f>'25'!Z7</f>
        <v>979</v>
      </c>
      <c r="S8" s="36">
        <f>'25'!AB7</f>
        <v>68.268424143282587</v>
      </c>
      <c r="T8" s="37">
        <f>'25'!Y7</f>
        <v>2649</v>
      </c>
      <c r="U8" s="33" t="str">
        <f>IF('25'!AA7=1,'25'!AR6,'25'!AR7)</f>
        <v>S.A.L</v>
      </c>
      <c r="V8" s="1022"/>
      <c r="W8" s="1022"/>
      <c r="X8" s="13">
        <v>0.125</v>
      </c>
      <c r="Y8" s="54">
        <v>2679</v>
      </c>
      <c r="Z8" s="183">
        <v>979</v>
      </c>
      <c r="AA8" s="15">
        <v>1</v>
      </c>
      <c r="AB8" s="58">
        <f>IF('25'!AA8=1,(('25'!Z8*'25'!$AS$6*'25'!$AT$6)/('25'!Y8*0.0036)),IF('25'!AA8=2,(('25'!Z8*'25'!$AS$7*'25'!$AT$7)/('25'!Y8*0.0036))))</f>
        <v>67.5039401103231</v>
      </c>
      <c r="AC8" s="58"/>
      <c r="AD8" s="18">
        <f>(('25'!AC8*'25'!$Q$10*1000000))/('25'!Y8*3600)</f>
        <v>0</v>
      </c>
      <c r="AE8" s="183"/>
      <c r="AF8" s="184">
        <f>('25'!AE8/24)*0.454</f>
        <v>0</v>
      </c>
      <c r="AG8" s="19"/>
      <c r="AH8" s="184">
        <f>('25'!AG8/24)*0.454</f>
        <v>0</v>
      </c>
      <c r="AI8" s="183">
        <v>5400</v>
      </c>
      <c r="AJ8" s="184">
        <f>('25'!AI8/24)*0.454</f>
        <v>102.15</v>
      </c>
      <c r="AK8" s="21"/>
      <c r="AL8" s="185">
        <f>('25'!AK8/24)*0.454</f>
        <v>0</v>
      </c>
      <c r="AM8" s="21"/>
      <c r="AN8" s="185">
        <f>('25'!AM8/24)*0.454</f>
        <v>0</v>
      </c>
      <c r="AO8" s="23"/>
      <c r="AP8" s="185">
        <f>('25'!AO8/24)*0.454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80</v>
      </c>
      <c r="C9" s="186">
        <v>12.5</v>
      </c>
      <c r="D9" s="186">
        <v>12.5</v>
      </c>
      <c r="E9" s="186">
        <v>2.5</v>
      </c>
      <c r="F9" s="186">
        <v>10.3</v>
      </c>
      <c r="G9" s="186">
        <v>1.7</v>
      </c>
      <c r="H9" s="186">
        <v>1.97</v>
      </c>
      <c r="I9" s="186">
        <v>0.62</v>
      </c>
      <c r="J9" s="186">
        <v>0.72</v>
      </c>
      <c r="K9" s="186">
        <v>7.3</v>
      </c>
      <c r="L9" s="186">
        <v>6.8</v>
      </c>
      <c r="M9" s="186">
        <v>6.8</v>
      </c>
      <c r="N9" s="186">
        <v>6.6</v>
      </c>
      <c r="O9" s="186">
        <v>2.8</v>
      </c>
      <c r="P9" s="186"/>
      <c r="Q9" s="188"/>
      <c r="R9" s="37">
        <f>'25'!Z9</f>
        <v>979</v>
      </c>
      <c r="S9" s="36">
        <f>'25'!AB9</f>
        <v>68.139809930503233</v>
      </c>
      <c r="T9" s="37">
        <f>'25'!Y9</f>
        <v>2654</v>
      </c>
      <c r="U9" s="33" t="str">
        <f>IF('25'!AA9=1,'25'!AR6,'25'!AR7)</f>
        <v>S.A.L</v>
      </c>
      <c r="V9" s="1022"/>
      <c r="W9" s="1022"/>
      <c r="X9" s="13">
        <v>0.16666666666666699</v>
      </c>
      <c r="Y9" s="54">
        <v>2654</v>
      </c>
      <c r="Z9" s="183">
        <v>979</v>
      </c>
      <c r="AA9" s="15">
        <v>1</v>
      </c>
      <c r="AB9" s="58">
        <f>IF('25'!AA9=1,(('25'!Z9*'25'!$AS$6*'25'!$AT$6)/('25'!Y9*0.0036)),IF('25'!AA9=2,(('25'!Z9*'25'!$AS$7*'25'!$AT$7)/('25'!Y9*0.0036))))</f>
        <v>68.139809930503233</v>
      </c>
      <c r="AC9" s="58"/>
      <c r="AD9" s="18">
        <f>(('25'!AC9*'25'!$Q$10*1000000))/('25'!Y9*3600)</f>
        <v>0</v>
      </c>
      <c r="AE9" s="183"/>
      <c r="AF9" s="184">
        <f>('25'!AE9/24)*0.454</f>
        <v>0</v>
      </c>
      <c r="AG9" s="19"/>
      <c r="AH9" s="184">
        <f>('25'!AG9/24)*0.454</f>
        <v>0</v>
      </c>
      <c r="AI9" s="183">
        <v>5400</v>
      </c>
      <c r="AJ9" s="184">
        <f>('25'!AI9/24)*0.454</f>
        <v>102.15</v>
      </c>
      <c r="AK9" s="21"/>
      <c r="AL9" s="185">
        <f>('25'!AK9/24)*0.454</f>
        <v>0</v>
      </c>
      <c r="AM9" s="21"/>
      <c r="AN9" s="185">
        <f>('25'!AM9/24)*0.454</f>
        <v>0</v>
      </c>
      <c r="AO9" s="23"/>
      <c r="AP9" s="185">
        <f>('25'!AO9/24)*0.454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80</v>
      </c>
      <c r="C10" s="186">
        <v>12.5</v>
      </c>
      <c r="D10" s="186">
        <v>12.5</v>
      </c>
      <c r="E10" s="186">
        <v>2.5</v>
      </c>
      <c r="F10" s="186">
        <v>10.5</v>
      </c>
      <c r="G10" s="186">
        <v>1.72</v>
      </c>
      <c r="H10" s="186">
        <v>1.94</v>
      </c>
      <c r="I10" s="186">
        <v>0.61</v>
      </c>
      <c r="J10" s="186">
        <v>0.68</v>
      </c>
      <c r="K10" s="186">
        <v>7.3</v>
      </c>
      <c r="L10" s="186">
        <v>6.8</v>
      </c>
      <c r="M10" s="186">
        <v>6.8</v>
      </c>
      <c r="N10" s="186">
        <v>6.6</v>
      </c>
      <c r="O10" s="186">
        <v>2.8</v>
      </c>
      <c r="P10" s="186"/>
      <c r="Q10" s="188"/>
      <c r="R10" s="37">
        <f>'25'!Z11</f>
        <v>979</v>
      </c>
      <c r="S10" s="36">
        <f>'25'!AB11</f>
        <v>68.268424143282587</v>
      </c>
      <c r="T10" s="37">
        <f>'25'!Y11</f>
        <v>2649</v>
      </c>
      <c r="U10" s="33" t="str">
        <f>IF('25'!AA11=1,'25'!AR6,'25'!AR7)</f>
        <v>S.A.L</v>
      </c>
      <c r="V10" s="1022"/>
      <c r="W10" s="1022"/>
      <c r="X10" s="13">
        <v>0.20833333333333301</v>
      </c>
      <c r="Y10" s="54">
        <v>2645</v>
      </c>
      <c r="Z10" s="183">
        <v>979</v>
      </c>
      <c r="AA10" s="15">
        <v>1</v>
      </c>
      <c r="AB10" s="58">
        <f>IF('25'!AA10=1,(('25'!Z10*'25'!$AS$6*'25'!$AT$6)/('25'!Y10*0.0036)),IF('25'!AA10=2,(('25'!Z10*'25'!$AS$7*'25'!$AT$7)/('25'!Y10*0.0036))))</f>
        <v>68.371665616467141</v>
      </c>
      <c r="AC10" s="58"/>
      <c r="AD10" s="18">
        <f>(('25'!AC10*'25'!$Q$10*1000000))/('25'!Y10*3600)</f>
        <v>0</v>
      </c>
      <c r="AE10" s="183"/>
      <c r="AF10" s="184">
        <f>('25'!AE10/24)*0.454</f>
        <v>0</v>
      </c>
      <c r="AG10" s="19"/>
      <c r="AH10" s="184">
        <f>('25'!AG10/24)*0.454</f>
        <v>0</v>
      </c>
      <c r="AI10" s="183">
        <v>5400</v>
      </c>
      <c r="AJ10" s="184">
        <f>('25'!AI10/24)*0.454</f>
        <v>102.15</v>
      </c>
      <c r="AK10" s="21"/>
      <c r="AL10" s="185">
        <f>('25'!AK10/24)*0.454</f>
        <v>0</v>
      </c>
      <c r="AM10" s="21"/>
      <c r="AN10" s="185">
        <f>('25'!AM10/24)*0.454</f>
        <v>0</v>
      </c>
      <c r="AO10" s="23"/>
      <c r="AP10" s="185">
        <f>('25'!AO10/24)*0.454</f>
        <v>0</v>
      </c>
      <c r="AQ10" s="943">
        <v>4600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6">
        <v>80</v>
      </c>
      <c r="C11" s="186">
        <v>12.5</v>
      </c>
      <c r="D11" s="186">
        <v>12.5</v>
      </c>
      <c r="E11" s="186">
        <v>2.5</v>
      </c>
      <c r="F11" s="186">
        <v>10</v>
      </c>
      <c r="G11" s="186">
        <v>1.8</v>
      </c>
      <c r="H11" s="186">
        <v>1.9</v>
      </c>
      <c r="I11" s="186">
        <v>0.5</v>
      </c>
      <c r="J11" s="186">
        <v>0.6</v>
      </c>
      <c r="K11" s="186">
        <v>7.3</v>
      </c>
      <c r="L11" s="186">
        <v>6.8</v>
      </c>
      <c r="M11" s="186">
        <v>6.8</v>
      </c>
      <c r="N11" s="186">
        <v>6.5</v>
      </c>
      <c r="O11" s="186">
        <v>3</v>
      </c>
      <c r="P11" s="186"/>
      <c r="Q11" s="188"/>
      <c r="R11" s="37">
        <f>'25'!Z13</f>
        <v>979</v>
      </c>
      <c r="S11" s="36">
        <f>'25'!AB13</f>
        <v>69.288527032779925</v>
      </c>
      <c r="T11" s="37">
        <f>'25'!Y13</f>
        <v>2610</v>
      </c>
      <c r="U11" s="33" t="str">
        <f>IF('25'!AA13=1,'25'!AR6,'25'!AR7)</f>
        <v>S.A.L</v>
      </c>
      <c r="V11" s="1022"/>
      <c r="W11" s="1022"/>
      <c r="X11" s="13">
        <v>0.25</v>
      </c>
      <c r="Y11" s="54">
        <v>2649</v>
      </c>
      <c r="Z11" s="183">
        <v>979</v>
      </c>
      <c r="AA11" s="15">
        <v>1</v>
      </c>
      <c r="AB11" s="58">
        <f>IF('25'!AA11=1,(('25'!Z11*'25'!$AS$6*'25'!$AT$6)/('25'!Y11*0.0036)),IF('25'!AA11=2,(('25'!Z11*'25'!$AS$7*'25'!$AT$7)/('25'!Y11*0.0036))))</f>
        <v>68.268424143282587</v>
      </c>
      <c r="AC11" s="58"/>
      <c r="AD11" s="18">
        <f>(('25'!AC11*'25'!$Q$10*1000000))/('25'!Y11*3600)</f>
        <v>0</v>
      </c>
      <c r="AE11" s="183"/>
      <c r="AF11" s="184">
        <f>('25'!AE11/24)*0.454</f>
        <v>0</v>
      </c>
      <c r="AG11" s="19"/>
      <c r="AH11" s="184">
        <f>('25'!AG11/24)*0.454</f>
        <v>0</v>
      </c>
      <c r="AI11" s="183">
        <v>5400</v>
      </c>
      <c r="AJ11" s="184">
        <f>('25'!AI11/24)*0.454</f>
        <v>102.15</v>
      </c>
      <c r="AK11" s="21"/>
      <c r="AL11" s="185">
        <f>('25'!AK11/24)*0.454</f>
        <v>0</v>
      </c>
      <c r="AM11" s="21"/>
      <c r="AN11" s="185">
        <f>('25'!AM11/24)*0.454</f>
        <v>0</v>
      </c>
      <c r="AO11" s="23"/>
      <c r="AP11" s="185">
        <f>('25'!AO11/24)*0.454</f>
        <v>0</v>
      </c>
    </row>
    <row r="12" spans="1:47" ht="18.75" customHeight="1">
      <c r="A12" s="28">
        <v>0.41666666666666702</v>
      </c>
      <c r="B12" s="186">
        <v>80</v>
      </c>
      <c r="C12" s="186">
        <v>12.5</v>
      </c>
      <c r="D12" s="186">
        <v>12.5</v>
      </c>
      <c r="E12" s="186">
        <v>2.5</v>
      </c>
      <c r="F12" s="186">
        <v>11</v>
      </c>
      <c r="G12" s="186">
        <v>1.9</v>
      </c>
      <c r="H12" s="186">
        <v>1.9</v>
      </c>
      <c r="I12" s="186">
        <v>0.5</v>
      </c>
      <c r="J12" s="186">
        <v>0.6</v>
      </c>
      <c r="K12" s="186">
        <v>7.3</v>
      </c>
      <c r="L12" s="186">
        <v>6.8</v>
      </c>
      <c r="M12" s="186">
        <v>6.8</v>
      </c>
      <c r="N12" s="186">
        <v>6.5</v>
      </c>
      <c r="O12" s="186">
        <v>3</v>
      </c>
      <c r="P12" s="186"/>
      <c r="Q12" s="188"/>
      <c r="R12" s="37">
        <f>'25'!Z14</f>
        <v>979</v>
      </c>
      <c r="S12" s="36">
        <f>'25'!AB15</f>
        <v>61.199003572100025</v>
      </c>
      <c r="T12" s="37">
        <f>'25'!Y15</f>
        <v>2955</v>
      </c>
      <c r="U12" s="33" t="str">
        <f>IF('25'!AA15=1,'25'!AR6,'25'!AR7)</f>
        <v>S.A.L</v>
      </c>
      <c r="V12" s="944">
        <f>ESCALA!$B$27</f>
        <v>0</v>
      </c>
      <c r="W12" s="944"/>
      <c r="X12" s="13">
        <v>0.29166666666666702</v>
      </c>
      <c r="Y12" s="54">
        <v>2659</v>
      </c>
      <c r="Z12" s="183">
        <v>979</v>
      </c>
      <c r="AA12" s="15">
        <v>1</v>
      </c>
      <c r="AB12" s="58">
        <f>IF('25'!AA12=1,(('25'!Z12*'25'!$AS$6*'25'!$AT$6)/('25'!Y12*0.0036)),IF('25'!AA12=2,(('25'!Z12*'25'!$AS$7*'25'!$AT$7)/('25'!Y12*0.0036))))</f>
        <v>68.011679411641808</v>
      </c>
      <c r="AC12" s="58"/>
      <c r="AD12" s="18">
        <f>(('25'!AC12*'25'!$Q$10*1000000))/('25'!Y12*3600)</f>
        <v>0</v>
      </c>
      <c r="AE12" s="183"/>
      <c r="AF12" s="184">
        <f>('25'!AE12/24)*0.454</f>
        <v>0</v>
      </c>
      <c r="AG12" s="19"/>
      <c r="AH12" s="184">
        <f>('25'!AG12/24)*0.454</f>
        <v>0</v>
      </c>
      <c r="AI12" s="183">
        <v>5400</v>
      </c>
      <c r="AJ12" s="184">
        <f>('25'!AI12/24)*0.454</f>
        <v>102.15</v>
      </c>
      <c r="AK12" s="21"/>
      <c r="AL12" s="185">
        <f>('25'!AK12/24)*0.454</f>
        <v>0</v>
      </c>
      <c r="AM12" s="21"/>
      <c r="AN12" s="185">
        <f>('25'!AM12/24)*0.454</f>
        <v>0</v>
      </c>
      <c r="AO12" s="23"/>
      <c r="AP12" s="185">
        <f>('25'!AO12/24)*0.454</f>
        <v>0</v>
      </c>
    </row>
    <row r="13" spans="1:47" ht="18.75" customHeight="1">
      <c r="A13" s="28">
        <v>0.5</v>
      </c>
      <c r="B13" s="186">
        <v>80</v>
      </c>
      <c r="C13" s="186">
        <v>12.5</v>
      </c>
      <c r="D13" s="186">
        <v>12.5</v>
      </c>
      <c r="E13" s="186">
        <v>2.5</v>
      </c>
      <c r="F13" s="186">
        <v>11</v>
      </c>
      <c r="G13" s="186">
        <v>2</v>
      </c>
      <c r="H13" s="186">
        <v>1.9</v>
      </c>
      <c r="I13" s="186">
        <v>0.5</v>
      </c>
      <c r="J13" s="186">
        <v>0.5</v>
      </c>
      <c r="K13" s="186">
        <v>7.3</v>
      </c>
      <c r="L13" s="186">
        <v>6.8</v>
      </c>
      <c r="M13" s="186">
        <v>6.8</v>
      </c>
      <c r="N13" s="186">
        <v>6.5</v>
      </c>
      <c r="O13" s="186">
        <v>2.8</v>
      </c>
      <c r="P13" s="186"/>
      <c r="Q13" s="188"/>
      <c r="R13" s="37">
        <f>'25'!Z15</f>
        <v>979</v>
      </c>
      <c r="S13" s="36">
        <f>'25'!AB17</f>
        <v>67.986111111111114</v>
      </c>
      <c r="T13" s="37">
        <f>'25'!Y17</f>
        <v>2660</v>
      </c>
      <c r="U13" s="33" t="str">
        <f>IF('25'!AA17=1,'25'!AR6,'25'!AR7)</f>
        <v>S.A.L</v>
      </c>
      <c r="V13" s="944"/>
      <c r="W13" s="944"/>
      <c r="X13" s="13">
        <v>0.33333333333333298</v>
      </c>
      <c r="Y13" s="54">
        <v>2610</v>
      </c>
      <c r="Z13" s="183">
        <v>979</v>
      </c>
      <c r="AA13" s="15">
        <v>1</v>
      </c>
      <c r="AB13" s="58">
        <f>IF('25'!AA13=1,(('25'!Z13*'25'!$AS$6*'25'!$AT$6)/('25'!Y13*0.0036)),IF('25'!AA13=2,(('25'!Z13*'25'!$AS$7*'25'!$AT$7)/('25'!Y13*0.0036))))</f>
        <v>69.288527032779925</v>
      </c>
      <c r="AC13" s="58"/>
      <c r="AD13" s="18">
        <f>(('25'!AC13*'25'!$Q$10*1000000))/('25'!Y13*3600)</f>
        <v>0</v>
      </c>
      <c r="AE13" s="183"/>
      <c r="AF13" s="184">
        <f>('25'!AE13/24)*0.454</f>
        <v>0</v>
      </c>
      <c r="AG13" s="19"/>
      <c r="AH13" s="184">
        <f>('25'!AG13/24)*0.454</f>
        <v>0</v>
      </c>
      <c r="AI13" s="183">
        <v>5400</v>
      </c>
      <c r="AJ13" s="184">
        <f>('25'!AI13/24)*0.454</f>
        <v>102.15</v>
      </c>
      <c r="AK13" s="21"/>
      <c r="AL13" s="185">
        <f>('25'!AK13/24)*0.454</f>
        <v>0</v>
      </c>
      <c r="AM13" s="21"/>
      <c r="AN13" s="185">
        <f>('25'!AM13/24)*0.454</f>
        <v>0</v>
      </c>
      <c r="AO13" s="23"/>
      <c r="AP13" s="185">
        <f>('25'!AO13/24)*0.454</f>
        <v>0</v>
      </c>
    </row>
    <row r="14" spans="1:47" ht="18.75" customHeight="1">
      <c r="A14" s="28">
        <v>0.58333333333333304</v>
      </c>
      <c r="B14" s="186">
        <v>80</v>
      </c>
      <c r="C14" s="186">
        <v>12.5</v>
      </c>
      <c r="D14" s="186">
        <v>12.5</v>
      </c>
      <c r="E14" s="186">
        <v>2.5</v>
      </c>
      <c r="F14" s="186">
        <v>12</v>
      </c>
      <c r="G14" s="186">
        <v>2</v>
      </c>
      <c r="H14" s="186">
        <v>1.9</v>
      </c>
      <c r="I14" s="186">
        <v>0.5</v>
      </c>
      <c r="J14" s="186">
        <v>0.5</v>
      </c>
      <c r="K14" s="186">
        <v>7.3</v>
      </c>
      <c r="L14" s="186">
        <v>6.8</v>
      </c>
      <c r="M14" s="186">
        <v>6.8</v>
      </c>
      <c r="N14" s="186">
        <v>6.5</v>
      </c>
      <c r="O14" s="186">
        <v>2.6</v>
      </c>
      <c r="P14" s="186"/>
      <c r="Q14" s="188"/>
      <c r="R14" s="37">
        <f>'25'!Z16</f>
        <v>979</v>
      </c>
      <c r="S14" s="36">
        <f>'25'!AB19</f>
        <v>69.076797385620935</v>
      </c>
      <c r="T14" s="37">
        <f>'25'!Y19</f>
        <v>2618</v>
      </c>
      <c r="U14" s="33" t="str">
        <f>IF('25'!AA19=1,'25'!AR6,'25'!AR7)</f>
        <v>S.A.L</v>
      </c>
      <c r="V14" s="944"/>
      <c r="W14" s="944"/>
      <c r="X14" s="13">
        <v>0.375</v>
      </c>
      <c r="Y14" s="54">
        <v>2642</v>
      </c>
      <c r="Z14" s="183">
        <v>979</v>
      </c>
      <c r="AA14" s="15">
        <v>1</v>
      </c>
      <c r="AB14" s="58">
        <f>IF('25'!AA14=1,(('25'!Z14*'25'!$AS$6*'25'!$AT$6)/('25'!Y14*0.0036)),IF('25'!AA14=2,(('25'!Z14*'25'!$AS$7*'25'!$AT$7)/('25'!Y14*0.0036))))</f>
        <v>68.449301875683403</v>
      </c>
      <c r="AC14" s="58"/>
      <c r="AD14" s="18">
        <f>(('25'!AC14*'25'!$Q$10*1000000))/('25'!Y14*3600)</f>
        <v>0</v>
      </c>
      <c r="AE14" s="183"/>
      <c r="AF14" s="184">
        <f>('25'!AE14/24)*0.454</f>
        <v>0</v>
      </c>
      <c r="AG14" s="19"/>
      <c r="AH14" s="184">
        <f>('25'!AG14/24)*0.454</f>
        <v>0</v>
      </c>
      <c r="AI14" s="183">
        <v>5400</v>
      </c>
      <c r="AJ14" s="184">
        <f>('25'!AI14/24)*0.454</f>
        <v>102.15</v>
      </c>
      <c r="AK14" s="21"/>
      <c r="AL14" s="185">
        <f>('25'!AK14/24)*0.454</f>
        <v>0</v>
      </c>
      <c r="AM14" s="21"/>
      <c r="AN14" s="185">
        <f>('25'!AM14/24)*0.454</f>
        <v>0</v>
      </c>
      <c r="AO14" s="23"/>
      <c r="AP14" s="185">
        <f>('25'!AO14/24)*0.454</f>
        <v>0</v>
      </c>
    </row>
    <row r="15" spans="1:47" ht="18.75" customHeight="1">
      <c r="A15" s="28">
        <v>0.66666666666666696</v>
      </c>
      <c r="B15" s="186">
        <v>80</v>
      </c>
      <c r="C15" s="186">
        <v>12.5</v>
      </c>
      <c r="D15" s="186">
        <v>12.5</v>
      </c>
      <c r="E15" s="186">
        <v>2.5</v>
      </c>
      <c r="F15" s="186">
        <v>12</v>
      </c>
      <c r="G15" s="186">
        <v>2</v>
      </c>
      <c r="H15" s="186">
        <v>1.9</v>
      </c>
      <c r="I15" s="186">
        <v>0.5</v>
      </c>
      <c r="J15" s="186">
        <v>0.5</v>
      </c>
      <c r="K15" s="186">
        <v>7.3</v>
      </c>
      <c r="L15" s="186">
        <v>6.8</v>
      </c>
      <c r="M15" s="186">
        <v>6.8</v>
      </c>
      <c r="N15" s="186">
        <v>6.5</v>
      </c>
      <c r="O15" s="186">
        <v>2.6</v>
      </c>
      <c r="P15" s="186"/>
      <c r="Q15" s="188"/>
      <c r="R15" s="37">
        <f>'25'!Z17</f>
        <v>979</v>
      </c>
      <c r="S15" s="36">
        <f>'25'!AB21</f>
        <v>68.787773128777332</v>
      </c>
      <c r="T15" s="37">
        <f>'25'!Y21</f>
        <v>2629</v>
      </c>
      <c r="U15" s="33" t="str">
        <f>IF('25'!AA21=1,'25'!AR6,'25'!AR7)</f>
        <v>S.A.L</v>
      </c>
      <c r="V15" s="944"/>
      <c r="W15" s="944"/>
      <c r="X15" s="13">
        <v>0.41666666666666702</v>
      </c>
      <c r="Y15" s="54">
        <v>2955</v>
      </c>
      <c r="Z15" s="183">
        <v>979</v>
      </c>
      <c r="AA15" s="15">
        <v>1</v>
      </c>
      <c r="AB15" s="58">
        <f>IF('25'!AA15=1,(('25'!Z15*'25'!$AS$6*'25'!$AT$6)/('25'!Y15*0.0036)),IF('25'!AA15=2,(('25'!Z15*'25'!$AS$7*'25'!$AT$7)/('25'!Y15*0.0036))))</f>
        <v>61.199003572100025</v>
      </c>
      <c r="AC15" s="58"/>
      <c r="AD15" s="18">
        <f>(('25'!AC15*'25'!$Q$10*1000000))/('25'!Y15*3600)</f>
        <v>0</v>
      </c>
      <c r="AE15" s="183"/>
      <c r="AF15" s="184">
        <f>('25'!AE15/24)*0.454</f>
        <v>0</v>
      </c>
      <c r="AG15" s="19"/>
      <c r="AH15" s="184">
        <f>('25'!AG15/24)*0.454</f>
        <v>0</v>
      </c>
      <c r="AI15" s="183">
        <v>5400</v>
      </c>
      <c r="AJ15" s="184">
        <f>('25'!AI15/24)*0.454</f>
        <v>102.15</v>
      </c>
      <c r="AK15" s="21"/>
      <c r="AL15" s="185">
        <f>('25'!AK15/24)*0.454</f>
        <v>0</v>
      </c>
      <c r="AM15" s="21"/>
      <c r="AN15" s="185">
        <f>('25'!AM15/24)*0.454</f>
        <v>0</v>
      </c>
      <c r="AO15" s="23"/>
      <c r="AP15" s="185">
        <f>('25'!AO15/24)*0.454</f>
        <v>0</v>
      </c>
    </row>
    <row r="16" spans="1:47" ht="18.75" customHeight="1">
      <c r="A16" s="28">
        <v>0.75</v>
      </c>
      <c r="B16" s="186">
        <v>80</v>
      </c>
      <c r="C16" s="186">
        <v>12.5</v>
      </c>
      <c r="D16" s="186">
        <v>12.5</v>
      </c>
      <c r="E16" s="186">
        <v>2.5</v>
      </c>
      <c r="F16" s="186">
        <v>12</v>
      </c>
      <c r="G16" s="186">
        <v>1.9</v>
      </c>
      <c r="H16" s="186">
        <v>1.9</v>
      </c>
      <c r="I16" s="186">
        <v>0.5</v>
      </c>
      <c r="J16" s="186">
        <v>0.5</v>
      </c>
      <c r="K16" s="186">
        <v>7.3</v>
      </c>
      <c r="L16" s="186">
        <v>6.8</v>
      </c>
      <c r="M16" s="186">
        <v>6.8</v>
      </c>
      <c r="N16" s="186">
        <v>6.5</v>
      </c>
      <c r="O16" s="186">
        <v>2.8</v>
      </c>
      <c r="P16" s="186"/>
      <c r="Q16" s="188"/>
      <c r="R16" s="37">
        <f>'25'!Z18</f>
        <v>979</v>
      </c>
      <c r="S16" s="36">
        <f>'25'!AB23</f>
        <v>70.863266283524922</v>
      </c>
      <c r="T16" s="37">
        <f>'25'!Y23</f>
        <v>2552</v>
      </c>
      <c r="U16" s="33" t="str">
        <f>IF('25'!AA23=1,'25'!AR6,'25'!AR7)</f>
        <v>S.A.L</v>
      </c>
      <c r="V16" s="944"/>
      <c r="W16" s="944"/>
      <c r="X16" s="13">
        <v>0.45833333333333298</v>
      </c>
      <c r="Y16" s="54">
        <v>2678</v>
      </c>
      <c r="Z16" s="183">
        <v>979</v>
      </c>
      <c r="AA16" s="15">
        <v>1</v>
      </c>
      <c r="AB16" s="58">
        <f>IF('25'!AA16=1,(('25'!Z16*'25'!$AS$6*'25'!$AT$6)/('25'!Y16*0.0036)),IF('25'!AA16=2,(('25'!Z16*'25'!$AS$7*'25'!$AT$7)/('25'!Y16*0.0036))))</f>
        <v>67.529146958758616</v>
      </c>
      <c r="AC16" s="58"/>
      <c r="AD16" s="18">
        <f>(('25'!AC16*'25'!$Q$10*1000000))/('25'!Y16*3600)</f>
        <v>0</v>
      </c>
      <c r="AE16" s="183"/>
      <c r="AF16" s="184">
        <f>('25'!AE16/24)*0.454</f>
        <v>0</v>
      </c>
      <c r="AG16" s="19"/>
      <c r="AH16" s="184">
        <f>('25'!AG16/24)*0.454</f>
        <v>0</v>
      </c>
      <c r="AI16" s="183">
        <v>5400</v>
      </c>
      <c r="AJ16" s="184">
        <f>('25'!AI16/24)*0.454</f>
        <v>102.15</v>
      </c>
      <c r="AK16" s="21"/>
      <c r="AL16" s="185">
        <f>('25'!AK16/24)*0.454</f>
        <v>0</v>
      </c>
      <c r="AM16" s="21"/>
      <c r="AN16" s="185">
        <f>('25'!AM16/24)*0.454</f>
        <v>0</v>
      </c>
      <c r="AO16" s="23"/>
      <c r="AP16" s="185">
        <f>('25'!AO16/24)*0.454</f>
        <v>0</v>
      </c>
    </row>
    <row r="17" spans="1:42" ht="18.75" customHeight="1">
      <c r="A17" s="28">
        <v>0.83333333333333304</v>
      </c>
      <c r="B17" s="186">
        <v>80</v>
      </c>
      <c r="C17" s="186">
        <v>12.5</v>
      </c>
      <c r="D17" s="186">
        <v>12.5</v>
      </c>
      <c r="E17" s="186">
        <v>2.5</v>
      </c>
      <c r="F17" s="186">
        <v>11</v>
      </c>
      <c r="G17" s="186">
        <v>1.7</v>
      </c>
      <c r="H17" s="186">
        <v>2</v>
      </c>
      <c r="I17" s="186">
        <v>0.5</v>
      </c>
      <c r="J17" s="186">
        <v>0.5</v>
      </c>
      <c r="K17" s="186">
        <v>7.3</v>
      </c>
      <c r="L17" s="186">
        <v>6.8</v>
      </c>
      <c r="M17" s="186">
        <v>6.8</v>
      </c>
      <c r="N17" s="186">
        <v>6.5</v>
      </c>
      <c r="O17" s="186">
        <v>3.2</v>
      </c>
      <c r="P17" s="186"/>
      <c r="Q17" s="188"/>
      <c r="R17" s="37">
        <f>'25'!Z25</f>
        <v>979</v>
      </c>
      <c r="S17" s="36">
        <f>'25'!AB25</f>
        <v>68.866357789625127</v>
      </c>
      <c r="T17" s="37">
        <f>'25'!Y25</f>
        <v>2626</v>
      </c>
      <c r="U17" s="33" t="str">
        <f>IF('25'!AA25=1,'25'!AR6,'25'!AR7)</f>
        <v>S.A.L</v>
      </c>
      <c r="V17" s="945">
        <f>ESCALA!$C$27</f>
        <v>0</v>
      </c>
      <c r="W17" s="945"/>
      <c r="X17" s="13">
        <v>0.5</v>
      </c>
      <c r="Y17" s="54">
        <v>2660</v>
      </c>
      <c r="Z17" s="183">
        <v>979</v>
      </c>
      <c r="AA17" s="15">
        <v>1</v>
      </c>
      <c r="AB17" s="58">
        <f>IF('25'!AA17=1,(('25'!Z17*'25'!$AS$6*'25'!$AT$6)/('25'!Y17*0.0036)),IF('25'!AA17=2,(('25'!Z17*'25'!$AS$7*'25'!$AT$7)/('25'!Y17*0.0036))))</f>
        <v>67.986111111111114</v>
      </c>
      <c r="AC17" s="58"/>
      <c r="AD17" s="18">
        <f>(('25'!AC17*'25'!$Q$10*1000000))/('25'!Y17*3600)</f>
        <v>0</v>
      </c>
      <c r="AE17" s="183">
        <v>1250</v>
      </c>
      <c r="AF17" s="184">
        <f>('25'!AE17/24)*0.454</f>
        <v>23.645833333333336</v>
      </c>
      <c r="AG17" s="19">
        <v>1250</v>
      </c>
      <c r="AH17" s="184">
        <f>('25'!AG17/24)*0.454</f>
        <v>23.645833333333336</v>
      </c>
      <c r="AI17" s="183">
        <v>5400</v>
      </c>
      <c r="AJ17" s="184">
        <f>('25'!AI17/24)*0.454</f>
        <v>102.15</v>
      </c>
      <c r="AK17" s="21"/>
      <c r="AL17" s="185">
        <f>('25'!AK17/24)*0.454</f>
        <v>0</v>
      </c>
      <c r="AM17" s="21"/>
      <c r="AN17" s="185">
        <f>('25'!AM17/24)*0.454</f>
        <v>0</v>
      </c>
      <c r="AO17" s="23"/>
      <c r="AP17" s="185">
        <f>('25'!AO17/24)*0.454</f>
        <v>0</v>
      </c>
    </row>
    <row r="18" spans="1:42" ht="19.5" customHeight="1">
      <c r="A18" s="28">
        <v>0.91666666666666696</v>
      </c>
      <c r="B18" s="186">
        <v>80</v>
      </c>
      <c r="C18" s="186">
        <v>12.5</v>
      </c>
      <c r="D18" s="186">
        <v>12.5</v>
      </c>
      <c r="E18" s="186">
        <v>2.5</v>
      </c>
      <c r="F18" s="186">
        <v>11</v>
      </c>
      <c r="G18" s="186">
        <v>1.6</v>
      </c>
      <c r="H18" s="186">
        <v>2</v>
      </c>
      <c r="I18" s="186">
        <v>0.5</v>
      </c>
      <c r="J18" s="186">
        <v>0.5</v>
      </c>
      <c r="K18" s="186">
        <v>7.3</v>
      </c>
      <c r="L18" s="186">
        <v>6.8</v>
      </c>
      <c r="M18" s="186">
        <v>6.8</v>
      </c>
      <c r="N18" s="186">
        <v>6.5</v>
      </c>
      <c r="O18" s="186">
        <v>3.6</v>
      </c>
      <c r="P18" s="186"/>
      <c r="Q18" s="188"/>
      <c r="R18" s="37">
        <f>'25'!Z27</f>
        <v>979</v>
      </c>
      <c r="S18" s="36">
        <f>'25'!AB27</f>
        <v>68.114145218665001</v>
      </c>
      <c r="T18" s="37">
        <f>'25'!Y27</f>
        <v>2655</v>
      </c>
      <c r="U18" s="33" t="str">
        <f>IF('25'!AA27=1,'25'!AR6,'25'!AR7)</f>
        <v>S.A.L</v>
      </c>
      <c r="V18" s="945"/>
      <c r="W18" s="945"/>
      <c r="X18" s="13">
        <v>0.54166666666666696</v>
      </c>
      <c r="Y18" s="54">
        <v>2629</v>
      </c>
      <c r="Z18" s="183">
        <v>979</v>
      </c>
      <c r="AA18" s="15">
        <v>1</v>
      </c>
      <c r="AB18" s="58">
        <f>IF('25'!AA18=1,(('25'!Z18*'25'!$AS$6*'25'!$AT$6)/('25'!Y18*0.0036)),IF('25'!AA18=2,(('25'!Z18*'25'!$AS$7*'25'!$AT$7)/('25'!Y18*0.0036))))</f>
        <v>68.787773128777332</v>
      </c>
      <c r="AC18" s="58"/>
      <c r="AD18" s="18">
        <f>(('25'!AC18*'25'!$Q$10*1000000))/('25'!Y18*3600)</f>
        <v>0</v>
      </c>
      <c r="AE18" s="183">
        <v>1250</v>
      </c>
      <c r="AF18" s="184">
        <f>('25'!AE18/24)*0.454</f>
        <v>23.645833333333336</v>
      </c>
      <c r="AG18" s="19">
        <v>1250</v>
      </c>
      <c r="AH18" s="184">
        <f>('25'!AG18/24)*0.454</f>
        <v>23.645833333333336</v>
      </c>
      <c r="AI18" s="183">
        <v>5400</v>
      </c>
      <c r="AJ18" s="184">
        <f>('25'!AI18/24)*0.454</f>
        <v>102.15</v>
      </c>
      <c r="AK18" s="21"/>
      <c r="AL18" s="185">
        <f>('25'!AK18/24)*0.454</f>
        <v>0</v>
      </c>
      <c r="AM18" s="21"/>
      <c r="AN18" s="185">
        <f>('25'!AM18/24)*0.454</f>
        <v>0</v>
      </c>
      <c r="AO18" s="23"/>
      <c r="AP18" s="185">
        <f>('25'!AO18/24)*0.454</f>
        <v>0</v>
      </c>
    </row>
    <row r="19" spans="1:42" ht="18.75" customHeight="1">
      <c r="A19" s="10" t="s">
        <v>52</v>
      </c>
      <c r="B19" s="189">
        <f>AVERAGE('25'!B7:B18)</f>
        <v>80</v>
      </c>
      <c r="C19" s="69">
        <f>AVERAGE('25'!C7:C18)</f>
        <v>12.5</v>
      </c>
      <c r="D19" s="69">
        <f>AVERAGE('25'!D7:D18)</f>
        <v>12.5</v>
      </c>
      <c r="E19" s="69">
        <f>AVERAGE('25'!E7:E18)</f>
        <v>2.5</v>
      </c>
      <c r="F19" s="69">
        <f>AVERAGE('25'!F7:F18)</f>
        <v>10.94</v>
      </c>
      <c r="G19" s="69">
        <f>AVERAGE('25'!G7:G18)</f>
        <v>1.7949999999999999</v>
      </c>
      <c r="H19" s="69">
        <f>AVERAGE('25'!H7:H18)</f>
        <v>1.9391666666666667</v>
      </c>
      <c r="I19" s="69">
        <f>AVERAGE('25'!I7:I18)</f>
        <v>0.54</v>
      </c>
      <c r="J19" s="69">
        <f>AVERAGE('25'!J7:J18)</f>
        <v>0.58166666666666667</v>
      </c>
      <c r="K19" s="69">
        <f>AVERAGE('25'!K7:K18)</f>
        <v>7.299999999999998</v>
      </c>
      <c r="L19" s="69">
        <f>AVERAGE('25'!L7:L18)</f>
        <v>6.799999999999998</v>
      </c>
      <c r="M19" s="69">
        <f>AVERAGE('25'!M7:M18)</f>
        <v>6.799999999999998</v>
      </c>
      <c r="N19" s="69">
        <f>AVERAGE('25'!N7:N18)</f>
        <v>6.5333333333333341</v>
      </c>
      <c r="O19" s="69">
        <f>AVERAGE('25'!O7:O18)</f>
        <v>2.9000000000000004</v>
      </c>
      <c r="P19" s="190" t="e">
        <f>AVERAGE('25'!P7:P18)</f>
        <v>#DIV/0!</v>
      </c>
      <c r="Q19" s="191" t="e">
        <f>AVERAGE('25'!Q7:Q18)</f>
        <v>#DIV/0!</v>
      </c>
      <c r="R19" s="191">
        <f>AVERAGE('25'!R7:R18)</f>
        <v>979</v>
      </c>
      <c r="S19" s="191">
        <f>AVERAGE('25'!S7:S18)</f>
        <v>68.178930564337733</v>
      </c>
      <c r="T19" s="946"/>
      <c r="U19" s="946"/>
      <c r="V19" s="49"/>
      <c r="W19" s="50"/>
      <c r="X19" s="13">
        <v>0.58333333333333304</v>
      </c>
      <c r="Y19" s="54">
        <v>2618</v>
      </c>
      <c r="Z19" s="183">
        <v>979</v>
      </c>
      <c r="AA19" s="15">
        <v>1</v>
      </c>
      <c r="AB19" s="58">
        <f>IF('25'!AA19=1,(('25'!Z19*'25'!$AS$6*'25'!$AT$6)/('25'!Y19*0.0036)),IF('25'!AA19=2,(('25'!Z19*'25'!$AS$7*'25'!$AT$7)/('25'!Y19*0.0036))))</f>
        <v>69.076797385620935</v>
      </c>
      <c r="AC19" s="58"/>
      <c r="AD19" s="18">
        <f>(('25'!AC19*'25'!$Q$10*1000000))/('25'!Y19*3600)</f>
        <v>0</v>
      </c>
      <c r="AE19" s="183">
        <v>1250</v>
      </c>
      <c r="AF19" s="184">
        <f>('25'!AE19/24)*0.454</f>
        <v>23.645833333333336</v>
      </c>
      <c r="AG19" s="19">
        <v>1250</v>
      </c>
      <c r="AH19" s="184">
        <f>('25'!AG19/24)*0.454</f>
        <v>23.645833333333336</v>
      </c>
      <c r="AI19" s="183">
        <v>5400</v>
      </c>
      <c r="AJ19" s="184">
        <f>('25'!AI19/24)*0.454</f>
        <v>102.15</v>
      </c>
      <c r="AK19" s="21"/>
      <c r="AL19" s="185">
        <f>('25'!AK19/24)*0.454</f>
        <v>0</v>
      </c>
      <c r="AM19" s="21"/>
      <c r="AN19" s="185">
        <f>('25'!AM19/24)*0.454</f>
        <v>0</v>
      </c>
      <c r="AO19" s="23"/>
      <c r="AP19" s="185">
        <f>('25'!AO19/24)*0.454</f>
        <v>0</v>
      </c>
    </row>
    <row r="20" spans="1:42" ht="18.75" customHeight="1">
      <c r="A20" s="10" t="s">
        <v>53</v>
      </c>
      <c r="B20" s="189">
        <f>MAX('25'!B7:B18)</f>
        <v>80</v>
      </c>
      <c r="C20" s="189">
        <f>MAX('25'!C7:C18)</f>
        <v>12.5</v>
      </c>
      <c r="D20" s="69">
        <f>MAX('25'!D7:D18)</f>
        <v>12.5</v>
      </c>
      <c r="E20" s="69">
        <f>MAX('25'!E7:E18)</f>
        <v>2.5</v>
      </c>
      <c r="F20" s="69">
        <f>MAX('25'!F7:F18)</f>
        <v>12</v>
      </c>
      <c r="G20" s="69">
        <f>MAX('25'!G7:G18)</f>
        <v>2</v>
      </c>
      <c r="H20" s="69">
        <f>MAX('25'!H7:H18)</f>
        <v>2</v>
      </c>
      <c r="I20" s="69">
        <f>MAX('25'!I7:I18)</f>
        <v>0.64</v>
      </c>
      <c r="J20" s="69">
        <f>MAX('25'!J7:J18)</f>
        <v>0.72</v>
      </c>
      <c r="K20" s="69">
        <f>MAX('25'!K7:K18)</f>
        <v>7.3</v>
      </c>
      <c r="L20" s="69">
        <f>MAX('25'!L7:L18)</f>
        <v>6.8</v>
      </c>
      <c r="M20" s="69">
        <f>MAX('25'!M7:M18)</f>
        <v>6.8</v>
      </c>
      <c r="N20" s="69">
        <f>MAX('25'!N7:N18)</f>
        <v>6.6</v>
      </c>
      <c r="O20" s="70">
        <f>MAX('25'!O7:O18)</f>
        <v>3.6</v>
      </c>
      <c r="P20" s="70">
        <f>MAX('25'!P7:P18)</f>
        <v>0</v>
      </c>
      <c r="Q20" s="70">
        <f>MAX('25'!Q7:Q18)</f>
        <v>0</v>
      </c>
      <c r="R20" s="70">
        <f>MAX('25'!R7:R18)</f>
        <v>979</v>
      </c>
      <c r="S20" s="70">
        <f>MAX('25'!S7:S18)</f>
        <v>70.863266283524922</v>
      </c>
      <c r="T20" s="946"/>
      <c r="U20" s="946"/>
      <c r="X20" s="13">
        <v>0.625</v>
      </c>
      <c r="Y20" s="54">
        <v>2577</v>
      </c>
      <c r="Z20" s="183">
        <v>979</v>
      </c>
      <c r="AA20" s="15">
        <v>1</v>
      </c>
      <c r="AB20" s="58">
        <f>IF('25'!AA20=1,(('25'!Z20*'25'!$AS$6*'25'!$AT$6)/('25'!Y20*0.0036)),IF('25'!AA20=2,(('25'!Z20*'25'!$AS$7*'25'!$AT$7)/('25'!Y20*0.0036))))</f>
        <v>70.175807355667658</v>
      </c>
      <c r="AC20" s="58"/>
      <c r="AD20" s="18">
        <f>(('25'!AC20*'25'!$Q$10*1000000))/('25'!Y20*3600)</f>
        <v>0</v>
      </c>
      <c r="AE20" s="183">
        <v>1250</v>
      </c>
      <c r="AF20" s="184">
        <f>('25'!AE20/24)*0.454</f>
        <v>23.645833333333336</v>
      </c>
      <c r="AG20" s="19">
        <v>1250</v>
      </c>
      <c r="AH20" s="184">
        <f>('25'!AG20/24)*0.454</f>
        <v>23.645833333333336</v>
      </c>
      <c r="AI20" s="183">
        <v>5400</v>
      </c>
      <c r="AJ20" s="184">
        <f>('25'!AI20/24)*0.454</f>
        <v>102.15</v>
      </c>
      <c r="AK20" s="21"/>
      <c r="AL20" s="185">
        <f>('25'!AK20/24)*0.454</f>
        <v>0</v>
      </c>
      <c r="AM20" s="21"/>
      <c r="AN20" s="185">
        <f>('25'!AM20/24)*0.454</f>
        <v>0</v>
      </c>
      <c r="AO20" s="23"/>
      <c r="AP20" s="185">
        <f>('25'!AO20/24)*0.454</f>
        <v>0</v>
      </c>
    </row>
    <row r="21" spans="1:42" ht="19.5" customHeight="1">
      <c r="A21" s="10" t="s">
        <v>54</v>
      </c>
      <c r="B21" s="189">
        <f>MIN('25'!B7:B18)</f>
        <v>80</v>
      </c>
      <c r="C21" s="69">
        <f>MIN('25'!C7:C18)</f>
        <v>12.5</v>
      </c>
      <c r="D21" s="69">
        <f>MIN('25'!D7:D18)</f>
        <v>12.5</v>
      </c>
      <c r="E21" s="69">
        <f>MIN('25'!E7:E18)</f>
        <v>2.5</v>
      </c>
      <c r="F21" s="69">
        <f>MIN('25'!F7:F18)</f>
        <v>9.98</v>
      </c>
      <c r="G21" s="192">
        <f>MIN('25'!G7:G18)</f>
        <v>1.59</v>
      </c>
      <c r="H21" s="192">
        <f>MIN('25'!H7:H18)</f>
        <v>1.9</v>
      </c>
      <c r="I21" s="192">
        <f>MIN('25'!I7:I18)</f>
        <v>0.5</v>
      </c>
      <c r="J21" s="192">
        <f>MIN('25'!J7:J18)</f>
        <v>0.5</v>
      </c>
      <c r="K21" s="192">
        <f>MIN('25'!K7:K18)</f>
        <v>7.3</v>
      </c>
      <c r="L21" s="192">
        <f>MIN('25'!L7:L18)</f>
        <v>6.8</v>
      </c>
      <c r="M21" s="192">
        <f>MIN('25'!M7:M18)</f>
        <v>6.8</v>
      </c>
      <c r="N21" s="192">
        <f>MIN('25'!N7:N18)</f>
        <v>6.5</v>
      </c>
      <c r="O21" s="193">
        <f>MIN('25'!O7:O18)</f>
        <v>2.6</v>
      </c>
      <c r="P21" s="193">
        <f>MIN('25'!P7:P18)</f>
        <v>0</v>
      </c>
      <c r="Q21" s="193">
        <f>MIN('25'!Q7:Q18)</f>
        <v>0</v>
      </c>
      <c r="R21" s="193">
        <f>MIN('25'!R7:R18)</f>
        <v>979</v>
      </c>
      <c r="S21" s="193">
        <f>MIN('25'!S7:S18)</f>
        <v>61.199003572100025</v>
      </c>
      <c r="T21" s="946"/>
      <c r="U21" s="946"/>
      <c r="X21" s="13">
        <v>0.66666666666666696</v>
      </c>
      <c r="Y21" s="54">
        <v>2629</v>
      </c>
      <c r="Z21" s="183">
        <v>979</v>
      </c>
      <c r="AA21" s="15">
        <v>1</v>
      </c>
      <c r="AB21" s="58">
        <f>IF('25'!AA21=1,(('25'!Z21*'25'!$AS$6*'25'!$AT$6)/('25'!Y21*0.0036)),IF('25'!AA21=2,(('25'!Z21*'25'!$AS$7*'25'!$AT$7)/('25'!Y21*0.0036))))</f>
        <v>68.787773128777332</v>
      </c>
      <c r="AC21" s="58"/>
      <c r="AD21" s="18">
        <f>(('25'!AC21*'25'!$Q$10*1000000))/('25'!Y21*3600)</f>
        <v>0</v>
      </c>
      <c r="AE21" s="183">
        <v>1250</v>
      </c>
      <c r="AF21" s="184">
        <f>('25'!AE21/24)*0.454</f>
        <v>23.645833333333336</v>
      </c>
      <c r="AG21" s="19">
        <v>1250</v>
      </c>
      <c r="AH21" s="184">
        <f>('25'!AG21/24)*0.454</f>
        <v>23.645833333333336</v>
      </c>
      <c r="AI21" s="183">
        <v>5400</v>
      </c>
      <c r="AJ21" s="184">
        <f>('25'!AI21/24)*0.454</f>
        <v>102.15</v>
      </c>
      <c r="AK21" s="21"/>
      <c r="AL21" s="185">
        <f>('25'!AK21/24)*0.454</f>
        <v>0</v>
      </c>
      <c r="AM21" s="21"/>
      <c r="AN21" s="185">
        <f>('25'!AM21/24)*0.454</f>
        <v>0</v>
      </c>
      <c r="AO21" s="23"/>
      <c r="AP21" s="185">
        <f>('25'!AO21/24)*0.454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54">
        <v>2623</v>
      </c>
      <c r="Z22" s="183">
        <v>979</v>
      </c>
      <c r="AA22" s="15">
        <v>1</v>
      </c>
      <c r="AB22" s="58">
        <f>IF('25'!AA22=1,(('25'!Z22*'25'!$AS$6*'25'!$AT$6)/('25'!Y22*0.0036)),IF('25'!AA22=2,(('25'!Z22*'25'!$AS$7*'25'!$AT$7)/('25'!Y22*0.0036))))</f>
        <v>68.945122209514139</v>
      </c>
      <c r="AC22" s="58"/>
      <c r="AD22" s="18">
        <f>(('25'!AC22*'25'!$Q$10*1000000))/('25'!Y22*3600)</f>
        <v>0</v>
      </c>
      <c r="AE22" s="183">
        <v>1250</v>
      </c>
      <c r="AF22" s="184">
        <f>('25'!AE22/24)*0.454</f>
        <v>23.645833333333336</v>
      </c>
      <c r="AG22" s="19">
        <v>1250</v>
      </c>
      <c r="AH22" s="184">
        <f>('25'!AG22/24)*0.454</f>
        <v>23.645833333333336</v>
      </c>
      <c r="AI22" s="183">
        <v>5400</v>
      </c>
      <c r="AJ22" s="184">
        <f>('25'!AI22/24)*0.454</f>
        <v>102.15</v>
      </c>
      <c r="AK22" s="21"/>
      <c r="AL22" s="185">
        <f>('25'!AK22/24)*0.454</f>
        <v>0</v>
      </c>
      <c r="AM22" s="21"/>
      <c r="AN22" s="185">
        <f>('25'!AM22/24)*0.454</f>
        <v>0</v>
      </c>
      <c r="AO22" s="23"/>
      <c r="AP22" s="185">
        <f>('25'!AO22/24)*0.454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/>
      <c r="S23" s="60" t="s">
        <v>57</v>
      </c>
      <c r="T23" s="946"/>
      <c r="U23" s="946"/>
      <c r="X23" s="13">
        <v>0.75</v>
      </c>
      <c r="Y23" s="54">
        <v>2552</v>
      </c>
      <c r="Z23" s="183">
        <v>979</v>
      </c>
      <c r="AA23" s="15">
        <v>1</v>
      </c>
      <c r="AB23" s="58">
        <f>IF('25'!AA23=1,(('25'!Z23*'25'!$AS$6*'25'!$AT$6)/('25'!Y23*0.0036)),IF('25'!AA23=2,(('25'!Z23*'25'!$AS$7*'25'!$AT$7)/('25'!Y23*0.0036))))</f>
        <v>70.863266283524922</v>
      </c>
      <c r="AC23" s="58"/>
      <c r="AD23" s="18">
        <f>(('25'!AC23*'25'!$Q$10*1000000))/('25'!Y23*3600)</f>
        <v>0</v>
      </c>
      <c r="AE23" s="183">
        <v>1250</v>
      </c>
      <c r="AF23" s="184">
        <f>('25'!AE23/24)*0.454</f>
        <v>23.645833333333336</v>
      </c>
      <c r="AG23" s="19">
        <v>1250</v>
      </c>
      <c r="AH23" s="184">
        <f>('25'!AG23/24)*0.454</f>
        <v>23.645833333333336</v>
      </c>
      <c r="AI23" s="183">
        <v>5400</v>
      </c>
      <c r="AJ23" s="184">
        <f>('25'!AI23/24)*0.454</f>
        <v>102.15</v>
      </c>
      <c r="AK23" s="21"/>
      <c r="AL23" s="185">
        <f>('25'!AK23/24)*0.454</f>
        <v>0</v>
      </c>
      <c r="AM23" s="21"/>
      <c r="AN23" s="185">
        <f>('25'!AM23/24)*0.454</f>
        <v>0</v>
      </c>
      <c r="AO23" s="23"/>
      <c r="AP23" s="185">
        <f>('25'!AO23/24)*0.454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54">
        <v>2610</v>
      </c>
      <c r="Z24" s="183">
        <v>979</v>
      </c>
      <c r="AA24" s="15">
        <v>1</v>
      </c>
      <c r="AB24" s="16">
        <f>IF('25'!AA24=1,(('25'!Z24*'25'!$AS$6*'25'!$AT$6)/('25'!Y24*0.0036)),IF('25'!AA24=2,(('25'!Z24*'25'!$AS$7*'25'!$AT$7)/('25'!Y24*0.0036))))</f>
        <v>69.288527032779925</v>
      </c>
      <c r="AC24" s="58"/>
      <c r="AD24" s="18">
        <f>(('25'!AC24*'25'!$Q$10*1000000))/('25'!Y24*3600)</f>
        <v>0</v>
      </c>
      <c r="AE24" s="183"/>
      <c r="AF24" s="195">
        <f>('25'!AE24/24)*0.454</f>
        <v>0</v>
      </c>
      <c r="AG24" s="173"/>
      <c r="AH24" s="195">
        <f>('25'!AG24/24)*0.454</f>
        <v>0</v>
      </c>
      <c r="AI24" s="183">
        <v>5400</v>
      </c>
      <c r="AJ24" s="195">
        <f>('25'!AI24/24)*0.454</f>
        <v>102.15</v>
      </c>
      <c r="AK24" s="21"/>
      <c r="AL24" s="196">
        <f>('25'!AK24/24)*0.454</f>
        <v>0</v>
      </c>
      <c r="AM24" s="197"/>
      <c r="AN24" s="196">
        <f>('25'!AM24/24)*0.454</f>
        <v>0</v>
      </c>
      <c r="AO24" s="23"/>
      <c r="AP24" s="196">
        <f>('25'!AO24/24)*0.454</f>
        <v>0</v>
      </c>
    </row>
    <row r="25" spans="1:42" ht="19.5" customHeight="1">
      <c r="A25" s="64">
        <v>0.41666666666666702</v>
      </c>
      <c r="B25" s="259"/>
      <c r="C25" s="259"/>
      <c r="D25" s="259"/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65" t="e">
        <f>#DIV/0!</f>
        <v>#DIV/0!</v>
      </c>
      <c r="S25" s="66"/>
      <c r="T25" s="1023" t="s">
        <v>0</v>
      </c>
      <c r="U25" s="1116">
        <f>ESCALA!$A$27</f>
        <v>43915</v>
      </c>
      <c r="X25" s="13">
        <v>0.83333333333333304</v>
      </c>
      <c r="Y25" s="54">
        <v>2626</v>
      </c>
      <c r="Z25" s="183">
        <v>979</v>
      </c>
      <c r="AA25" s="15">
        <v>1</v>
      </c>
      <c r="AB25" s="58">
        <f>IF('25'!AA25=1,(('25'!Z25*'25'!$AS$6*'25'!$AT$6)/('25'!Y25*0.0036)),IF('25'!AA25=2,(('25'!Z25*'25'!$AS$7*'25'!$AT$7)/('25'!Y25*0.0036))))</f>
        <v>68.866357789625127</v>
      </c>
      <c r="AC25" s="58"/>
      <c r="AD25" s="18">
        <f>(('25'!AC25*'25'!$Q$10*1000000))/('25'!Y25*3600)</f>
        <v>0</v>
      </c>
      <c r="AE25" s="183"/>
      <c r="AF25" s="184">
        <f>('25'!AE25/24)*0.454</f>
        <v>0</v>
      </c>
      <c r="AG25" s="19"/>
      <c r="AH25" s="184">
        <f>('25'!AG25/24)*0.454</f>
        <v>0</v>
      </c>
      <c r="AI25" s="183">
        <v>5400</v>
      </c>
      <c r="AJ25" s="184">
        <f>('25'!AI25/24)*0.454</f>
        <v>102.15</v>
      </c>
      <c r="AK25" s="21"/>
      <c r="AL25" s="185">
        <f>('25'!AK25/24)*0.454</f>
        <v>0</v>
      </c>
      <c r="AM25" s="21"/>
      <c r="AN25" s="185">
        <f>('25'!AM25/24)*0.454</f>
        <v>0</v>
      </c>
      <c r="AO25" s="23"/>
      <c r="AP25" s="185">
        <f>('25'!AO25/24)*0.454</f>
        <v>0</v>
      </c>
    </row>
    <row r="26" spans="1:42" ht="19.5" customHeight="1">
      <c r="A26" s="64">
        <v>0.66666666666666696</v>
      </c>
      <c r="B26" s="261"/>
      <c r="C26" s="261">
        <v>0.62</v>
      </c>
      <c r="D26" s="261">
        <v>0.59</v>
      </c>
      <c r="E26" s="262">
        <v>0.64</v>
      </c>
      <c r="F26" s="262">
        <v>0.51</v>
      </c>
      <c r="G26" s="262">
        <v>0.55000000000000004</v>
      </c>
      <c r="H26" s="262">
        <v>0.54</v>
      </c>
      <c r="I26" s="262">
        <v>0.56999999999999995</v>
      </c>
      <c r="J26" s="262">
        <v>0.56000000000000005</v>
      </c>
      <c r="K26" s="262">
        <v>0.62</v>
      </c>
      <c r="L26" s="262">
        <v>0.61</v>
      </c>
      <c r="M26" s="262">
        <v>0.56000000000000005</v>
      </c>
      <c r="N26" s="262">
        <v>0.59</v>
      </c>
      <c r="O26" s="262">
        <v>0.5</v>
      </c>
      <c r="P26" s="262">
        <v>0.53</v>
      </c>
      <c r="Q26" s="262"/>
      <c r="R26" s="65" t="e">
        <f>#DIV/0!</f>
        <v>#DIV/0!</v>
      </c>
      <c r="S26" s="67"/>
      <c r="T26" s="1023"/>
      <c r="U26" s="1116"/>
      <c r="X26" s="13">
        <v>0.875</v>
      </c>
      <c r="Y26" s="54">
        <v>2594</v>
      </c>
      <c r="Z26" s="183">
        <v>979</v>
      </c>
      <c r="AA26" s="15">
        <v>1</v>
      </c>
      <c r="AB26" s="58">
        <f>IF('25'!AA26=1,(('25'!Z26*'25'!$AS$6*'25'!$AT$6)/('25'!Y26*0.0036)),IF('25'!AA26=2,(('25'!Z26*'25'!$AS$7*'25'!$AT$7)/('25'!Y26*0.0036))))</f>
        <v>69.715904223421575</v>
      </c>
      <c r="AC26" s="58"/>
      <c r="AD26" s="18">
        <f>(('25'!AC26*'25'!$Q$10*1000000))/('25'!Y26*3600)</f>
        <v>0</v>
      </c>
      <c r="AE26" s="183"/>
      <c r="AF26" s="184">
        <f>('25'!AE26/24)*0.454</f>
        <v>0</v>
      </c>
      <c r="AG26" s="19"/>
      <c r="AH26" s="184">
        <f>('25'!AG26/24)*0.454</f>
        <v>0</v>
      </c>
      <c r="AI26" s="183">
        <v>5400</v>
      </c>
      <c r="AJ26" s="184">
        <f>('25'!AI26/24)*0.454</f>
        <v>102.15</v>
      </c>
      <c r="AK26" s="21"/>
      <c r="AL26" s="185">
        <f>('25'!AK26/24)*0.454</f>
        <v>0</v>
      </c>
      <c r="AM26" s="21"/>
      <c r="AN26" s="185">
        <f>('25'!AM26/24)*0.454</f>
        <v>0</v>
      </c>
      <c r="AO26" s="23"/>
      <c r="AP26" s="185">
        <f>('25'!AO26/24)*0.454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#NAME?</f>
        <v>#NAME?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54">
        <v>2655</v>
      </c>
      <c r="Z27" s="183">
        <v>979</v>
      </c>
      <c r="AA27" s="15">
        <v>1</v>
      </c>
      <c r="AB27" s="58">
        <f>IF('25'!AA27=1,(('25'!Z27*'25'!$AS$6*'25'!$AT$6)/('25'!Y27*0.0036)),IF('25'!AA27=2,(('25'!Z27*'25'!$AS$7*'25'!$AT$7)/('25'!Y27*0.0036))))</f>
        <v>68.114145218665001</v>
      </c>
      <c r="AC27" s="58"/>
      <c r="AD27" s="18">
        <f>(('25'!AC27*'25'!$Q$10*1000000))/('25'!Y27*3600)</f>
        <v>0</v>
      </c>
      <c r="AE27" s="183"/>
      <c r="AF27" s="184">
        <f>('25'!AE27/24)*0.454</f>
        <v>0</v>
      </c>
      <c r="AG27" s="19"/>
      <c r="AH27" s="184">
        <f>('25'!AG27/24)*0.454</f>
        <v>0</v>
      </c>
      <c r="AI27" s="183">
        <v>5400</v>
      </c>
      <c r="AJ27" s="184">
        <f>('25'!AI27/24)*0.454</f>
        <v>102.15</v>
      </c>
      <c r="AK27" s="21"/>
      <c r="AL27" s="185">
        <f>('25'!AK27/24)*0.454</f>
        <v>0</v>
      </c>
      <c r="AM27" s="21"/>
      <c r="AN27" s="185">
        <f>('25'!AM27/24)*0.454</f>
        <v>0</v>
      </c>
      <c r="AO27" s="23"/>
      <c r="AP27" s="185">
        <f>('25'!AO27/24)*0.454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4">
        <v>2623</v>
      </c>
      <c r="Z28" s="183">
        <v>979</v>
      </c>
      <c r="AA28" s="15">
        <v>1</v>
      </c>
      <c r="AB28" s="58">
        <f>IF('25'!AA28=1,(('25'!Z28*'25'!$AS$6*'25'!$AT$6)/('25'!Y28*0.0036)),IF('25'!AA28=2,(('25'!Z28*'25'!$AS$7*'25'!$AT$7)/('25'!Y28*0.0036))))</f>
        <v>68.945122209514139</v>
      </c>
      <c r="AC28" s="58"/>
      <c r="AD28" s="18">
        <f>(('25'!AC28*'25'!$Q$10*1000000))/('25'!Y28*3600)</f>
        <v>0</v>
      </c>
      <c r="AE28" s="183"/>
      <c r="AF28" s="184">
        <f>('25'!AE28/24)*0.454</f>
        <v>0</v>
      </c>
      <c r="AG28" s="19"/>
      <c r="AH28" s="184">
        <f>('25'!AG28/24)*0.454</f>
        <v>0</v>
      </c>
      <c r="AI28" s="183">
        <v>5400</v>
      </c>
      <c r="AJ28" s="184">
        <f>('25'!AI28/24)*0.454</f>
        <v>102.15</v>
      </c>
      <c r="AK28" s="21"/>
      <c r="AL28" s="185">
        <f>('25'!AK28/24)*0.454</f>
        <v>0</v>
      </c>
      <c r="AM28" s="21"/>
      <c r="AN28" s="185">
        <f>('25'!AM28/24)*0.454</f>
        <v>0</v>
      </c>
      <c r="AO28" s="23"/>
      <c r="AP28" s="185">
        <f>('25'!AO28/24)*0.454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4">
        <v>2613</v>
      </c>
      <c r="Z29" s="183">
        <v>979</v>
      </c>
      <c r="AA29" s="15">
        <v>1</v>
      </c>
      <c r="AB29" s="58">
        <f>IF('25'!AA29=1,(('25'!Z29*'25'!$AS$6*'25'!$AT$6)/('25'!Y29*0.0036)),IF('25'!AA29=2,(('25'!Z29*'25'!$AS$7*'25'!$AT$7)/('25'!Y29*0.0036))))</f>
        <v>69.208976485095889</v>
      </c>
      <c r="AC29" s="58"/>
      <c r="AD29" s="18">
        <f>(('25'!AC29*'25'!$Q$10*1000000))/('25'!Y29*3600)</f>
        <v>0</v>
      </c>
      <c r="AE29" s="183"/>
      <c r="AF29" s="184">
        <f>('25'!AE29/24)*0.454</f>
        <v>0</v>
      </c>
      <c r="AG29" s="19"/>
      <c r="AH29" s="184">
        <f>('25'!AG29/24)*0.454</f>
        <v>0</v>
      </c>
      <c r="AI29" s="183">
        <v>5400</v>
      </c>
      <c r="AJ29" s="184">
        <f>('25'!AI29/24)*0.454</f>
        <v>102.15</v>
      </c>
      <c r="AK29" s="21"/>
      <c r="AL29" s="185">
        <f>('25'!AK29/24)*0.454</f>
        <v>0</v>
      </c>
      <c r="AM29" s="21"/>
      <c r="AN29" s="185">
        <f>('25'!AM29/24)*0.454</f>
        <v>0</v>
      </c>
      <c r="AO29" s="23"/>
      <c r="AP29" s="185">
        <f>('25'!AO29/24)*0.454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SUM('25'!Y6:Y29)*3.6</f>
        <v>228510</v>
      </c>
      <c r="Z30" s="82">
        <f>SUM('25'!Z6:Z29)</f>
        <v>23496</v>
      </c>
      <c r="AA30" s="78"/>
      <c r="AB30" s="79"/>
      <c r="AC30" s="78"/>
      <c r="AD30" s="79"/>
      <c r="AE30" s="34"/>
      <c r="AF30" s="184">
        <f>SUM('25'!AF6:AF29)</f>
        <v>165.52083333333337</v>
      </c>
      <c r="AG30" s="34"/>
      <c r="AH30" s="184">
        <f>SUM('25'!AH6:AH29)</f>
        <v>165.52083333333337</v>
      </c>
      <c r="AI30" s="34"/>
      <c r="AJ30" s="184">
        <f>SUM('25'!AJ6:AJ29)</f>
        <v>2451.6000000000008</v>
      </c>
      <c r="AK30" s="80"/>
      <c r="AL30" s="185">
        <f>SUM('25'!AL6:AL29)</f>
        <v>0</v>
      </c>
      <c r="AM30" s="80"/>
      <c r="AN30" s="185">
        <f>SUM('25'!AN6:AN29)</f>
        <v>0</v>
      </c>
      <c r="AO30" s="80"/>
      <c r="AP30" s="185">
        <f>SUM('25'!AP6:AP29)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SUMIF('25'!AA6:AA29,"=1",'25'!Z6:Z29)</f>
        <v>23496</v>
      </c>
      <c r="AA32" s="82">
        <f>'25'!Z32*'25'!AS6</f>
        <v>31249.68</v>
      </c>
      <c r="AB32" s="83">
        <f>SUMIF('25'!$AA$6:$AA$29,"=1",'25'!$AB$6:$AB$29)/COUNTIF('25'!$AA$6:$AA$29,"=1")</f>
        <v>68.4223930142347</v>
      </c>
      <c r="AC32" s="84">
        <f>SUMIF('25'!AA6:AA29,"=1",'25'!AC6:AC29)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SUMIF('25'!AA6:AA29,"=2",'25'!Z6:Z29)</f>
        <v>0</v>
      </c>
      <c r="AA33" s="82">
        <f>Z33*AS7</f>
        <v>0</v>
      </c>
      <c r="AB33" s="83" t="e">
        <f>SUMIF('25'!$AA$6:$AA$29,"=2",'25'!$AB$6:$AB$29)/COUNTIF('25'!$AA$6:$AA$29,"=2")</f>
        <v>#DIV/0!</v>
      </c>
      <c r="AC33" s="89">
        <f>SUMIF('25'!AA6:AA29,"=2",'25'!AC6:AC29)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AVERAGE('25'!Y6:Y29)</f>
        <v>2644.7916666666665</v>
      </c>
      <c r="Z34" s="96">
        <f>AVERAGE('25'!Z6:Z29)</f>
        <v>979</v>
      </c>
      <c r="AA34" s="97"/>
      <c r="AB34" s="97"/>
      <c r="AC34" s="98">
        <f>SUM('25'!AC6:AC29)/COUNTIF('25'!AC6:AC29,"&lt;&gt;0")</f>
        <v>0</v>
      </c>
      <c r="AD34" s="99" t="e">
        <f>SUM('25'!AD6:AD29)/COUNTIF('25'!AD6:AD29,"&lt;&gt;0")</f>
        <v>#DIV/0!</v>
      </c>
      <c r="AE34" s="78"/>
      <c r="AF34" s="98">
        <f>AVERAGE('25'!AF6:AF29)</f>
        <v>6.8967013888888902</v>
      </c>
      <c r="AG34" s="98"/>
      <c r="AH34" s="98">
        <f>AVERAGE('25'!AH6:AH29)</f>
        <v>6.8967013888888902</v>
      </c>
      <c r="AI34" s="98"/>
      <c r="AJ34" s="98">
        <f>'25'!AJ30/24</f>
        <v>102.15000000000003</v>
      </c>
      <c r="AK34" s="98"/>
      <c r="AL34" s="98">
        <f>AVERAGE('25'!AL6:AL29)</f>
        <v>0</v>
      </c>
      <c r="AM34" s="98"/>
      <c r="AN34" s="98">
        <f>AVERAGE('25'!AN6:AN29)</f>
        <v>0</v>
      </c>
      <c r="AO34" s="98"/>
      <c r="AP34" s="98">
        <f>AVERAGE('25'!AP6:AP29)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50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50"/>
      <c r="X36" s="330" t="s">
        <v>73</v>
      </c>
      <c r="Y36" s="106"/>
      <c r="Z36" s="107"/>
      <c r="AA36" s="108" t="s">
        <v>74</v>
      </c>
      <c r="AB36" s="106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82.6</v>
      </c>
      <c r="D37" s="186">
        <v>61.5</v>
      </c>
      <c r="E37" s="186">
        <v>54.5</v>
      </c>
      <c r="F37" s="186">
        <v>1</v>
      </c>
      <c r="G37" s="183">
        <v>0.1</v>
      </c>
      <c r="H37" s="183">
        <v>0.1</v>
      </c>
      <c r="I37" s="183">
        <v>0.1</v>
      </c>
      <c r="J37" s="183">
        <v>0.06</v>
      </c>
      <c r="K37" s="183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36">
        <f>'25'!V12</f>
        <v>0</v>
      </c>
      <c r="X37" s="1031" t="s">
        <v>75</v>
      </c>
      <c r="Y37" s="1031"/>
      <c r="Z37" s="110">
        <f>COUNTA('25'!Z6:Z29)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331" t="s">
        <v>78</v>
      </c>
      <c r="AK38" s="211">
        <f>SUM('25'!AF30+'25'!AH30)</f>
        <v>331.04166666666674</v>
      </c>
      <c r="AL38" s="331" t="s">
        <v>78</v>
      </c>
      <c r="AM38" s="212">
        <f>SUM('25'!AL30+'25'!AN30)</f>
        <v>0</v>
      </c>
      <c r="AO38" s="331" t="s">
        <v>78</v>
      </c>
      <c r="AP38" s="211">
        <f>'25'!AJ30</f>
        <v>2451.6000000000008</v>
      </c>
      <c r="AQ38" s="331" t="s">
        <v>78</v>
      </c>
      <c r="AR38" s="212">
        <f>'25'!AP30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332" t="s">
        <v>86</v>
      </c>
      <c r="AK39" s="214">
        <f>('25'!AK38/'25'!Y30)*1000</f>
        <v>1.44869662888568</v>
      </c>
      <c r="AL39" s="333" t="s">
        <v>86</v>
      </c>
      <c r="AM39" s="216">
        <f>('25'!AM38/'25'!Y30)*1000</f>
        <v>0</v>
      </c>
      <c r="AO39" s="332" t="s">
        <v>86</v>
      </c>
      <c r="AP39" s="214">
        <f>('25'!AP38/'25'!Y30)*1000</f>
        <v>10.728633320204809</v>
      </c>
      <c r="AQ39" s="333" t="s">
        <v>86</v>
      </c>
      <c r="AR39" s="216">
        <f>('25'!AR38/'25'!Y30)*1000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92" t="s">
        <v>90</v>
      </c>
      <c r="AK40" s="992"/>
      <c r="AL40" s="975">
        <f>SUM('25'!AK38,'25'!AM38)</f>
        <v>331.04166666666674</v>
      </c>
      <c r="AM40" s="975"/>
      <c r="AO40" s="976" t="s">
        <v>90</v>
      </c>
      <c r="AP40" s="976"/>
      <c r="AQ40" s="977">
        <f>SUM('25'!AP38,'25'!AR38)</f>
        <v>2451.6000000000008</v>
      </c>
      <c r="AR40" s="977"/>
    </row>
    <row r="41" spans="1:44" ht="16.5" customHeight="1">
      <c r="A41" s="133">
        <f>COUNTA('25'!E7:E18)</f>
        <v>12</v>
      </c>
      <c r="B41" s="134">
        <f>COUNTA('25'!I7:I18)</f>
        <v>12</v>
      </c>
      <c r="C41" s="978">
        <f>COUNTA('25'!J7:J18)</f>
        <v>12</v>
      </c>
      <c r="D41" s="978">
        <f>COUNTA('25'!K7:K18)</f>
        <v>12</v>
      </c>
      <c r="E41" s="978">
        <f>COUNTIF('25'!E7:E18,"&gt;15")</f>
        <v>0</v>
      </c>
      <c r="F41" s="978"/>
      <c r="G41" s="978">
        <f>COUNTIF('25'!J7:J18,"&gt;1")</f>
        <v>0</v>
      </c>
      <c r="H41" s="978"/>
      <c r="I41" s="135"/>
      <c r="J41" s="978">
        <f>'25'!A41-'25'!E41</f>
        <v>12</v>
      </c>
      <c r="K41" s="978"/>
      <c r="L41" s="978">
        <f>'25'!C41-'25'!G41</f>
        <v>12</v>
      </c>
      <c r="M41" s="978"/>
      <c r="N41" s="135"/>
      <c r="O41" s="979">
        <f>COUNTIF('25'!J7:J18,"&lt;=0,5")</f>
        <v>6</v>
      </c>
      <c r="P41" s="979"/>
      <c r="Q41" s="979"/>
      <c r="R41" s="969"/>
      <c r="S41" s="980">
        <f>COUNTIF('25'!J7:J18,"&lt;=1,0")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92" t="s">
        <v>91</v>
      </c>
      <c r="AK41" s="992"/>
      <c r="AL41" s="981">
        <f>SUM(('25'!AK38+'25'!AM38)/'25'!Y30)*1000</f>
        <v>1.44869662888568</v>
      </c>
      <c r="AM41" s="981"/>
      <c r="AO41" s="976" t="s">
        <v>91</v>
      </c>
      <c r="AP41" s="976"/>
      <c r="AQ41" s="981">
        <f>SUM(('25'!AP38+'25'!AR38)/'25'!Y30)*1000</f>
        <v>10.728633320204809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/>
      <c r="Z44" s="144" t="s">
        <v>101</v>
      </c>
      <c r="AA44" s="145"/>
      <c r="AB44" s="144" t="s">
        <v>101</v>
      </c>
      <c r="AC44" s="145"/>
      <c r="AD44" s="988"/>
      <c r="AE44" s="988"/>
      <c r="AF44" s="989" t="s">
        <v>102</v>
      </c>
      <c r="AG44" s="1002">
        <f>SUM('25'!Y45,'25'!AA45,'25'!AC45,'25'!AE45)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COUNTIF('25'!I7:I18,"&lt;=5,0")</f>
        <v>12</v>
      </c>
      <c r="I45" s="992"/>
      <c r="J45" s="992"/>
      <c r="K45" s="135"/>
      <c r="L45" s="974">
        <f>COUNTA('25'!L37)</f>
        <v>1</v>
      </c>
      <c r="M45" s="974"/>
      <c r="O45" s="146"/>
      <c r="P45" s="147"/>
      <c r="Q45" s="993">
        <f>'25'!S41-'25'!O41</f>
        <v>6</v>
      </c>
      <c r="R45" s="993"/>
      <c r="S45" s="993"/>
      <c r="T45" s="148"/>
      <c r="X45" s="149" t="s">
        <v>104</v>
      </c>
      <c r="Y45" s="150">
        <f>'25'!Y44*275.3</f>
        <v>0</v>
      </c>
      <c r="Z45" s="149" t="s">
        <v>104</v>
      </c>
      <c r="AA45" s="150">
        <f>262.4*'25'!AA44</f>
        <v>0</v>
      </c>
      <c r="AB45" s="149" t="s">
        <v>104</v>
      </c>
      <c r="AC45" s="150">
        <f>'25'!AC44*277.7</f>
        <v>0</v>
      </c>
      <c r="AD45" s="149" t="s">
        <v>104</v>
      </c>
      <c r="AE45" s="151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79"/>
      <c r="AP45" s="1079"/>
      <c r="AQ45" s="142"/>
      <c r="AR45" s="143"/>
    </row>
    <row r="46" spans="1:44" ht="15.75" customHeight="1">
      <c r="F46" s="152"/>
      <c r="X46" s="153" t="s">
        <v>105</v>
      </c>
      <c r="Y46" s="154">
        <f>'25'!AS6</f>
        <v>1.33</v>
      </c>
      <c r="Z46" s="153" t="s">
        <v>105</v>
      </c>
      <c r="AA46" s="155">
        <f>'25'!Y46</f>
        <v>1.33</v>
      </c>
      <c r="AB46" s="153" t="s">
        <v>105</v>
      </c>
      <c r="AC46" s="155">
        <f>'25'!Y46</f>
        <v>1.33</v>
      </c>
      <c r="AD46" s="153" t="s">
        <v>105</v>
      </c>
      <c r="AE46" s="156">
        <f>'25'!Y46</f>
        <v>1.33</v>
      </c>
      <c r="AF46" s="995" t="s">
        <v>106</v>
      </c>
      <c r="AG46" s="996">
        <f>SUM('25'!Y47,'25'!AA47,'25'!AC47,'25'!AE47)</f>
        <v>0</v>
      </c>
      <c r="AI46" s="144" t="s">
        <v>101</v>
      </c>
      <c r="AJ46" s="145"/>
      <c r="AK46" s="144" t="s">
        <v>101</v>
      </c>
      <c r="AL46" s="145"/>
      <c r="AM46" s="144" t="s">
        <v>101</v>
      </c>
      <c r="AN46" s="145"/>
      <c r="AO46" s="1079"/>
      <c r="AP46" s="1079"/>
      <c r="AQ46" s="989" t="s">
        <v>102</v>
      </c>
      <c r="AR46" s="990">
        <f>SUM('10'!AJ47,'10'!AL47,'10'!AN47,'10'!AP47)</f>
        <v>0</v>
      </c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'25'!Y45*'25'!Y46</f>
        <v>0</v>
      </c>
      <c r="Z47" s="149" t="s">
        <v>108</v>
      </c>
      <c r="AA47" s="150">
        <f>'25'!AA45*'25'!AA46</f>
        <v>0</v>
      </c>
      <c r="AB47" s="149" t="s">
        <v>108</v>
      </c>
      <c r="AC47" s="150">
        <f>'25'!AC45*'25'!AC46</f>
        <v>0</v>
      </c>
      <c r="AD47" s="149" t="s">
        <v>108</v>
      </c>
      <c r="AE47" s="150">
        <f>'25'!AE45*'25'!AE46</f>
        <v>0</v>
      </c>
      <c r="AF47" s="995"/>
      <c r="AG47" s="996"/>
      <c r="AI47" s="149" t="s">
        <v>104</v>
      </c>
      <c r="AJ47" s="150">
        <f>AJ46*275.3</f>
        <v>0</v>
      </c>
      <c r="AK47" s="149" t="s">
        <v>104</v>
      </c>
      <c r="AL47" s="150">
        <f>262.4*'10'!AL46</f>
        <v>0</v>
      </c>
      <c r="AM47" s="149" t="s">
        <v>104</v>
      </c>
      <c r="AN47" s="150">
        <f>AN46*277.7</f>
        <v>0</v>
      </c>
      <c r="AO47" s="1079"/>
      <c r="AP47" s="1079"/>
      <c r="AQ47" s="989"/>
      <c r="AR47" s="990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Y46</f>
        <v>1.33</v>
      </c>
      <c r="AK48" s="160" t="s">
        <v>105</v>
      </c>
      <c r="AL48" s="154">
        <f>'10'!AJ48</f>
        <v>1.33</v>
      </c>
      <c r="AM48" s="160" t="s">
        <v>105</v>
      </c>
      <c r="AN48" s="154">
        <f>AJ48</f>
        <v>1.33</v>
      </c>
      <c r="AO48" s="1079"/>
      <c r="AP48" s="1079"/>
      <c r="AQ48" s="995" t="s">
        <v>106</v>
      </c>
      <c r="AR48" s="996">
        <f>SUM('10'!AJ49,'10'!AL49,'10'!AN49,'10'!AP49)</f>
        <v>0</v>
      </c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AJ47*AJ48</f>
        <v>0</v>
      </c>
      <c r="AK49" s="149" t="s">
        <v>108</v>
      </c>
      <c r="AL49" s="150">
        <f>'10'!AL47*'10'!AL48</f>
        <v>0</v>
      </c>
      <c r="AM49" s="149" t="s">
        <v>108</v>
      </c>
      <c r="AN49" s="150">
        <f>AN47*AN48</f>
        <v>0</v>
      </c>
      <c r="AO49" s="1079"/>
      <c r="AP49" s="1079"/>
      <c r="AQ49" s="995"/>
      <c r="AR49" s="99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COUNTA('25'!O7:O18)</f>
        <v>12</v>
      </c>
      <c r="P51" s="974">
        <f>COUNTA('25'!W17:W28)</f>
        <v>0</v>
      </c>
      <c r="R51" s="992">
        <f>COUNTIF('25'!O7:O18,"&gt;=0,5")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 t="e">
        <f>#NAME?</f>
        <v>#NAME?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79"/>
      <c r="AP52" s="1079"/>
      <c r="AQ52" s="313"/>
      <c r="AR52" s="31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'25'!Y52*275.3</f>
        <v>0</v>
      </c>
      <c r="Z53" s="149" t="s">
        <v>104</v>
      </c>
      <c r="AA53" s="150">
        <f>262.4*'25'!AA52</f>
        <v>0</v>
      </c>
      <c r="AB53" s="149" t="s">
        <v>104</v>
      </c>
      <c r="AC53" s="167">
        <f>'25'!AC52*277.7</f>
        <v>0</v>
      </c>
      <c r="AD53" s="149" t="s">
        <v>104</v>
      </c>
      <c r="AE53" s="230"/>
      <c r="AF53" s="989"/>
      <c r="AG53" s="1002"/>
      <c r="AI53" s="144" t="s">
        <v>101</v>
      </c>
      <c r="AJ53" s="166">
        <v>0</v>
      </c>
      <c r="AK53" s="144" t="s">
        <v>101</v>
      </c>
      <c r="AL53" s="164"/>
      <c r="AM53" s="144" t="s">
        <v>101</v>
      </c>
      <c r="AN53" s="164"/>
      <c r="AO53" s="1079"/>
      <c r="AP53" s="1079"/>
      <c r="AQ53" s="989" t="s">
        <v>102</v>
      </c>
      <c r="AR53" s="1002">
        <f>'10'!AJ54+'10'!AL54+'10'!AN54+'10'!AP54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'25'!AS7</f>
        <v>1.377</v>
      </c>
      <c r="Z54" s="153" t="s">
        <v>105</v>
      </c>
      <c r="AA54" s="155">
        <f>'25'!Y54</f>
        <v>1.377</v>
      </c>
      <c r="AB54" s="153" t="s">
        <v>105</v>
      </c>
      <c r="AC54" s="155">
        <f>'25'!Y54</f>
        <v>1.377</v>
      </c>
      <c r="AD54" s="153" t="s">
        <v>105</v>
      </c>
      <c r="AE54" s="156">
        <f>'25'!Y54</f>
        <v>1.377</v>
      </c>
      <c r="AF54" s="995" t="s">
        <v>106</v>
      </c>
      <c r="AG54" s="996">
        <f>SUM('25'!Y55,'25'!AA55,'25'!AC55,'25'!AE55)</f>
        <v>0</v>
      </c>
      <c r="AI54" s="149" t="s">
        <v>104</v>
      </c>
      <c r="AJ54" s="150">
        <f>AJ53*275.3</f>
        <v>0</v>
      </c>
      <c r="AK54" s="149" t="s">
        <v>104</v>
      </c>
      <c r="AL54" s="150">
        <f>262.4*AL53</f>
        <v>0</v>
      </c>
      <c r="AM54" s="149" t="s">
        <v>104</v>
      </c>
      <c r="AN54" s="167">
        <f>AN53*277.7</f>
        <v>0</v>
      </c>
      <c r="AO54" s="1079"/>
      <c r="AP54" s="1079"/>
      <c r="AQ54" s="989"/>
      <c r="AR54" s="1002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'25'!Y53*'25'!Y54</f>
        <v>0</v>
      </c>
      <c r="Z55" s="149" t="s">
        <v>108</v>
      </c>
      <c r="AA55" s="150">
        <f>'25'!AA53*'25'!AA54</f>
        <v>0</v>
      </c>
      <c r="AB55" s="149" t="s">
        <v>108</v>
      </c>
      <c r="AC55" s="150">
        <f>'25'!AC53*'25'!AC54</f>
        <v>0</v>
      </c>
      <c r="AD55" s="149" t="s">
        <v>108</v>
      </c>
      <c r="AE55" s="150">
        <f>'25'!AE53*'25'!AE54</f>
        <v>0</v>
      </c>
      <c r="AF55" s="995"/>
      <c r="AG55" s="996"/>
      <c r="AI55" s="153" t="s">
        <v>105</v>
      </c>
      <c r="AJ55" s="154">
        <f>Y54</f>
        <v>1.377</v>
      </c>
      <c r="AK55" s="153" t="s">
        <v>105</v>
      </c>
      <c r="AL55" s="154">
        <f>AJ55</f>
        <v>1.377</v>
      </c>
      <c r="AM55" s="153" t="s">
        <v>105</v>
      </c>
      <c r="AN55" s="154">
        <f>AJ55</f>
        <v>1.377</v>
      </c>
      <c r="AO55" s="1079"/>
      <c r="AP55" s="1079"/>
      <c r="AQ55" s="995" t="s">
        <v>106</v>
      </c>
      <c r="AR55" s="996">
        <f>SUM('10'!AJ56,'10'!AL56,'10'!AN56,'10'!AP56)</f>
        <v>0</v>
      </c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AJ54*AJ55</f>
        <v>0</v>
      </c>
      <c r="AK56" s="149" t="s">
        <v>108</v>
      </c>
      <c r="AL56" s="150">
        <f>AL54*AL55</f>
        <v>0</v>
      </c>
      <c r="AM56" s="149" t="s">
        <v>108</v>
      </c>
      <c r="AN56" s="150">
        <f>AN54*AN55</f>
        <v>0</v>
      </c>
      <c r="AO56" s="1079"/>
      <c r="AP56" s="1079"/>
      <c r="AQ56" s="995"/>
      <c r="AR56" s="996"/>
    </row>
    <row r="57" spans="15:44" ht="15.75" customHeight="1">
      <c r="O57" s="1003">
        <f>COUNTA('25'!N7:N18)</f>
        <v>12</v>
      </c>
      <c r="P57" s="1003"/>
      <c r="R57" s="1004">
        <f>COUNTIF('25'!N7:N18,"&gt;=6")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31249.68</v>
      </c>
      <c r="AR62" s="1016"/>
    </row>
    <row r="63" spans="15:44" ht="15" customHeight="1">
      <c r="X63" s="170" t="s">
        <v>124</v>
      </c>
      <c r="Y63" s="171">
        <v>0</v>
      </c>
      <c r="Z63" s="1013"/>
      <c r="AA63" s="1013"/>
      <c r="AB63" s="172" t="s">
        <v>124</v>
      </c>
      <c r="AC63" s="173"/>
      <c r="AE63" s="49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117">
        <f>AQ61-AQ62</f>
        <v>-31249.68</v>
      </c>
      <c r="AR63" s="1117"/>
    </row>
    <row r="64" spans="15:44" ht="15" customHeight="1">
      <c r="X64" s="170"/>
      <c r="Y64" s="171"/>
      <c r="Z64" s="1013"/>
      <c r="AA64" s="1013"/>
      <c r="AB64" s="172"/>
      <c r="AC64" s="173">
        <v>0</v>
      </c>
    </row>
    <row r="65" spans="24:29" ht="39" customHeight="1">
      <c r="X65" s="174" t="s">
        <v>126</v>
      </c>
      <c r="Y65" s="217">
        <f>'24'!$Y$68</f>
        <v>-12755.508333333331</v>
      </c>
      <c r="Z65" s="1013"/>
      <c r="AA65" s="1013"/>
      <c r="AB65" s="176" t="s">
        <v>126</v>
      </c>
      <c r="AC65" s="241">
        <f>'24'!$AC$68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280">
        <f>SUM('25'!AK38,'25'!AP38)</f>
        <v>2782.6416666666673</v>
      </c>
      <c r="Z67" s="1013"/>
      <c r="AA67" s="1013"/>
      <c r="AB67" s="172" t="s">
        <v>124</v>
      </c>
      <c r="AC67" s="169">
        <f>SUM('25'!AM38,'25'!AR38)</f>
        <v>0</v>
      </c>
    </row>
    <row r="68" spans="24:29" ht="15.75" customHeight="1">
      <c r="X68" s="170" t="s">
        <v>128</v>
      </c>
      <c r="Y68" s="179">
        <f>SUM('25'!Y63,'25'!Y65)-'25'!Y67</f>
        <v>-15538.149999999998</v>
      </c>
      <c r="Z68" s="1013"/>
      <c r="AA68" s="1013"/>
      <c r="AB68" s="172" t="s">
        <v>128</v>
      </c>
      <c r="AC68" s="180">
        <f>SUM('25'!AC63,'25'!AC65)-'25'!AC67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priority="2" operator="lessThan">
      <formula>2.5</formula>
    </cfRule>
  </conditionalFormatting>
  <conditionalFormatting sqref="O19">
    <cfRule type="cellIs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Q4" zoomScaleNormal="100" workbookViewId="0">
      <selection activeCell="AE53" sqref="AE53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07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149</v>
      </c>
      <c r="AF4" s="937" t="s">
        <v>150</v>
      </c>
      <c r="AG4" s="937" t="s">
        <v>151</v>
      </c>
      <c r="AH4" s="937" t="s">
        <v>152</v>
      </c>
      <c r="AI4" s="937" t="s">
        <v>153</v>
      </c>
      <c r="AJ4" s="937" t="s">
        <v>154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07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173">
        <v>2594</v>
      </c>
      <c r="Z6" s="183">
        <v>979</v>
      </c>
      <c r="AA6" s="15">
        <v>1</v>
      </c>
      <c r="AB6" s="58">
        <f>IF('26'!AA6=1,(('26'!Z6*'26'!$AS$6*'26'!$AT$6)/('26'!Y6*0.0036)),IF('26'!AA6=2,(('26'!Z6*'26'!$AS$7*'26'!$AT$7)/('26'!Y6*0.0036))))</f>
        <v>69.715904223421575</v>
      </c>
      <c r="AC6" s="58"/>
      <c r="AD6" s="18">
        <f>(('26'!AC6*'26'!$Q$10*1000000))/('26'!Y6*3600)</f>
        <v>0</v>
      </c>
      <c r="AE6" s="183"/>
      <c r="AF6" s="184">
        <f>('26'!AE6/24)*0.454</f>
        <v>0</v>
      </c>
      <c r="AG6" s="19"/>
      <c r="AH6" s="184">
        <f>('26'!AG6/24)*0.454</f>
        <v>0</v>
      </c>
      <c r="AI6" s="334">
        <v>5400</v>
      </c>
      <c r="AJ6" s="184">
        <f>('26'!AI6/24)*0.454</f>
        <v>102.15</v>
      </c>
      <c r="AK6" s="21"/>
      <c r="AL6" s="185">
        <f>('26'!AK6/24)*0.454</f>
        <v>0</v>
      </c>
      <c r="AM6" s="21"/>
      <c r="AN6" s="185">
        <f>('26'!AM6/24)*0.454</f>
        <v>0</v>
      </c>
      <c r="AO6" s="21"/>
      <c r="AP6" s="185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6">
        <v>80</v>
      </c>
      <c r="C7" s="186">
        <v>12.5</v>
      </c>
      <c r="D7" s="186">
        <v>12.5</v>
      </c>
      <c r="E7" s="186">
        <v>2.5</v>
      </c>
      <c r="F7" s="186">
        <v>12</v>
      </c>
      <c r="G7" s="186">
        <v>1.6</v>
      </c>
      <c r="H7" s="186">
        <v>2</v>
      </c>
      <c r="I7" s="186">
        <v>0.5</v>
      </c>
      <c r="J7" s="186">
        <v>0.5</v>
      </c>
      <c r="K7" s="186">
        <v>7.3</v>
      </c>
      <c r="L7" s="186">
        <v>6.8</v>
      </c>
      <c r="M7" s="186">
        <v>6.8</v>
      </c>
      <c r="N7" s="186">
        <v>6.5</v>
      </c>
      <c r="O7" s="186">
        <v>3.6</v>
      </c>
      <c r="P7" s="186"/>
      <c r="Q7" s="188"/>
      <c r="R7" s="37">
        <f>'25'!$Z$29</f>
        <v>979</v>
      </c>
      <c r="S7" s="187">
        <f>'25'!$AB$29</f>
        <v>69.208976485095889</v>
      </c>
      <c r="T7" s="37">
        <f>'25'!$Y$29</f>
        <v>2613</v>
      </c>
      <c r="U7" s="33" t="str">
        <f>IF('26'!AA6=1,'26'!AR6,'26'!AR7)</f>
        <v>S.A.L</v>
      </c>
      <c r="V7" s="1022">
        <f>ESCALA!$B$27</f>
        <v>0</v>
      </c>
      <c r="W7" s="1022"/>
      <c r="X7" s="13">
        <v>8.3333333333333301E-2</v>
      </c>
      <c r="Y7" s="173">
        <v>2618</v>
      </c>
      <c r="Z7" s="183">
        <v>979</v>
      </c>
      <c r="AA7" s="15">
        <v>1</v>
      </c>
      <c r="AB7" s="58">
        <f>IF('26'!AA7=1,(('26'!Z7*'26'!$AS$6*'26'!$AT$6)/('26'!Y7*0.0036)),IF('26'!AA7=2,(('26'!Z7*'26'!$AS$7*'26'!$AT$7)/('26'!Y7*0.0036))))</f>
        <v>69.076797385620935</v>
      </c>
      <c r="AC7" s="58"/>
      <c r="AD7" s="18">
        <f>(('26'!AC7*'26'!$Q$10*1000000))/('26'!Y7*3600)</f>
        <v>0</v>
      </c>
      <c r="AE7" s="183"/>
      <c r="AF7" s="184">
        <f>('26'!AE7/24)*0.454</f>
        <v>0</v>
      </c>
      <c r="AG7" s="19"/>
      <c r="AH7" s="184">
        <f>('26'!AG7/24)*0.454</f>
        <v>0</v>
      </c>
      <c r="AI7" s="334">
        <v>5400</v>
      </c>
      <c r="AJ7" s="184">
        <f>('26'!AI7/24)*0.454</f>
        <v>102.15</v>
      </c>
      <c r="AK7" s="21"/>
      <c r="AL7" s="185">
        <f>('26'!AK7/24)*0.454</f>
        <v>0</v>
      </c>
      <c r="AM7" s="21"/>
      <c r="AN7" s="185">
        <f>('26'!AM7/24)*0.454</f>
        <v>0</v>
      </c>
      <c r="AO7" s="21"/>
      <c r="AP7" s="185">
        <f>('26'!AO7/24)*0.454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6">
        <v>80</v>
      </c>
      <c r="C8" s="186">
        <v>12.5</v>
      </c>
      <c r="D8" s="186">
        <v>12.5</v>
      </c>
      <c r="E8" s="186">
        <v>2.5</v>
      </c>
      <c r="F8" s="186">
        <v>12</v>
      </c>
      <c r="G8" s="186">
        <v>1.6</v>
      </c>
      <c r="H8" s="186">
        <v>2</v>
      </c>
      <c r="I8" s="186">
        <v>0.5</v>
      </c>
      <c r="J8" s="186">
        <v>0.5</v>
      </c>
      <c r="K8" s="186">
        <v>7.3</v>
      </c>
      <c r="L8" s="186">
        <v>6.8</v>
      </c>
      <c r="M8" s="186">
        <v>6.8</v>
      </c>
      <c r="N8" s="186">
        <v>6.5</v>
      </c>
      <c r="O8" s="186">
        <v>3.6</v>
      </c>
      <c r="P8" s="186"/>
      <c r="Q8" s="188"/>
      <c r="R8" s="35">
        <f>'26'!Z7</f>
        <v>979</v>
      </c>
      <c r="S8" s="36">
        <f>'26'!AB7</f>
        <v>69.076797385620935</v>
      </c>
      <c r="T8" s="37">
        <f>'26'!Y7</f>
        <v>2618</v>
      </c>
      <c r="U8" s="33" t="str">
        <f>IF('26'!AA7=1,'26'!AR6,'26'!AR7)</f>
        <v>S.A.L</v>
      </c>
      <c r="V8" s="1022"/>
      <c r="W8" s="1022"/>
      <c r="X8" s="13">
        <v>0.125</v>
      </c>
      <c r="Y8" s="173">
        <v>2606</v>
      </c>
      <c r="Z8" s="183">
        <v>979</v>
      </c>
      <c r="AA8" s="15">
        <v>1</v>
      </c>
      <c r="AB8" s="58">
        <f>IF('26'!AA8=1,(('26'!Z8*'26'!$AS$6*'26'!$AT$6)/('26'!Y8*0.0036)),IF('26'!AA8=2,(('26'!Z8*'26'!$AS$7*'26'!$AT$7)/('26'!Y8*0.0036))))</f>
        <v>69.394879338279182</v>
      </c>
      <c r="AC8" s="58"/>
      <c r="AD8" s="18">
        <f>(('26'!AC8*'26'!$Q$10*1000000))/('26'!Y8*3600)</f>
        <v>0</v>
      </c>
      <c r="AE8" s="183"/>
      <c r="AF8" s="184">
        <f>('26'!AE8/24)*0.454</f>
        <v>0</v>
      </c>
      <c r="AG8" s="19"/>
      <c r="AH8" s="184">
        <f>('26'!AG8/24)*0.454</f>
        <v>0</v>
      </c>
      <c r="AI8" s="334">
        <v>5400</v>
      </c>
      <c r="AJ8" s="184">
        <f>('26'!AI8/24)*0.454</f>
        <v>102.15</v>
      </c>
      <c r="AK8" s="21"/>
      <c r="AL8" s="185">
        <f>('26'!AK8/24)*0.454</f>
        <v>0</v>
      </c>
      <c r="AM8" s="21"/>
      <c r="AN8" s="185">
        <f>('26'!AM8/24)*0.454</f>
        <v>0</v>
      </c>
      <c r="AO8" s="21"/>
      <c r="AP8" s="185">
        <f>('26'!AO8/24)*0.454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80</v>
      </c>
      <c r="C9" s="186">
        <v>12.5</v>
      </c>
      <c r="D9" s="186">
        <v>12.5</v>
      </c>
      <c r="E9" s="186">
        <v>2.5</v>
      </c>
      <c r="F9" s="186">
        <v>11</v>
      </c>
      <c r="G9" s="186">
        <v>1.5</v>
      </c>
      <c r="H9" s="186">
        <v>2</v>
      </c>
      <c r="I9" s="186">
        <v>0.5</v>
      </c>
      <c r="J9" s="186">
        <v>0.5</v>
      </c>
      <c r="K9" s="186">
        <v>7.3</v>
      </c>
      <c r="L9" s="186">
        <v>6.8</v>
      </c>
      <c r="M9" s="186">
        <v>6.8</v>
      </c>
      <c r="N9" s="186">
        <v>6.5</v>
      </c>
      <c r="O9" s="186">
        <v>3.5</v>
      </c>
      <c r="P9" s="186"/>
      <c r="Q9" s="188"/>
      <c r="R9" s="37">
        <f>'26'!Z9</f>
        <v>979</v>
      </c>
      <c r="S9" s="36">
        <f>'26'!AB9</f>
        <v>69.448178016726416</v>
      </c>
      <c r="T9" s="37">
        <f>'26'!Y9</f>
        <v>2604</v>
      </c>
      <c r="U9" s="33" t="str">
        <f>IF('26'!AA9=1,'26'!AR6,'26'!AR7)</f>
        <v>S.A.L</v>
      </c>
      <c r="V9" s="1022"/>
      <c r="W9" s="1022"/>
      <c r="X9" s="13">
        <v>0.16666666666666699</v>
      </c>
      <c r="Y9" s="173">
        <v>2604</v>
      </c>
      <c r="Z9" s="183">
        <v>979</v>
      </c>
      <c r="AA9" s="15">
        <v>1</v>
      </c>
      <c r="AB9" s="58">
        <f>IF('26'!AA9=1,(('26'!Z9*'26'!$AS$6*'26'!$AT$6)/('26'!Y9*0.0036)),IF('26'!AA9=2,(('26'!Z9*'26'!$AS$7*'26'!$AT$7)/('26'!Y9*0.0036))))</f>
        <v>69.448178016726416</v>
      </c>
      <c r="AC9" s="58"/>
      <c r="AD9" s="18">
        <f>(('26'!AC9*'26'!$Q$10*1000000))/('26'!Y9*3600)</f>
        <v>0</v>
      </c>
      <c r="AE9" s="183"/>
      <c r="AF9" s="184">
        <f>('26'!AE9/24)*0.454</f>
        <v>0</v>
      </c>
      <c r="AG9" s="19"/>
      <c r="AH9" s="184">
        <f>('26'!AG9/24)*0.454</f>
        <v>0</v>
      </c>
      <c r="AI9" s="334">
        <v>5400</v>
      </c>
      <c r="AJ9" s="184">
        <f>('26'!AI9/24)*0.454</f>
        <v>102.15</v>
      </c>
      <c r="AK9" s="21"/>
      <c r="AL9" s="185">
        <f>('26'!AK9/24)*0.454</f>
        <v>0</v>
      </c>
      <c r="AM9" s="21"/>
      <c r="AN9" s="185">
        <f>('26'!AM9/24)*0.454</f>
        <v>0</v>
      </c>
      <c r="AO9" s="21"/>
      <c r="AP9" s="185">
        <f>('26'!AO9/24)*0.454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80</v>
      </c>
      <c r="C10" s="186">
        <v>12.5</v>
      </c>
      <c r="D10" s="186">
        <v>12.5</v>
      </c>
      <c r="E10" s="186">
        <v>2.5</v>
      </c>
      <c r="F10" s="186">
        <v>11</v>
      </c>
      <c r="G10" s="186">
        <v>1.5</v>
      </c>
      <c r="H10" s="186">
        <v>2</v>
      </c>
      <c r="I10" s="186">
        <v>0.5</v>
      </c>
      <c r="J10" s="186">
        <v>0.5</v>
      </c>
      <c r="K10" s="186">
        <v>7.3</v>
      </c>
      <c r="L10" s="186">
        <v>6.8</v>
      </c>
      <c r="M10" s="186">
        <v>6.8</v>
      </c>
      <c r="N10" s="186">
        <v>6.5</v>
      </c>
      <c r="O10" s="186">
        <v>3.5</v>
      </c>
      <c r="P10" s="186"/>
      <c r="Q10" s="188"/>
      <c r="R10" s="37">
        <f>'26'!Z11</f>
        <v>979</v>
      </c>
      <c r="S10" s="36">
        <f>'26'!AB11</f>
        <v>69.394879338279182</v>
      </c>
      <c r="T10" s="37">
        <f>'26'!Y11</f>
        <v>2606</v>
      </c>
      <c r="U10" s="33" t="str">
        <f>IF('26'!AA11=1,'26'!AR6,'26'!AR7)</f>
        <v>S.A.L</v>
      </c>
      <c r="V10" s="1022"/>
      <c r="W10" s="1022"/>
      <c r="X10" s="13">
        <v>0.20833333333333301</v>
      </c>
      <c r="Y10" s="173">
        <v>2659</v>
      </c>
      <c r="Z10" s="183">
        <v>979</v>
      </c>
      <c r="AA10" s="15">
        <v>1</v>
      </c>
      <c r="AB10" s="58">
        <f>IF('26'!AA10=1,(('26'!Z10*'26'!$AS$6*'26'!$AT$6)/('26'!Y10*0.0036)),IF('26'!AA10=2,(('26'!Z10*'26'!$AS$7*'26'!$AT$7)/('26'!Y10*0.0036))))</f>
        <v>68.011679411641808</v>
      </c>
      <c r="AC10" s="58"/>
      <c r="AD10" s="18">
        <f>(('26'!AC10*'26'!$Q$10*1000000))/('26'!Y10*3600)</f>
        <v>0</v>
      </c>
      <c r="AE10" s="183"/>
      <c r="AF10" s="184">
        <f>('26'!AE10/24)*0.454</f>
        <v>0</v>
      </c>
      <c r="AG10" s="19"/>
      <c r="AH10" s="184">
        <f>('26'!AG10/24)*0.454</f>
        <v>0</v>
      </c>
      <c r="AI10" s="334">
        <v>5400</v>
      </c>
      <c r="AJ10" s="184">
        <f>('26'!AI10/24)*0.454</f>
        <v>102.15</v>
      </c>
      <c r="AK10" s="21"/>
      <c r="AL10" s="185">
        <f>('26'!AK10/24)*0.454</f>
        <v>0</v>
      </c>
      <c r="AM10" s="21"/>
      <c r="AN10" s="185">
        <f>('26'!AM10/24)*0.454</f>
        <v>0</v>
      </c>
      <c r="AO10" s="21"/>
      <c r="AP10" s="185">
        <f>('26'!AO10/24)*0.454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6">
        <v>80</v>
      </c>
      <c r="C11" s="186">
        <v>17.5</v>
      </c>
      <c r="D11" s="186">
        <v>15</v>
      </c>
      <c r="E11" s="186">
        <v>2.5</v>
      </c>
      <c r="F11" s="186">
        <v>12</v>
      </c>
      <c r="G11" s="186">
        <v>2.2999999999999998</v>
      </c>
      <c r="H11" s="186">
        <v>1.9</v>
      </c>
      <c r="I11" s="186">
        <v>0.5</v>
      </c>
      <c r="J11" s="186">
        <v>0.4</v>
      </c>
      <c r="K11" s="186">
        <v>7.3</v>
      </c>
      <c r="L11" s="186">
        <v>6.8</v>
      </c>
      <c r="M11" s="186">
        <v>6.8</v>
      </c>
      <c r="N11" s="186">
        <v>6.5</v>
      </c>
      <c r="O11" s="186">
        <v>3.5</v>
      </c>
      <c r="P11" s="186">
        <v>0.5</v>
      </c>
      <c r="Q11" s="188">
        <v>0.5</v>
      </c>
      <c r="R11" s="37">
        <f>'26'!Z13</f>
        <v>979</v>
      </c>
      <c r="S11" s="36">
        <f>'26'!AB13</f>
        <v>69.024067005937241</v>
      </c>
      <c r="T11" s="37">
        <f>'26'!Y13</f>
        <v>2620</v>
      </c>
      <c r="U11" s="33" t="str">
        <f>IF('26'!AA13=1,'26'!AR6,'26'!AR7)</f>
        <v>S.A.L</v>
      </c>
      <c r="V11" s="1022"/>
      <c r="W11" s="1022"/>
      <c r="X11" s="13">
        <v>0.25</v>
      </c>
      <c r="Y11" s="173">
        <v>2606</v>
      </c>
      <c r="Z11" s="183">
        <v>979</v>
      </c>
      <c r="AA11" s="15">
        <v>1</v>
      </c>
      <c r="AB11" s="58">
        <f>IF('26'!AA11=1,(('26'!Z11*'26'!$AS$6*'26'!$AT$6)/('26'!Y11*0.0036)),IF('26'!AA11=2,(('26'!Z11*'26'!$AS$7*'26'!$AT$7)/('26'!Y11*0.0036))))</f>
        <v>69.394879338279182</v>
      </c>
      <c r="AC11" s="58"/>
      <c r="AD11" s="18">
        <f>(('26'!AC11*'26'!$Q$10*1000000))/('26'!Y11*3600)</f>
        <v>0</v>
      </c>
      <c r="AE11" s="183"/>
      <c r="AF11" s="184">
        <f>('26'!AE11/24)*0.454</f>
        <v>0</v>
      </c>
      <c r="AG11" s="19"/>
      <c r="AH11" s="184">
        <f>('26'!AG11/24)*0.454</f>
        <v>0</v>
      </c>
      <c r="AI11" s="334">
        <v>5400</v>
      </c>
      <c r="AJ11" s="184">
        <f>('26'!AI11/24)*0.454</f>
        <v>102.15</v>
      </c>
      <c r="AK11" s="21"/>
      <c r="AL11" s="185">
        <f>('26'!AK11/24)*0.454</f>
        <v>0</v>
      </c>
      <c r="AM11" s="21"/>
      <c r="AN11" s="185">
        <f>('26'!AM11/24)*0.454</f>
        <v>0</v>
      </c>
      <c r="AO11" s="21"/>
      <c r="AP11" s="185">
        <f>('26'!AO11/24)*0.454</f>
        <v>0</v>
      </c>
    </row>
    <row r="12" spans="1:47" ht="18.75" customHeight="1">
      <c r="A12" s="28">
        <v>0.41666666666666702</v>
      </c>
      <c r="B12" s="186">
        <v>80</v>
      </c>
      <c r="C12" s="186">
        <v>17.5</v>
      </c>
      <c r="D12" s="186">
        <v>15</v>
      </c>
      <c r="E12" s="186">
        <v>2.5</v>
      </c>
      <c r="F12" s="186">
        <v>13</v>
      </c>
      <c r="G12" s="186">
        <v>2.5</v>
      </c>
      <c r="H12" s="186">
        <v>2</v>
      </c>
      <c r="I12" s="186">
        <v>0.4</v>
      </c>
      <c r="J12" s="186">
        <v>0.4</v>
      </c>
      <c r="K12" s="186">
        <v>7.3</v>
      </c>
      <c r="L12" s="186">
        <v>6.8</v>
      </c>
      <c r="M12" s="186">
        <v>6.8</v>
      </c>
      <c r="N12" s="186">
        <v>6.5</v>
      </c>
      <c r="O12" s="186">
        <v>3.5</v>
      </c>
      <c r="P12" s="186">
        <v>0.5</v>
      </c>
      <c r="Q12" s="186">
        <v>1.3</v>
      </c>
      <c r="R12" s="37">
        <f>'26'!Z15</f>
        <v>979</v>
      </c>
      <c r="S12" s="36">
        <f>'26'!AB15</f>
        <v>68.709367612293164</v>
      </c>
      <c r="T12" s="37">
        <f>'26'!Y15</f>
        <v>2632</v>
      </c>
      <c r="U12" s="33" t="str">
        <f>IF('26'!AA15=1,'26'!AR6,'26'!AR7)</f>
        <v>S.A.L</v>
      </c>
      <c r="V12" s="944">
        <f>ESCALA!$B$28</f>
        <v>0</v>
      </c>
      <c r="W12" s="944"/>
      <c r="X12" s="13">
        <v>0.29166666666666702</v>
      </c>
      <c r="Y12" s="173">
        <v>2560</v>
      </c>
      <c r="Z12" s="183">
        <v>979</v>
      </c>
      <c r="AA12" s="15">
        <v>1</v>
      </c>
      <c r="AB12" s="58">
        <f>IF('26'!AA12=1,(('26'!Z12*'26'!$AS$6*'26'!$AT$6)/('26'!Y12*0.0036)),IF('26'!AA12=2,(('26'!Z12*'26'!$AS$7*'26'!$AT$7)/('26'!Y12*0.0036))))</f>
        <v>70.6418185763889</v>
      </c>
      <c r="AC12" s="58"/>
      <c r="AD12" s="18">
        <f>(('26'!AC12*'26'!$Q$10*1000000))/('26'!Y12*3600)</f>
        <v>0</v>
      </c>
      <c r="AE12" s="183"/>
      <c r="AF12" s="184">
        <f>('26'!AE12/24)*0.454</f>
        <v>0</v>
      </c>
      <c r="AG12" s="19"/>
      <c r="AH12" s="184">
        <f>('26'!AG12/24)*0.454</f>
        <v>0</v>
      </c>
      <c r="AI12" s="334">
        <v>5400</v>
      </c>
      <c r="AJ12" s="184">
        <f>('26'!AI12/24)*0.454</f>
        <v>102.15</v>
      </c>
      <c r="AK12" s="21"/>
      <c r="AL12" s="185">
        <f>('26'!AK12/24)*0.454</f>
        <v>0</v>
      </c>
      <c r="AM12" s="21"/>
      <c r="AN12" s="185">
        <f>('26'!AM12/24)*0.454</f>
        <v>0</v>
      </c>
      <c r="AO12" s="21"/>
      <c r="AP12" s="185">
        <f>('26'!AO12/24)*0.454</f>
        <v>0</v>
      </c>
    </row>
    <row r="13" spans="1:47" ht="18.75" customHeight="1">
      <c r="A13" s="28">
        <v>0.5</v>
      </c>
      <c r="B13" s="186">
        <v>80</v>
      </c>
      <c r="C13" s="186">
        <v>17.5</v>
      </c>
      <c r="D13" s="186">
        <v>17.5</v>
      </c>
      <c r="E13" s="186">
        <v>2.5</v>
      </c>
      <c r="F13" s="186">
        <v>13</v>
      </c>
      <c r="G13" s="186">
        <v>2.2000000000000002</v>
      </c>
      <c r="H13" s="186">
        <v>2.5</v>
      </c>
      <c r="I13" s="186">
        <v>0.4</v>
      </c>
      <c r="J13" s="186">
        <v>0.4</v>
      </c>
      <c r="K13" s="186">
        <v>7.3</v>
      </c>
      <c r="L13" s="186">
        <v>6.8</v>
      </c>
      <c r="M13" s="186">
        <v>6.8</v>
      </c>
      <c r="N13" s="186">
        <v>6.5</v>
      </c>
      <c r="O13" s="186">
        <v>3.5</v>
      </c>
      <c r="P13" s="186">
        <v>1.3</v>
      </c>
      <c r="Q13" s="186">
        <v>0.3</v>
      </c>
      <c r="R13" s="37">
        <f>'26'!Z17</f>
        <v>979</v>
      </c>
      <c r="S13" s="36">
        <f>'26'!AB17</f>
        <v>68.216920239741825</v>
      </c>
      <c r="T13" s="37">
        <f>'26'!Y17</f>
        <v>2651</v>
      </c>
      <c r="U13" s="33" t="str">
        <f>IF('26'!AA17=1,'26'!AR6,'26'!AR7)</f>
        <v>S.A.L</v>
      </c>
      <c r="V13" s="944"/>
      <c r="W13" s="944"/>
      <c r="X13" s="13">
        <v>0.33333333333333298</v>
      </c>
      <c r="Y13" s="173">
        <v>2620</v>
      </c>
      <c r="Z13" s="183">
        <v>979</v>
      </c>
      <c r="AA13" s="15">
        <v>1</v>
      </c>
      <c r="AB13" s="58">
        <f>IF('26'!AA13=1,(('26'!Z13*'26'!$AS$6*'26'!$AT$6)/('26'!Y13*0.0036)),IF('26'!AA13=2,(('26'!Z13*'26'!$AS$7*'26'!$AT$7)/('26'!Y13*0.0036))))</f>
        <v>69.024067005937241</v>
      </c>
      <c r="AC13" s="58"/>
      <c r="AD13" s="18">
        <f>(('26'!AC13*'26'!$Q$10*1000000))/('26'!Y13*3600)</f>
        <v>0</v>
      </c>
      <c r="AE13" s="183"/>
      <c r="AF13" s="184">
        <f>('26'!AE13/24)*0.454</f>
        <v>0</v>
      </c>
      <c r="AG13" s="19"/>
      <c r="AH13" s="184">
        <f>('26'!AG13/24)*0.454</f>
        <v>0</v>
      </c>
      <c r="AI13" s="334">
        <v>5000</v>
      </c>
      <c r="AJ13" s="184">
        <f>('26'!AI13/24)*0.454</f>
        <v>94.583333333333343</v>
      </c>
      <c r="AK13" s="21">
        <v>1250</v>
      </c>
      <c r="AL13" s="185">
        <f>('26'!AK13/24)*0.454</f>
        <v>23.645833333333336</v>
      </c>
      <c r="AM13" s="21">
        <v>1250</v>
      </c>
      <c r="AN13" s="185">
        <f>('26'!AM13/24)*0.454</f>
        <v>23.645833333333336</v>
      </c>
      <c r="AO13" s="21"/>
      <c r="AP13" s="185">
        <f>('26'!AO13/24)*0.454</f>
        <v>0</v>
      </c>
    </row>
    <row r="14" spans="1:47" ht="18.75" customHeight="1">
      <c r="A14" s="28">
        <v>0.58333333333333304</v>
      </c>
      <c r="B14" s="186">
        <v>80</v>
      </c>
      <c r="C14" s="186">
        <v>15</v>
      </c>
      <c r="D14" s="186">
        <v>17.5</v>
      </c>
      <c r="E14" s="186">
        <v>2.5</v>
      </c>
      <c r="F14" s="186">
        <v>13</v>
      </c>
      <c r="G14" s="186">
        <v>2.1</v>
      </c>
      <c r="H14" s="186">
        <v>2.8</v>
      </c>
      <c r="I14" s="186">
        <v>0.4</v>
      </c>
      <c r="J14" s="186">
        <v>0.4</v>
      </c>
      <c r="K14" s="186">
        <v>7.3</v>
      </c>
      <c r="L14" s="186">
        <v>6.8</v>
      </c>
      <c r="M14" s="186">
        <v>6.8</v>
      </c>
      <c r="N14" s="186">
        <v>6.5</v>
      </c>
      <c r="O14" s="186">
        <v>3.5</v>
      </c>
      <c r="P14" s="186">
        <v>1</v>
      </c>
      <c r="Q14" s="186">
        <v>0.3</v>
      </c>
      <c r="R14" s="37">
        <f>'26'!Z19</f>
        <v>979</v>
      </c>
      <c r="S14" s="36">
        <f>'26'!AB19</f>
        <v>68.761618081960293</v>
      </c>
      <c r="T14" s="37">
        <f>'26'!Y19</f>
        <v>2630</v>
      </c>
      <c r="U14" s="33" t="str">
        <f>IF('26'!AA19=1,'26'!AR6,'26'!AR7)</f>
        <v>S.A.L</v>
      </c>
      <c r="V14" s="944"/>
      <c r="W14" s="944"/>
      <c r="X14" s="13">
        <v>0.375</v>
      </c>
      <c r="Y14" s="173">
        <v>2618</v>
      </c>
      <c r="Z14" s="183">
        <v>979</v>
      </c>
      <c r="AA14" s="15">
        <v>1</v>
      </c>
      <c r="AB14" s="58">
        <f>IF('26'!AA14=1,(('26'!Z14*'26'!$AS$6*'26'!$AT$6)/('26'!Y14*0.0036)),IF('26'!AA14=2,(('26'!Z14*'26'!$AS$7*'26'!$AT$7)/('26'!Y14*0.0036))))</f>
        <v>69.076797385620935</v>
      </c>
      <c r="AC14" s="58"/>
      <c r="AD14" s="18">
        <f>(('26'!AC14*'26'!$Q$10*1000000))/('26'!Y14*3600)</f>
        <v>0</v>
      </c>
      <c r="AE14" s="183"/>
      <c r="AF14" s="184">
        <f>('26'!AE14/24)*0.454</f>
        <v>0</v>
      </c>
      <c r="AG14" s="19"/>
      <c r="AH14" s="184">
        <f>('26'!AG14/24)*0.454</f>
        <v>0</v>
      </c>
      <c r="AI14" s="334">
        <v>5000</v>
      </c>
      <c r="AJ14" s="184">
        <f>('26'!AI14/24)*0.454</f>
        <v>94.583333333333343</v>
      </c>
      <c r="AK14" s="21">
        <v>1250</v>
      </c>
      <c r="AL14" s="185">
        <f>('26'!AK14/24)*0.454</f>
        <v>23.645833333333336</v>
      </c>
      <c r="AM14" s="21">
        <v>1250</v>
      </c>
      <c r="AN14" s="185">
        <f>('26'!AM14/24)*0.454</f>
        <v>23.645833333333336</v>
      </c>
      <c r="AO14" s="21"/>
      <c r="AP14" s="185">
        <f>('26'!AO14/24)*0.454</f>
        <v>0</v>
      </c>
    </row>
    <row r="15" spans="1:47" ht="18.75" customHeight="1">
      <c r="A15" s="28">
        <v>0.66666666666666696</v>
      </c>
      <c r="B15" s="186">
        <v>80</v>
      </c>
      <c r="C15" s="186">
        <v>15</v>
      </c>
      <c r="D15" s="186">
        <v>17.5</v>
      </c>
      <c r="E15" s="186">
        <v>2.5</v>
      </c>
      <c r="F15" s="186">
        <v>12</v>
      </c>
      <c r="G15" s="186">
        <v>2.1</v>
      </c>
      <c r="H15" s="186">
        <v>2.5</v>
      </c>
      <c r="I15" s="186">
        <v>0.4</v>
      </c>
      <c r="J15" s="186">
        <v>0.4</v>
      </c>
      <c r="K15" s="186">
        <v>7.3</v>
      </c>
      <c r="L15" s="186">
        <v>6.8</v>
      </c>
      <c r="M15" s="186">
        <v>6.8</v>
      </c>
      <c r="N15" s="186">
        <v>6.5</v>
      </c>
      <c r="O15" s="186">
        <v>3.5</v>
      </c>
      <c r="P15" s="186">
        <v>0.7</v>
      </c>
      <c r="Q15" s="186">
        <v>0.3</v>
      </c>
      <c r="R15" s="37">
        <f>'26'!Z21</f>
        <v>979</v>
      </c>
      <c r="S15" s="36">
        <f>'26'!AB21</f>
        <v>69.341662406271311</v>
      </c>
      <c r="T15" s="37">
        <f>'26'!Y21</f>
        <v>2608</v>
      </c>
      <c r="U15" s="33" t="str">
        <f>IF('26'!AA21=1,'26'!AR6,'26'!AR7)</f>
        <v>S.A.L</v>
      </c>
      <c r="V15" s="944"/>
      <c r="W15" s="944"/>
      <c r="X15" s="13">
        <v>0.41666666666666702</v>
      </c>
      <c r="Y15" s="173">
        <v>2632</v>
      </c>
      <c r="Z15" s="183">
        <v>979</v>
      </c>
      <c r="AA15" s="15">
        <v>1</v>
      </c>
      <c r="AB15" s="58">
        <f>IF('26'!AA15=1,(('26'!Z15*'26'!$AS$6*'26'!$AT$6)/('26'!Y15*0.0036)),IF('26'!AA15=2,(('26'!Z15*'26'!$AS$7*'26'!$AT$7)/('26'!Y15*0.0036))))</f>
        <v>68.709367612293164</v>
      </c>
      <c r="AC15" s="58"/>
      <c r="AD15" s="18">
        <f>(('26'!AC15*'26'!$Q$10*1000000))/('26'!Y15*3600)</f>
        <v>0</v>
      </c>
      <c r="AE15" s="183"/>
      <c r="AF15" s="184">
        <f>('26'!AE15/24)*0.454</f>
        <v>0</v>
      </c>
      <c r="AG15" s="19"/>
      <c r="AH15" s="184">
        <f>('26'!AG15/24)*0.454</f>
        <v>0</v>
      </c>
      <c r="AI15" s="334">
        <v>5000</v>
      </c>
      <c r="AJ15" s="184">
        <f>('26'!AI15/24)*0.454</f>
        <v>94.583333333333343</v>
      </c>
      <c r="AK15" s="21">
        <v>1250</v>
      </c>
      <c r="AL15" s="185">
        <f>('26'!AK15/24)*0.454</f>
        <v>23.645833333333336</v>
      </c>
      <c r="AM15" s="21">
        <v>1250</v>
      </c>
      <c r="AN15" s="185">
        <f>('26'!AM15/24)*0.454</f>
        <v>23.645833333333336</v>
      </c>
      <c r="AO15" s="21"/>
      <c r="AP15" s="185">
        <f>('26'!AO15/24)*0.454</f>
        <v>0</v>
      </c>
    </row>
    <row r="16" spans="1:47" ht="18.75" customHeight="1">
      <c r="A16" s="28">
        <v>0.75</v>
      </c>
      <c r="B16" s="186">
        <v>80</v>
      </c>
      <c r="C16" s="186">
        <v>15</v>
      </c>
      <c r="D16" s="186">
        <v>17.5</v>
      </c>
      <c r="E16" s="186">
        <v>2.5</v>
      </c>
      <c r="F16" s="186">
        <v>13</v>
      </c>
      <c r="G16" s="186">
        <v>2.2999999999999998</v>
      </c>
      <c r="H16" s="186">
        <v>2.9</v>
      </c>
      <c r="I16" s="186">
        <v>0.4</v>
      </c>
      <c r="J16" s="186">
        <v>0.4</v>
      </c>
      <c r="K16" s="186">
        <v>7.3</v>
      </c>
      <c r="L16" s="186">
        <v>6.8</v>
      </c>
      <c r="M16" s="186">
        <v>6.8</v>
      </c>
      <c r="N16" s="186">
        <v>6.5</v>
      </c>
      <c r="O16" s="186">
        <v>3.7</v>
      </c>
      <c r="P16" s="186"/>
      <c r="Q16" s="188"/>
      <c r="R16" s="37">
        <f>'26'!Z23</f>
        <v>979</v>
      </c>
      <c r="S16" s="36">
        <f>'26'!AB23</f>
        <v>68.475219824140694</v>
      </c>
      <c r="T16" s="37">
        <f>'26'!Y23</f>
        <v>2641</v>
      </c>
      <c r="U16" s="33" t="str">
        <f>IF('26'!AA23=1,'26'!AR6,'26'!AR7)</f>
        <v>S.A.L</v>
      </c>
      <c r="V16" s="944"/>
      <c r="W16" s="944"/>
      <c r="X16" s="13">
        <v>0.45833333333333298</v>
      </c>
      <c r="Y16" s="173">
        <v>2603</v>
      </c>
      <c r="Z16" s="183">
        <v>979</v>
      </c>
      <c r="AA16" s="15">
        <v>1</v>
      </c>
      <c r="AB16" s="58">
        <f>IF('26'!AA16=1,(('26'!Z16*'26'!$AS$6*'26'!$AT$6)/('26'!Y16*0.0036)),IF('26'!AA16=2,(('26'!Z16*'26'!$AS$7*'26'!$AT$7)/('26'!Y16*0.0036))))</f>
        <v>69.474858069748592</v>
      </c>
      <c r="AC16" s="58"/>
      <c r="AD16" s="18">
        <f>(('26'!AC16*'26'!$Q$10*1000000))/('26'!Y16*3600)</f>
        <v>0</v>
      </c>
      <c r="AE16" s="183"/>
      <c r="AF16" s="184">
        <f>('26'!AE16/24)*0.454</f>
        <v>0</v>
      </c>
      <c r="AG16" s="19"/>
      <c r="AH16" s="184">
        <f>('26'!AG16/24)*0.454</f>
        <v>0</v>
      </c>
      <c r="AI16" s="334">
        <v>5000</v>
      </c>
      <c r="AJ16" s="184">
        <f>('26'!AI16/24)*0.454</f>
        <v>94.583333333333343</v>
      </c>
      <c r="AK16" s="21">
        <v>1250</v>
      </c>
      <c r="AL16" s="185">
        <f>('26'!AK16/24)*0.454</f>
        <v>23.645833333333336</v>
      </c>
      <c r="AM16" s="21">
        <v>1250</v>
      </c>
      <c r="AN16" s="185">
        <f>('26'!AM16/24)*0.454</f>
        <v>23.645833333333336</v>
      </c>
      <c r="AO16" s="21"/>
      <c r="AP16" s="185">
        <f>('26'!AO16/24)*0.454</f>
        <v>0</v>
      </c>
    </row>
    <row r="17" spans="1:42" ht="18.75" customHeight="1">
      <c r="A17" s="28">
        <v>0.83333333333333304</v>
      </c>
      <c r="B17" s="186">
        <v>80</v>
      </c>
      <c r="C17" s="186">
        <v>15</v>
      </c>
      <c r="D17" s="186">
        <v>15</v>
      </c>
      <c r="E17" s="186">
        <v>2.5</v>
      </c>
      <c r="F17" s="186">
        <v>13</v>
      </c>
      <c r="G17" s="186">
        <v>2.2999999999999998</v>
      </c>
      <c r="H17" s="186">
        <v>2.5</v>
      </c>
      <c r="I17" s="186">
        <v>0.4</v>
      </c>
      <c r="J17" s="186">
        <v>0.5</v>
      </c>
      <c r="K17" s="186">
        <v>7.3</v>
      </c>
      <c r="L17" s="186">
        <v>6.8</v>
      </c>
      <c r="M17" s="186">
        <v>6.8</v>
      </c>
      <c r="N17" s="186">
        <v>6.5</v>
      </c>
      <c r="O17" s="186">
        <v>3.7</v>
      </c>
      <c r="P17" s="186"/>
      <c r="Q17" s="188"/>
      <c r="R17" s="37">
        <f>'26'!Z25</f>
        <v>979</v>
      </c>
      <c r="S17" s="36">
        <f>'26'!AB25</f>
        <v>69.8775330585609</v>
      </c>
      <c r="T17" s="37">
        <f>'26'!Y25</f>
        <v>2588</v>
      </c>
      <c r="U17" s="33" t="str">
        <f>IF('26'!AA25=1,'26'!AR6,'26'!AR7)</f>
        <v>S.A.L</v>
      </c>
      <c r="V17" s="944"/>
      <c r="W17" s="944"/>
      <c r="X17" s="13">
        <v>0.5</v>
      </c>
      <c r="Y17" s="173">
        <v>2651</v>
      </c>
      <c r="Z17" s="183">
        <v>979</v>
      </c>
      <c r="AA17" s="15">
        <v>1</v>
      </c>
      <c r="AB17" s="58">
        <f>IF('26'!AA17=1,(('26'!Z17*'26'!$AS$6*'26'!$AT$6)/('26'!Y17*0.0036)),IF('26'!AA17=2,(('26'!Z17*'26'!$AS$7*'26'!$AT$7)/('26'!Y17*0.0036))))</f>
        <v>68.216920239741825</v>
      </c>
      <c r="AC17" s="58"/>
      <c r="AD17" s="18">
        <f>(('26'!AC17*'26'!$Q$10*1000000))/('26'!Y17*3600)</f>
        <v>0</v>
      </c>
      <c r="AE17" s="183"/>
      <c r="AF17" s="184">
        <f>('26'!AE17/24)*0.454</f>
        <v>0</v>
      </c>
      <c r="AG17" s="19"/>
      <c r="AH17" s="184">
        <f>('26'!AG17/24)*0.454</f>
        <v>0</v>
      </c>
      <c r="AI17" s="334">
        <v>5000</v>
      </c>
      <c r="AJ17" s="184">
        <f>('26'!AI17/24)*0.454</f>
        <v>94.583333333333343</v>
      </c>
      <c r="AK17" s="21">
        <v>1250</v>
      </c>
      <c r="AL17" s="185">
        <f>('26'!AK17/24)*0.454</f>
        <v>23.645833333333336</v>
      </c>
      <c r="AM17" s="21">
        <v>1250</v>
      </c>
      <c r="AN17" s="185">
        <f>('26'!AM17/24)*0.454</f>
        <v>23.645833333333336</v>
      </c>
      <c r="AO17" s="21"/>
      <c r="AP17" s="185">
        <f>('26'!AO17/24)*0.454</f>
        <v>0</v>
      </c>
    </row>
    <row r="18" spans="1:42" ht="19.5" customHeight="1">
      <c r="A18" s="28">
        <v>0.91666666666666696</v>
      </c>
      <c r="B18" s="186">
        <v>80</v>
      </c>
      <c r="C18" s="186">
        <v>15</v>
      </c>
      <c r="D18" s="186">
        <v>15</v>
      </c>
      <c r="E18" s="186">
        <v>2.5</v>
      </c>
      <c r="F18" s="186">
        <v>13</v>
      </c>
      <c r="G18" s="186">
        <v>2.2000000000000002</v>
      </c>
      <c r="H18" s="186">
        <v>2.2000000000000002</v>
      </c>
      <c r="I18" s="186">
        <v>0.4</v>
      </c>
      <c r="J18" s="186">
        <v>0.5</v>
      </c>
      <c r="K18" s="186">
        <v>7.3</v>
      </c>
      <c r="L18" s="186">
        <v>6.8</v>
      </c>
      <c r="M18" s="186">
        <v>6.8</v>
      </c>
      <c r="N18" s="186">
        <v>6.5</v>
      </c>
      <c r="O18" s="186">
        <v>3.7</v>
      </c>
      <c r="P18" s="186"/>
      <c r="Q18" s="188"/>
      <c r="R18" s="37">
        <f>'26'!Z27</f>
        <v>979</v>
      </c>
      <c r="S18" s="36">
        <f>'26'!AB27</f>
        <v>70.039913073414255</v>
      </c>
      <c r="T18" s="37">
        <f>'26'!Y27</f>
        <v>2582</v>
      </c>
      <c r="U18" s="33" t="str">
        <f>IF('26'!AA27=1,'26'!AR6,'26'!AR7)</f>
        <v>S.A.L</v>
      </c>
      <c r="V18" s="944"/>
      <c r="W18" s="944"/>
      <c r="X18" s="13">
        <v>0.54166666666666696</v>
      </c>
      <c r="Y18" s="173">
        <v>2666</v>
      </c>
      <c r="Z18" s="183">
        <v>979</v>
      </c>
      <c r="AA18" s="15">
        <v>1</v>
      </c>
      <c r="AB18" s="58">
        <f>IF('26'!AA18=1,(('26'!Z18*'26'!$AS$6*'26'!$AT$6)/('26'!Y18*0.0036)),IF('26'!AA18=2,(('26'!Z18*'26'!$AS$7*'26'!$AT$7)/('26'!Y18*0.0036))))</f>
        <v>67.833104109360676</v>
      </c>
      <c r="AC18" s="58"/>
      <c r="AD18" s="18">
        <f>(('26'!AC18*'26'!$Q$10*1000000))/('26'!Y18*3600)</f>
        <v>0</v>
      </c>
      <c r="AE18" s="183"/>
      <c r="AF18" s="184">
        <f>('26'!AE18/24)*0.454</f>
        <v>0</v>
      </c>
      <c r="AG18" s="19"/>
      <c r="AH18" s="184">
        <f>('26'!AG18/24)*0.454</f>
        <v>0</v>
      </c>
      <c r="AI18" s="334">
        <v>5000</v>
      </c>
      <c r="AJ18" s="184">
        <f>('26'!AI18/24)*0.454</f>
        <v>94.583333333333343</v>
      </c>
      <c r="AK18" s="21">
        <v>1250</v>
      </c>
      <c r="AL18" s="185">
        <f>('26'!AK18/24)*0.454</f>
        <v>23.645833333333336</v>
      </c>
      <c r="AM18" s="21">
        <v>1250</v>
      </c>
      <c r="AN18" s="185">
        <f>('26'!AM18/24)*0.454</f>
        <v>23.645833333333336</v>
      </c>
      <c r="AO18" s="21"/>
      <c r="AP18" s="185">
        <f>('26'!AO18/24)*0.454</f>
        <v>0</v>
      </c>
    </row>
    <row r="19" spans="1:42" ht="18.75" customHeight="1">
      <c r="A19" s="10" t="s">
        <v>52</v>
      </c>
      <c r="B19" s="189">
        <f>AVERAGE('26'!B7:B18)</f>
        <v>80</v>
      </c>
      <c r="C19" s="69">
        <f>AVERAGE('26'!C7:C18)</f>
        <v>14.791666666666666</v>
      </c>
      <c r="D19" s="69">
        <f>AVERAGE('26'!D7:D18)</f>
        <v>15</v>
      </c>
      <c r="E19" s="69">
        <f>AVERAGE('26'!E7:E18)</f>
        <v>2.5</v>
      </c>
      <c r="F19" s="69">
        <f>AVERAGE('26'!F7:F18)</f>
        <v>12.333333333333334</v>
      </c>
      <c r="G19" s="69">
        <f>AVERAGE('26'!G7:G18)</f>
        <v>2.0166666666666666</v>
      </c>
      <c r="H19" s="69">
        <f>AVERAGE('26'!H7:H18)</f>
        <v>2.2749999999999999</v>
      </c>
      <c r="I19" s="69">
        <f>AVERAGE('26'!I8:I18)</f>
        <v>0.43636363636363634</v>
      </c>
      <c r="J19" s="69">
        <f>AVERAGE('26'!J8:J18)</f>
        <v>0.44545454545454538</v>
      </c>
      <c r="K19" s="69">
        <f>AVERAGE('26'!K7:K18)</f>
        <v>7.299999999999998</v>
      </c>
      <c r="L19" s="69">
        <f>AVERAGE('26'!L7:L18)</f>
        <v>6.799999999999998</v>
      </c>
      <c r="M19" s="69">
        <f>AVERAGE('26'!M7:M18)</f>
        <v>6.799999999999998</v>
      </c>
      <c r="N19" s="69">
        <f>AVERAGE('26'!N7:N18)</f>
        <v>6.5</v>
      </c>
      <c r="O19" s="69">
        <f>AVERAGE('26'!O7:O18)</f>
        <v>3.5666666666666669</v>
      </c>
      <c r="P19" s="190">
        <f>AVERAGE('26'!P7:P18)</f>
        <v>0.8</v>
      </c>
      <c r="Q19" s="191">
        <f>AVERAGE('26'!Q7:Q18)</f>
        <v>0.53999999999999992</v>
      </c>
      <c r="R19" s="191">
        <f>AVERAGE('26'!R7:R18)</f>
        <v>979</v>
      </c>
      <c r="S19" s="191">
        <f>AVERAGE('26'!S7:S18)</f>
        <v>69.131261044003509</v>
      </c>
      <c r="T19" s="946"/>
      <c r="U19" s="946"/>
      <c r="V19" s="49"/>
      <c r="W19" s="50"/>
      <c r="X19" s="13">
        <v>0.58333333333333304</v>
      </c>
      <c r="Y19" s="173">
        <v>2630</v>
      </c>
      <c r="Z19" s="183">
        <v>979</v>
      </c>
      <c r="AA19" s="15">
        <v>1</v>
      </c>
      <c r="AB19" s="58">
        <f>IF('26'!AA19=1,(('26'!Z19*'26'!$AS$6*'26'!$AT$6)/('26'!Y19*0.0036)),IF('26'!AA19=2,(('26'!Z19*'26'!$AS$7*'26'!$AT$7)/('26'!Y19*0.0036))))</f>
        <v>68.761618081960293</v>
      </c>
      <c r="AC19" s="58"/>
      <c r="AD19" s="18">
        <f>(('26'!AC19*'26'!$Q$10*1000000))/('26'!Y19*3600)</f>
        <v>0</v>
      </c>
      <c r="AE19" s="183"/>
      <c r="AF19" s="184">
        <f>('26'!AE19/24)*0.454</f>
        <v>0</v>
      </c>
      <c r="AG19" s="19"/>
      <c r="AH19" s="184">
        <f>('26'!AG19/24)*0.454</f>
        <v>0</v>
      </c>
      <c r="AI19" s="334">
        <v>5000</v>
      </c>
      <c r="AJ19" s="184">
        <f>('26'!AI19/24)*0.454</f>
        <v>94.583333333333343</v>
      </c>
      <c r="AK19" s="21">
        <v>1250</v>
      </c>
      <c r="AL19" s="185">
        <f>('26'!AK19/24)*0.454</f>
        <v>23.645833333333336</v>
      </c>
      <c r="AM19" s="21">
        <v>1250</v>
      </c>
      <c r="AN19" s="185">
        <f>('26'!AM19/24)*0.454</f>
        <v>23.645833333333336</v>
      </c>
      <c r="AO19" s="21"/>
      <c r="AP19" s="185">
        <f>('26'!AO19/24)*0.454</f>
        <v>0</v>
      </c>
    </row>
    <row r="20" spans="1:42" ht="18.75" customHeight="1">
      <c r="A20" s="10" t="s">
        <v>53</v>
      </c>
      <c r="B20" s="189">
        <f>MAX('26'!B7:B18)</f>
        <v>80</v>
      </c>
      <c r="C20" s="221">
        <f>MAX('26'!C7:C18)</f>
        <v>17.5</v>
      </c>
      <c r="D20" s="69">
        <f>MAX('26'!D7:D18)</f>
        <v>17.5</v>
      </c>
      <c r="E20" s="69">
        <f>MAX('26'!E7:E18)</f>
        <v>2.5</v>
      </c>
      <c r="F20" s="69">
        <f>MAX('26'!F7:F18)</f>
        <v>13</v>
      </c>
      <c r="G20" s="69">
        <f>MAX('26'!G7:G18)</f>
        <v>2.5</v>
      </c>
      <c r="H20" s="69">
        <f>MAX('26'!H7:H18)</f>
        <v>2.9</v>
      </c>
      <c r="I20" s="69">
        <f>MAX('26'!I8:I18)</f>
        <v>0.5</v>
      </c>
      <c r="J20" s="69">
        <f>MAX('26'!J8:J18)</f>
        <v>0.5</v>
      </c>
      <c r="K20" s="69">
        <f>MAX('26'!K7:K18)</f>
        <v>7.3</v>
      </c>
      <c r="L20" s="69">
        <f>MAX('26'!L7:L18)</f>
        <v>6.8</v>
      </c>
      <c r="M20" s="69">
        <f>MAX('26'!M7:M18)</f>
        <v>6.8</v>
      </c>
      <c r="N20" s="69">
        <f>MAX('26'!N7:N18)</f>
        <v>6.5</v>
      </c>
      <c r="O20" s="70">
        <f>MAX('26'!O7:O18)</f>
        <v>3.7</v>
      </c>
      <c r="P20" s="70">
        <f>MAX('26'!P7:P18)</f>
        <v>1.3</v>
      </c>
      <c r="Q20" s="70">
        <f>MAX('26'!Q7:Q18)</f>
        <v>1.3</v>
      </c>
      <c r="R20" s="70">
        <f>MAX('26'!R7:R18)</f>
        <v>979</v>
      </c>
      <c r="S20" s="70">
        <f>MAX('26'!S7:S18)</f>
        <v>70.039913073414255</v>
      </c>
      <c r="T20" s="946"/>
      <c r="U20" s="946"/>
      <c r="X20" s="13">
        <v>0.625</v>
      </c>
      <c r="Y20" s="173">
        <v>2626</v>
      </c>
      <c r="Z20" s="183">
        <v>979</v>
      </c>
      <c r="AA20" s="15">
        <v>1</v>
      </c>
      <c r="AB20" s="58">
        <f>IF('26'!AA20=1,(('26'!Z20*'26'!$AS$6*'26'!$AT$6)/('26'!Y20*0.0036)),IF('26'!AA20=2,(('26'!Z20*'26'!$AS$7*'26'!$AT$7)/('26'!Y20*0.0036))))</f>
        <v>68.866357789625127</v>
      </c>
      <c r="AC20" s="58"/>
      <c r="AD20" s="18">
        <f>(('26'!AC20*'26'!$Q$10*1000000))/('26'!Y20*3600)</f>
        <v>0</v>
      </c>
      <c r="AE20" s="183"/>
      <c r="AF20" s="184">
        <f>('26'!AE20/24)*0.454</f>
        <v>0</v>
      </c>
      <c r="AG20" s="19"/>
      <c r="AH20" s="184">
        <f>('26'!AG20/24)*0.454</f>
        <v>0</v>
      </c>
      <c r="AI20" s="334">
        <v>5000</v>
      </c>
      <c r="AJ20" s="184">
        <f>('26'!AI20/24)*0.454</f>
        <v>94.583333333333343</v>
      </c>
      <c r="AK20" s="21">
        <v>1250</v>
      </c>
      <c r="AL20" s="185">
        <f>('26'!AK20/24)*0.454</f>
        <v>23.645833333333336</v>
      </c>
      <c r="AM20" s="21">
        <v>1250</v>
      </c>
      <c r="AN20" s="185">
        <f>('26'!AM20/24)*0.454</f>
        <v>23.645833333333336</v>
      </c>
      <c r="AO20" s="21"/>
      <c r="AP20" s="185">
        <f>('26'!AO20/24)*0.454</f>
        <v>0</v>
      </c>
    </row>
    <row r="21" spans="1:42" ht="19.5" customHeight="1">
      <c r="A21" s="10" t="s">
        <v>54</v>
      </c>
      <c r="B21" s="189">
        <f>MIN('26'!B7:B18)</f>
        <v>80</v>
      </c>
      <c r="C21" s="221">
        <f>MIN('26'!C7:C18)</f>
        <v>12.5</v>
      </c>
      <c r="D21" s="69">
        <f>MIN('26'!D7:D18)</f>
        <v>12.5</v>
      </c>
      <c r="E21" s="69">
        <f>MIN('26'!E7:E18)</f>
        <v>2.5</v>
      </c>
      <c r="F21" s="69">
        <f>MIN('26'!F7:F18)</f>
        <v>11</v>
      </c>
      <c r="G21" s="192">
        <f>MIN('26'!G7:G18)</f>
        <v>1.5</v>
      </c>
      <c r="H21" s="192">
        <f>MIN('26'!H7:H18)</f>
        <v>1.9</v>
      </c>
      <c r="I21" s="192">
        <f>MIN('26'!I8:I18)</f>
        <v>0.4</v>
      </c>
      <c r="J21" s="192">
        <f>MIN('26'!J8:J18)</f>
        <v>0.4</v>
      </c>
      <c r="K21" s="192">
        <f>MIN('26'!K7:K18)</f>
        <v>7.3</v>
      </c>
      <c r="L21" s="192">
        <f>MIN('26'!L7:L18)</f>
        <v>6.8</v>
      </c>
      <c r="M21" s="192">
        <f>MIN('26'!M7:M18)</f>
        <v>6.8</v>
      </c>
      <c r="N21" s="192">
        <f>MIN('26'!N7:N18)</f>
        <v>6.5</v>
      </c>
      <c r="O21" s="193">
        <f>MIN('26'!O7:O18)</f>
        <v>3.5</v>
      </c>
      <c r="P21" s="193">
        <f>MIN('26'!P7:P18)</f>
        <v>0.5</v>
      </c>
      <c r="Q21" s="193">
        <f>MIN('26'!Q7:Q18)</f>
        <v>0.3</v>
      </c>
      <c r="R21" s="193">
        <f>MIN('26'!R7:R18)</f>
        <v>979</v>
      </c>
      <c r="S21" s="193">
        <f>MIN('26'!S7:S18)</f>
        <v>68.216920239741825</v>
      </c>
      <c r="T21" s="946"/>
      <c r="U21" s="946"/>
      <c r="X21" s="13">
        <v>0.66666666666666696</v>
      </c>
      <c r="Y21" s="173">
        <v>2608</v>
      </c>
      <c r="Z21" s="183">
        <v>979</v>
      </c>
      <c r="AA21" s="15">
        <v>1</v>
      </c>
      <c r="AB21" s="58">
        <f>IF('26'!AA21=1,(('26'!Z21*'26'!$AS$6*'26'!$AT$6)/('26'!Y21*0.0036)),IF('26'!AA21=2,(('26'!Z21*'26'!$AS$7*'26'!$AT$7)/('26'!Y21*0.0036))))</f>
        <v>69.341662406271311</v>
      </c>
      <c r="AC21" s="58"/>
      <c r="AD21" s="18">
        <f>(('26'!AC21*'26'!$Q$10*1000000))/('26'!Y21*3600)</f>
        <v>0</v>
      </c>
      <c r="AE21" s="183"/>
      <c r="AF21" s="184">
        <f>('26'!AE21/24)*0.454</f>
        <v>0</v>
      </c>
      <c r="AG21" s="19"/>
      <c r="AH21" s="184">
        <f>('26'!AG21/24)*0.454</f>
        <v>0</v>
      </c>
      <c r="AI21" s="334">
        <v>5000</v>
      </c>
      <c r="AJ21" s="184">
        <f>('26'!AI21/24)*0.454</f>
        <v>94.583333333333343</v>
      </c>
      <c r="AK21" s="21">
        <v>1250</v>
      </c>
      <c r="AL21" s="185">
        <f>('26'!AK21/24)*0.454</f>
        <v>23.645833333333336</v>
      </c>
      <c r="AM21" s="21">
        <v>1250</v>
      </c>
      <c r="AN21" s="185">
        <f>('26'!AM21/24)*0.454</f>
        <v>23.645833333333336</v>
      </c>
      <c r="AO21" s="21"/>
      <c r="AP21" s="185">
        <f>('26'!AO21/24)*0.454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173">
        <v>2654</v>
      </c>
      <c r="Z22" s="183">
        <v>979</v>
      </c>
      <c r="AA22" s="15">
        <v>1</v>
      </c>
      <c r="AB22" s="58">
        <f>IF('26'!AA22=1,(('26'!Z22*'26'!$AS$6*'26'!$AT$6)/('26'!Y22*0.0036)),IF('26'!AA22=2,(('26'!Z22*'26'!$AS$7*'26'!$AT$7)/('26'!Y22*0.0036))))</f>
        <v>68.139809930503233</v>
      </c>
      <c r="AC22" s="58"/>
      <c r="AD22" s="18">
        <f>(('26'!AC22*'26'!$Q$10*1000000))/('26'!Y22*3600)</f>
        <v>0</v>
      </c>
      <c r="AE22" s="183"/>
      <c r="AF22" s="184">
        <f>('26'!AE22/24)*0.454</f>
        <v>0</v>
      </c>
      <c r="AG22" s="19"/>
      <c r="AH22" s="184">
        <f>('26'!AG22/24)*0.454</f>
        <v>0</v>
      </c>
      <c r="AI22" s="334">
        <v>5000</v>
      </c>
      <c r="AJ22" s="184">
        <f>('26'!AI22/24)*0.454</f>
        <v>94.583333333333343</v>
      </c>
      <c r="AK22" s="21">
        <v>1250</v>
      </c>
      <c r="AL22" s="185">
        <f>('26'!AK22/24)*0.454</f>
        <v>23.645833333333336</v>
      </c>
      <c r="AM22" s="21">
        <v>1250</v>
      </c>
      <c r="AN22" s="185">
        <f>('26'!AM22/24)*0.454</f>
        <v>23.645833333333336</v>
      </c>
      <c r="AO22" s="21"/>
      <c r="AP22" s="185">
        <f>('26'!AO22/24)*0.454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173">
        <v>2641</v>
      </c>
      <c r="Z23" s="183">
        <v>979</v>
      </c>
      <c r="AA23" s="15">
        <v>1</v>
      </c>
      <c r="AB23" s="58">
        <f>IF('26'!AA23=1,(('26'!Z23*'26'!$AS$6*'26'!$AT$6)/('26'!Y23*0.0036)),IF('26'!AA23=2,(('26'!Z23*'26'!$AS$7*'26'!$AT$7)/('26'!Y23*0.0036))))</f>
        <v>68.475219824140694</v>
      </c>
      <c r="AC23" s="58"/>
      <c r="AD23" s="18">
        <f>(('26'!AC23*'26'!$Q$10*1000000))/('26'!Y23*3600)</f>
        <v>0</v>
      </c>
      <c r="AE23" s="183"/>
      <c r="AF23" s="184">
        <f>('26'!AE23/24)*0.454</f>
        <v>0</v>
      </c>
      <c r="AG23" s="19"/>
      <c r="AH23" s="184">
        <f>('26'!AG23/24)*0.454</f>
        <v>0</v>
      </c>
      <c r="AI23" s="334">
        <v>5400</v>
      </c>
      <c r="AJ23" s="184">
        <f>('26'!AI23/24)*0.454</f>
        <v>102.15</v>
      </c>
      <c r="AK23" s="21"/>
      <c r="AL23" s="185">
        <f>('26'!AK23/24)*0.454</f>
        <v>0</v>
      </c>
      <c r="AM23" s="21"/>
      <c r="AN23" s="185">
        <f>('26'!AM23/24)*0.454</f>
        <v>0</v>
      </c>
      <c r="AO23" s="21"/>
      <c r="AP23" s="185">
        <f>('26'!AO23/24)*0.454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173">
        <v>2571</v>
      </c>
      <c r="Z24" s="183">
        <v>979</v>
      </c>
      <c r="AA24" s="15">
        <v>1</v>
      </c>
      <c r="AB24" s="16">
        <f>IF('26'!AA24=1,(('26'!Z24*'26'!$AS$6*'26'!$AT$6)/('26'!Y24*0.0036)),IF('26'!AA24=2,(('26'!Z24*'26'!$AS$7*'26'!$AT$7)/('26'!Y24*0.0036))))</f>
        <v>70.339578201305173</v>
      </c>
      <c r="AC24" s="58"/>
      <c r="AD24" s="18">
        <f>(('26'!AC24*'26'!$Q$10*1000000))/('26'!Y24*3600)</f>
        <v>0</v>
      </c>
      <c r="AE24" s="183"/>
      <c r="AF24" s="195">
        <f>('26'!AE24/24)*0.454</f>
        <v>0</v>
      </c>
      <c r="AG24" s="173"/>
      <c r="AH24" s="195">
        <f>('26'!AG24/24)*0.454</f>
        <v>0</v>
      </c>
      <c r="AI24" s="334">
        <v>5400</v>
      </c>
      <c r="AJ24" s="195">
        <f>('26'!AI24/24)*0.454</f>
        <v>102.15</v>
      </c>
      <c r="AK24" s="21"/>
      <c r="AL24" s="196">
        <f>('26'!AK24/24)*0.454</f>
        <v>0</v>
      </c>
      <c r="AM24" s="197"/>
      <c r="AN24" s="196">
        <f>('26'!AM24/24)*0.454</f>
        <v>0</v>
      </c>
      <c r="AO24" s="21"/>
      <c r="AP24" s="196">
        <f>('26'!AO24/24)*0.454</f>
        <v>0</v>
      </c>
    </row>
    <row r="25" spans="1:42" ht="19.5" customHeight="1">
      <c r="A25" s="64">
        <v>0.41666666666666702</v>
      </c>
      <c r="B25" s="261"/>
      <c r="C25" s="261">
        <v>0.48</v>
      </c>
      <c r="D25" s="261">
        <v>0.49</v>
      </c>
      <c r="E25" s="199">
        <v>0.43</v>
      </c>
      <c r="F25" s="199">
        <v>0.46</v>
      </c>
      <c r="G25" s="199">
        <v>0.51</v>
      </c>
      <c r="H25" s="199">
        <v>0.48</v>
      </c>
      <c r="I25" s="199">
        <v>0.44</v>
      </c>
      <c r="J25" s="199">
        <v>0.52</v>
      </c>
      <c r="K25" s="199">
        <v>0.42</v>
      </c>
      <c r="L25" s="199">
        <v>0.38</v>
      </c>
      <c r="M25" s="199">
        <v>0.45</v>
      </c>
      <c r="N25" s="199">
        <v>0.43</v>
      </c>
      <c r="O25" s="199">
        <v>0.41</v>
      </c>
      <c r="P25" s="199">
        <v>0.34</v>
      </c>
      <c r="Q25" s="199"/>
      <c r="R25" s="65" t="e">
        <f>#DIV/0!</f>
        <v>#DIV/0!</v>
      </c>
      <c r="S25" s="66"/>
      <c r="T25" s="1042" t="s">
        <v>0</v>
      </c>
      <c r="U25" s="1053">
        <f>ESCALA!$A$28</f>
        <v>43916</v>
      </c>
      <c r="X25" s="13">
        <v>0.83333333333333304</v>
      </c>
      <c r="Y25" s="173">
        <v>2588</v>
      </c>
      <c r="Z25" s="183">
        <v>979</v>
      </c>
      <c r="AA25" s="15">
        <v>1</v>
      </c>
      <c r="AB25" s="58">
        <f>IF('26'!AA25=1,(('26'!Z25*'26'!$AS$6*'26'!$AT$6)/('26'!Y25*0.0036)),IF('26'!AA25=2,(('26'!Z25*'26'!$AS$7*'26'!$AT$7)/('26'!Y25*0.0036))))</f>
        <v>69.8775330585609</v>
      </c>
      <c r="AC25" s="58"/>
      <c r="AD25" s="18">
        <f>(('26'!AC25*'26'!$Q$10*1000000))/('26'!Y25*3600)</f>
        <v>0</v>
      </c>
      <c r="AE25" s="183"/>
      <c r="AF25" s="184">
        <f>('26'!AE25/24)*0.454</f>
        <v>0</v>
      </c>
      <c r="AG25" s="19"/>
      <c r="AH25" s="184">
        <f>('26'!AG25/24)*0.454</f>
        <v>0</v>
      </c>
      <c r="AI25" s="334">
        <v>5400</v>
      </c>
      <c r="AJ25" s="184">
        <f>('26'!AI25/24)*0.454</f>
        <v>102.15</v>
      </c>
      <c r="AK25" s="21"/>
      <c r="AL25" s="185">
        <f>('26'!AK25/24)*0.454</f>
        <v>0</v>
      </c>
      <c r="AM25" s="21"/>
      <c r="AN25" s="185">
        <f>('26'!AM25/24)*0.454</f>
        <v>0</v>
      </c>
      <c r="AO25" s="21"/>
      <c r="AP25" s="185">
        <f>('26'!AO25/24)*0.454</f>
        <v>0</v>
      </c>
    </row>
    <row r="26" spans="1:42" ht="19.5" customHeight="1">
      <c r="A26" s="64">
        <v>0.66666666666666696</v>
      </c>
      <c r="B26" s="261"/>
      <c r="C26" s="261"/>
      <c r="D26" s="261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65" t="e">
        <f>#DIV/0!</f>
        <v>#DIV/0!</v>
      </c>
      <c r="S26" s="67"/>
      <c r="T26" s="1042"/>
      <c r="U26" s="1053"/>
      <c r="X26" s="13">
        <v>0.875</v>
      </c>
      <c r="Y26" s="173">
        <v>2561</v>
      </c>
      <c r="Z26" s="183">
        <v>979</v>
      </c>
      <c r="AA26" s="15">
        <v>1</v>
      </c>
      <c r="AB26" s="58">
        <f>IF('26'!AA26=1,(('26'!Z26*'26'!$AS$6*'26'!$AT$6)/('26'!Y26*0.0036)),IF('26'!AA26=2,(('26'!Z26*'26'!$AS$7*'26'!$AT$7)/('26'!Y26*0.0036))))</f>
        <v>70.614234890884646</v>
      </c>
      <c r="AC26" s="58"/>
      <c r="AD26" s="18">
        <f>(('26'!AC26*'26'!$Q$10*1000000))/('26'!Y26*3600)</f>
        <v>0</v>
      </c>
      <c r="AE26" s="183"/>
      <c r="AF26" s="184">
        <f>('26'!AE26/24)*0.454</f>
        <v>0</v>
      </c>
      <c r="AG26" s="19"/>
      <c r="AH26" s="184">
        <f>('26'!AG26/24)*0.454</f>
        <v>0</v>
      </c>
      <c r="AI26" s="334">
        <v>5400</v>
      </c>
      <c r="AJ26" s="184">
        <f>('26'!AI26/24)*0.454</f>
        <v>102.15</v>
      </c>
      <c r="AK26" s="21"/>
      <c r="AL26" s="185">
        <f>('26'!AK26/24)*0.454</f>
        <v>0</v>
      </c>
      <c r="AM26" s="21"/>
      <c r="AN26" s="185">
        <f>('26'!AM26/24)*0.454</f>
        <v>0</v>
      </c>
      <c r="AO26" s="21"/>
      <c r="AP26" s="185">
        <f>('26'!AO26/24)*0.454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173">
        <v>2582</v>
      </c>
      <c r="Z27" s="183">
        <v>979</v>
      </c>
      <c r="AA27" s="15">
        <v>1</v>
      </c>
      <c r="AB27" s="58">
        <f>IF('26'!AA27=1,(('26'!Z27*'26'!$AS$6*'26'!$AT$6)/('26'!Y27*0.0036)),IF('26'!AA27=2,(('26'!Z27*'26'!$AS$7*'26'!$AT$7)/('26'!Y27*0.0036))))</f>
        <v>70.039913073414255</v>
      </c>
      <c r="AC27" s="58"/>
      <c r="AD27" s="18">
        <f>(('26'!AC27*'26'!$Q$10*1000000))/('26'!Y27*3600)</f>
        <v>0</v>
      </c>
      <c r="AE27" s="183"/>
      <c r="AF27" s="184">
        <f>('26'!AE27/24)*0.454</f>
        <v>0</v>
      </c>
      <c r="AG27" s="19"/>
      <c r="AH27" s="184">
        <f>('26'!AG27/24)*0.454</f>
        <v>0</v>
      </c>
      <c r="AI27" s="334">
        <v>5400</v>
      </c>
      <c r="AJ27" s="184">
        <f>('26'!AI27/24)*0.454</f>
        <v>102.15</v>
      </c>
      <c r="AK27" s="21"/>
      <c r="AL27" s="185">
        <f>('26'!AK27/24)*0.454</f>
        <v>0</v>
      </c>
      <c r="AM27" s="21"/>
      <c r="AN27" s="185">
        <f>('26'!AM27/24)*0.454</f>
        <v>0</v>
      </c>
      <c r="AO27" s="21"/>
      <c r="AP27" s="185">
        <f>('26'!AO27/24)*0.454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3">
        <v>2574</v>
      </c>
      <c r="Z28" s="183">
        <v>979</v>
      </c>
      <c r="AA28" s="15">
        <v>1</v>
      </c>
      <c r="AB28" s="58">
        <f>IF('26'!AA28=1,(('26'!Z28*'26'!$AS$6*'26'!$AT$6)/('26'!Y28*0.0036)),IF('26'!AA28=2,(('26'!Z28*'26'!$AS$7*'26'!$AT$7)/('26'!Y28*0.0036))))</f>
        <v>70.257597340930687</v>
      </c>
      <c r="AC28" s="58"/>
      <c r="AD28" s="18">
        <f>(('26'!AC28*'26'!$Q$10*1000000))/('26'!Y28*3600)</f>
        <v>0</v>
      </c>
      <c r="AE28" s="183"/>
      <c r="AF28" s="184">
        <f>('26'!AE28/24)*0.454</f>
        <v>0</v>
      </c>
      <c r="AG28" s="19"/>
      <c r="AH28" s="184">
        <f>('26'!AG28/24)*0.454</f>
        <v>0</v>
      </c>
      <c r="AI28" s="334">
        <v>5400</v>
      </c>
      <c r="AJ28" s="184">
        <f>('26'!AI28/24)*0.454</f>
        <v>102.15</v>
      </c>
      <c r="AK28" s="21"/>
      <c r="AL28" s="185">
        <f>('26'!AK28/24)*0.454</f>
        <v>0</v>
      </c>
      <c r="AM28" s="21"/>
      <c r="AN28" s="185">
        <f>('26'!AM28/24)*0.454</f>
        <v>0</v>
      </c>
      <c r="AO28" s="21"/>
      <c r="AP28" s="185">
        <f>('26'!AO28/24)*0.454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3">
        <v>2562</v>
      </c>
      <c r="Z29" s="183">
        <v>979</v>
      </c>
      <c r="AA29" s="15">
        <v>1</v>
      </c>
      <c r="AB29" s="58">
        <f>IF('26'!AA29=1,(('26'!Z29*'26'!$AS$6*'26'!$AT$6)/('26'!Y29*0.0036)),IF('26'!AA29=2,(('26'!Z29*'26'!$AS$7*'26'!$AT$7)/('26'!Y29*0.0036))))</f>
        <v>70.586672738312089</v>
      </c>
      <c r="AC29" s="58"/>
      <c r="AD29" s="18">
        <f>(('26'!AC29*'26'!$Q$10*1000000))/('26'!Y29*3600)</f>
        <v>0</v>
      </c>
      <c r="AE29" s="183"/>
      <c r="AF29" s="184">
        <f>('26'!AE29/24)*0.454</f>
        <v>0</v>
      </c>
      <c r="AG29" s="19"/>
      <c r="AH29" s="184">
        <f>('26'!AG29/24)*0.454</f>
        <v>0</v>
      </c>
      <c r="AI29" s="334">
        <v>5400</v>
      </c>
      <c r="AJ29" s="184">
        <f>('26'!AI29/24)*0.454</f>
        <v>102.15</v>
      </c>
      <c r="AK29" s="21"/>
      <c r="AL29" s="185">
        <f>('26'!AK29/24)*0.454</f>
        <v>0</v>
      </c>
      <c r="AM29" s="21"/>
      <c r="AN29" s="185">
        <f>('26'!AM29/24)*0.454</f>
        <v>0</v>
      </c>
      <c r="AO29" s="21"/>
      <c r="AP29" s="185">
        <f>('26'!AO29/24)*0.454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SUM('26'!Y6:Y29)*3.6</f>
        <v>225482.4</v>
      </c>
      <c r="Z30" s="82">
        <f>SUM('26'!Z6:Z29)</f>
        <v>23496</v>
      </c>
      <c r="AA30" s="78"/>
      <c r="AB30" s="79"/>
      <c r="AC30" s="78"/>
      <c r="AD30" s="79"/>
      <c r="AE30" s="34"/>
      <c r="AF30" s="184">
        <f>SUM('26'!AF6:AF29)</f>
        <v>0</v>
      </c>
      <c r="AG30" s="34"/>
      <c r="AH30" s="184">
        <f>SUM('26'!AH6:AH29)</f>
        <v>0</v>
      </c>
      <c r="AI30" s="34"/>
      <c r="AJ30" s="184">
        <f>SUM('26'!AJ6:AJ29)</f>
        <v>2375.9333333333334</v>
      </c>
      <c r="AK30" s="80"/>
      <c r="AL30" s="185">
        <f>SUM('26'!AL6:AL29)</f>
        <v>236.4583333333334</v>
      </c>
      <c r="AM30" s="80"/>
      <c r="AN30" s="185">
        <f>SUM('26'!AN6:AN29)</f>
        <v>236.4583333333334</v>
      </c>
      <c r="AO30" s="80"/>
      <c r="AP30" s="185">
        <f>SUM('26'!AP6:AP29)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SUMIF('26'!AA6:AA29,"=1",'26'!Z6:Z29)</f>
        <v>23496</v>
      </c>
      <c r="AA32" s="82">
        <f>'26'!Z32*'26'!AS6</f>
        <v>31249.68</v>
      </c>
      <c r="AB32" s="83">
        <f>SUMIF('26'!$AA$6:$AA$29,"=1",'26'!$AB$6:$AB$29)/COUNTIF('26'!$AA$6:$AA$29,"=1")</f>
        <v>69.30497700204036</v>
      </c>
      <c r="AC32" s="84">
        <f>SUMIF('26'!AA6:AA29,"=1",'26'!AC6:AC29)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SUMIF('26'!AA6:AA29,"=2",'26'!Z6:Z29)</f>
        <v>0</v>
      </c>
      <c r="AA33" s="82">
        <f>'26'!Z33*'26'!AS7</f>
        <v>0</v>
      </c>
      <c r="AB33" s="83" t="e">
        <f>SUMIF('26'!$AA$6:$AA$29,"=2",'26'!$AB$6:$AB$29)/COUNTIF('26'!$AA$6:$AA$29,"=2")</f>
        <v>#DIV/0!</v>
      </c>
      <c r="AC33" s="89">
        <f>SUMIF('26'!AA6:AA29,"=2",'26'!AC6:AC29)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AVERAGE('26'!Y6:Y29)</f>
        <v>2609.75</v>
      </c>
      <c r="Z34" s="96">
        <f>AVERAGE('26'!Z6:Z29)</f>
        <v>979</v>
      </c>
      <c r="AA34" s="97"/>
      <c r="AB34" s="97"/>
      <c r="AC34" s="98">
        <f>SUM('26'!AC6:AC29)/COUNTIF('26'!AC6:AC29,"&lt;&gt;0")</f>
        <v>0</v>
      </c>
      <c r="AD34" s="99" t="e">
        <f>SUM('26'!AD6:AD29)/COUNTIF('26'!AD6:AD29,"&lt;&gt;0")</f>
        <v>#DIV/0!</v>
      </c>
      <c r="AE34" s="78"/>
      <c r="AF34" s="98">
        <f>AVERAGE('26'!AF6:AF29)</f>
        <v>0</v>
      </c>
      <c r="AG34" s="98"/>
      <c r="AH34" s="98">
        <f>AVERAGE('26'!AH6:AH29)</f>
        <v>0</v>
      </c>
      <c r="AI34" s="98"/>
      <c r="AJ34" s="98">
        <f>'26'!AJ30/24</f>
        <v>98.99722222222222</v>
      </c>
      <c r="AK34" s="98"/>
      <c r="AL34" s="98">
        <f>AVERAGE('26'!AL6:AL29)</f>
        <v>9.8524305555555589</v>
      </c>
      <c r="AM34" s="98"/>
      <c r="AN34" s="98">
        <f>AVERAGE('26'!AN6:AN29)</f>
        <v>9.8524305555555589</v>
      </c>
      <c r="AO34" s="98"/>
      <c r="AP34" s="98">
        <f>AVERAGE('26'!AP6:AP29)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96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96"/>
      <c r="X36" s="105" t="s">
        <v>73</v>
      </c>
      <c r="Y36" s="106">
        <v>0</v>
      </c>
      <c r="Z36" s="107"/>
      <c r="AA36" s="108" t="s">
        <v>74</v>
      </c>
      <c r="AB36" s="106">
        <v>3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90.8</v>
      </c>
      <c r="D37" s="186">
        <v>56.5</v>
      </c>
      <c r="E37" s="186">
        <v>50.4</v>
      </c>
      <c r="F37" s="186">
        <v>1.4</v>
      </c>
      <c r="G37" s="186">
        <v>0.1</v>
      </c>
      <c r="H37" s="186">
        <v>0.1</v>
      </c>
      <c r="I37" s="183">
        <v>0.2</v>
      </c>
      <c r="J37" s="183">
        <v>0.15</v>
      </c>
      <c r="K37" s="183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36">
        <f>'26'!V12</f>
        <v>0</v>
      </c>
      <c r="X37" s="1062" t="s">
        <v>75</v>
      </c>
      <c r="Y37" s="1062"/>
      <c r="Z37" s="110">
        <f>COUNTA('26'!Z6:Z29)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SUM('26'!AF30+'26'!AH30)</f>
        <v>0</v>
      </c>
      <c r="AL38" s="210" t="s">
        <v>78</v>
      </c>
      <c r="AM38" s="212">
        <f>SUM('26'!AL30+'26'!AN30)</f>
        <v>472.9166666666668</v>
      </c>
      <c r="AO38" s="210" t="s">
        <v>78</v>
      </c>
      <c r="AP38" s="211">
        <f>'26'!AJ30</f>
        <v>2375.9333333333334</v>
      </c>
      <c r="AQ38" s="210" t="s">
        <v>78</v>
      </c>
      <c r="AR38" s="212">
        <f>'26'!AP30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/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('26'!AK38/'26'!Y30)*1000</f>
        <v>0</v>
      </c>
      <c r="AL39" s="215" t="s">
        <v>86</v>
      </c>
      <c r="AM39" s="216">
        <f>('26'!AM38/'26'!Y30)*1000</f>
        <v>2.0973551224692781</v>
      </c>
      <c r="AO39" s="213" t="s">
        <v>86</v>
      </c>
      <c r="AP39" s="214">
        <f>('26'!AP38/'26'!Y30)*1000</f>
        <v>10.537112135285652</v>
      </c>
      <c r="AQ39" s="215" t="s">
        <v>86</v>
      </c>
      <c r="AR39" s="216">
        <f>('26'!AR38/'26'!Y30)*1000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SUM('26'!AK38,'26'!AM38)</f>
        <v>472.9166666666668</v>
      </c>
      <c r="AM40" s="975"/>
      <c r="AO40" s="976" t="s">
        <v>90</v>
      </c>
      <c r="AP40" s="976"/>
      <c r="AQ40" s="977">
        <f>SUM('26'!AP38,'26'!AR38)</f>
        <v>2375.9333333333334</v>
      </c>
      <c r="AR40" s="977"/>
    </row>
    <row r="41" spans="1:44" ht="16.5" customHeight="1">
      <c r="A41" s="133">
        <f>COUNTA('26'!E7:E18)</f>
        <v>12</v>
      </c>
      <c r="B41" s="134">
        <f>COUNTA('26'!I7:I18)</f>
        <v>12</v>
      </c>
      <c r="C41" s="978">
        <f>COUNTA('26'!J7:J18)</f>
        <v>12</v>
      </c>
      <c r="D41" s="978">
        <f>COUNTA('26'!K7:K18)</f>
        <v>12</v>
      </c>
      <c r="E41" s="978">
        <f>COUNTIF('26'!E7:E18,"&gt;15")</f>
        <v>0</v>
      </c>
      <c r="F41" s="978"/>
      <c r="G41" s="978">
        <f>COUNTIF('26'!J8:J18,"&gt;1")</f>
        <v>0</v>
      </c>
      <c r="H41" s="978"/>
      <c r="I41" s="135"/>
      <c r="J41" s="978">
        <f>'26'!A41-'26'!E41</f>
        <v>12</v>
      </c>
      <c r="K41" s="978"/>
      <c r="L41" s="978">
        <f>'26'!C41-'26'!G41</f>
        <v>12</v>
      </c>
      <c r="M41" s="978"/>
      <c r="N41" s="135"/>
      <c r="O41" s="979">
        <f>COUNTIF('26'!J7:J18,"&lt;=0,5")</f>
        <v>12</v>
      </c>
      <c r="P41" s="979"/>
      <c r="Q41" s="979"/>
      <c r="R41" s="969"/>
      <c r="S41" s="980">
        <f>COUNTIF('26'!J7:J18,"&lt;=1,0")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SUM(('26'!AK38+'26'!AM38)/'26'!Y30)*1000</f>
        <v>2.0973551224692781</v>
      </c>
      <c r="AM41" s="981"/>
      <c r="AO41" s="976" t="s">
        <v>91</v>
      </c>
      <c r="AP41" s="976"/>
      <c r="AQ41" s="981">
        <f>SUM(('26'!AP38+'26'!AR38)/'26'!Y30)*1000</f>
        <v>10.537112135285652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>
        <v>142</v>
      </c>
      <c r="Z44" s="144" t="s">
        <v>101</v>
      </c>
      <c r="AA44" s="145"/>
      <c r="AB44" s="144" t="s">
        <v>101</v>
      </c>
      <c r="AC44" s="145">
        <v>88</v>
      </c>
      <c r="AD44" s="988"/>
      <c r="AE44" s="988"/>
      <c r="AF44" s="989" t="s">
        <v>102</v>
      </c>
      <c r="AG44" s="1002">
        <f>SUM('26'!Y45,'26'!AA45,'26'!AC45,'26'!AE45)</f>
        <v>216530.2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COUNTIF('26'!I7:I18,"&lt;=5,0")</f>
        <v>12</v>
      </c>
      <c r="I45" s="992"/>
      <c r="J45" s="992"/>
      <c r="K45" s="135"/>
      <c r="L45" s="974">
        <f>COUNTA('26'!L37)</f>
        <v>1</v>
      </c>
      <c r="M45" s="974"/>
      <c r="O45" s="146"/>
      <c r="P45" s="147"/>
      <c r="Q45" s="993">
        <f>'26'!S41-'26'!O41</f>
        <v>0</v>
      </c>
      <c r="R45" s="993"/>
      <c r="S45" s="993"/>
      <c r="T45" s="148"/>
      <c r="X45" s="149" t="s">
        <v>104</v>
      </c>
      <c r="Y45" s="150">
        <f>'26'!Y44*275.3</f>
        <v>39092.6</v>
      </c>
      <c r="Z45" s="149" t="s">
        <v>104</v>
      </c>
      <c r="AA45" s="150">
        <f>262.4*'26'!AA44</f>
        <v>0</v>
      </c>
      <c r="AB45" s="149" t="s">
        <v>104</v>
      </c>
      <c r="AC45" s="150">
        <f>'26'!AC44*277.7</f>
        <v>24437.599999999999</v>
      </c>
      <c r="AD45" s="149" t="s">
        <v>104</v>
      </c>
      <c r="AE45" s="151">
        <v>153000</v>
      </c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79"/>
      <c r="AP45" s="1079"/>
      <c r="AQ45" s="142"/>
      <c r="AR45" s="143"/>
    </row>
    <row r="46" spans="1:44" ht="15.75" customHeight="1">
      <c r="F46" s="152"/>
      <c r="X46" s="153" t="s">
        <v>105</v>
      </c>
      <c r="Y46" s="154">
        <f>'26'!AS6</f>
        <v>1.33</v>
      </c>
      <c r="Z46" s="153" t="s">
        <v>105</v>
      </c>
      <c r="AA46" s="155">
        <f>'26'!Y46</f>
        <v>1.33</v>
      </c>
      <c r="AB46" s="153" t="s">
        <v>105</v>
      </c>
      <c r="AC46" s="155">
        <f>'26'!Y46</f>
        <v>1.33</v>
      </c>
      <c r="AD46" s="153" t="s">
        <v>105</v>
      </c>
      <c r="AE46" s="156">
        <f>'26'!Y46</f>
        <v>1.33</v>
      </c>
      <c r="AF46" s="995" t="s">
        <v>106</v>
      </c>
      <c r="AG46" s="996">
        <f>SUM('26'!Y47,'26'!AA47,'26'!AC47,'26'!AE47)</f>
        <v>287985.16599999997</v>
      </c>
      <c r="AI46" s="144" t="s">
        <v>101</v>
      </c>
      <c r="AJ46" s="145">
        <v>49</v>
      </c>
      <c r="AK46" s="144" t="s">
        <v>101</v>
      </c>
      <c r="AL46" s="145"/>
      <c r="AM46" s="144" t="s">
        <v>101</v>
      </c>
      <c r="AN46" s="145">
        <v>33</v>
      </c>
      <c r="AO46" s="1079"/>
      <c r="AP46" s="1079"/>
      <c r="AQ46" s="989" t="s">
        <v>102</v>
      </c>
      <c r="AR46" s="990">
        <f>SUM('10'!AJ47,'10'!AL47,'10'!AN47,'10'!AP47)</f>
        <v>0</v>
      </c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'26'!Y45*'26'!Y46</f>
        <v>51993.158000000003</v>
      </c>
      <c r="Z47" s="149" t="s">
        <v>108</v>
      </c>
      <c r="AA47" s="150">
        <f>'26'!AA45*'26'!AA46</f>
        <v>0</v>
      </c>
      <c r="AB47" s="149" t="s">
        <v>108</v>
      </c>
      <c r="AC47" s="150">
        <f>'26'!AC45*'26'!AC46</f>
        <v>32502.007999999998</v>
      </c>
      <c r="AD47" s="149" t="s">
        <v>108</v>
      </c>
      <c r="AE47" s="150">
        <f>'26'!AE45*'26'!AE46</f>
        <v>203490</v>
      </c>
      <c r="AF47" s="995"/>
      <c r="AG47" s="996"/>
      <c r="AI47" s="149" t="s">
        <v>104</v>
      </c>
      <c r="AJ47" s="150">
        <f>AJ46*275.3</f>
        <v>13489.7</v>
      </c>
      <c r="AK47" s="149" t="s">
        <v>104</v>
      </c>
      <c r="AL47" s="150">
        <f>262.4*'10'!AL46</f>
        <v>0</v>
      </c>
      <c r="AM47" s="149" t="s">
        <v>104</v>
      </c>
      <c r="AN47" s="150">
        <f>AN46*277.7</f>
        <v>9164.1</v>
      </c>
      <c r="AO47" s="1079"/>
      <c r="AP47" s="1079"/>
      <c r="AQ47" s="989"/>
      <c r="AR47" s="990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Y46</f>
        <v>1.33</v>
      </c>
      <c r="AK48" s="160" t="s">
        <v>105</v>
      </c>
      <c r="AL48" s="154">
        <f>'10'!AJ48</f>
        <v>1.33</v>
      </c>
      <c r="AM48" s="160" t="s">
        <v>105</v>
      </c>
      <c r="AN48" s="154">
        <f>AJ48</f>
        <v>1.33</v>
      </c>
      <c r="AO48" s="1079"/>
      <c r="AP48" s="1079"/>
      <c r="AQ48" s="995" t="s">
        <v>106</v>
      </c>
      <c r="AR48" s="996">
        <f>SUM('10'!AJ49,'10'!AL49,'10'!AN49,'10'!AP49)</f>
        <v>0</v>
      </c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AJ47*AJ48</f>
        <v>17941.301000000003</v>
      </c>
      <c r="AK49" s="149" t="s">
        <v>108</v>
      </c>
      <c r="AL49" s="150">
        <f>'10'!AL47*'10'!AL48</f>
        <v>0</v>
      </c>
      <c r="AM49" s="149" t="s">
        <v>108</v>
      </c>
      <c r="AN49" s="150">
        <f>AN47*AN48</f>
        <v>12188.253000000001</v>
      </c>
      <c r="AO49" s="1079"/>
      <c r="AP49" s="1079"/>
      <c r="AQ49" s="995"/>
      <c r="AR49" s="99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COUNTA('26'!O7:O18)</f>
        <v>12</v>
      </c>
      <c r="P51" s="974">
        <f>COUNTA('26'!W17:W28)</f>
        <v>0</v>
      </c>
      <c r="R51" s="992">
        <f>COUNTIF('26'!O7:O18,"&gt;=0,5")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SUM('26'!Y53,'26'!AA53,'26'!AC53,'26'!AE53)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79"/>
      <c r="AP52" s="1079"/>
      <c r="AQ52" s="313"/>
      <c r="AR52" s="31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'26'!Y52*275.3</f>
        <v>0</v>
      </c>
      <c r="Z53" s="149" t="s">
        <v>104</v>
      </c>
      <c r="AA53" s="150">
        <f>262.4*'26'!AA52</f>
        <v>0</v>
      </c>
      <c r="AB53" s="149" t="s">
        <v>104</v>
      </c>
      <c r="AC53" s="167">
        <f>'26'!AC52*277.7</f>
        <v>0</v>
      </c>
      <c r="AD53" s="149" t="s">
        <v>104</v>
      </c>
      <c r="AE53" s="230"/>
      <c r="AF53" s="989"/>
      <c r="AG53" s="1002"/>
      <c r="AI53" s="144" t="s">
        <v>101</v>
      </c>
      <c r="AJ53" s="166"/>
      <c r="AK53" s="144" t="s">
        <v>101</v>
      </c>
      <c r="AL53" s="164"/>
      <c r="AM53" s="144" t="s">
        <v>101</v>
      </c>
      <c r="AN53" s="164"/>
      <c r="AO53" s="1079"/>
      <c r="AP53" s="1079"/>
      <c r="AQ53" s="989" t="s">
        <v>102</v>
      </c>
      <c r="AR53" s="1002">
        <f>'10'!AJ54+'10'!AL54+'10'!AN54+'10'!AP54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'26'!AS7</f>
        <v>1.377</v>
      </c>
      <c r="Z54" s="153" t="s">
        <v>105</v>
      </c>
      <c r="AA54" s="155">
        <f>'26'!Y54</f>
        <v>1.377</v>
      </c>
      <c r="AB54" s="153" t="s">
        <v>105</v>
      </c>
      <c r="AC54" s="155">
        <f>'26'!Y54</f>
        <v>1.377</v>
      </c>
      <c r="AD54" s="153" t="s">
        <v>105</v>
      </c>
      <c r="AE54" s="156">
        <f>'26'!Y54</f>
        <v>1.377</v>
      </c>
      <c r="AF54" s="995" t="s">
        <v>106</v>
      </c>
      <c r="AG54" s="996">
        <f>SUM('26'!Y55,'26'!AA55,'26'!AC55,'26'!AE55)</f>
        <v>0</v>
      </c>
      <c r="AI54" s="149" t="s">
        <v>104</v>
      </c>
      <c r="AJ54" s="150">
        <f>AJ53*275.3</f>
        <v>0</v>
      </c>
      <c r="AK54" s="149" t="s">
        <v>104</v>
      </c>
      <c r="AL54" s="150">
        <f>262.4*AL53</f>
        <v>0</v>
      </c>
      <c r="AM54" s="149" t="s">
        <v>104</v>
      </c>
      <c r="AN54" s="167">
        <f>AN53*277.7</f>
        <v>0</v>
      </c>
      <c r="AO54" s="1079"/>
      <c r="AP54" s="1079"/>
      <c r="AQ54" s="989"/>
      <c r="AR54" s="1002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'26'!Y53*'26'!Y54</f>
        <v>0</v>
      </c>
      <c r="Z55" s="149" t="s">
        <v>108</v>
      </c>
      <c r="AA55" s="150">
        <f>'26'!AA53*'26'!AA54</f>
        <v>0</v>
      </c>
      <c r="AB55" s="149" t="s">
        <v>108</v>
      </c>
      <c r="AC55" s="150">
        <f>'26'!AC53*'26'!AC54</f>
        <v>0</v>
      </c>
      <c r="AD55" s="149" t="s">
        <v>108</v>
      </c>
      <c r="AE55" s="150">
        <f>'26'!AE53*'26'!AE54</f>
        <v>0</v>
      </c>
      <c r="AF55" s="995"/>
      <c r="AG55" s="996"/>
      <c r="AI55" s="153" t="s">
        <v>105</v>
      </c>
      <c r="AJ55" s="154">
        <f>Y54</f>
        <v>1.377</v>
      </c>
      <c r="AK55" s="153" t="s">
        <v>105</v>
      </c>
      <c r="AL55" s="154">
        <f>AJ55</f>
        <v>1.377</v>
      </c>
      <c r="AM55" s="153" t="s">
        <v>105</v>
      </c>
      <c r="AN55" s="154">
        <f>AJ55</f>
        <v>1.377</v>
      </c>
      <c r="AO55" s="1079"/>
      <c r="AP55" s="1079"/>
      <c r="AQ55" s="995" t="s">
        <v>106</v>
      </c>
      <c r="AR55" s="996">
        <f>SUM('10'!AJ56,'10'!AL56,'10'!AN56,'10'!AP56)</f>
        <v>0</v>
      </c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AJ54*AJ55</f>
        <v>0</v>
      </c>
      <c r="AK56" s="149" t="s">
        <v>108</v>
      </c>
      <c r="AL56" s="150">
        <f>AL54*AL55</f>
        <v>0</v>
      </c>
      <c r="AM56" s="149" t="s">
        <v>108</v>
      </c>
      <c r="AN56" s="150">
        <f>AN54*AN55</f>
        <v>0</v>
      </c>
      <c r="AO56" s="1079"/>
      <c r="AP56" s="1079"/>
      <c r="AQ56" s="995"/>
      <c r="AR56" s="996"/>
    </row>
    <row r="57" spans="15:44" ht="15.75" customHeight="1">
      <c r="O57" s="1003">
        <f>COUNTA('26'!N7:N18)</f>
        <v>12</v>
      </c>
      <c r="P57" s="1003"/>
      <c r="R57" s="1004">
        <f>COUNTIF('26'!N7:N18,"&gt;=6")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30129.554000000004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31249.68</v>
      </c>
      <c r="AR62" s="1016"/>
    </row>
    <row r="63" spans="15:44" ht="15" customHeight="1">
      <c r="X63" s="170" t="s">
        <v>124</v>
      </c>
      <c r="Y63" s="171">
        <v>0</v>
      </c>
      <c r="Z63" s="1013"/>
      <c r="AA63" s="1013"/>
      <c r="AB63" s="172" t="s">
        <v>124</v>
      </c>
      <c r="AC63" s="173">
        <v>0</v>
      </c>
      <c r="AE63" s="49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-1120.1259999999966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>
        <f>'25'!$Y$68</f>
        <v>-15538.149999999998</v>
      </c>
      <c r="Z65" s="1013"/>
      <c r="AA65" s="1013"/>
      <c r="AB65" s="176" t="s">
        <v>126</v>
      </c>
      <c r="AC65" s="241">
        <f>'25'!$AC$68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280">
        <f>SUM('26'!AK38,'26'!AP38)</f>
        <v>2375.9333333333334</v>
      </c>
      <c r="Z67" s="1013"/>
      <c r="AA67" s="1013"/>
      <c r="AB67" s="172" t="s">
        <v>124</v>
      </c>
      <c r="AC67" s="169">
        <f>SUM('26'!AM38,'26'!AR38)</f>
        <v>472.9166666666668</v>
      </c>
    </row>
    <row r="68" spans="24:29" ht="15.75" customHeight="1">
      <c r="X68" s="170" t="s">
        <v>128</v>
      </c>
      <c r="Y68" s="179">
        <f>SUM('26'!Y63,'26'!Y65)-'26'!Y67</f>
        <v>-17914.083333333332</v>
      </c>
      <c r="Z68" s="1013"/>
      <c r="AA68" s="1013"/>
      <c r="AB68" s="172" t="s">
        <v>128</v>
      </c>
      <c r="AC68" s="180">
        <f>SUM('26'!AC63,'26'!AC65)-'26'!AC67</f>
        <v>-472.9166666666668</v>
      </c>
    </row>
  </sheetData>
  <sheetProtection password="E1DF" sheet="1" objects="1" scenarios="1" selectLockedCells="1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priority="2" operator="greaterThan">
      <formula>l</formula>
    </cfRule>
  </conditionalFormatting>
  <conditionalFormatting sqref="O21">
    <cfRule type="cellIs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N25" sqref="N25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40" t="s">
        <v>13</v>
      </c>
      <c r="U4" s="108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149</v>
      </c>
      <c r="AF4" s="937" t="s">
        <v>150</v>
      </c>
      <c r="AG4" s="937" t="s">
        <v>151</v>
      </c>
      <c r="AH4" s="937" t="s">
        <v>152</v>
      </c>
      <c r="AI4" s="937" t="s">
        <v>153</v>
      </c>
      <c r="AJ4" s="937" t="s">
        <v>154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40"/>
      <c r="U5" s="108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8"/>
      <c r="V6" s="932"/>
      <c r="W6" s="932"/>
      <c r="X6" s="13">
        <v>4.1666666666666699E-2</v>
      </c>
      <c r="Y6" s="54">
        <v>2542</v>
      </c>
      <c r="Z6" s="54">
        <v>979</v>
      </c>
      <c r="AA6" s="15">
        <v>1</v>
      </c>
      <c r="AB6" s="58">
        <f>IF('27'!AA6=1,(('27'!Z6*'27'!$AS$6*'27'!$AT$6)/('27'!Y6*0.0036)),IF('27'!AA6=2,(('27'!Z6*'27'!$AS$7*'27'!$AT$7)/('27'!Y6*0.0036))))</f>
        <v>71.142036017134373</v>
      </c>
      <c r="AC6" s="58"/>
      <c r="AD6" s="18">
        <f>(('27'!AC6*'27'!$Q$10*1000000))/('27'!Y6*3600)</f>
        <v>0</v>
      </c>
      <c r="AE6" s="183"/>
      <c r="AF6" s="184">
        <f>('27'!AE6/24)*0.454</f>
        <v>0</v>
      </c>
      <c r="AG6" s="19"/>
      <c r="AH6" s="184">
        <f>('27'!AG6/24)*0.454</f>
        <v>0</v>
      </c>
      <c r="AI6" s="183">
        <v>5400</v>
      </c>
      <c r="AJ6" s="184">
        <f>('27'!AI6/24)*0.454</f>
        <v>102.15</v>
      </c>
      <c r="AK6" s="21"/>
      <c r="AL6" s="185">
        <f>('27'!AK6/24)*0.454</f>
        <v>0</v>
      </c>
      <c r="AM6" s="21"/>
      <c r="AN6" s="185">
        <f>('27'!AM6/24)*0.454</f>
        <v>0</v>
      </c>
      <c r="AO6" s="21"/>
      <c r="AP6" s="185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6">
        <v>80</v>
      </c>
      <c r="C7" s="186">
        <v>15</v>
      </c>
      <c r="D7" s="186">
        <v>15</v>
      </c>
      <c r="E7" s="186">
        <v>2.5</v>
      </c>
      <c r="F7" s="186">
        <v>13</v>
      </c>
      <c r="G7" s="186">
        <v>2.2000000000000002</v>
      </c>
      <c r="H7" s="186">
        <v>2.2000000000000002</v>
      </c>
      <c r="I7" s="186">
        <v>0.5</v>
      </c>
      <c r="J7" s="186">
        <v>0.5</v>
      </c>
      <c r="K7" s="186">
        <v>7.3</v>
      </c>
      <c r="L7" s="186">
        <v>6.8</v>
      </c>
      <c r="M7" s="186">
        <v>6.8</v>
      </c>
      <c r="N7" s="186">
        <v>6.5</v>
      </c>
      <c r="O7" s="186">
        <v>3.5</v>
      </c>
      <c r="P7" s="186"/>
      <c r="Q7" s="188"/>
      <c r="R7" s="37">
        <f>'26'!$Z$29</f>
        <v>979</v>
      </c>
      <c r="S7" s="187">
        <f>'26'!$AB$29</f>
        <v>70.586672738312089</v>
      </c>
      <c r="T7" s="37">
        <f>'26'!$Y$29</f>
        <v>2562</v>
      </c>
      <c r="U7" s="33" t="str">
        <f>IF('27'!AA6=1,'27'!AR6,'27'!AR7)</f>
        <v>S.A.L</v>
      </c>
      <c r="V7" s="1022">
        <f>ESCALA!$C$28</f>
        <v>0</v>
      </c>
      <c r="W7" s="1022"/>
      <c r="X7" s="13">
        <v>8.3333333333333301E-2</v>
      </c>
      <c r="Y7" s="54">
        <v>2550</v>
      </c>
      <c r="Z7" s="54">
        <v>979</v>
      </c>
      <c r="AA7" s="15">
        <v>1</v>
      </c>
      <c r="AB7" s="58">
        <f>IF('27'!AA7=1,(('27'!Z7*'27'!$AS$6*'27'!$AT$6)/('27'!Y7*0.0036)),IF('27'!AA7=2,(('27'!Z7*'27'!$AS$7*'27'!$AT$7)/('27'!Y7*0.0036))))</f>
        <v>70.91884531590415</v>
      </c>
      <c r="AC7" s="58"/>
      <c r="AD7" s="18">
        <f>(('27'!AC7*'27'!$Q$10*1000000))/('27'!Y7*3600)</f>
        <v>0</v>
      </c>
      <c r="AE7" s="183"/>
      <c r="AF7" s="184">
        <f>('27'!AE7/24)*0.454</f>
        <v>0</v>
      </c>
      <c r="AG7" s="19"/>
      <c r="AH7" s="184">
        <f>('27'!AG7/24)*0.454</f>
        <v>0</v>
      </c>
      <c r="AI7" s="183">
        <v>5400</v>
      </c>
      <c r="AJ7" s="184">
        <f>('27'!AI7/24)*0.454</f>
        <v>102.15</v>
      </c>
      <c r="AK7" s="21"/>
      <c r="AL7" s="185">
        <f>('27'!AK7/24)*0.454</f>
        <v>0</v>
      </c>
      <c r="AM7" s="21"/>
      <c r="AN7" s="185">
        <f>('27'!AM7/24)*0.454</f>
        <v>0</v>
      </c>
      <c r="AO7" s="21"/>
      <c r="AP7" s="185">
        <f>('27'!AO7/24)*0.454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6">
        <v>80</v>
      </c>
      <c r="C8" s="186">
        <v>15</v>
      </c>
      <c r="D8" s="186">
        <v>15</v>
      </c>
      <c r="E8" s="186">
        <v>2.5</v>
      </c>
      <c r="F8" s="186">
        <v>13</v>
      </c>
      <c r="G8" s="186">
        <v>2.1</v>
      </c>
      <c r="H8" s="186">
        <v>2.2000000000000002</v>
      </c>
      <c r="I8" s="186">
        <v>0.5</v>
      </c>
      <c r="J8" s="186">
        <v>0.5</v>
      </c>
      <c r="K8" s="186">
        <v>7.3</v>
      </c>
      <c r="L8" s="186">
        <v>6.8</v>
      </c>
      <c r="M8" s="186">
        <v>6.8</v>
      </c>
      <c r="N8" s="186">
        <v>6.5</v>
      </c>
      <c r="O8" s="186">
        <v>3.5</v>
      </c>
      <c r="P8" s="186"/>
      <c r="Q8" s="188"/>
      <c r="R8" s="35">
        <f>'27'!Z7</f>
        <v>979</v>
      </c>
      <c r="S8" s="36">
        <f>'27'!AB7</f>
        <v>70.91884531590415</v>
      </c>
      <c r="T8" s="37">
        <f>'27'!Y7</f>
        <v>2550</v>
      </c>
      <c r="U8" s="33" t="str">
        <f>IF('27'!AA7=1,'27'!AR6,'27'!AR7)</f>
        <v>S.A.L</v>
      </c>
      <c r="V8" s="1022"/>
      <c r="W8" s="1022"/>
      <c r="X8" s="13">
        <v>0.125</v>
      </c>
      <c r="Y8" s="54">
        <v>2552</v>
      </c>
      <c r="Z8" s="54">
        <v>979</v>
      </c>
      <c r="AA8" s="15">
        <v>1</v>
      </c>
      <c r="AB8" s="58">
        <f>IF('27'!AA8=1,(('27'!Z8*'27'!$AS$6*'27'!$AT$6)/('27'!Y8*0.0036)),IF('27'!AA8=2,(('27'!Z8*'27'!$AS$7*'27'!$AT$7)/('27'!Y8*0.0036))))</f>
        <v>70.863266283524922</v>
      </c>
      <c r="AC8" s="58"/>
      <c r="AD8" s="18">
        <f>(('27'!AC8*'27'!$Q$10*1000000))/('27'!Y8*3600)</f>
        <v>0</v>
      </c>
      <c r="AE8" s="183"/>
      <c r="AF8" s="184">
        <f>('27'!AE8/24)*0.454</f>
        <v>0</v>
      </c>
      <c r="AG8" s="19"/>
      <c r="AH8" s="184">
        <f>('27'!AG8/24)*0.454</f>
        <v>0</v>
      </c>
      <c r="AI8" s="183">
        <v>5400</v>
      </c>
      <c r="AJ8" s="184">
        <f>('27'!AI8/24)*0.454</f>
        <v>102.15</v>
      </c>
      <c r="AK8" s="21"/>
      <c r="AL8" s="185">
        <f>('27'!AK8/24)*0.454</f>
        <v>0</v>
      </c>
      <c r="AM8" s="21"/>
      <c r="AN8" s="185">
        <f>('27'!AM8/24)*0.454</f>
        <v>0</v>
      </c>
      <c r="AO8" s="21"/>
      <c r="AP8" s="185">
        <f>('27'!AO8/24)*0.454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80</v>
      </c>
      <c r="C9" s="186">
        <v>15</v>
      </c>
      <c r="D9" s="186">
        <v>15</v>
      </c>
      <c r="E9" s="186">
        <v>2.5</v>
      </c>
      <c r="F9" s="186">
        <v>13</v>
      </c>
      <c r="G9" s="186">
        <v>2</v>
      </c>
      <c r="H9" s="186">
        <v>2.2000000000000002</v>
      </c>
      <c r="I9" s="186">
        <v>0.5</v>
      </c>
      <c r="J9" s="186">
        <v>0.5</v>
      </c>
      <c r="K9" s="186">
        <v>7.3</v>
      </c>
      <c r="L9" s="186">
        <v>6.8</v>
      </c>
      <c r="M9" s="186">
        <v>6.8</v>
      </c>
      <c r="N9" s="186">
        <v>6.5</v>
      </c>
      <c r="O9" s="186">
        <v>3.3</v>
      </c>
      <c r="P9" s="186"/>
      <c r="Q9" s="188"/>
      <c r="R9" s="37">
        <f>'27'!Z9</f>
        <v>979</v>
      </c>
      <c r="S9" s="36">
        <f>'27'!AB9</f>
        <v>69.315084536433716</v>
      </c>
      <c r="T9" s="37">
        <f>'27'!Y9</f>
        <v>2609</v>
      </c>
      <c r="U9" s="33" t="str">
        <f>IF('27'!AA9=1,'27'!AR6,'27'!AR7)</f>
        <v>S.A.L</v>
      </c>
      <c r="V9" s="1022"/>
      <c r="W9" s="1022"/>
      <c r="X9" s="13">
        <v>0.16666666666666699</v>
      </c>
      <c r="Y9" s="54">
        <v>2609</v>
      </c>
      <c r="Z9" s="54">
        <v>979</v>
      </c>
      <c r="AA9" s="15">
        <v>1</v>
      </c>
      <c r="AB9" s="58">
        <f>IF('27'!AA9=1,(('27'!Z9*'27'!$AS$6*'27'!$AT$6)/('27'!Y9*0.0036)),IF('27'!AA9=2,(('27'!Z9*'27'!$AS$7*'27'!$AT$7)/('27'!Y9*0.0036))))</f>
        <v>69.315084536433716</v>
      </c>
      <c r="AC9" s="58"/>
      <c r="AD9" s="18">
        <f>(('27'!AC9*'27'!$Q$10*1000000))/('27'!Y9*3600)</f>
        <v>0</v>
      </c>
      <c r="AE9" s="183"/>
      <c r="AF9" s="184">
        <f>('27'!AE9/24)*0.454</f>
        <v>0</v>
      </c>
      <c r="AG9" s="19"/>
      <c r="AH9" s="184">
        <f>('27'!AG9/24)*0.454</f>
        <v>0</v>
      </c>
      <c r="AI9" s="183">
        <v>5400</v>
      </c>
      <c r="AJ9" s="184">
        <f>('27'!AI9/24)*0.454</f>
        <v>102.15</v>
      </c>
      <c r="AK9" s="21"/>
      <c r="AL9" s="185">
        <f>('27'!AK9/24)*0.454</f>
        <v>0</v>
      </c>
      <c r="AM9" s="21"/>
      <c r="AN9" s="185">
        <f>('27'!AM9/24)*0.454</f>
        <v>0</v>
      </c>
      <c r="AO9" s="21"/>
      <c r="AP9" s="185">
        <f>('27'!AO9/24)*0.454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80</v>
      </c>
      <c r="C10" s="186">
        <v>15</v>
      </c>
      <c r="D10" s="186">
        <v>15</v>
      </c>
      <c r="E10" s="186">
        <v>2.5</v>
      </c>
      <c r="F10" s="186">
        <v>13</v>
      </c>
      <c r="G10" s="186">
        <v>1.9</v>
      </c>
      <c r="H10" s="186">
        <v>2.2000000000000002</v>
      </c>
      <c r="I10" s="186">
        <v>0.5</v>
      </c>
      <c r="J10" s="186">
        <v>0.5</v>
      </c>
      <c r="K10" s="186">
        <v>7.3</v>
      </c>
      <c r="L10" s="186">
        <v>6.8</v>
      </c>
      <c r="M10" s="186">
        <v>6.8</v>
      </c>
      <c r="N10" s="186">
        <v>6.5</v>
      </c>
      <c r="O10" s="186">
        <v>3.2</v>
      </c>
      <c r="P10" s="186"/>
      <c r="Q10" s="188"/>
      <c r="R10" s="37">
        <f>'27'!Z11</f>
        <v>979</v>
      </c>
      <c r="S10" s="36">
        <f>'27'!AB11</f>
        <v>69.796625069685675</v>
      </c>
      <c r="T10" s="37">
        <f>'27'!Y11</f>
        <v>2591</v>
      </c>
      <c r="U10" s="33" t="str">
        <f>IF('27'!AA11=1,'27'!AR6,'27'!AR7)</f>
        <v>S.A.L</v>
      </c>
      <c r="V10" s="1022"/>
      <c r="W10" s="1022"/>
      <c r="X10" s="13">
        <v>0.20833333333333301</v>
      </c>
      <c r="Y10" s="54">
        <v>2618</v>
      </c>
      <c r="Z10" s="54">
        <v>979</v>
      </c>
      <c r="AA10" s="15">
        <v>1</v>
      </c>
      <c r="AB10" s="58">
        <f>IF('27'!AA10=1,(('27'!Z10*'27'!$AS$6*'27'!$AT$6)/('27'!Y10*0.0036)),IF('27'!AA10=2,(('27'!Z10*'27'!$AS$7*'27'!$AT$7)/('27'!Y10*0.0036))))</f>
        <v>69.076797385620935</v>
      </c>
      <c r="AC10" s="58"/>
      <c r="AD10" s="18">
        <f>(('27'!AC10*'27'!$Q$10*1000000))/('27'!Y10*3600)</f>
        <v>0</v>
      </c>
      <c r="AE10" s="183"/>
      <c r="AF10" s="184">
        <f>('27'!AE10/24)*0.454</f>
        <v>0</v>
      </c>
      <c r="AG10" s="19"/>
      <c r="AH10" s="184">
        <f>('27'!AG10/24)*0.454</f>
        <v>0</v>
      </c>
      <c r="AI10" s="183">
        <v>5400</v>
      </c>
      <c r="AJ10" s="184">
        <f>('27'!AI10/24)*0.454</f>
        <v>102.15</v>
      </c>
      <c r="AK10" s="21"/>
      <c r="AL10" s="185">
        <f>('27'!AK10/24)*0.454</f>
        <v>0</v>
      </c>
      <c r="AM10" s="21"/>
      <c r="AN10" s="185">
        <f>('27'!AM10/24)*0.454</f>
        <v>0</v>
      </c>
      <c r="AO10" s="21"/>
      <c r="AP10" s="185">
        <f>('27'!AO10/24)*0.454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6">
        <v>80</v>
      </c>
      <c r="C11" s="186">
        <v>15</v>
      </c>
      <c r="D11" s="186">
        <v>15</v>
      </c>
      <c r="E11" s="186">
        <v>2.5</v>
      </c>
      <c r="F11" s="186">
        <v>13</v>
      </c>
      <c r="G11" s="186">
        <v>1.8</v>
      </c>
      <c r="H11" s="186">
        <v>2.2999999999999998</v>
      </c>
      <c r="I11" s="186">
        <v>0.4</v>
      </c>
      <c r="J11" s="186">
        <v>0.5</v>
      </c>
      <c r="K11" s="186">
        <v>7.3</v>
      </c>
      <c r="L11" s="186">
        <v>6.8</v>
      </c>
      <c r="M11" s="186">
        <v>6.8</v>
      </c>
      <c r="N11" s="186">
        <v>6.4</v>
      </c>
      <c r="O11" s="186">
        <v>3.2</v>
      </c>
      <c r="P11" s="186"/>
      <c r="Q11" s="188"/>
      <c r="R11" s="37">
        <f>'27'!Z13</f>
        <v>979</v>
      </c>
      <c r="S11" s="36">
        <f>'27'!AB13</f>
        <v>69.208976485095889</v>
      </c>
      <c r="T11" s="37">
        <f>'27'!Y13</f>
        <v>2613</v>
      </c>
      <c r="U11" s="33" t="str">
        <f>IF('27'!AA13=1,'27'!AR6,'27'!AR7)</f>
        <v>S.A.L</v>
      </c>
      <c r="V11" s="1022"/>
      <c r="W11" s="1022"/>
      <c r="X11" s="13">
        <v>0.25</v>
      </c>
      <c r="Y11" s="54">
        <v>2591</v>
      </c>
      <c r="Z11" s="54">
        <v>979</v>
      </c>
      <c r="AA11" s="15">
        <v>1</v>
      </c>
      <c r="AB11" s="58">
        <f>IF('27'!AA11=1,(('27'!Z11*'27'!$AS$6*'27'!$AT$6)/('27'!Y11*0.0036)),IF('27'!AA11=2,(('27'!Z11*'27'!$AS$7*'27'!$AT$7)/('27'!Y11*0.0036))))</f>
        <v>69.796625069685675</v>
      </c>
      <c r="AC11" s="58"/>
      <c r="AD11" s="18">
        <f>(('27'!AC11*'27'!$Q$10*1000000))/('27'!Y11*3600)</f>
        <v>0</v>
      </c>
      <c r="AE11" s="183"/>
      <c r="AF11" s="184">
        <f>('27'!AE11/24)*0.454</f>
        <v>0</v>
      </c>
      <c r="AG11" s="19"/>
      <c r="AH11" s="184">
        <f>('27'!AG11/24)*0.454</f>
        <v>0</v>
      </c>
      <c r="AI11" s="183">
        <v>5400</v>
      </c>
      <c r="AJ11" s="184">
        <f>('27'!AI11/24)*0.454</f>
        <v>102.15</v>
      </c>
      <c r="AK11" s="21"/>
      <c r="AL11" s="185">
        <f>('27'!AK11/24)*0.454</f>
        <v>0</v>
      </c>
      <c r="AM11" s="21"/>
      <c r="AN11" s="185">
        <f>('27'!AM11/24)*0.454</f>
        <v>0</v>
      </c>
      <c r="AO11" s="21"/>
      <c r="AP11" s="185">
        <f>('27'!AO11/24)*0.454</f>
        <v>0</v>
      </c>
    </row>
    <row r="12" spans="1:47" ht="18.75" customHeight="1">
      <c r="A12" s="28">
        <v>0.41666666666666702</v>
      </c>
      <c r="B12" s="186">
        <v>80</v>
      </c>
      <c r="C12" s="186">
        <v>15</v>
      </c>
      <c r="D12" s="186">
        <v>15</v>
      </c>
      <c r="E12" s="186">
        <v>2.5</v>
      </c>
      <c r="F12" s="186">
        <v>13</v>
      </c>
      <c r="G12" s="186">
        <v>2.2999999999999998</v>
      </c>
      <c r="H12" s="186">
        <v>2.5</v>
      </c>
      <c r="I12" s="186">
        <v>0.4</v>
      </c>
      <c r="J12" s="186">
        <v>0.5</v>
      </c>
      <c r="K12" s="186">
        <v>7.3</v>
      </c>
      <c r="L12" s="186">
        <v>6.7</v>
      </c>
      <c r="M12" s="186">
        <v>6.7</v>
      </c>
      <c r="N12" s="186">
        <v>6.4</v>
      </c>
      <c r="O12" s="186">
        <v>3.2</v>
      </c>
      <c r="P12" s="186"/>
      <c r="Q12" s="188"/>
      <c r="R12" s="37">
        <f>'27'!Z15</f>
        <v>979</v>
      </c>
      <c r="S12" s="36">
        <f>'27'!AB15</f>
        <v>70.863266283524922</v>
      </c>
      <c r="T12" s="37">
        <f>'27'!Y15</f>
        <v>2552</v>
      </c>
      <c r="U12" s="33" t="str">
        <f>IF('27'!AA15=1,'27'!AR6,'27'!AR7)</f>
        <v>S.A.L</v>
      </c>
      <c r="V12" s="944">
        <f>ESCALA!$B$29</f>
        <v>0</v>
      </c>
      <c r="W12" s="944"/>
      <c r="X12" s="13">
        <v>0.29166666666666702</v>
      </c>
      <c r="Y12" s="54">
        <v>2598</v>
      </c>
      <c r="Z12" s="54">
        <v>979</v>
      </c>
      <c r="AA12" s="15">
        <v>1</v>
      </c>
      <c r="AB12" s="58">
        <f>IF('27'!AA12=1,(('27'!Z12*'27'!$AS$6*'27'!$AT$6)/('27'!Y12*0.0036)),IF('27'!AA12=2,(('27'!Z12*'27'!$AS$7*'27'!$AT$7)/('27'!Y12*0.0036))))</f>
        <v>69.608566418612611</v>
      </c>
      <c r="AC12" s="58"/>
      <c r="AD12" s="18">
        <f>(('27'!AC12*'27'!$Q$10*1000000))/('27'!Y12*3600)</f>
        <v>0</v>
      </c>
      <c r="AE12" s="183"/>
      <c r="AF12" s="184">
        <f>('27'!AE12/24)*0.454</f>
        <v>0</v>
      </c>
      <c r="AG12" s="19"/>
      <c r="AH12" s="184">
        <f>('27'!AG12/24)*0.454</f>
        <v>0</v>
      </c>
      <c r="AI12" s="183">
        <v>5400</v>
      </c>
      <c r="AJ12" s="184">
        <f>('27'!AI12/24)*0.454</f>
        <v>102.15</v>
      </c>
      <c r="AK12" s="21"/>
      <c r="AL12" s="185">
        <f>('27'!AK12/24)*0.454</f>
        <v>0</v>
      </c>
      <c r="AM12" s="21"/>
      <c r="AN12" s="185">
        <f>('27'!AM12/24)*0.454</f>
        <v>0</v>
      </c>
      <c r="AO12" s="21"/>
      <c r="AP12" s="185">
        <f>('27'!AO12/24)*0.454</f>
        <v>0</v>
      </c>
    </row>
    <row r="13" spans="1:47" ht="18.75" customHeight="1">
      <c r="A13" s="28">
        <v>0.5</v>
      </c>
      <c r="B13" s="186">
        <v>80</v>
      </c>
      <c r="C13" s="186">
        <v>15</v>
      </c>
      <c r="D13" s="186">
        <v>15</v>
      </c>
      <c r="E13" s="186">
        <v>2.5</v>
      </c>
      <c r="F13" s="186">
        <v>12</v>
      </c>
      <c r="G13" s="186">
        <v>2.4</v>
      </c>
      <c r="H13" s="186">
        <v>2.7</v>
      </c>
      <c r="I13" s="186">
        <v>0.4</v>
      </c>
      <c r="J13" s="186">
        <v>0.5</v>
      </c>
      <c r="K13" s="186">
        <v>7.3</v>
      </c>
      <c r="L13" s="186">
        <v>6.7</v>
      </c>
      <c r="M13" s="186">
        <v>6.7</v>
      </c>
      <c r="N13" s="186">
        <v>6.4</v>
      </c>
      <c r="O13" s="186">
        <v>3.2</v>
      </c>
      <c r="P13" s="186"/>
      <c r="Q13" s="188"/>
      <c r="R13" s="37">
        <f>'27'!Z17</f>
        <v>979</v>
      </c>
      <c r="S13" s="36">
        <f>'27'!AB17</f>
        <v>68.709367612293164</v>
      </c>
      <c r="T13" s="37">
        <f>'27'!Y17</f>
        <v>2632</v>
      </c>
      <c r="U13" s="33" t="str">
        <f>IF('27'!AA17=1,'27'!AR6,'27'!AR7)</f>
        <v>S.A.L</v>
      </c>
      <c r="V13" s="944"/>
      <c r="W13" s="944"/>
      <c r="X13" s="13">
        <v>0.33333333333333298</v>
      </c>
      <c r="Y13" s="54">
        <v>2613</v>
      </c>
      <c r="Z13" s="54">
        <v>979</v>
      </c>
      <c r="AA13" s="15">
        <v>1</v>
      </c>
      <c r="AB13" s="58">
        <f>IF('27'!AA13=1,(('27'!Z13*'27'!$AS$6*'27'!$AT$6)/('27'!Y13*0.0036)),IF('27'!AA13=2,(('27'!Z13*'27'!$AS$7*'27'!$AT$7)/('27'!Y13*0.0036))))</f>
        <v>69.208976485095889</v>
      </c>
      <c r="AC13" s="58"/>
      <c r="AD13" s="18">
        <f>(('27'!AC13*'27'!$Q$10*1000000))/('27'!Y13*3600)</f>
        <v>0</v>
      </c>
      <c r="AE13" s="183"/>
      <c r="AF13" s="184">
        <f>('27'!AE13/24)*0.454</f>
        <v>0</v>
      </c>
      <c r="AG13" s="19"/>
      <c r="AH13" s="184">
        <f>('27'!AG13/24)*0.454</f>
        <v>0</v>
      </c>
      <c r="AI13" s="183">
        <v>5400</v>
      </c>
      <c r="AJ13" s="184">
        <f>('27'!AI13/24)*0.454</f>
        <v>102.15</v>
      </c>
      <c r="AK13" s="21"/>
      <c r="AL13" s="185">
        <f>('27'!AK13/24)*0.454</f>
        <v>0</v>
      </c>
      <c r="AM13" s="21"/>
      <c r="AN13" s="185">
        <f>('27'!AM13/24)*0.454</f>
        <v>0</v>
      </c>
      <c r="AO13" s="21"/>
      <c r="AP13" s="185">
        <f>('27'!AO13/24)*0.454</f>
        <v>0</v>
      </c>
    </row>
    <row r="14" spans="1:47" ht="18.75" customHeight="1">
      <c r="A14" s="28">
        <v>0.58333333333333304</v>
      </c>
      <c r="B14" s="186">
        <v>80</v>
      </c>
      <c r="C14" s="186">
        <v>15</v>
      </c>
      <c r="D14" s="186">
        <v>15</v>
      </c>
      <c r="E14" s="186">
        <v>2.5</v>
      </c>
      <c r="F14" s="186">
        <v>12</v>
      </c>
      <c r="G14" s="186">
        <v>2.2999999999999998</v>
      </c>
      <c r="H14" s="186">
        <v>2.2000000000000002</v>
      </c>
      <c r="I14" s="186">
        <v>0.5</v>
      </c>
      <c r="J14" s="186">
        <v>0.6</v>
      </c>
      <c r="K14" s="186">
        <v>7.3</v>
      </c>
      <c r="L14" s="186">
        <v>6.7</v>
      </c>
      <c r="M14" s="186">
        <v>6.7</v>
      </c>
      <c r="N14" s="186">
        <v>6.4</v>
      </c>
      <c r="O14" s="186">
        <v>3.2</v>
      </c>
      <c r="P14" s="186"/>
      <c r="Q14" s="188"/>
      <c r="R14" s="37">
        <f>'27'!Z19</f>
        <v>979</v>
      </c>
      <c r="S14" s="36">
        <f>'27'!AB19</f>
        <v>70.476638953840833</v>
      </c>
      <c r="T14" s="37">
        <f>'27'!Y19</f>
        <v>2566</v>
      </c>
      <c r="U14" s="33" t="str">
        <f>IF('27'!AA19=1,'27'!AR6,'27'!AR7)</f>
        <v>S.A.L</v>
      </c>
      <c r="V14" s="944"/>
      <c r="W14" s="944"/>
      <c r="X14" s="13">
        <v>0.375</v>
      </c>
      <c r="Y14" s="54">
        <v>2596</v>
      </c>
      <c r="Z14" s="54">
        <v>979</v>
      </c>
      <c r="AA14" s="15">
        <v>1</v>
      </c>
      <c r="AB14" s="58">
        <f>IF('27'!AA14=1,(('27'!Z14*'27'!$AS$6*'27'!$AT$6)/('27'!Y14*0.0036)),IF('27'!AA14=2,(('27'!Z14*'27'!$AS$7*'27'!$AT$7)/('27'!Y14*0.0036))))</f>
        <v>69.662193973634672</v>
      </c>
      <c r="AC14" s="58"/>
      <c r="AD14" s="18">
        <f>(('27'!AC14*'27'!$Q$10*1000000))/('27'!Y14*3600)</f>
        <v>0</v>
      </c>
      <c r="AE14" s="183"/>
      <c r="AF14" s="184">
        <f>('27'!AE14/24)*0.454</f>
        <v>0</v>
      </c>
      <c r="AG14" s="19"/>
      <c r="AH14" s="184">
        <f>('27'!AG14/24)*0.454</f>
        <v>0</v>
      </c>
      <c r="AI14" s="183">
        <v>5400</v>
      </c>
      <c r="AJ14" s="184">
        <f>('27'!AI14/24)*0.454</f>
        <v>102.15</v>
      </c>
      <c r="AK14" s="21"/>
      <c r="AL14" s="185">
        <f>('27'!AK14/24)*0.454</f>
        <v>0</v>
      </c>
      <c r="AM14" s="21"/>
      <c r="AN14" s="185">
        <f>('27'!AM14/24)*0.454</f>
        <v>0</v>
      </c>
      <c r="AO14" s="21"/>
      <c r="AP14" s="185">
        <f>('27'!AO14/24)*0.454</f>
        <v>0</v>
      </c>
    </row>
    <row r="15" spans="1:47" ht="18.75" customHeight="1">
      <c r="A15" s="28">
        <v>0.66666666666666696</v>
      </c>
      <c r="B15" s="186">
        <v>80</v>
      </c>
      <c r="C15" s="186">
        <v>15</v>
      </c>
      <c r="D15" s="186">
        <v>15</v>
      </c>
      <c r="E15" s="186">
        <v>2.5</v>
      </c>
      <c r="F15" s="186">
        <v>12</v>
      </c>
      <c r="G15" s="186">
        <v>2</v>
      </c>
      <c r="H15" s="186">
        <v>2.2999999999999998</v>
      </c>
      <c r="I15" s="186">
        <v>0.5</v>
      </c>
      <c r="J15" s="186">
        <v>0.6</v>
      </c>
      <c r="K15" s="186">
        <v>7.3</v>
      </c>
      <c r="L15" s="186">
        <v>6.7</v>
      </c>
      <c r="M15" s="186">
        <v>6.7</v>
      </c>
      <c r="N15" s="186">
        <v>6.4</v>
      </c>
      <c r="O15" s="186">
        <v>3.2</v>
      </c>
      <c r="P15" s="186"/>
      <c r="Q15" s="188"/>
      <c r="R15" s="37">
        <f>'27'!Z21</f>
        <v>979</v>
      </c>
      <c r="S15" s="36">
        <f>'27'!AB21</f>
        <v>69.288527032779925</v>
      </c>
      <c r="T15" s="37">
        <f>'27'!Y21</f>
        <v>2610</v>
      </c>
      <c r="U15" s="33" t="str">
        <f>IF('27'!AA21=1,'27'!AR6,'27'!AR7)</f>
        <v>S.A.L</v>
      </c>
      <c r="V15" s="944"/>
      <c r="W15" s="944"/>
      <c r="X15" s="13">
        <v>0.41666666666666702</v>
      </c>
      <c r="Y15" s="54">
        <v>2552</v>
      </c>
      <c r="Z15" s="54">
        <v>979</v>
      </c>
      <c r="AA15" s="15">
        <v>1</v>
      </c>
      <c r="AB15" s="58">
        <f>IF('27'!AA15=1,(('27'!Z15*'27'!$AS$6*'27'!$AT$6)/('27'!Y15*0.0036)),IF('27'!AA15=2,(('27'!Z15*'27'!$AS$7*'27'!$AT$7)/('27'!Y15*0.0036))))</f>
        <v>70.863266283524922</v>
      </c>
      <c r="AC15" s="58"/>
      <c r="AD15" s="18">
        <f>(('27'!AC15*'27'!$Q$10*1000000))/('27'!Y15*3600)</f>
        <v>0</v>
      </c>
      <c r="AE15" s="183"/>
      <c r="AF15" s="184">
        <f>('27'!AE15/24)*0.454</f>
        <v>0</v>
      </c>
      <c r="AG15" s="19"/>
      <c r="AH15" s="184">
        <f>('27'!AG15/24)*0.454</f>
        <v>0</v>
      </c>
      <c r="AI15" s="183">
        <v>5400</v>
      </c>
      <c r="AJ15" s="184">
        <f>('27'!AI15/24)*0.454</f>
        <v>102.15</v>
      </c>
      <c r="AK15" s="21"/>
      <c r="AL15" s="185">
        <f>('27'!AK15/24)*0.454</f>
        <v>0</v>
      </c>
      <c r="AM15" s="21"/>
      <c r="AN15" s="185">
        <f>('27'!AM15/24)*0.454</f>
        <v>0</v>
      </c>
      <c r="AO15" s="21"/>
      <c r="AP15" s="185">
        <f>('27'!AO15/24)*0.454</f>
        <v>0</v>
      </c>
    </row>
    <row r="16" spans="1:47" ht="18.75" customHeight="1">
      <c r="A16" s="28">
        <v>0.75</v>
      </c>
      <c r="B16" s="186">
        <v>80</v>
      </c>
      <c r="C16" s="186">
        <v>15</v>
      </c>
      <c r="D16" s="186">
        <v>17.5</v>
      </c>
      <c r="E16" s="186">
        <v>2.5</v>
      </c>
      <c r="F16" s="186">
        <v>13</v>
      </c>
      <c r="G16" s="186">
        <v>2.4</v>
      </c>
      <c r="H16" s="186">
        <v>2.8</v>
      </c>
      <c r="I16" s="186">
        <v>0.5</v>
      </c>
      <c r="J16" s="186">
        <v>0.7</v>
      </c>
      <c r="K16" s="186">
        <v>7.3</v>
      </c>
      <c r="L16" s="186">
        <v>6.7</v>
      </c>
      <c r="M16" s="186">
        <v>6.7</v>
      </c>
      <c r="N16" s="186">
        <v>6.4</v>
      </c>
      <c r="O16" s="186">
        <v>3.5</v>
      </c>
      <c r="P16" s="186"/>
      <c r="Q16" s="188"/>
      <c r="R16" s="37">
        <f>'27'!Z23</f>
        <v>979</v>
      </c>
      <c r="S16" s="36">
        <f>'27'!AB23</f>
        <v>70.230312837108968</v>
      </c>
      <c r="T16" s="37">
        <f>'27'!Y23</f>
        <v>2575</v>
      </c>
      <c r="U16" s="33" t="str">
        <f>IF('27'!AA23=1,'27'!AR6,'27'!AR7)</f>
        <v>S.A.L</v>
      </c>
      <c r="V16" s="944"/>
      <c r="W16" s="944"/>
      <c r="X16" s="13">
        <v>0.45833333333333298</v>
      </c>
      <c r="Y16" s="54">
        <v>2576</v>
      </c>
      <c r="Z16" s="54">
        <v>979</v>
      </c>
      <c r="AA16" s="15">
        <v>1</v>
      </c>
      <c r="AB16" s="58">
        <f>IF('27'!AA16=1,(('27'!Z16*'27'!$AS$6*'27'!$AT$6)/('27'!Y16*0.0036)),IF('27'!AA16=2,(('27'!Z16*'27'!$AS$7*'27'!$AT$7)/('27'!Y16*0.0036))))</f>
        <v>70.203049516908223</v>
      </c>
      <c r="AC16" s="58"/>
      <c r="AD16" s="18">
        <f>(('27'!AC16*'27'!$Q$10*1000000))/('27'!Y16*3600)</f>
        <v>0</v>
      </c>
      <c r="AE16" s="183"/>
      <c r="AF16" s="184">
        <f>('27'!AE16/24)*0.454</f>
        <v>0</v>
      </c>
      <c r="AG16" s="19"/>
      <c r="AH16" s="184">
        <f>('27'!AG16/24)*0.454</f>
        <v>0</v>
      </c>
      <c r="AI16" s="183">
        <v>5400</v>
      </c>
      <c r="AJ16" s="184">
        <f>('27'!AI16/24)*0.454</f>
        <v>102.15</v>
      </c>
      <c r="AK16" s="21"/>
      <c r="AL16" s="185">
        <f>('27'!AK16/24)*0.454</f>
        <v>0</v>
      </c>
      <c r="AM16" s="21"/>
      <c r="AN16" s="185">
        <f>('27'!AM16/24)*0.454</f>
        <v>0</v>
      </c>
      <c r="AO16" s="21"/>
      <c r="AP16" s="185">
        <f>('27'!AO16/24)*0.454</f>
        <v>0</v>
      </c>
    </row>
    <row r="17" spans="1:42" ht="18.75" customHeight="1">
      <c r="A17" s="28">
        <v>0.83333333333333304</v>
      </c>
      <c r="B17" s="186">
        <v>80</v>
      </c>
      <c r="C17" s="186">
        <v>15</v>
      </c>
      <c r="D17" s="186">
        <v>17.5</v>
      </c>
      <c r="E17" s="186">
        <v>2.5</v>
      </c>
      <c r="F17" s="186">
        <v>13</v>
      </c>
      <c r="G17" s="186">
        <v>2.4</v>
      </c>
      <c r="H17" s="186">
        <v>2.8</v>
      </c>
      <c r="I17" s="186">
        <v>0.6</v>
      </c>
      <c r="J17" s="186">
        <v>0.7</v>
      </c>
      <c r="K17" s="186">
        <v>7.3</v>
      </c>
      <c r="L17" s="186">
        <v>6.7</v>
      </c>
      <c r="M17" s="186">
        <v>6.7</v>
      </c>
      <c r="N17" s="186">
        <v>6.4</v>
      </c>
      <c r="O17" s="186">
        <v>3.5</v>
      </c>
      <c r="P17" s="186"/>
      <c r="Q17" s="188"/>
      <c r="R17" s="37">
        <f>'27'!Z25</f>
        <v>979</v>
      </c>
      <c r="S17" s="36">
        <f>'27'!AB25</f>
        <v>69.208976485095889</v>
      </c>
      <c r="T17" s="37">
        <f>'27'!Y25</f>
        <v>2613</v>
      </c>
      <c r="U17" s="33" t="str">
        <f>IF('27'!AA25=1,'27'!AR6,'27'!AR7)</f>
        <v>S.A.L</v>
      </c>
      <c r="V17" s="944"/>
      <c r="W17" s="944"/>
      <c r="X17" s="13">
        <v>0.5</v>
      </c>
      <c r="Y17" s="54">
        <v>2632</v>
      </c>
      <c r="Z17" s="54">
        <v>979</v>
      </c>
      <c r="AA17" s="15">
        <v>1</v>
      </c>
      <c r="AB17" s="58">
        <f>IF('27'!AA17=1,(('27'!Z17*'27'!$AS$6*'27'!$AT$6)/('27'!Y17*0.0036)),IF('27'!AA17=2,(('27'!Z17*'27'!$AS$7*'27'!$AT$7)/('27'!Y17*0.0036))))</f>
        <v>68.709367612293164</v>
      </c>
      <c r="AC17" s="58"/>
      <c r="AD17" s="18">
        <f>(('27'!AC17*'27'!$Q$10*1000000))/('27'!Y17*3600)</f>
        <v>0</v>
      </c>
      <c r="AE17" s="183"/>
      <c r="AF17" s="184">
        <f>('27'!AE17/24)*0.454</f>
        <v>0</v>
      </c>
      <c r="AG17" s="19"/>
      <c r="AH17" s="184">
        <f>('27'!AG17/24)*0.454</f>
        <v>0</v>
      </c>
      <c r="AI17" s="183">
        <v>5400</v>
      </c>
      <c r="AJ17" s="184">
        <f>('27'!AI17/24)*0.454</f>
        <v>102.15</v>
      </c>
      <c r="AK17" s="21"/>
      <c r="AL17" s="185">
        <f>('27'!AK17/24)*0.454</f>
        <v>0</v>
      </c>
      <c r="AM17" s="21"/>
      <c r="AN17" s="185">
        <f>('27'!AM17/24)*0.454</f>
        <v>0</v>
      </c>
      <c r="AO17" s="21"/>
      <c r="AP17" s="185">
        <f>('27'!AO17/24)*0.454</f>
        <v>0</v>
      </c>
    </row>
    <row r="18" spans="1:42" ht="19.5" customHeight="1">
      <c r="A18" s="28">
        <v>0.91666666666666696</v>
      </c>
      <c r="B18" s="186">
        <v>80</v>
      </c>
      <c r="C18" s="186">
        <v>15</v>
      </c>
      <c r="D18" s="186">
        <v>17.5</v>
      </c>
      <c r="E18" s="186">
        <v>2.5</v>
      </c>
      <c r="F18" s="186">
        <v>13</v>
      </c>
      <c r="G18" s="186">
        <v>2.5</v>
      </c>
      <c r="H18" s="186">
        <v>2.8</v>
      </c>
      <c r="I18" s="186">
        <v>0.6</v>
      </c>
      <c r="J18" s="186">
        <v>0.7</v>
      </c>
      <c r="K18" s="186">
        <v>7.3</v>
      </c>
      <c r="L18" s="186">
        <v>6.7</v>
      </c>
      <c r="M18" s="186">
        <v>6.7</v>
      </c>
      <c r="N18" s="186">
        <v>6.4</v>
      </c>
      <c r="O18" s="186">
        <v>3.5</v>
      </c>
      <c r="P18" s="186"/>
      <c r="Q18" s="188"/>
      <c r="R18" s="37">
        <f>'27'!Z27</f>
        <v>979</v>
      </c>
      <c r="S18" s="36">
        <f>'27'!AB27</f>
        <v>67.858557431728173</v>
      </c>
      <c r="T18" s="37">
        <f>'27'!Y27</f>
        <v>2665</v>
      </c>
      <c r="U18" s="33" t="str">
        <f>IF('27'!AA27=1,'27'!AR6,'27'!AR7)</f>
        <v>S.A.L</v>
      </c>
      <c r="V18" s="944"/>
      <c r="W18" s="944"/>
      <c r="X18" s="13">
        <v>0.54166666666666696</v>
      </c>
      <c r="Y18" s="54">
        <v>2592</v>
      </c>
      <c r="Z18" s="54">
        <v>979</v>
      </c>
      <c r="AA18" s="15">
        <v>1</v>
      </c>
      <c r="AB18" s="58">
        <f>IF('27'!AA18=1,(('27'!Z18*'27'!$AS$6*'27'!$AT$6)/('27'!Y18*0.0036)),IF('27'!AA18=2,(('27'!Z18*'27'!$AS$7*'27'!$AT$7)/('27'!Y18*0.0036))))</f>
        <v>69.769697359396446</v>
      </c>
      <c r="AC18" s="58"/>
      <c r="AD18" s="18">
        <f>(('27'!AC18*'27'!$Q$10*1000000))/('27'!Y18*3600)</f>
        <v>0</v>
      </c>
      <c r="AE18" s="183"/>
      <c r="AF18" s="184">
        <f>('27'!AE18/24)*0.454</f>
        <v>0</v>
      </c>
      <c r="AG18" s="19"/>
      <c r="AH18" s="184">
        <f>('27'!AG18/24)*0.454</f>
        <v>0</v>
      </c>
      <c r="AI18" s="183">
        <v>5400</v>
      </c>
      <c r="AJ18" s="184">
        <f>('27'!AI18/24)*0.454</f>
        <v>102.15</v>
      </c>
      <c r="AK18" s="21"/>
      <c r="AL18" s="185">
        <f>('27'!AK18/24)*0.454</f>
        <v>0</v>
      </c>
      <c r="AM18" s="21"/>
      <c r="AN18" s="185">
        <f>('27'!AM18/24)*0.454</f>
        <v>0</v>
      </c>
      <c r="AO18" s="21"/>
      <c r="AP18" s="185">
        <f>('27'!AO18/24)*0.454</f>
        <v>0</v>
      </c>
    </row>
    <row r="19" spans="1:42" ht="18.75" customHeight="1">
      <c r="A19" s="10" t="s">
        <v>52</v>
      </c>
      <c r="B19" s="189">
        <f>AVERAGE('27'!B7:B18)</f>
        <v>80</v>
      </c>
      <c r="C19" s="189">
        <f>AVERAGE('27'!C7:C18)</f>
        <v>15</v>
      </c>
      <c r="D19" s="69">
        <f>AVERAGE('27'!D7:D18)</f>
        <v>15.625</v>
      </c>
      <c r="E19" s="69">
        <f>AVERAGE('27'!E7:E18)</f>
        <v>2.5</v>
      </c>
      <c r="F19" s="69">
        <f>AVERAGE('27'!F7:F18)</f>
        <v>12.75</v>
      </c>
      <c r="G19" s="69">
        <f>AVERAGE('27'!G7:G18)</f>
        <v>2.1916666666666664</v>
      </c>
      <c r="H19" s="69">
        <f>AVERAGE('27'!H7:H18)</f>
        <v>2.4333333333333336</v>
      </c>
      <c r="I19" s="69">
        <f>AVERAGE('27'!I7:I18)</f>
        <v>0.49166666666666653</v>
      </c>
      <c r="J19" s="69">
        <f>AVERAGE('27'!J7:J18)</f>
        <v>0.56666666666666665</v>
      </c>
      <c r="K19" s="69">
        <f>AVERAGE('27'!K8:K18)</f>
        <v>7.299999999999998</v>
      </c>
      <c r="L19" s="69">
        <f>AVERAGE('27'!L8:L18)</f>
        <v>6.7363636363636372</v>
      </c>
      <c r="M19" s="69">
        <f>AVERAGE('27'!M8:M18)</f>
        <v>6.7363636363636372</v>
      </c>
      <c r="N19" s="69">
        <f>AVERAGE('27'!N8:N18)</f>
        <v>6.4272727272727277</v>
      </c>
      <c r="O19" s="69">
        <f>AVERAGE('27'!O8:O18)</f>
        <v>3.3181818181818183</v>
      </c>
      <c r="P19" s="190" t="e">
        <f>AVERAGE('27'!P7:P18)</f>
        <v>#DIV/0!</v>
      </c>
      <c r="Q19" s="191" t="e">
        <f>AVERAGE('27'!Q7:Q18)</f>
        <v>#DIV/0!</v>
      </c>
      <c r="R19" s="191">
        <f>AVERAGE('27'!R7:R18)</f>
        <v>979</v>
      </c>
      <c r="S19" s="191">
        <f>AVERAGE('27'!S7:S18)</f>
        <v>69.705154231816962</v>
      </c>
      <c r="T19" s="946"/>
      <c r="U19" s="946"/>
      <c r="V19" s="49"/>
      <c r="W19" s="50"/>
      <c r="X19" s="13">
        <v>0.58333333333333304</v>
      </c>
      <c r="Y19" s="54">
        <v>2566</v>
      </c>
      <c r="Z19" s="54">
        <v>979</v>
      </c>
      <c r="AA19" s="15">
        <v>1</v>
      </c>
      <c r="AB19" s="58">
        <f>IF('27'!AA19=1,(('27'!Z19*'27'!$AS$6*'27'!$AT$6)/('27'!Y19*0.0036)),IF('27'!AA19=2,(('27'!Z19*'27'!$AS$7*'27'!$AT$7)/('27'!Y19*0.0036))))</f>
        <v>70.476638953840833</v>
      </c>
      <c r="AC19" s="58"/>
      <c r="AD19" s="18">
        <f>(('27'!AC19*'27'!$Q$10*1000000))/('27'!Y19*3600)</f>
        <v>0</v>
      </c>
      <c r="AE19" s="183"/>
      <c r="AF19" s="184">
        <f>('27'!AE19/24)*0.454</f>
        <v>0</v>
      </c>
      <c r="AG19" s="19"/>
      <c r="AH19" s="184">
        <f>('27'!AG19/24)*0.454</f>
        <v>0</v>
      </c>
      <c r="AI19" s="183">
        <v>5400</v>
      </c>
      <c r="AJ19" s="184">
        <f>('27'!AI19/24)*0.454</f>
        <v>102.15</v>
      </c>
      <c r="AK19" s="21"/>
      <c r="AL19" s="185">
        <f>('27'!AK19/24)*0.454</f>
        <v>0</v>
      </c>
      <c r="AM19" s="21"/>
      <c r="AN19" s="185">
        <f>('27'!AM19/24)*0.454</f>
        <v>0</v>
      </c>
      <c r="AO19" s="21"/>
      <c r="AP19" s="185">
        <f>('27'!AO19/24)*0.454</f>
        <v>0</v>
      </c>
    </row>
    <row r="20" spans="1:42" ht="18.75" customHeight="1">
      <c r="A20" s="10" t="s">
        <v>53</v>
      </c>
      <c r="B20" s="189">
        <f>MAX('27'!B7:B18)</f>
        <v>80</v>
      </c>
      <c r="C20" s="69">
        <f>MAX('27'!C7:C18)</f>
        <v>15</v>
      </c>
      <c r="D20" s="69">
        <f>MAX('27'!D7:D18)</f>
        <v>17.5</v>
      </c>
      <c r="E20" s="69">
        <f>MAX('27'!E7:E18)</f>
        <v>2.5</v>
      </c>
      <c r="F20" s="69">
        <f>MAX('27'!F7:F18)</f>
        <v>13</v>
      </c>
      <c r="G20" s="69">
        <f>MAX('27'!G7:G18)</f>
        <v>2.5</v>
      </c>
      <c r="H20" s="69">
        <f>MAX('27'!H7:H18)</f>
        <v>2.8</v>
      </c>
      <c r="I20" s="69">
        <f>MAX('27'!I7:I18)</f>
        <v>0.6</v>
      </c>
      <c r="J20" s="69">
        <f>MAX('27'!J7:J18)</f>
        <v>0.7</v>
      </c>
      <c r="K20" s="69">
        <f>MAX('27'!K8:K18)</f>
        <v>7.3</v>
      </c>
      <c r="L20" s="69">
        <f>MAX('27'!L8:L18)</f>
        <v>6.8</v>
      </c>
      <c r="M20" s="69">
        <f>MAX('27'!M8:M18)</f>
        <v>6.8</v>
      </c>
      <c r="N20" s="69">
        <f>MAX('27'!N8:N18)</f>
        <v>6.5</v>
      </c>
      <c r="O20" s="70">
        <f>MAX('27'!O8:O18)</f>
        <v>3.5</v>
      </c>
      <c r="P20" s="70">
        <f>MAX('27'!P7:P18)</f>
        <v>0</v>
      </c>
      <c r="Q20" s="70">
        <f>MAX('27'!Q7:Q18)</f>
        <v>0</v>
      </c>
      <c r="R20" s="70">
        <f>MAX('27'!R7:R18)</f>
        <v>979</v>
      </c>
      <c r="S20" s="70">
        <f>MAX('27'!S7:S18)</f>
        <v>70.91884531590415</v>
      </c>
      <c r="T20" s="946"/>
      <c r="U20" s="946"/>
      <c r="X20" s="13">
        <v>0.625</v>
      </c>
      <c r="Y20" s="54">
        <v>2611</v>
      </c>
      <c r="Z20" s="54">
        <v>979</v>
      </c>
      <c r="AA20" s="15">
        <v>1</v>
      </c>
      <c r="AB20" s="58">
        <f>IF('27'!AA20=1,(('27'!Z20*'27'!$AS$6*'27'!$AT$6)/('27'!Y20*0.0036)),IF('27'!AA20=2,(('27'!Z20*'27'!$AS$7*'27'!$AT$7)/('27'!Y20*0.0036))))</f>
        <v>69.261989871909449</v>
      </c>
      <c r="AC20" s="58"/>
      <c r="AD20" s="18">
        <f>(('27'!AC20*'27'!$Q$10*1000000))/('27'!Y20*3600)</f>
        <v>0</v>
      </c>
      <c r="AE20" s="183"/>
      <c r="AF20" s="184">
        <f>('27'!AE20/24)*0.454</f>
        <v>0</v>
      </c>
      <c r="AG20" s="19"/>
      <c r="AH20" s="184">
        <f>('27'!AG20/24)*0.454</f>
        <v>0</v>
      </c>
      <c r="AI20" s="183">
        <v>5400</v>
      </c>
      <c r="AJ20" s="184">
        <f>('27'!AI20/24)*0.454</f>
        <v>102.15</v>
      </c>
      <c r="AK20" s="21"/>
      <c r="AL20" s="185">
        <f>('27'!AK20/24)*0.454</f>
        <v>0</v>
      </c>
      <c r="AM20" s="21"/>
      <c r="AN20" s="185">
        <f>('27'!AM20/24)*0.454</f>
        <v>0</v>
      </c>
      <c r="AO20" s="21"/>
      <c r="AP20" s="185">
        <f>('27'!AO20/24)*0.454</f>
        <v>0</v>
      </c>
    </row>
    <row r="21" spans="1:42" ht="19.5" customHeight="1">
      <c r="A21" s="10" t="s">
        <v>54</v>
      </c>
      <c r="B21" s="189">
        <f>MIN('27'!B7:B18)</f>
        <v>80</v>
      </c>
      <c r="C21" s="69">
        <f>MIN('27'!C7:C18)</f>
        <v>15</v>
      </c>
      <c r="D21" s="69">
        <f>MIN('27'!D7:D18)</f>
        <v>15</v>
      </c>
      <c r="E21" s="69">
        <f>MIN('27'!E7:E18)</f>
        <v>2.5</v>
      </c>
      <c r="F21" s="69">
        <f>MIN('27'!F7:F18)</f>
        <v>12</v>
      </c>
      <c r="G21" s="69">
        <f>MIN('27'!G7:G18)</f>
        <v>1.8</v>
      </c>
      <c r="H21" s="192">
        <f>MIN('27'!H7:H18)</f>
        <v>2.2000000000000002</v>
      </c>
      <c r="I21" s="192">
        <f>MIN('27'!I7:I18)</f>
        <v>0.4</v>
      </c>
      <c r="J21" s="192">
        <f>MIN('27'!J7:J18)</f>
        <v>0.5</v>
      </c>
      <c r="K21" s="192">
        <f>MIN('27'!K8:K18)</f>
        <v>7.3</v>
      </c>
      <c r="L21" s="192">
        <f>MIN('27'!L8:L18)</f>
        <v>6.7</v>
      </c>
      <c r="M21" s="192">
        <f>MIN('27'!M8:M18)</f>
        <v>6.7</v>
      </c>
      <c r="N21" s="192">
        <f>MIN('27'!N8:N18)</f>
        <v>6.4</v>
      </c>
      <c r="O21" s="193">
        <f>MIN('27'!O8:O18)</f>
        <v>3.2</v>
      </c>
      <c r="P21" s="193">
        <f>MIN('27'!P7:P18)</f>
        <v>0</v>
      </c>
      <c r="Q21" s="193">
        <f>MIN('27'!Q7:Q18)</f>
        <v>0</v>
      </c>
      <c r="R21" s="193">
        <f>MIN('27'!R7:R18)</f>
        <v>979</v>
      </c>
      <c r="S21" s="193">
        <f>MIN('27'!S7:S18)</f>
        <v>67.858557431728173</v>
      </c>
      <c r="T21" s="946"/>
      <c r="U21" s="946"/>
      <c r="X21" s="13">
        <v>0.66666666666666696</v>
      </c>
      <c r="Y21" s="54">
        <v>2610</v>
      </c>
      <c r="Z21" s="54">
        <v>979</v>
      </c>
      <c r="AA21" s="15">
        <v>1</v>
      </c>
      <c r="AB21" s="58">
        <f>IF('27'!AA21=1,(('27'!Z21*'27'!$AS$6*'27'!$AT$6)/('27'!Y21*0.0036)),IF('27'!AA21=2,(('27'!Z21*'27'!$AS$7*'27'!$AT$7)/('27'!Y21*0.0036))))</f>
        <v>69.288527032779925</v>
      </c>
      <c r="AC21" s="58"/>
      <c r="AD21" s="18">
        <f>(('27'!AC21*'27'!$Q$10*1000000))/('27'!Y21*3600)</f>
        <v>0</v>
      </c>
      <c r="AE21" s="183"/>
      <c r="AF21" s="184">
        <f>('27'!AE21/24)*0.454</f>
        <v>0</v>
      </c>
      <c r="AG21" s="19"/>
      <c r="AH21" s="184">
        <f>('27'!AG21/24)*0.454</f>
        <v>0</v>
      </c>
      <c r="AI21" s="183">
        <v>5400</v>
      </c>
      <c r="AJ21" s="184">
        <f>('27'!AI21/24)*0.454</f>
        <v>102.15</v>
      </c>
      <c r="AK21" s="21"/>
      <c r="AL21" s="185">
        <f>('27'!AK21/24)*0.454</f>
        <v>0</v>
      </c>
      <c r="AM21" s="21"/>
      <c r="AN21" s="185">
        <f>('27'!AM21/24)*0.454</f>
        <v>0</v>
      </c>
      <c r="AO21" s="21"/>
      <c r="AP21" s="185">
        <f>('27'!AO21/24)*0.454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54">
        <v>2530</v>
      </c>
      <c r="Z22" s="54">
        <v>979</v>
      </c>
      <c r="AA22" s="15">
        <v>1</v>
      </c>
      <c r="AB22" s="58">
        <f>IF('27'!AA22=1,(('27'!Z22*'27'!$AS$6*'27'!$AT$6)/('27'!Y22*0.0036)),IF('27'!AA22=2,(('27'!Z22*'27'!$AS$7*'27'!$AT$7)/('27'!Y22*0.0036))))</f>
        <v>71.479468599033822</v>
      </c>
      <c r="AC22" s="58"/>
      <c r="AD22" s="18">
        <f>(('27'!AC22*'27'!$Q$10*1000000))/('27'!Y22*3600)</f>
        <v>0</v>
      </c>
      <c r="AE22" s="183"/>
      <c r="AF22" s="184">
        <f>('27'!AE22/24)*0.454</f>
        <v>0</v>
      </c>
      <c r="AG22" s="19"/>
      <c r="AH22" s="184">
        <f>('27'!AG22/24)*0.454</f>
        <v>0</v>
      </c>
      <c r="AI22" s="183">
        <v>5400</v>
      </c>
      <c r="AJ22" s="184">
        <f>('27'!AI22/24)*0.454</f>
        <v>102.15</v>
      </c>
      <c r="AK22" s="21"/>
      <c r="AL22" s="185">
        <f>('27'!AK22/24)*0.454</f>
        <v>0</v>
      </c>
      <c r="AM22" s="21"/>
      <c r="AN22" s="185">
        <f>('27'!AM22/24)*0.454</f>
        <v>0</v>
      </c>
      <c r="AO22" s="21"/>
      <c r="AP22" s="185">
        <f>('27'!AO22/24)*0.454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54">
        <v>2575</v>
      </c>
      <c r="Z23" s="54">
        <v>979</v>
      </c>
      <c r="AA23" s="15">
        <v>1</v>
      </c>
      <c r="AB23" s="58">
        <f>IF('27'!AA23=1,(('27'!Z23*'27'!$AS$6*'27'!$AT$6)/('27'!Y23*0.0036)),IF('27'!AA23=2,(('27'!Z23*'27'!$AS$7*'27'!$AT$7)/('27'!Y23*0.0036))))</f>
        <v>70.230312837108968</v>
      </c>
      <c r="AC23" s="58"/>
      <c r="AD23" s="18">
        <f>(('27'!AC23*'27'!$Q$10*1000000))/('27'!Y23*3600)</f>
        <v>0</v>
      </c>
      <c r="AE23" s="183"/>
      <c r="AF23" s="184">
        <f>('27'!AE23/24)*0.454</f>
        <v>0</v>
      </c>
      <c r="AG23" s="19"/>
      <c r="AH23" s="184">
        <f>('27'!AG23/24)*0.454</f>
        <v>0</v>
      </c>
      <c r="AI23" s="183">
        <v>5400</v>
      </c>
      <c r="AJ23" s="184">
        <f>('27'!AI23/24)*0.454</f>
        <v>102.15</v>
      </c>
      <c r="AK23" s="21"/>
      <c r="AL23" s="185">
        <f>('27'!AK23/24)*0.454</f>
        <v>0</v>
      </c>
      <c r="AM23" s="21"/>
      <c r="AN23" s="185">
        <f>('27'!AM23/24)*0.454</f>
        <v>0</v>
      </c>
      <c r="AO23" s="21"/>
      <c r="AP23" s="185">
        <f>('27'!AO23/24)*0.454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54">
        <v>2571</v>
      </c>
      <c r="Z24" s="54">
        <v>979</v>
      </c>
      <c r="AA24" s="15">
        <v>1</v>
      </c>
      <c r="AB24" s="16">
        <f>IF('27'!AA24=1,(('27'!Z24*'27'!$AS$6*'27'!$AT$6)/('27'!Y24*0.0036)),IF('27'!AA24=2,(('27'!Z24*'27'!$AS$7*'27'!$AT$7)/('27'!Y24*0.0036))))</f>
        <v>70.339578201305173</v>
      </c>
      <c r="AC24" s="58"/>
      <c r="AD24" s="18">
        <f>(('27'!AC24*'27'!$Q$10*1000000))/('27'!Y24*3600)</f>
        <v>0</v>
      </c>
      <c r="AE24" s="183"/>
      <c r="AF24" s="195">
        <f>('27'!AE24/24)*0.454</f>
        <v>0</v>
      </c>
      <c r="AG24" s="173"/>
      <c r="AH24" s="195">
        <f>('27'!AG24/24)*0.454</f>
        <v>0</v>
      </c>
      <c r="AI24" s="183">
        <v>5400</v>
      </c>
      <c r="AJ24" s="195">
        <f>('27'!AI24/24)*0.454</f>
        <v>102.15</v>
      </c>
      <c r="AK24" s="21"/>
      <c r="AL24" s="196">
        <f>('27'!AK24/24)*0.454</f>
        <v>0</v>
      </c>
      <c r="AM24" s="197"/>
      <c r="AN24" s="196">
        <f>('27'!AM24/24)*0.454</f>
        <v>0</v>
      </c>
      <c r="AO24" s="21"/>
      <c r="AP24" s="196">
        <f>('27'!AO24/24)*0.454</f>
        <v>0</v>
      </c>
    </row>
    <row r="25" spans="1:42" ht="19.5" customHeight="1">
      <c r="A25" s="64">
        <v>0.41666666666666702</v>
      </c>
      <c r="B25" s="198">
        <v>0.4</v>
      </c>
      <c r="C25" s="198">
        <v>0.51</v>
      </c>
      <c r="D25" s="198">
        <v>0.53</v>
      </c>
      <c r="E25" s="199">
        <v>0.55000000000000004</v>
      </c>
      <c r="F25" s="199">
        <v>0.6</v>
      </c>
      <c r="G25" s="199">
        <v>0.49</v>
      </c>
      <c r="H25" s="199">
        <v>0.54</v>
      </c>
      <c r="I25" s="199">
        <v>0.57999999999999996</v>
      </c>
      <c r="J25" s="199">
        <v>0.72</v>
      </c>
      <c r="K25" s="199">
        <v>0.52</v>
      </c>
      <c r="L25" s="199">
        <v>0.54</v>
      </c>
      <c r="M25" s="199">
        <v>0.53</v>
      </c>
      <c r="N25" s="199">
        <v>0.61</v>
      </c>
      <c r="O25" s="199">
        <v>0.62</v>
      </c>
      <c r="P25" s="199">
        <v>0.38</v>
      </c>
      <c r="Q25" s="199">
        <v>0.32</v>
      </c>
      <c r="R25" s="65" t="e">
        <f>#DIV/0!</f>
        <v>#DIV/0!</v>
      </c>
      <c r="S25" s="66"/>
      <c r="T25" s="1118" t="s">
        <v>0</v>
      </c>
      <c r="U25" s="1049">
        <f>ESCALA!$A$29</f>
        <v>43917</v>
      </c>
      <c r="X25" s="13">
        <v>0.83333333333333304</v>
      </c>
      <c r="Y25" s="54">
        <v>2613</v>
      </c>
      <c r="Z25" s="54">
        <v>979</v>
      </c>
      <c r="AA25" s="15">
        <v>1</v>
      </c>
      <c r="AB25" s="58">
        <f>IF('27'!AA25=1,(('27'!Z25*'27'!$AS$6*'27'!$AT$6)/('27'!Y25*0.0036)),IF('27'!AA25=2,(('27'!Z25*'27'!$AS$7*'27'!$AT$7)/('27'!Y25*0.0036))))</f>
        <v>69.208976485095889</v>
      </c>
      <c r="AC25" s="58"/>
      <c r="AD25" s="18">
        <f>(('27'!AC25*'27'!$Q$10*1000000))/('27'!Y25*3600)</f>
        <v>0</v>
      </c>
      <c r="AE25" s="183"/>
      <c r="AF25" s="184">
        <f>('27'!AE25/24)*0.454</f>
        <v>0</v>
      </c>
      <c r="AG25" s="19"/>
      <c r="AH25" s="184">
        <f>('27'!AG25/24)*0.454</f>
        <v>0</v>
      </c>
      <c r="AI25" s="183">
        <v>5400</v>
      </c>
      <c r="AJ25" s="184">
        <f>('27'!AI25/24)*0.454</f>
        <v>102.15</v>
      </c>
      <c r="AK25" s="21"/>
      <c r="AL25" s="185">
        <f>('27'!AK25/24)*0.454</f>
        <v>0</v>
      </c>
      <c r="AM25" s="21"/>
      <c r="AN25" s="185">
        <f>('27'!AM25/24)*0.454</f>
        <v>0</v>
      </c>
      <c r="AO25" s="21"/>
      <c r="AP25" s="185">
        <f>('27'!AO25/24)*0.454</f>
        <v>0</v>
      </c>
    </row>
    <row r="26" spans="1:42" ht="19.5" customHeight="1">
      <c r="A26" s="64">
        <v>0.66666666666666696</v>
      </c>
      <c r="B26" s="198"/>
      <c r="C26" s="198"/>
      <c r="D26" s="198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65" t="e">
        <f>#DIV/0!</f>
        <v>#DIV/0!</v>
      </c>
      <c r="S26" s="67"/>
      <c r="T26" s="1118"/>
      <c r="U26" s="1049"/>
      <c r="X26" s="13">
        <v>0.875</v>
      </c>
      <c r="Y26" s="54">
        <v>2563</v>
      </c>
      <c r="Z26" s="54">
        <v>979</v>
      </c>
      <c r="AA26" s="15">
        <v>1</v>
      </c>
      <c r="AB26" s="58">
        <f>IF('27'!AA26=1,(('27'!Z26*'27'!$AS$6*'27'!$AT$6)/('27'!Y26*0.0036)),IF('27'!AA26=2,(('27'!Z26*'27'!$AS$7*'27'!$AT$7)/('27'!Y26*0.0036))))</f>
        <v>70.559132093466872</v>
      </c>
      <c r="AC26" s="58"/>
      <c r="AD26" s="18">
        <f>(('27'!AC26*'27'!$Q$10*1000000))/('27'!Y26*3600)</f>
        <v>0</v>
      </c>
      <c r="AE26" s="183"/>
      <c r="AF26" s="184">
        <f>('27'!AE26/24)*0.454</f>
        <v>0</v>
      </c>
      <c r="AG26" s="19"/>
      <c r="AH26" s="184">
        <f>('27'!AG26/24)*0.454</f>
        <v>0</v>
      </c>
      <c r="AI26" s="183">
        <v>5400</v>
      </c>
      <c r="AJ26" s="184">
        <f>('27'!AI26/24)*0.454</f>
        <v>102.15</v>
      </c>
      <c r="AK26" s="21"/>
      <c r="AL26" s="185">
        <f>('27'!AK26/24)*0.454</f>
        <v>0</v>
      </c>
      <c r="AM26" s="21"/>
      <c r="AN26" s="185">
        <f>('27'!AM26/24)*0.454</f>
        <v>0</v>
      </c>
      <c r="AO26" s="21"/>
      <c r="AP26" s="185">
        <f>('27'!AO26/24)*0.454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54">
        <v>2665</v>
      </c>
      <c r="Z27" s="54">
        <v>979</v>
      </c>
      <c r="AA27" s="15">
        <v>1</v>
      </c>
      <c r="AB27" s="58">
        <f>IF('27'!AA27=1,(('27'!Z27*'27'!$AS$6*'27'!$AT$6)/('27'!Y27*0.0036)),IF('27'!AA27=2,(('27'!Z27*'27'!$AS$7*'27'!$AT$7)/('27'!Y27*0.0036))))</f>
        <v>67.858557431728173</v>
      </c>
      <c r="AC27" s="58"/>
      <c r="AD27" s="18">
        <f>(('27'!AC27*'27'!$Q$10*1000000))/('27'!Y27*3600)</f>
        <v>0</v>
      </c>
      <c r="AE27" s="183"/>
      <c r="AF27" s="184">
        <f>('27'!AE27/24)*0.454</f>
        <v>0</v>
      </c>
      <c r="AG27" s="19"/>
      <c r="AH27" s="184">
        <f>('27'!AG27/24)*0.454</f>
        <v>0</v>
      </c>
      <c r="AI27" s="183">
        <v>5400</v>
      </c>
      <c r="AJ27" s="184">
        <f>('27'!AI27/24)*0.454</f>
        <v>102.15</v>
      </c>
      <c r="AK27" s="21"/>
      <c r="AL27" s="185">
        <f>('27'!AK27/24)*0.454</f>
        <v>0</v>
      </c>
      <c r="AM27" s="21"/>
      <c r="AN27" s="185">
        <f>('27'!AM27/24)*0.454</f>
        <v>0</v>
      </c>
      <c r="AO27" s="21"/>
      <c r="AP27" s="185">
        <f>('27'!AO27/24)*0.454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4">
        <v>2661</v>
      </c>
      <c r="Z28" s="54">
        <v>979</v>
      </c>
      <c r="AA28" s="15">
        <v>1</v>
      </c>
      <c r="AB28" s="58">
        <f>IF('27'!AA28=1,(('27'!Z28*'27'!$AS$6*'27'!$AT$6)/('27'!Y28*0.0036)),IF('27'!AA28=2,(('27'!Z28*'27'!$AS$7*'27'!$AT$7)/('27'!Y28*0.0036))))</f>
        <v>67.960562027642084</v>
      </c>
      <c r="AC28" s="58"/>
      <c r="AD28" s="18">
        <f>(('27'!AC28*'27'!$Q$10*1000000))/('27'!Y28*3600)</f>
        <v>0</v>
      </c>
      <c r="AE28" s="183"/>
      <c r="AF28" s="184">
        <f>('27'!AE28/24)*0.454</f>
        <v>0</v>
      </c>
      <c r="AG28" s="19"/>
      <c r="AH28" s="184">
        <f>('27'!AG28/24)*0.454</f>
        <v>0</v>
      </c>
      <c r="AI28" s="183">
        <v>5400</v>
      </c>
      <c r="AJ28" s="184">
        <f>('27'!AI28/24)*0.454</f>
        <v>102.15</v>
      </c>
      <c r="AK28" s="21"/>
      <c r="AL28" s="185">
        <f>('27'!AK28/24)*0.454</f>
        <v>0</v>
      </c>
      <c r="AM28" s="21"/>
      <c r="AN28" s="185">
        <f>('27'!AM28/24)*0.454</f>
        <v>0</v>
      </c>
      <c r="AO28" s="21"/>
      <c r="AP28" s="185">
        <f>('27'!AO28/24)*0.454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4">
        <v>2648</v>
      </c>
      <c r="Z29" s="54">
        <v>979</v>
      </c>
      <c r="AA29" s="15">
        <v>1</v>
      </c>
      <c r="AB29" s="58">
        <f>IF('27'!AA29=1,(('27'!Z29*'27'!$AS$6*'27'!$AT$6)/('27'!Y29*0.0036)),IF('27'!AA29=2,(('27'!Z29*'27'!$AS$7*'27'!$AT$7)/('27'!Y29*0.0036))))</f>
        <v>68.294205270224921</v>
      </c>
      <c r="AC29" s="58"/>
      <c r="AD29" s="18">
        <f>(('27'!AC29*'27'!$Q$10*1000000))/('27'!Y29*3600)</f>
        <v>0</v>
      </c>
      <c r="AE29" s="183"/>
      <c r="AF29" s="184">
        <f>('27'!AE29/24)*0.454</f>
        <v>0</v>
      </c>
      <c r="AG29" s="19"/>
      <c r="AH29" s="184">
        <f>('27'!AG29/24)*0.454</f>
        <v>0</v>
      </c>
      <c r="AI29" s="183">
        <v>5400</v>
      </c>
      <c r="AJ29" s="184">
        <f>('27'!AI29/24)*0.454</f>
        <v>102.15</v>
      </c>
      <c r="AK29" s="21"/>
      <c r="AL29" s="185">
        <f>('27'!AK29/24)*0.454</f>
        <v>0</v>
      </c>
      <c r="AM29" s="21"/>
      <c r="AN29" s="185">
        <f>('27'!AM29/24)*0.454</f>
        <v>0</v>
      </c>
      <c r="AO29" s="21"/>
      <c r="AP29" s="185">
        <f>('27'!AO29/24)*0.454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SUM('27'!Y6:Y29)*3.6</f>
        <v>224042.4</v>
      </c>
      <c r="Z30" s="335">
        <f>SUM('27'!Z6:Z29)</f>
        <v>23496</v>
      </c>
      <c r="AA30" s="78"/>
      <c r="AB30" s="79"/>
      <c r="AC30" s="78"/>
      <c r="AD30" s="79"/>
      <c r="AE30" s="34"/>
      <c r="AF30" s="184">
        <f>SUM('27'!AF6:AF29)</f>
        <v>0</v>
      </c>
      <c r="AG30" s="34"/>
      <c r="AH30" s="184">
        <f>SUM('27'!AH6:AH29)</f>
        <v>0</v>
      </c>
      <c r="AI30" s="34"/>
      <c r="AJ30" s="184">
        <f>SUM('27'!AJ6:AJ29)</f>
        <v>2451.6000000000008</v>
      </c>
      <c r="AK30" s="80"/>
      <c r="AL30" s="185">
        <f>SUM('27'!AL6:AL29)</f>
        <v>0</v>
      </c>
      <c r="AM30" s="80"/>
      <c r="AN30" s="185">
        <f>SUM('27'!AN6:AN29)</f>
        <v>0</v>
      </c>
      <c r="AO30" s="80"/>
      <c r="AP30" s="185">
        <f>SUM('27'!AP6:AP29)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SUMIF('28'!AA6:AA29,"=1",'28'!Z6:Z29)</f>
        <v>25464</v>
      </c>
      <c r="AA32" s="82">
        <f>'28'!Z32*'28'!AS6</f>
        <v>33867.120000000003</v>
      </c>
      <c r="AB32" s="83">
        <f>SUMIF('28'!$AA$6:$AA$29,"=1",'28'!$AB$6:$AB$29)/COUNTIF('28'!$AA$6:$AA$29,"=1")</f>
        <v>75.199870035488871</v>
      </c>
      <c r="AC32" s="84">
        <f>SUMIF('28'!AA6:AA29,"=1",'28'!AC6:AC29)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335">
        <f>SUMIF('27'!AA6:AA29,"=2",'27'!Z6:Z29)</f>
        <v>0</v>
      </c>
      <c r="AA33" s="335">
        <f>'27'!Z33*'27'!AS7</f>
        <v>0</v>
      </c>
      <c r="AB33" s="83" t="e">
        <f>SUMIF('27'!$AA$6:$AA$29,"=2",'27'!$AB$6:$AB$29)/COUNTIF('27'!$AA$6:$AA$29,"=2")</f>
        <v>#DIV/0!</v>
      </c>
      <c r="AC33" s="89">
        <f>SUMIF('27'!AA6:AA29,"=2",'27'!AC6:AC29)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AVERAGE('27'!Y6:Y29)</f>
        <v>2593.0833333333335</v>
      </c>
      <c r="Z34" s="96">
        <f>AVERAGE('27'!Z6:Z29)</f>
        <v>979</v>
      </c>
      <c r="AA34" s="97"/>
      <c r="AB34" s="97"/>
      <c r="AC34" s="98">
        <f>SUM('27'!AC6:AC29)/COUNTIF('27'!AC6:AC29,"&lt;&gt;0")</f>
        <v>0</v>
      </c>
      <c r="AD34" s="99" t="e">
        <f>SUM('27'!AD6:AD29)/COUNTIF('27'!AD6:AD29,"&lt;&gt;0")</f>
        <v>#DIV/0!</v>
      </c>
      <c r="AE34" s="78"/>
      <c r="AF34" s="98">
        <f>AVERAGE('27'!AF6:AF29)</f>
        <v>0</v>
      </c>
      <c r="AG34" s="98"/>
      <c r="AH34" s="98">
        <f>AVERAGE('27'!AH6:AH29)</f>
        <v>0</v>
      </c>
      <c r="AI34" s="98"/>
      <c r="AJ34" s="98">
        <f>'27'!AJ30/24</f>
        <v>102.15000000000003</v>
      </c>
      <c r="AK34" s="98"/>
      <c r="AL34" s="98">
        <f>AVERAGE('27'!AL6:AL29)</f>
        <v>0</v>
      </c>
      <c r="AM34" s="98"/>
      <c r="AN34" s="98">
        <f>AVERAGE('27'!AN6:AN29)</f>
        <v>0</v>
      </c>
      <c r="AO34" s="98"/>
      <c r="AP34" s="98">
        <f>AVERAGE('27'!AP6:AP29)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50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104" t="s">
        <v>40</v>
      </c>
      <c r="D36" s="104" t="s">
        <v>70</v>
      </c>
      <c r="E36" s="104" t="s">
        <v>71</v>
      </c>
      <c r="F36" s="104" t="s">
        <v>40</v>
      </c>
      <c r="G36" s="104" t="s">
        <v>72</v>
      </c>
      <c r="H36" s="104" t="s">
        <v>71</v>
      </c>
      <c r="I36" s="104" t="s">
        <v>40</v>
      </c>
      <c r="J36" s="104" t="s">
        <v>72</v>
      </c>
      <c r="K36" s="104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50"/>
      <c r="X36" s="105" t="s">
        <v>73</v>
      </c>
      <c r="Y36" s="106"/>
      <c r="Z36" s="107"/>
      <c r="AA36" s="108" t="s">
        <v>74</v>
      </c>
      <c r="AB36" s="106">
        <v>5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90.8</v>
      </c>
      <c r="D37" s="204">
        <v>60.5</v>
      </c>
      <c r="E37" s="336">
        <v>51.4</v>
      </c>
      <c r="F37" s="186">
        <v>1</v>
      </c>
      <c r="G37" s="183">
        <v>0</v>
      </c>
      <c r="H37" s="183">
        <v>0</v>
      </c>
      <c r="I37" s="183">
        <v>0.2</v>
      </c>
      <c r="J37" s="183">
        <v>0.15</v>
      </c>
      <c r="K37" s="183">
        <v>0.03</v>
      </c>
      <c r="L37" s="1026">
        <v>0</v>
      </c>
      <c r="M37" s="1026"/>
      <c r="N37" s="1026"/>
      <c r="O37" s="10"/>
      <c r="P37" s="10"/>
      <c r="Q37" s="10"/>
      <c r="R37" s="10"/>
      <c r="S37" s="10"/>
      <c r="T37" s="10"/>
      <c r="U37" s="236">
        <f>'27'!V12</f>
        <v>0</v>
      </c>
      <c r="X37" s="962" t="s">
        <v>75</v>
      </c>
      <c r="Y37" s="962"/>
      <c r="Z37" s="110">
        <f>COUNTA('27'!Z6:Z29)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SUM('27'!AF30+'27'!AH30)</f>
        <v>0</v>
      </c>
      <c r="AL38" s="210" t="s">
        <v>78</v>
      </c>
      <c r="AM38" s="212">
        <f>SUM('27'!AL30+'27'!AN30)</f>
        <v>0</v>
      </c>
      <c r="AO38" s="210" t="s">
        <v>78</v>
      </c>
      <c r="AP38" s="211">
        <f>'27'!AJ30</f>
        <v>2451.6000000000008</v>
      </c>
      <c r="AQ38" s="210" t="s">
        <v>78</v>
      </c>
      <c r="AR38" s="212">
        <f>'27'!AP30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('27'!AK38/'27'!Y30)*1000</f>
        <v>0</v>
      </c>
      <c r="AL39" s="215" t="s">
        <v>86</v>
      </c>
      <c r="AM39" s="216">
        <f>('27'!AM38/'27'!Y30)*1000</f>
        <v>0</v>
      </c>
      <c r="AO39" s="213" t="s">
        <v>86</v>
      </c>
      <c r="AP39" s="214">
        <f>('27'!AP38/'27'!Y30)*1000</f>
        <v>10.942571584664336</v>
      </c>
      <c r="AQ39" s="215" t="s">
        <v>86</v>
      </c>
      <c r="AR39" s="216">
        <f>('27'!AR38/'27'!Y30)*1000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SUM('27'!AK38,'27'!AM38)</f>
        <v>0</v>
      </c>
      <c r="AM40" s="975"/>
      <c r="AO40" s="976" t="s">
        <v>90</v>
      </c>
      <c r="AP40" s="976"/>
      <c r="AQ40" s="977">
        <f>SUM('27'!AP38,'27'!AR38)</f>
        <v>2451.6000000000008</v>
      </c>
      <c r="AR40" s="977"/>
    </row>
    <row r="41" spans="1:44" ht="16.5" customHeight="1">
      <c r="A41" s="133">
        <f>COUNTA('27'!E7:E18)</f>
        <v>12</v>
      </c>
      <c r="B41" s="134">
        <f>COUNTA('27'!I7:I18)</f>
        <v>12</v>
      </c>
      <c r="C41" s="978">
        <f>COUNTA('27'!J7:J18)</f>
        <v>12</v>
      </c>
      <c r="D41" s="978">
        <f>COUNTA('27'!K8:K18)</f>
        <v>11</v>
      </c>
      <c r="E41" s="978">
        <f>COUNTIF('27'!E7:E18,"&gt;15")</f>
        <v>0</v>
      </c>
      <c r="F41" s="978"/>
      <c r="G41" s="978">
        <f>COUNTIF('27'!J7:J18,"&gt;1")</f>
        <v>0</v>
      </c>
      <c r="H41" s="978"/>
      <c r="I41" s="135"/>
      <c r="J41" s="978">
        <f>'27'!A41-'27'!E41</f>
        <v>12</v>
      </c>
      <c r="K41" s="978"/>
      <c r="L41" s="978">
        <f>'27'!C41-'27'!G41</f>
        <v>12</v>
      </c>
      <c r="M41" s="978"/>
      <c r="N41" s="135"/>
      <c r="O41" s="979">
        <f>COUNTIF('27'!J7:J18,"&lt;=0,5")</f>
        <v>7</v>
      </c>
      <c r="P41" s="979"/>
      <c r="Q41" s="979"/>
      <c r="R41" s="969"/>
      <c r="S41" s="980">
        <f>COUNTIF('27'!J7:J18,"&lt;=1,0")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SUM(('27'!AK38+'27'!AM38)/'27'!Y30)*1000</f>
        <v>0</v>
      </c>
      <c r="AM41" s="981"/>
      <c r="AO41" s="976" t="s">
        <v>91</v>
      </c>
      <c r="AP41" s="976"/>
      <c r="AQ41" s="981">
        <f>SUM(('27'!AP38+'27'!AR38)/'27'!Y30)*1000</f>
        <v>10.942571584664336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>
        <v>80</v>
      </c>
      <c r="Z44" s="144" t="s">
        <v>101</v>
      </c>
      <c r="AA44" s="145">
        <v>0</v>
      </c>
      <c r="AB44" s="144" t="s">
        <v>101</v>
      </c>
      <c r="AC44" s="145">
        <v>149</v>
      </c>
      <c r="AD44" s="988"/>
      <c r="AE44" s="988"/>
      <c r="AF44" s="989" t="s">
        <v>102</v>
      </c>
      <c r="AG44" s="1002">
        <f>SUM('27'!Y45,'27'!AA45,'27'!AC45,'27'!AE45)</f>
        <v>216401.3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COUNTIF('27'!I7:I18,"&lt;=5,0")</f>
        <v>12</v>
      </c>
      <c r="I45" s="992"/>
      <c r="J45" s="992"/>
      <c r="K45" s="135"/>
      <c r="L45" s="974">
        <f>COUNTA('27'!L37)</f>
        <v>1</v>
      </c>
      <c r="M45" s="974"/>
      <c r="O45" s="146"/>
      <c r="P45" s="147"/>
      <c r="Q45" s="993">
        <f>'27'!S41-'27'!O41</f>
        <v>5</v>
      </c>
      <c r="R45" s="993"/>
      <c r="S45" s="993"/>
      <c r="T45" s="148"/>
      <c r="X45" s="149" t="s">
        <v>104</v>
      </c>
      <c r="Y45" s="150">
        <f>'27'!Y44*275.3</f>
        <v>22024</v>
      </c>
      <c r="Z45" s="149" t="s">
        <v>104</v>
      </c>
      <c r="AA45" s="150">
        <f>262.4*'27'!AA44</f>
        <v>0</v>
      </c>
      <c r="AB45" s="149" t="s">
        <v>104</v>
      </c>
      <c r="AC45" s="150">
        <f>'27'!AC44*277.7</f>
        <v>41377.299999999996</v>
      </c>
      <c r="AD45" s="149" t="s">
        <v>104</v>
      </c>
      <c r="AE45" s="151">
        <v>153000</v>
      </c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79"/>
      <c r="AP45" s="1079"/>
      <c r="AQ45" s="142"/>
      <c r="AR45" s="143"/>
    </row>
    <row r="46" spans="1:44" ht="15.75" customHeight="1">
      <c r="F46" s="152"/>
      <c r="X46" s="153" t="s">
        <v>105</v>
      </c>
      <c r="Y46" s="154">
        <f>'27'!AS6</f>
        <v>1.33</v>
      </c>
      <c r="Z46" s="153" t="s">
        <v>105</v>
      </c>
      <c r="AA46" s="155">
        <f>'27'!Y46</f>
        <v>1.33</v>
      </c>
      <c r="AB46" s="153" t="s">
        <v>105</v>
      </c>
      <c r="AC46" s="155">
        <f>'27'!Y46</f>
        <v>1.33</v>
      </c>
      <c r="AD46" s="153" t="s">
        <v>105</v>
      </c>
      <c r="AE46" s="156">
        <f>'27'!Y46</f>
        <v>1.33</v>
      </c>
      <c r="AF46" s="995" t="s">
        <v>106</v>
      </c>
      <c r="AG46" s="996">
        <f>SUM('27'!Y47,'27'!AA47,'27'!AC47,'27'!AE47)</f>
        <v>287813.72899999999</v>
      </c>
      <c r="AI46" s="144" t="s">
        <v>101</v>
      </c>
      <c r="AJ46" s="145"/>
      <c r="AK46" s="144" t="s">
        <v>101</v>
      </c>
      <c r="AL46" s="145"/>
      <c r="AM46" s="144" t="s">
        <v>101</v>
      </c>
      <c r="AN46" s="145"/>
      <c r="AO46" s="1079"/>
      <c r="AP46" s="1079"/>
      <c r="AQ46" s="989" t="s">
        <v>102</v>
      </c>
      <c r="AR46" s="990">
        <f>SUM('10'!AJ47,'10'!AL47,'10'!AN47,'10'!AP47)</f>
        <v>0</v>
      </c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'27'!Y45*'27'!Y46</f>
        <v>29291.920000000002</v>
      </c>
      <c r="Z47" s="149" t="s">
        <v>108</v>
      </c>
      <c r="AA47" s="150">
        <f>'27'!AA45*'27'!AA46</f>
        <v>0</v>
      </c>
      <c r="AB47" s="149" t="s">
        <v>108</v>
      </c>
      <c r="AC47" s="150">
        <f>'27'!AC45*'27'!AC46</f>
        <v>55031.808999999994</v>
      </c>
      <c r="AD47" s="149" t="s">
        <v>108</v>
      </c>
      <c r="AE47" s="150">
        <f>'27'!AE45*'27'!AE46</f>
        <v>203490</v>
      </c>
      <c r="AF47" s="995"/>
      <c r="AG47" s="996"/>
      <c r="AI47" s="149" t="s">
        <v>104</v>
      </c>
      <c r="AJ47" s="150">
        <f>AJ46*275.3</f>
        <v>0</v>
      </c>
      <c r="AK47" s="149" t="s">
        <v>104</v>
      </c>
      <c r="AL47" s="150">
        <f>262.4*'10'!AL46</f>
        <v>0</v>
      </c>
      <c r="AM47" s="149" t="s">
        <v>104</v>
      </c>
      <c r="AN47" s="150">
        <f>AN46*277.7</f>
        <v>0</v>
      </c>
      <c r="AO47" s="1079"/>
      <c r="AP47" s="1079"/>
      <c r="AQ47" s="989"/>
      <c r="AR47" s="990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Y46</f>
        <v>1.33</v>
      </c>
      <c r="AK48" s="160" t="s">
        <v>105</v>
      </c>
      <c r="AL48" s="154">
        <f>'10'!AJ48</f>
        <v>1.33</v>
      </c>
      <c r="AM48" s="160" t="s">
        <v>105</v>
      </c>
      <c r="AN48" s="154">
        <f>AJ48</f>
        <v>1.33</v>
      </c>
      <c r="AO48" s="1079"/>
      <c r="AP48" s="1079"/>
      <c r="AQ48" s="995" t="s">
        <v>106</v>
      </c>
      <c r="AR48" s="996">
        <f>SUM('10'!AJ49,'10'!AL49,'10'!AN49,'10'!AP49)</f>
        <v>0</v>
      </c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AJ47*AJ48</f>
        <v>0</v>
      </c>
      <c r="AK49" s="149" t="s">
        <v>108</v>
      </c>
      <c r="AL49" s="150">
        <f>'10'!AL47*'10'!AL48</f>
        <v>0</v>
      </c>
      <c r="AM49" s="149" t="s">
        <v>108</v>
      </c>
      <c r="AN49" s="150">
        <f>AN47*AN48</f>
        <v>0</v>
      </c>
      <c r="AO49" s="1079"/>
      <c r="AP49" s="1079"/>
      <c r="AQ49" s="995"/>
      <c r="AR49" s="99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COUNTA('27'!O7:O18)</f>
        <v>12</v>
      </c>
      <c r="P51" s="974">
        <f>COUNTA('27'!W17:W28)</f>
        <v>0</v>
      </c>
      <c r="R51" s="992">
        <f>COUNTIF('27'!O7:O18,"&gt;=0,5")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SUM('27'!Y53,'27'!AA53,'27'!AC53,'27'!AE53)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79"/>
      <c r="AP52" s="1079"/>
      <c r="AQ52" s="313"/>
      <c r="AR52" s="31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'27'!Y52*275.3</f>
        <v>0</v>
      </c>
      <c r="Z53" s="149" t="s">
        <v>104</v>
      </c>
      <c r="AA53" s="150">
        <f>262.4*'27'!AA52</f>
        <v>0</v>
      </c>
      <c r="AB53" s="149" t="s">
        <v>104</v>
      </c>
      <c r="AC53" s="167">
        <f>'27'!AC52*277.7</f>
        <v>0</v>
      </c>
      <c r="AD53" s="149" t="s">
        <v>104</v>
      </c>
      <c r="AE53" s="230">
        <v>0</v>
      </c>
      <c r="AF53" s="989"/>
      <c r="AG53" s="1002"/>
      <c r="AI53" s="144" t="s">
        <v>101</v>
      </c>
      <c r="AJ53" s="166"/>
      <c r="AK53" s="144" t="s">
        <v>101</v>
      </c>
      <c r="AL53" s="164"/>
      <c r="AM53" s="144" t="s">
        <v>101</v>
      </c>
      <c r="AN53" s="164"/>
      <c r="AO53" s="1079"/>
      <c r="AP53" s="1079"/>
      <c r="AQ53" s="989" t="s">
        <v>102</v>
      </c>
      <c r="AR53" s="1002">
        <f>'10'!AJ54+'10'!AL54+'10'!AN54+'10'!AP54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'27'!AS7</f>
        <v>1.377</v>
      </c>
      <c r="Z54" s="153" t="s">
        <v>105</v>
      </c>
      <c r="AA54" s="155">
        <f>'27'!Y54</f>
        <v>1.377</v>
      </c>
      <c r="AB54" s="153" t="s">
        <v>105</v>
      </c>
      <c r="AC54" s="155">
        <f>'27'!Y54</f>
        <v>1.377</v>
      </c>
      <c r="AD54" s="153" t="s">
        <v>105</v>
      </c>
      <c r="AE54" s="156">
        <v>1.377</v>
      </c>
      <c r="AF54" s="995" t="s">
        <v>106</v>
      </c>
      <c r="AG54" s="996">
        <f>SUM('27'!Y55,'27'!AA55,'27'!AC55,'27'!AE55)</f>
        <v>0</v>
      </c>
      <c r="AI54" s="149" t="s">
        <v>104</v>
      </c>
      <c r="AJ54" s="150">
        <f>AJ53*275.3</f>
        <v>0</v>
      </c>
      <c r="AK54" s="149" t="s">
        <v>104</v>
      </c>
      <c r="AL54" s="150">
        <f>262.4*AL53</f>
        <v>0</v>
      </c>
      <c r="AM54" s="149" t="s">
        <v>104</v>
      </c>
      <c r="AN54" s="167">
        <f>AN53*277.7</f>
        <v>0</v>
      </c>
      <c r="AO54" s="1079"/>
      <c r="AP54" s="1079"/>
      <c r="AQ54" s="989"/>
      <c r="AR54" s="1002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'27'!Y53*'27'!Y54</f>
        <v>0</v>
      </c>
      <c r="Z55" s="149" t="s">
        <v>108</v>
      </c>
      <c r="AA55" s="150">
        <f>'27'!AA53*'27'!AA54</f>
        <v>0</v>
      </c>
      <c r="AB55" s="149" t="s">
        <v>108</v>
      </c>
      <c r="AC55" s="150">
        <f>'27'!AC53*'27'!AC54</f>
        <v>0</v>
      </c>
      <c r="AD55" s="149" t="s">
        <v>108</v>
      </c>
      <c r="AE55" s="150">
        <f>'27'!AE53*'27'!AE54</f>
        <v>0</v>
      </c>
      <c r="AF55" s="995"/>
      <c r="AG55" s="996"/>
      <c r="AI55" s="153" t="s">
        <v>105</v>
      </c>
      <c r="AJ55" s="154">
        <f>Y54</f>
        <v>1.377</v>
      </c>
      <c r="AK55" s="153" t="s">
        <v>105</v>
      </c>
      <c r="AL55" s="154">
        <f>AJ55</f>
        <v>1.377</v>
      </c>
      <c r="AM55" s="153" t="s">
        <v>105</v>
      </c>
      <c r="AN55" s="154">
        <f>AJ55</f>
        <v>1.377</v>
      </c>
      <c r="AO55" s="1079"/>
      <c r="AP55" s="1079"/>
      <c r="AQ55" s="995" t="s">
        <v>106</v>
      </c>
      <c r="AR55" s="996">
        <f>SUM('10'!AJ56,'10'!AL56,'10'!AN56,'10'!AP56)</f>
        <v>0</v>
      </c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AJ54*AJ55</f>
        <v>0</v>
      </c>
      <c r="AK56" s="149" t="s">
        <v>108</v>
      </c>
      <c r="AL56" s="150">
        <f>AL54*AL55</f>
        <v>0</v>
      </c>
      <c r="AM56" s="149" t="s">
        <v>108</v>
      </c>
      <c r="AN56" s="150">
        <f>AN54*AN55</f>
        <v>0</v>
      </c>
      <c r="AO56" s="1079"/>
      <c r="AP56" s="1079"/>
      <c r="AQ56" s="995"/>
      <c r="AR56" s="996"/>
    </row>
    <row r="57" spans="15:44" ht="15.75" customHeight="1">
      <c r="O57" s="1003">
        <f>COUNTA('27'!N7:N18)</f>
        <v>12</v>
      </c>
      <c r="P57" s="1003"/>
      <c r="R57" s="1004">
        <f>COUNTIF('27'!N7:N18,"&gt;=6")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33867.120000000003</v>
      </c>
      <c r="AR62" s="1016"/>
    </row>
    <row r="63" spans="15:44" ht="15" customHeight="1">
      <c r="X63" s="170" t="s">
        <v>124</v>
      </c>
      <c r="Y63" s="171">
        <v>0</v>
      </c>
      <c r="Z63" s="1013"/>
      <c r="AA63" s="1013"/>
      <c r="AB63" s="172" t="s">
        <v>124</v>
      </c>
      <c r="AC63" s="173">
        <v>0</v>
      </c>
      <c r="AE63" s="337" t="s">
        <v>155</v>
      </c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-33867.120000000003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>
        <f>'26'!$Y$68</f>
        <v>-17914.083333333332</v>
      </c>
      <c r="Z65" s="1013"/>
      <c r="AA65" s="1013"/>
      <c r="AB65" s="176" t="s">
        <v>126</v>
      </c>
      <c r="AC65" s="241">
        <f>'26'!$AC$68</f>
        <v>-472.9166666666668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280">
        <f>SUM('27'!AK38,'27'!AP38)</f>
        <v>2451.6000000000008</v>
      </c>
      <c r="Z67" s="1013"/>
      <c r="AA67" s="1013"/>
      <c r="AB67" s="172" t="s">
        <v>124</v>
      </c>
      <c r="AC67" s="169">
        <f>SUM('27'!AM38,'27'!AR38)</f>
        <v>0</v>
      </c>
    </row>
    <row r="68" spans="24:29" ht="15.75" customHeight="1">
      <c r="X68" s="170" t="s">
        <v>128</v>
      </c>
      <c r="Y68" s="179">
        <f>SUM('27'!Y63,'27'!Y65)-'27'!Y67</f>
        <v>-20365.683333333334</v>
      </c>
      <c r="Z68" s="1013"/>
      <c r="AA68" s="1013"/>
      <c r="AB68" s="172" t="s">
        <v>128</v>
      </c>
      <c r="AC68" s="180">
        <f>SUM('27'!AC63,'27'!AC65)-'27'!AC67</f>
        <v>-472.9166666666668</v>
      </c>
    </row>
  </sheetData>
  <sheetProtection password="E1DF" sheet="1" objects="1" scenarios="1" selectLockedCells="1"/>
  <autoFilter ref="X32:AD37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K1" zoomScaleNormal="100" workbookViewId="0">
      <selection activeCell="Y29" sqref="Y29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149</v>
      </c>
      <c r="AF4" s="937" t="s">
        <v>150</v>
      </c>
      <c r="AG4" s="937" t="s">
        <v>151</v>
      </c>
      <c r="AH4" s="937" t="s">
        <v>152</v>
      </c>
      <c r="AI4" s="937" t="s">
        <v>153</v>
      </c>
      <c r="AJ4" s="937" t="s">
        <v>154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4">
        <v>2646</v>
      </c>
      <c r="Z6" s="54">
        <v>1061</v>
      </c>
      <c r="AA6" s="15">
        <v>1</v>
      </c>
      <c r="AB6" s="58">
        <f>IF('28'!AA6=1,(('28'!Z6*'28'!$AS$6*'28'!$AT$6)/('28'!Y6*0.0036)),IF('28'!AA6=2,(('28'!Z6*'28'!$AS$7*'28'!$AT$7)/('28'!Y6*0.0036))))</f>
        <v>74.070399764844225</v>
      </c>
      <c r="AC6" s="58"/>
      <c r="AD6" s="18">
        <f>(('28'!AC6*'28'!$Q$10*1000000))/('28'!Y6*3600)</f>
        <v>0</v>
      </c>
      <c r="AE6" s="183"/>
      <c r="AF6" s="184">
        <f>('28'!AE6/24)*0.454</f>
        <v>0</v>
      </c>
      <c r="AG6" s="19"/>
      <c r="AH6" s="184">
        <f>('28'!AG6/24)*0.454</f>
        <v>0</v>
      </c>
      <c r="AI6" s="182">
        <v>5400</v>
      </c>
      <c r="AJ6" s="184">
        <f>('28'!AI6/24)*0.454</f>
        <v>102.15</v>
      </c>
      <c r="AK6" s="21"/>
      <c r="AL6" s="185">
        <f>('28'!AK6/24)*0.454</f>
        <v>0</v>
      </c>
      <c r="AM6" s="21"/>
      <c r="AN6" s="185">
        <f>('28'!AM6/24)*0.454</f>
        <v>0</v>
      </c>
      <c r="AO6" s="21"/>
      <c r="AP6" s="338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6">
        <v>80</v>
      </c>
      <c r="C7" s="186">
        <v>15</v>
      </c>
      <c r="D7" s="186">
        <v>15</v>
      </c>
      <c r="E7" s="186">
        <v>2.5</v>
      </c>
      <c r="F7" s="186">
        <v>13</v>
      </c>
      <c r="G7" s="186">
        <v>2.5</v>
      </c>
      <c r="H7" s="186">
        <v>2.6</v>
      </c>
      <c r="I7" s="186">
        <v>0.6</v>
      </c>
      <c r="J7" s="186">
        <v>0.7</v>
      </c>
      <c r="K7" s="186">
        <v>7.3</v>
      </c>
      <c r="L7" s="186">
        <v>6.6</v>
      </c>
      <c r="M7" s="186">
        <v>6.6</v>
      </c>
      <c r="N7" s="186">
        <v>6.3</v>
      </c>
      <c r="O7" s="186">
        <v>3.2</v>
      </c>
      <c r="P7" s="186"/>
      <c r="Q7" s="188"/>
      <c r="R7" s="37">
        <f>'27'!$Z$29</f>
        <v>979</v>
      </c>
      <c r="S7" s="187">
        <f>'27'!$AB$29</f>
        <v>68.294205270224921</v>
      </c>
      <c r="T7" s="37">
        <f>'27'!$Y$29</f>
        <v>2648</v>
      </c>
      <c r="U7" s="33" t="str">
        <f>IF('28'!AA6=1,'28'!AR6,'28'!AR7)</f>
        <v>S.A.L</v>
      </c>
      <c r="V7" s="1022">
        <f>ESCALA!$C$29</f>
        <v>0</v>
      </c>
      <c r="W7" s="1022"/>
      <c r="X7" s="13">
        <v>8.3333333333333301E-2</v>
      </c>
      <c r="Y7" s="54">
        <v>2572</v>
      </c>
      <c r="Z7" s="54">
        <v>1061</v>
      </c>
      <c r="AA7" s="15">
        <v>1</v>
      </c>
      <c r="AB7" s="58">
        <f>IF('28'!AA7=1,(('28'!Z7*'28'!$AS$6*'28'!$AT$6)/('28'!Y7*0.0036)),IF('28'!AA7=2,(('28'!Z7*'28'!$AS$7*'28'!$AT$7)/('28'!Y7*0.0036))))</f>
        <v>76.201507689649219</v>
      </c>
      <c r="AC7" s="58"/>
      <c r="AD7" s="18">
        <f>(('28'!AC7*'28'!$Q$10*1000000))/('28'!Y7*3600)</f>
        <v>0</v>
      </c>
      <c r="AE7" s="183"/>
      <c r="AF7" s="184">
        <f>('28'!AE7/24)*0.454</f>
        <v>0</v>
      </c>
      <c r="AG7" s="19"/>
      <c r="AH7" s="184">
        <f>('28'!AG7/24)*0.454</f>
        <v>0</v>
      </c>
      <c r="AI7" s="182">
        <v>5400</v>
      </c>
      <c r="AJ7" s="184">
        <f>('28'!AI7/24)*0.454</f>
        <v>102.15</v>
      </c>
      <c r="AK7" s="21"/>
      <c r="AL7" s="185">
        <f>('28'!AK7/24)*0.454</f>
        <v>0</v>
      </c>
      <c r="AM7" s="21"/>
      <c r="AN7" s="185">
        <f>('28'!AM7/24)*0.454</f>
        <v>0</v>
      </c>
      <c r="AO7" s="21"/>
      <c r="AP7" s="338">
        <f>('28'!AO7/24)*0.454</f>
        <v>0</v>
      </c>
      <c r="AQ7" s="24">
        <v>2</v>
      </c>
      <c r="AR7" s="25" t="s">
        <v>49</v>
      </c>
      <c r="AS7" s="26">
        <v>1.345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6">
        <v>80</v>
      </c>
      <c r="C8" s="186">
        <v>15</v>
      </c>
      <c r="D8" s="186">
        <v>15</v>
      </c>
      <c r="E8" s="186">
        <v>2.5</v>
      </c>
      <c r="F8" s="186">
        <v>13</v>
      </c>
      <c r="G8" s="186">
        <v>2.5</v>
      </c>
      <c r="H8" s="186">
        <v>2.6</v>
      </c>
      <c r="I8" s="186">
        <v>0.6</v>
      </c>
      <c r="J8" s="186">
        <v>0.7</v>
      </c>
      <c r="K8" s="186">
        <v>7.3</v>
      </c>
      <c r="L8" s="186">
        <v>6.6</v>
      </c>
      <c r="M8" s="186">
        <v>6.6</v>
      </c>
      <c r="N8" s="186">
        <v>6.3</v>
      </c>
      <c r="O8" s="186">
        <v>3.2</v>
      </c>
      <c r="P8" s="186"/>
      <c r="Q8" s="188"/>
      <c r="R8" s="35">
        <f>'28'!Z7</f>
        <v>1061</v>
      </c>
      <c r="S8" s="36">
        <f>'28'!AB7</f>
        <v>76.201507689649219</v>
      </c>
      <c r="T8" s="37">
        <f>'28'!Y7</f>
        <v>2572</v>
      </c>
      <c r="U8" s="33" t="str">
        <f>IF('28'!AA7=1,'28'!AR6,'28'!AR7)</f>
        <v>S.A.L</v>
      </c>
      <c r="V8" s="1022"/>
      <c r="W8" s="1022"/>
      <c r="X8" s="13">
        <v>0.125</v>
      </c>
      <c r="Y8" s="54">
        <v>2610</v>
      </c>
      <c r="Z8" s="54">
        <v>1061</v>
      </c>
      <c r="AA8" s="15">
        <v>1</v>
      </c>
      <c r="AB8" s="58">
        <f>IF('28'!AA8=1,(('28'!Z8*'28'!$AS$6*'28'!$AT$6)/('28'!Y8*0.0036)),IF('28'!AA8=2,(('28'!Z8*'28'!$AS$7*'28'!$AT$7)/('28'!Y8*0.0036))))</f>
        <v>75.092060451255861</v>
      </c>
      <c r="AC8" s="58"/>
      <c r="AD8" s="18">
        <f>(('28'!AC8*'28'!$Q$10*1000000))/('28'!Y8*3600)</f>
        <v>0</v>
      </c>
      <c r="AE8" s="183"/>
      <c r="AF8" s="184">
        <f>('28'!AE8/24)*0.454</f>
        <v>0</v>
      </c>
      <c r="AG8" s="19"/>
      <c r="AH8" s="184">
        <f>('28'!AG8/24)*0.454</f>
        <v>0</v>
      </c>
      <c r="AI8" s="182">
        <v>5400</v>
      </c>
      <c r="AJ8" s="184">
        <f>('28'!AI8/24)*0.454</f>
        <v>102.15</v>
      </c>
      <c r="AK8" s="21"/>
      <c r="AL8" s="185">
        <f>('28'!AK8/24)*0.454</f>
        <v>0</v>
      </c>
      <c r="AM8" s="21"/>
      <c r="AN8" s="185">
        <f>('28'!AM8/24)*0.454</f>
        <v>0</v>
      </c>
      <c r="AO8" s="21"/>
      <c r="AP8" s="338">
        <f>('28'!AO8/24)*0.454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80</v>
      </c>
      <c r="C9" s="186">
        <v>15</v>
      </c>
      <c r="D9" s="186">
        <v>15</v>
      </c>
      <c r="E9" s="186">
        <v>2.5</v>
      </c>
      <c r="F9" s="186">
        <v>13</v>
      </c>
      <c r="G9" s="186">
        <v>2.5</v>
      </c>
      <c r="H9" s="186">
        <v>2.6</v>
      </c>
      <c r="I9" s="186">
        <v>0.6</v>
      </c>
      <c r="J9" s="186">
        <v>0.7</v>
      </c>
      <c r="K9" s="186">
        <v>7.3</v>
      </c>
      <c r="L9" s="186">
        <v>6.6</v>
      </c>
      <c r="M9" s="186">
        <v>6.6</v>
      </c>
      <c r="N9" s="186">
        <v>6.3</v>
      </c>
      <c r="O9" s="186">
        <v>3.2</v>
      </c>
      <c r="P9" s="186"/>
      <c r="Q9" s="188"/>
      <c r="R9" s="37">
        <f>'28'!Z9</f>
        <v>1061</v>
      </c>
      <c r="S9" s="36">
        <f>'28'!AB9</f>
        <v>73.735996154167722</v>
      </c>
      <c r="T9" s="37">
        <f>'28'!Y9</f>
        <v>2658</v>
      </c>
      <c r="U9" s="33" t="str">
        <f>IF('28'!AA9=1,'28'!AR6,'28'!AR7)</f>
        <v>S.A.L</v>
      </c>
      <c r="V9" s="1022"/>
      <c r="W9" s="1022"/>
      <c r="X9" s="13">
        <v>0.16666666666666699</v>
      </c>
      <c r="Y9" s="54">
        <v>2658</v>
      </c>
      <c r="Z9" s="54">
        <v>1061</v>
      </c>
      <c r="AA9" s="15">
        <v>1</v>
      </c>
      <c r="AB9" s="58">
        <f>IF('28'!AA9=1,(('28'!Z9*'28'!$AS$6*'28'!$AT$6)/('28'!Y9*0.0036)),IF('28'!AA9=2,(('28'!Z9*'28'!$AS$7*'28'!$AT$7)/('28'!Y9*0.0036))))</f>
        <v>73.735996154167722</v>
      </c>
      <c r="AC9" s="58"/>
      <c r="AD9" s="18">
        <f>(('28'!AC9*'28'!$Q$10*1000000))/('28'!Y9*3600)</f>
        <v>0</v>
      </c>
      <c r="AE9" s="183"/>
      <c r="AF9" s="184">
        <f>('28'!AE9/24)*0.454</f>
        <v>0</v>
      </c>
      <c r="AG9" s="19"/>
      <c r="AH9" s="184">
        <f>('28'!AG9/24)*0.454</f>
        <v>0</v>
      </c>
      <c r="AI9" s="182">
        <v>5400</v>
      </c>
      <c r="AJ9" s="184">
        <f>('28'!AI9/24)*0.454</f>
        <v>102.15</v>
      </c>
      <c r="AK9" s="21"/>
      <c r="AL9" s="185">
        <f>('28'!AK9/24)*0.454</f>
        <v>0</v>
      </c>
      <c r="AM9" s="21"/>
      <c r="AN9" s="185">
        <f>('28'!AM9/24)*0.454</f>
        <v>0</v>
      </c>
      <c r="AO9" s="21"/>
      <c r="AP9" s="338">
        <f>('28'!AO9/24)*0.454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80</v>
      </c>
      <c r="C10" s="186">
        <v>15</v>
      </c>
      <c r="D10" s="186">
        <v>15</v>
      </c>
      <c r="E10" s="186">
        <v>2.5</v>
      </c>
      <c r="F10" s="186">
        <v>13</v>
      </c>
      <c r="G10" s="186">
        <v>2.5</v>
      </c>
      <c r="H10" s="186">
        <v>2.6</v>
      </c>
      <c r="I10" s="186">
        <v>0.6</v>
      </c>
      <c r="J10" s="186">
        <v>0.7</v>
      </c>
      <c r="K10" s="186">
        <v>7.3</v>
      </c>
      <c r="L10" s="186">
        <v>6.6</v>
      </c>
      <c r="M10" s="186">
        <v>6.6</v>
      </c>
      <c r="N10" s="186">
        <v>6.3</v>
      </c>
      <c r="O10" s="186">
        <v>3.2</v>
      </c>
      <c r="P10" s="186"/>
      <c r="Q10" s="188"/>
      <c r="R10" s="37">
        <f>'28'!Z7</f>
        <v>1061</v>
      </c>
      <c r="S10" s="36">
        <f>'28'!AB11</f>
        <v>74.862596553773031</v>
      </c>
      <c r="T10" s="37">
        <f>'28'!Y11</f>
        <v>2618</v>
      </c>
      <c r="U10" s="33" t="str">
        <f>IF('28'!AA11=1,'28'!AR6,'28'!AR7)</f>
        <v>S.A.L</v>
      </c>
      <c r="V10" s="1022"/>
      <c r="W10" s="1022"/>
      <c r="X10" s="13">
        <v>0.20833333333333301</v>
      </c>
      <c r="Y10" s="54">
        <v>2630</v>
      </c>
      <c r="Z10" s="54">
        <v>1061</v>
      </c>
      <c r="AA10" s="15">
        <v>1</v>
      </c>
      <c r="AB10" s="58">
        <f>IF('28'!AA10=1,(('28'!Z10*'28'!$AS$6*'28'!$AT$6)/('28'!Y10*0.0036)),IF('28'!AA10=2,(('28'!Z10*'28'!$AS$7*'28'!$AT$7)/('28'!Y10*0.0036))))</f>
        <v>74.521018166455434</v>
      </c>
      <c r="AC10" s="58"/>
      <c r="AD10" s="18">
        <f>(('28'!AC10*'28'!$Q$10*1000000))/('28'!Y10*3600)</f>
        <v>0</v>
      </c>
      <c r="AE10" s="183"/>
      <c r="AF10" s="184">
        <f>('28'!AE10/24)*0.454</f>
        <v>0</v>
      </c>
      <c r="AG10" s="19"/>
      <c r="AH10" s="184">
        <f>('28'!AG10/24)*0.454</f>
        <v>0</v>
      </c>
      <c r="AI10" s="182">
        <v>5400</v>
      </c>
      <c r="AJ10" s="184">
        <f>('28'!AI10/24)*0.454</f>
        <v>102.15</v>
      </c>
      <c r="AK10" s="21"/>
      <c r="AL10" s="185">
        <f>('28'!AK10/24)*0.454</f>
        <v>0</v>
      </c>
      <c r="AM10" s="21"/>
      <c r="AN10" s="185">
        <f>('28'!AM10/24)*0.454</f>
        <v>0</v>
      </c>
      <c r="AO10" s="21"/>
      <c r="AP10" s="338">
        <f>('28'!AO10/24)*0.454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6">
        <v>80</v>
      </c>
      <c r="C11" s="186">
        <v>15</v>
      </c>
      <c r="D11" s="186">
        <v>15</v>
      </c>
      <c r="E11" s="186">
        <v>2.5</v>
      </c>
      <c r="F11" s="186">
        <v>13</v>
      </c>
      <c r="G11" s="186">
        <v>2.1</v>
      </c>
      <c r="H11" s="186">
        <v>2.9</v>
      </c>
      <c r="I11" s="186">
        <v>0.5</v>
      </c>
      <c r="J11" s="186">
        <v>0.5</v>
      </c>
      <c r="K11" s="186">
        <v>7.3</v>
      </c>
      <c r="L11" s="186">
        <v>6.3</v>
      </c>
      <c r="M11" s="186">
        <v>6.3</v>
      </c>
      <c r="N11" s="186">
        <v>6</v>
      </c>
      <c r="O11" s="186">
        <v>3.5</v>
      </c>
      <c r="P11" s="186"/>
      <c r="Q11" s="188"/>
      <c r="R11" s="37">
        <f>'28'!Z9</f>
        <v>1061</v>
      </c>
      <c r="S11" s="36">
        <f>'28'!AB13</f>
        <v>74.126428811564978</v>
      </c>
      <c r="T11" s="37">
        <f>'28'!Y13</f>
        <v>2644</v>
      </c>
      <c r="U11" s="33" t="str">
        <f>IF('28'!AA13=1,'28'!AR6,'28'!AR7)</f>
        <v>S.A.L</v>
      </c>
      <c r="V11" s="1022"/>
      <c r="W11" s="1022"/>
      <c r="X11" s="13">
        <v>0.25</v>
      </c>
      <c r="Y11" s="54">
        <v>2618</v>
      </c>
      <c r="Z11" s="54">
        <v>1061</v>
      </c>
      <c r="AA11" s="15">
        <v>1</v>
      </c>
      <c r="AB11" s="58">
        <f>IF('28'!AA11=1,(('28'!Z11*'28'!$AS$6*'28'!$AT$6)/('28'!Y11*0.0036)),IF('28'!AA11=2,(('28'!Z11*'28'!$AS$7*'28'!$AT$7)/('28'!Y11*0.0036))))</f>
        <v>74.862596553773031</v>
      </c>
      <c r="AC11" s="58"/>
      <c r="AD11" s="18">
        <f>(('28'!AC11*'28'!$Q$10*1000000))/('28'!Y11*3600)</f>
        <v>0</v>
      </c>
      <c r="AE11" s="183"/>
      <c r="AF11" s="184">
        <f>('28'!AE11/24)*0.454</f>
        <v>0</v>
      </c>
      <c r="AG11" s="19"/>
      <c r="AH11" s="184">
        <f>('28'!AG11/24)*0.454</f>
        <v>0</v>
      </c>
      <c r="AI11" s="182">
        <v>5400</v>
      </c>
      <c r="AJ11" s="184">
        <f>('28'!AI11/24)*0.454</f>
        <v>102.15</v>
      </c>
      <c r="AK11" s="21"/>
      <c r="AL11" s="185">
        <f>('28'!AK11/24)*0.454</f>
        <v>0</v>
      </c>
      <c r="AM11" s="21"/>
      <c r="AN11" s="185">
        <f>('28'!AM11/24)*0.454</f>
        <v>0</v>
      </c>
      <c r="AO11" s="21"/>
      <c r="AP11" s="338">
        <f>('28'!AO11/24)*0.454</f>
        <v>0</v>
      </c>
    </row>
    <row r="12" spans="1:47" ht="18.75" customHeight="1">
      <c r="A12" s="28">
        <v>0.41666666666666702</v>
      </c>
      <c r="B12" s="186">
        <v>80</v>
      </c>
      <c r="C12" s="186">
        <v>15</v>
      </c>
      <c r="D12" s="186">
        <v>15</v>
      </c>
      <c r="E12" s="186">
        <v>2.5</v>
      </c>
      <c r="F12" s="186">
        <v>13</v>
      </c>
      <c r="G12" s="186">
        <v>2.1</v>
      </c>
      <c r="H12" s="186">
        <v>2.4</v>
      </c>
      <c r="I12" s="186">
        <v>0.5</v>
      </c>
      <c r="J12" s="186">
        <v>0.6</v>
      </c>
      <c r="K12" s="186">
        <v>7.3</v>
      </c>
      <c r="L12" s="186">
        <v>6.3</v>
      </c>
      <c r="M12" s="186">
        <v>6.3</v>
      </c>
      <c r="N12" s="186">
        <v>6</v>
      </c>
      <c r="O12" s="186">
        <v>3</v>
      </c>
      <c r="P12" s="186"/>
      <c r="Q12" s="188"/>
      <c r="R12" s="37">
        <f>'28'!Z11</f>
        <v>1061</v>
      </c>
      <c r="S12" s="36">
        <f>'28'!AB15</f>
        <v>76.112729234088462</v>
      </c>
      <c r="T12" s="37">
        <f>'28'!Y15</f>
        <v>2575</v>
      </c>
      <c r="U12" s="33" t="str">
        <f>IF('28'!AA15=1,'28'!AR6,'28'!AR7)</f>
        <v>S.A.L</v>
      </c>
      <c r="V12" s="944">
        <f>ESCALA!$B$30</f>
        <v>0</v>
      </c>
      <c r="W12" s="944"/>
      <c r="X12" s="13">
        <v>0.29166666666666702</v>
      </c>
      <c r="Y12" s="54">
        <v>2603</v>
      </c>
      <c r="Z12" s="54">
        <v>1061</v>
      </c>
      <c r="AA12" s="15">
        <v>1</v>
      </c>
      <c r="AB12" s="58">
        <f>IF('28'!AA12=1,(('28'!Z12*'28'!$AS$6*'28'!$AT$6)/('28'!Y12*0.0036)),IF('28'!AA12=2,(('28'!Z12*'28'!$AS$7*'28'!$AT$7)/('28'!Y12*0.0036))))</f>
        <v>75.29399837794</v>
      </c>
      <c r="AC12" s="58"/>
      <c r="AD12" s="18">
        <f>(('28'!AC12*'28'!$Q$10*1000000))/('28'!Y12*3600)</f>
        <v>0</v>
      </c>
      <c r="AE12" s="183"/>
      <c r="AF12" s="184">
        <f>('28'!AE12/24)*0.454</f>
        <v>0</v>
      </c>
      <c r="AG12" s="19"/>
      <c r="AH12" s="184">
        <f>('28'!AG12/24)*0.454</f>
        <v>0</v>
      </c>
      <c r="AI12" s="182">
        <v>5400</v>
      </c>
      <c r="AJ12" s="184">
        <f>('28'!AI12/24)*0.454</f>
        <v>102.15</v>
      </c>
      <c r="AK12" s="21"/>
      <c r="AL12" s="185">
        <f>('28'!AK12/24)*0.454</f>
        <v>0</v>
      </c>
      <c r="AM12" s="21"/>
      <c r="AN12" s="185">
        <f>('28'!AM12/24)*0.454</f>
        <v>0</v>
      </c>
      <c r="AO12" s="21"/>
      <c r="AP12" s="338">
        <f>('28'!AO12/24)*0.454</f>
        <v>0</v>
      </c>
    </row>
    <row r="13" spans="1:47" ht="18.75" customHeight="1">
      <c r="A13" s="28">
        <v>0.5</v>
      </c>
      <c r="B13" s="186">
        <v>80</v>
      </c>
      <c r="C13" s="186">
        <v>15</v>
      </c>
      <c r="D13" s="186">
        <v>15</v>
      </c>
      <c r="E13" s="186">
        <v>2.5</v>
      </c>
      <c r="F13" s="186">
        <v>13</v>
      </c>
      <c r="G13" s="186">
        <v>2</v>
      </c>
      <c r="H13" s="186">
        <v>2.5</v>
      </c>
      <c r="I13" s="186">
        <v>0.5</v>
      </c>
      <c r="J13" s="186">
        <v>0.6</v>
      </c>
      <c r="K13" s="186">
        <v>7.3</v>
      </c>
      <c r="L13" s="186">
        <v>6.3</v>
      </c>
      <c r="M13" s="186">
        <v>6.3</v>
      </c>
      <c r="N13" s="186">
        <v>6</v>
      </c>
      <c r="O13" s="186">
        <v>3</v>
      </c>
      <c r="P13" s="186"/>
      <c r="Q13" s="188"/>
      <c r="R13" s="37">
        <f>'28'!Z17</f>
        <v>1061</v>
      </c>
      <c r="S13" s="36">
        <f>'28'!AB17</f>
        <v>75.497025338127045</v>
      </c>
      <c r="T13" s="37">
        <f>'28'!Y17</f>
        <v>2596</v>
      </c>
      <c r="U13" s="33" t="str">
        <f>IF('28'!AA17=1,'28'!AR6,'28'!AR7)</f>
        <v>S.A.L</v>
      </c>
      <c r="V13" s="944"/>
      <c r="W13" s="944"/>
      <c r="X13" s="13">
        <v>0.33333333333333298</v>
      </c>
      <c r="Y13" s="54">
        <v>2644</v>
      </c>
      <c r="Z13" s="54">
        <v>1061</v>
      </c>
      <c r="AA13" s="15">
        <v>1</v>
      </c>
      <c r="AB13" s="58">
        <f>IF('28'!AA13=1,(('28'!Z13*'28'!$AS$6*'28'!$AT$6)/('28'!Y13*0.0036)),IF('28'!AA13=2,(('28'!Z13*'28'!$AS$7*'28'!$AT$7)/('28'!Y13*0.0036))))</f>
        <v>74.126428811564978</v>
      </c>
      <c r="AC13" s="58"/>
      <c r="AD13" s="18">
        <f>(('28'!AC13*'28'!$Q$10*1000000))/('28'!Y13*3600)</f>
        <v>0</v>
      </c>
      <c r="AE13" s="183"/>
      <c r="AF13" s="184">
        <f>('28'!AE13/24)*0.454</f>
        <v>0</v>
      </c>
      <c r="AG13" s="19"/>
      <c r="AH13" s="184">
        <f>('28'!AG13/24)*0.454</f>
        <v>0</v>
      </c>
      <c r="AI13" s="182">
        <v>5400</v>
      </c>
      <c r="AJ13" s="184">
        <f>('28'!AI13/24)*0.454</f>
        <v>102.15</v>
      </c>
      <c r="AK13" s="21"/>
      <c r="AL13" s="185">
        <f>('28'!AK13/24)*0.454</f>
        <v>0</v>
      </c>
      <c r="AM13" s="21"/>
      <c r="AN13" s="185">
        <f>('28'!AM13/24)*0.454</f>
        <v>0</v>
      </c>
      <c r="AO13" s="21"/>
      <c r="AP13" s="338">
        <f>('28'!AO13/24)*0.454</f>
        <v>0</v>
      </c>
    </row>
    <row r="14" spans="1:47" ht="18.75" customHeight="1">
      <c r="A14" s="28">
        <v>0.58333333333333304</v>
      </c>
      <c r="B14" s="186">
        <v>80</v>
      </c>
      <c r="C14" s="186">
        <v>15</v>
      </c>
      <c r="D14" s="186">
        <v>15</v>
      </c>
      <c r="E14" s="186">
        <v>2.5</v>
      </c>
      <c r="F14" s="186">
        <v>13</v>
      </c>
      <c r="G14" s="186">
        <v>1.9</v>
      </c>
      <c r="H14" s="186">
        <v>2.6</v>
      </c>
      <c r="I14" s="186">
        <v>0.5</v>
      </c>
      <c r="J14" s="186">
        <v>0.7</v>
      </c>
      <c r="K14" s="186">
        <v>7.3</v>
      </c>
      <c r="L14" s="186">
        <v>6.3</v>
      </c>
      <c r="M14" s="186">
        <v>6.3</v>
      </c>
      <c r="N14" s="186">
        <v>6</v>
      </c>
      <c r="O14" s="186">
        <v>3</v>
      </c>
      <c r="P14" s="186"/>
      <c r="Q14" s="188"/>
      <c r="R14" s="37">
        <f>'28'!Z19</f>
        <v>1061</v>
      </c>
      <c r="S14" s="36">
        <f>'28'!AB19</f>
        <v>75.322935348876939</v>
      </c>
      <c r="T14" s="37">
        <f>'28'!Y19</f>
        <v>2602</v>
      </c>
      <c r="U14" s="33" t="str">
        <f>IF('28'!AA19=1,'28'!AR6,'28'!AR7)</f>
        <v>S.A.L</v>
      </c>
      <c r="V14" s="944"/>
      <c r="W14" s="944"/>
      <c r="X14" s="13">
        <v>0.375</v>
      </c>
      <c r="Y14" s="54">
        <v>2614</v>
      </c>
      <c r="Z14" s="54">
        <v>1061</v>
      </c>
      <c r="AA14" s="15">
        <v>1</v>
      </c>
      <c r="AB14" s="58">
        <f>IF('28'!AA14=1,(('28'!Z14*'28'!$AS$6*'28'!$AT$6)/('28'!Y14*0.0036)),IF('28'!AA14=2,(('28'!Z14*'28'!$AS$7*'28'!$AT$7)/('28'!Y14*0.0036))))</f>
        <v>74.977152937175902</v>
      </c>
      <c r="AC14" s="58"/>
      <c r="AD14" s="18">
        <f>(('28'!AC14*'28'!$Q$10*1000000))/('28'!Y14*3600)</f>
        <v>0</v>
      </c>
      <c r="AE14" s="183"/>
      <c r="AF14" s="184">
        <f>('28'!AE14/24)*0.454</f>
        <v>0</v>
      </c>
      <c r="AG14" s="19"/>
      <c r="AH14" s="184">
        <f>('28'!AG14/24)*0.454</f>
        <v>0</v>
      </c>
      <c r="AI14" s="182">
        <v>5400</v>
      </c>
      <c r="AJ14" s="184">
        <f>('28'!AI14/24)*0.454</f>
        <v>102.15</v>
      </c>
      <c r="AK14" s="21"/>
      <c r="AL14" s="185">
        <f>('28'!AK14/24)*0.454</f>
        <v>0</v>
      </c>
      <c r="AM14" s="21"/>
      <c r="AN14" s="185">
        <f>('28'!AM14/24)*0.454</f>
        <v>0</v>
      </c>
      <c r="AO14" s="21"/>
      <c r="AP14" s="338">
        <f>('28'!AO14/24)*0.454</f>
        <v>0</v>
      </c>
    </row>
    <row r="15" spans="1:47" ht="18.75" customHeight="1">
      <c r="A15" s="28">
        <v>0.66666666666666696</v>
      </c>
      <c r="B15" s="186">
        <v>80</v>
      </c>
      <c r="C15" s="186">
        <v>15</v>
      </c>
      <c r="D15" s="186">
        <v>15</v>
      </c>
      <c r="E15" s="186">
        <v>2.5</v>
      </c>
      <c r="F15" s="186">
        <v>13</v>
      </c>
      <c r="G15" s="186">
        <v>1.8</v>
      </c>
      <c r="H15" s="186">
        <v>2.5</v>
      </c>
      <c r="I15" s="186">
        <v>0.5</v>
      </c>
      <c r="J15" s="186">
        <v>0.6</v>
      </c>
      <c r="K15" s="186">
        <v>7.3</v>
      </c>
      <c r="L15" s="186">
        <v>6.3</v>
      </c>
      <c r="M15" s="186">
        <v>6.3</v>
      </c>
      <c r="N15" s="186">
        <v>6</v>
      </c>
      <c r="O15" s="186">
        <v>3</v>
      </c>
      <c r="P15" s="186"/>
      <c r="Q15" s="188"/>
      <c r="R15" s="37">
        <f>'28'!Z21</f>
        <v>1061</v>
      </c>
      <c r="S15" s="36">
        <f>'28'!AB21</f>
        <v>75.29399837794</v>
      </c>
      <c r="T15" s="37">
        <f>'28'!Y21</f>
        <v>2603</v>
      </c>
      <c r="U15" s="33" t="str">
        <f>IF('28'!AA21=1,'28'!AR6,'28'!AR7)</f>
        <v>S.A.L</v>
      </c>
      <c r="V15" s="944"/>
      <c r="W15" s="944"/>
      <c r="X15" s="13">
        <v>0.41666666666666702</v>
      </c>
      <c r="Y15" s="54">
        <v>2575</v>
      </c>
      <c r="Z15" s="54">
        <v>1061</v>
      </c>
      <c r="AA15" s="15">
        <v>1</v>
      </c>
      <c r="AB15" s="58">
        <f>IF('28'!AA15=1,(('28'!Z15*'28'!$AS$6*'28'!$AT$6)/('28'!Y15*0.0036)),IF('28'!AA15=2,(('28'!Z15*'28'!$AS$7*'28'!$AT$7)/('28'!Y15*0.0036))))</f>
        <v>76.112729234088462</v>
      </c>
      <c r="AC15" s="58"/>
      <c r="AD15" s="18">
        <f>(('28'!AC15*'28'!$Q$10*1000000))/('28'!Y15*3600)</f>
        <v>0</v>
      </c>
      <c r="AE15" s="183"/>
      <c r="AF15" s="184">
        <f>('28'!AE15/24)*0.454</f>
        <v>0</v>
      </c>
      <c r="AG15" s="19"/>
      <c r="AH15" s="184">
        <f>('28'!AG15/24)*0.454</f>
        <v>0</v>
      </c>
      <c r="AI15" s="182">
        <v>5400</v>
      </c>
      <c r="AJ15" s="184">
        <f>('28'!AI15/24)*0.454</f>
        <v>102.15</v>
      </c>
      <c r="AK15" s="21"/>
      <c r="AL15" s="185">
        <f>('28'!AK15/24)*0.454</f>
        <v>0</v>
      </c>
      <c r="AM15" s="21"/>
      <c r="AN15" s="185">
        <f>('28'!AM15/24)*0.454</f>
        <v>0</v>
      </c>
      <c r="AO15" s="21"/>
      <c r="AP15" s="338">
        <f>('28'!AO15/24)*0.454</f>
        <v>0</v>
      </c>
    </row>
    <row r="16" spans="1:47" ht="18.75" customHeight="1">
      <c r="A16" s="28">
        <v>0.75</v>
      </c>
      <c r="B16" s="186">
        <v>80</v>
      </c>
      <c r="C16" s="186">
        <v>15</v>
      </c>
      <c r="D16" s="186">
        <v>15</v>
      </c>
      <c r="E16" s="186">
        <v>2.5</v>
      </c>
      <c r="F16" s="186">
        <v>14</v>
      </c>
      <c r="G16" s="186">
        <v>1.7</v>
      </c>
      <c r="H16" s="186">
        <v>2.4</v>
      </c>
      <c r="I16" s="186">
        <v>0.5</v>
      </c>
      <c r="J16" s="186">
        <v>0.6</v>
      </c>
      <c r="K16" s="186">
        <v>7.3</v>
      </c>
      <c r="L16" s="186">
        <v>6.3</v>
      </c>
      <c r="M16" s="186">
        <v>6.3</v>
      </c>
      <c r="N16" s="186">
        <v>6</v>
      </c>
      <c r="O16" s="186">
        <v>3</v>
      </c>
      <c r="P16" s="186"/>
      <c r="Q16" s="188"/>
      <c r="R16" s="37">
        <f>'28'!Z23</f>
        <v>1061</v>
      </c>
      <c r="S16" s="36">
        <f>'28'!AB23</f>
        <v>76.678512432620423</v>
      </c>
      <c r="T16" s="37">
        <f>'28'!Y23</f>
        <v>2556</v>
      </c>
      <c r="U16" s="33" t="str">
        <f>IF('28'!AA23=1,'28'!AR6,'28'!AR7)</f>
        <v>S.A.L</v>
      </c>
      <c r="V16" s="944"/>
      <c r="W16" s="944"/>
      <c r="X16" s="13">
        <v>0.45833333333333298</v>
      </c>
      <c r="Y16" s="54">
        <v>2586</v>
      </c>
      <c r="Z16" s="54">
        <v>1061</v>
      </c>
      <c r="AA16" s="15">
        <v>1</v>
      </c>
      <c r="AB16" s="58">
        <f>IF('28'!AA16=1,(('28'!Z16*'28'!$AS$6*'28'!$AT$6)/('28'!Y16*0.0036)),IF('28'!AA16=2,(('28'!Z16*'28'!$AS$7*'28'!$AT$7)/('28'!Y16*0.0036))))</f>
        <v>75.788970525049422</v>
      </c>
      <c r="AC16" s="58"/>
      <c r="AD16" s="18">
        <f>(('28'!AC16*'28'!$Q$10*1000000))/('28'!Y16*3600)</f>
        <v>0</v>
      </c>
      <c r="AE16" s="183"/>
      <c r="AF16" s="184">
        <f>('28'!AE16/24)*0.454</f>
        <v>0</v>
      </c>
      <c r="AG16" s="19"/>
      <c r="AH16" s="184">
        <f>('28'!AG16/24)*0.454</f>
        <v>0</v>
      </c>
      <c r="AI16" s="182">
        <v>5400</v>
      </c>
      <c r="AJ16" s="184">
        <f>('28'!AI16/24)*0.454</f>
        <v>102.15</v>
      </c>
      <c r="AK16" s="21"/>
      <c r="AL16" s="185">
        <f>('28'!AK16/24)*0.454</f>
        <v>0</v>
      </c>
      <c r="AM16" s="21"/>
      <c r="AN16" s="185">
        <f>('28'!AM16/24)*0.454</f>
        <v>0</v>
      </c>
      <c r="AO16" s="21"/>
      <c r="AP16" s="338">
        <f>('28'!AO16/24)*0.454</f>
        <v>0</v>
      </c>
    </row>
    <row r="17" spans="1:42" ht="18.75" customHeight="1">
      <c r="A17" s="28">
        <v>0.83333333333333304</v>
      </c>
      <c r="B17" s="186">
        <v>80</v>
      </c>
      <c r="C17" s="186">
        <v>15</v>
      </c>
      <c r="D17" s="186">
        <v>15</v>
      </c>
      <c r="E17" s="186">
        <v>2.5</v>
      </c>
      <c r="F17" s="186">
        <v>14</v>
      </c>
      <c r="G17" s="186">
        <v>1.6</v>
      </c>
      <c r="H17" s="186">
        <v>2.2999999999999998</v>
      </c>
      <c r="I17" s="186">
        <v>0.5</v>
      </c>
      <c r="J17" s="186">
        <v>0.5</v>
      </c>
      <c r="K17" s="186">
        <v>7.3</v>
      </c>
      <c r="L17" s="186">
        <v>6.3</v>
      </c>
      <c r="M17" s="186">
        <v>6.3</v>
      </c>
      <c r="N17" s="186">
        <v>6</v>
      </c>
      <c r="O17" s="186">
        <v>3.2</v>
      </c>
      <c r="P17" s="186"/>
      <c r="Q17" s="188"/>
      <c r="R17" s="37">
        <f>'28'!Z25</f>
        <v>1061</v>
      </c>
      <c r="S17" s="36">
        <f>'28'!AB25</f>
        <v>75.965223944875106</v>
      </c>
      <c r="T17" s="37">
        <f>'28'!Y25</f>
        <v>2580</v>
      </c>
      <c r="U17" s="33" t="str">
        <f>IF('28'!AA25=1,'28'!AR6,'28'!AR7)</f>
        <v>S.A.L</v>
      </c>
      <c r="V17" s="945">
        <f>ESCALA!$C$30</f>
        <v>0</v>
      </c>
      <c r="W17" s="945"/>
      <c r="X17" s="13">
        <v>0.5</v>
      </c>
      <c r="Y17" s="54">
        <v>2596</v>
      </c>
      <c r="Z17" s="54">
        <v>1061</v>
      </c>
      <c r="AA17" s="15">
        <v>1</v>
      </c>
      <c r="AB17" s="58">
        <f>IF('28'!AA17=1,(('28'!Z17*'28'!$AS$6*'28'!$AT$6)/('28'!Y17*0.0036)),IF('28'!AA17=2,(('28'!Z17*'28'!$AS$7*'28'!$AT$7)/('28'!Y17*0.0036))))</f>
        <v>75.497025338127045</v>
      </c>
      <c r="AC17" s="58"/>
      <c r="AD17" s="18">
        <f>(('28'!AC17*'28'!$Q$10*1000000))/('28'!Y17*3600)</f>
        <v>0</v>
      </c>
      <c r="AE17" s="183"/>
      <c r="AF17" s="184">
        <f>('28'!AE17/24)*0.454</f>
        <v>0</v>
      </c>
      <c r="AG17" s="19"/>
      <c r="AH17" s="184">
        <f>('28'!AG17/24)*0.454</f>
        <v>0</v>
      </c>
      <c r="AI17" s="182">
        <v>5400</v>
      </c>
      <c r="AJ17" s="184">
        <f>('28'!AI17/24)*0.454</f>
        <v>102.15</v>
      </c>
      <c r="AK17" s="21"/>
      <c r="AL17" s="185">
        <f>('28'!AK17/24)*0.454</f>
        <v>0</v>
      </c>
      <c r="AM17" s="21"/>
      <c r="AN17" s="185">
        <f>('28'!AM17/24)*0.454</f>
        <v>0</v>
      </c>
      <c r="AO17" s="21"/>
      <c r="AP17" s="338">
        <f>('28'!AO17/24)*0.454</f>
        <v>0</v>
      </c>
    </row>
    <row r="18" spans="1:42" ht="19.5" customHeight="1">
      <c r="A18" s="28">
        <v>0.91666666666666696</v>
      </c>
      <c r="B18" s="186">
        <v>80</v>
      </c>
      <c r="C18" s="186">
        <v>15</v>
      </c>
      <c r="D18" s="186">
        <v>15</v>
      </c>
      <c r="E18" s="186">
        <v>2.5</v>
      </c>
      <c r="F18" s="186">
        <v>14</v>
      </c>
      <c r="G18" s="186">
        <v>1.6</v>
      </c>
      <c r="H18" s="186">
        <v>2.2000000000000002</v>
      </c>
      <c r="I18" s="186">
        <v>0.5</v>
      </c>
      <c r="J18" s="186">
        <v>0.5</v>
      </c>
      <c r="K18" s="186">
        <v>7.3</v>
      </c>
      <c r="L18" s="186">
        <v>6.3</v>
      </c>
      <c r="M18" s="186">
        <v>6.3</v>
      </c>
      <c r="N18" s="186">
        <v>6</v>
      </c>
      <c r="O18" s="186">
        <v>3.2</v>
      </c>
      <c r="P18" s="186"/>
      <c r="Q18" s="188"/>
      <c r="R18" s="37">
        <f>'28'!Z27</f>
        <v>1061</v>
      </c>
      <c r="S18" s="36">
        <f>'28'!AB27</f>
        <v>74.577731270082879</v>
      </c>
      <c r="T18" s="37">
        <f>'28'!Y27</f>
        <v>2628</v>
      </c>
      <c r="U18" s="33" t="str">
        <f>IF('28'!AA27=1,'28'!AR6,'28'!AR7)</f>
        <v>S.A.L</v>
      </c>
      <c r="V18" s="945"/>
      <c r="W18" s="945"/>
      <c r="X18" s="13">
        <v>0.54166666666666696</v>
      </c>
      <c r="Y18" s="54">
        <v>2598</v>
      </c>
      <c r="Z18" s="54">
        <v>1061</v>
      </c>
      <c r="AA18" s="15">
        <v>1</v>
      </c>
      <c r="AB18" s="58">
        <f>IF('28'!AA18=1,(('28'!Z18*'28'!$AS$6*'28'!$AT$6)/('28'!Y18*0.0036)),IF('28'!AA18=2,(('28'!Z18*'28'!$AS$7*'28'!$AT$7)/('28'!Y18*0.0036))))</f>
        <v>75.438905996065358</v>
      </c>
      <c r="AC18" s="58"/>
      <c r="AD18" s="18">
        <f>(('28'!AC18*'28'!$Q$10*1000000))/('28'!Y18*3600)</f>
        <v>0</v>
      </c>
      <c r="AE18" s="183"/>
      <c r="AF18" s="184">
        <f>('28'!AE18/24)*0.454</f>
        <v>0</v>
      </c>
      <c r="AG18" s="19"/>
      <c r="AH18" s="184">
        <f>('28'!AG18/24)*0.454</f>
        <v>0</v>
      </c>
      <c r="AI18" s="182">
        <v>5400</v>
      </c>
      <c r="AJ18" s="184">
        <f>('28'!AI18/24)*0.454</f>
        <v>102.15</v>
      </c>
      <c r="AK18" s="21"/>
      <c r="AL18" s="185">
        <f>('28'!AK18/24)*0.454</f>
        <v>0</v>
      </c>
      <c r="AM18" s="21"/>
      <c r="AN18" s="185">
        <f>('28'!AM18/24)*0.454</f>
        <v>0</v>
      </c>
      <c r="AO18" s="21"/>
      <c r="AP18" s="338">
        <f>('28'!AO18/24)*0.454</f>
        <v>0</v>
      </c>
    </row>
    <row r="19" spans="1:42" ht="18.75" customHeight="1">
      <c r="A19" s="10" t="s">
        <v>52</v>
      </c>
      <c r="B19" s="189">
        <f>AVERAGE('28'!B7:B18)</f>
        <v>80</v>
      </c>
      <c r="C19" s="69">
        <f>AVERAGE('28'!C7:C18)</f>
        <v>15</v>
      </c>
      <c r="D19" s="69">
        <f>AVERAGE('28'!D7:D18)</f>
        <v>15</v>
      </c>
      <c r="E19" s="69">
        <f>AVERAGE('28'!E7:E18)</f>
        <v>2.5</v>
      </c>
      <c r="F19" s="69">
        <f>AVERAGE('28'!F7:F18)</f>
        <v>13.25</v>
      </c>
      <c r="G19" s="69">
        <f>AVERAGE('28'!G7:G18)</f>
        <v>2.0666666666666669</v>
      </c>
      <c r="H19" s="69">
        <f>AVERAGE('28'!H7:H18)</f>
        <v>2.5166666666666671</v>
      </c>
      <c r="I19" s="69">
        <f>AVERAGE('28'!I7:I18)</f>
        <v>0.53333333333333333</v>
      </c>
      <c r="J19" s="69">
        <f>AVERAGE('28'!J7:J18)</f>
        <v>0.61666666666666659</v>
      </c>
      <c r="K19" s="69">
        <f>AVERAGE('28'!K7:K18)</f>
        <v>7.299999999999998</v>
      </c>
      <c r="L19" s="69">
        <f>AVERAGE('28'!L7:L18)</f>
        <v>6.3999999999999986</v>
      </c>
      <c r="M19" s="69">
        <f>AVERAGE('28'!M7:M18)</f>
        <v>6.3999999999999986</v>
      </c>
      <c r="N19" s="69">
        <f>AVERAGE('28'!N7:N18)</f>
        <v>6.1000000000000005</v>
      </c>
      <c r="O19" s="69">
        <f>AVERAGE('28'!O7:O18)</f>
        <v>3.1416666666666671</v>
      </c>
      <c r="P19" s="190" t="e">
        <f>AVERAGE('28'!P7:P18)</f>
        <v>#DIV/0!</v>
      </c>
      <c r="Q19" s="191" t="e">
        <f>AVERAGE('28'!Q7:Q18)</f>
        <v>#DIV/0!</v>
      </c>
      <c r="R19" s="191">
        <f>AVERAGE('28'!R7:R18)</f>
        <v>1054.1666666666667</v>
      </c>
      <c r="S19" s="191">
        <f>AVERAGE('28'!S7:S18)</f>
        <v>74.722407535499229</v>
      </c>
      <c r="T19" s="946"/>
      <c r="U19" s="946"/>
      <c r="V19" s="49"/>
      <c r="W19" s="50"/>
      <c r="X19" s="13">
        <v>0.58333333333333304</v>
      </c>
      <c r="Y19" s="54">
        <v>2602</v>
      </c>
      <c r="Z19" s="54">
        <v>1061</v>
      </c>
      <c r="AA19" s="15">
        <v>1</v>
      </c>
      <c r="AB19" s="58">
        <f>IF('28'!AA19=1,(('28'!Z19*'28'!$AS$6*'28'!$AT$6)/('28'!Y19*0.0036)),IF('28'!AA19=2,(('28'!Z19*'28'!$AS$7*'28'!$AT$7)/('28'!Y19*0.0036))))</f>
        <v>75.322935348876939</v>
      </c>
      <c r="AC19" s="58"/>
      <c r="AD19" s="18">
        <f>(('28'!AC19*'28'!$Q$10*1000000))/('28'!Y19*3600)</f>
        <v>0</v>
      </c>
      <c r="AE19" s="183"/>
      <c r="AF19" s="184">
        <f>('28'!AE19/24)*0.454</f>
        <v>0</v>
      </c>
      <c r="AG19" s="19"/>
      <c r="AH19" s="184">
        <f>('28'!AG19/24)*0.454</f>
        <v>0</v>
      </c>
      <c r="AI19" s="182">
        <v>5400</v>
      </c>
      <c r="AJ19" s="184">
        <f>('28'!AI19/24)*0.454</f>
        <v>102.15</v>
      </c>
      <c r="AK19" s="21"/>
      <c r="AL19" s="185">
        <f>('28'!AK19/24)*0.454</f>
        <v>0</v>
      </c>
      <c r="AM19" s="21"/>
      <c r="AN19" s="185">
        <f>('28'!AM19/24)*0.454</f>
        <v>0</v>
      </c>
      <c r="AO19" s="21"/>
      <c r="AP19" s="338">
        <f>('28'!AO19/24)*0.454</f>
        <v>0</v>
      </c>
    </row>
    <row r="20" spans="1:42" ht="18.75" customHeight="1">
      <c r="A20" s="10" t="s">
        <v>53</v>
      </c>
      <c r="B20" s="189">
        <f>MAX('28'!B7:B18)</f>
        <v>80</v>
      </c>
      <c r="C20" s="69">
        <f>MAX('28'!C7:C18)</f>
        <v>15</v>
      </c>
      <c r="D20" s="69">
        <f>MAX('28'!D7:D18)</f>
        <v>15</v>
      </c>
      <c r="E20" s="69">
        <f>MAX('28'!E7:E18)</f>
        <v>2.5</v>
      </c>
      <c r="F20" s="69">
        <f>MAX('28'!F7:F18)</f>
        <v>14</v>
      </c>
      <c r="G20" s="69">
        <f>MAX('28'!G7:G18)</f>
        <v>2.5</v>
      </c>
      <c r="H20" s="69">
        <f>MAX('28'!H7:H18)</f>
        <v>2.9</v>
      </c>
      <c r="I20" s="69">
        <f>MAX('28'!I7:I18)</f>
        <v>0.6</v>
      </c>
      <c r="J20" s="69">
        <f>MAX('28'!J7:J18)</f>
        <v>0.7</v>
      </c>
      <c r="K20" s="69">
        <f>MAX('28'!K7:K18)</f>
        <v>7.3</v>
      </c>
      <c r="L20" s="69">
        <f>MAX('28'!L7:L18)</f>
        <v>6.6</v>
      </c>
      <c r="M20" s="69">
        <f>MAX('28'!M7:M18)</f>
        <v>6.6</v>
      </c>
      <c r="N20" s="69">
        <f>MAX('28'!N7:N18)</f>
        <v>6.3</v>
      </c>
      <c r="O20" s="70">
        <f>MAX('28'!O7:O18)</f>
        <v>3.5</v>
      </c>
      <c r="P20" s="70">
        <f>MAX('28'!P7:P18)</f>
        <v>0</v>
      </c>
      <c r="Q20" s="70">
        <f>MAX('28'!Q7:Q18)</f>
        <v>0</v>
      </c>
      <c r="R20" s="70">
        <f>MAX('28'!R7:R18)</f>
        <v>1061</v>
      </c>
      <c r="S20" s="70">
        <f>MAX('28'!S7:S18)</f>
        <v>76.678512432620423</v>
      </c>
      <c r="T20" s="946"/>
      <c r="U20" s="946"/>
      <c r="X20" s="13">
        <v>0.625</v>
      </c>
      <c r="Y20" s="54">
        <v>2603</v>
      </c>
      <c r="Z20" s="54">
        <v>1061</v>
      </c>
      <c r="AA20" s="15">
        <v>1</v>
      </c>
      <c r="AB20" s="58">
        <f>IF('28'!AA20=1,(('28'!Z20*'28'!$AS$6*'28'!$AT$6)/('28'!Y20*0.0036)),IF('28'!AA20=2,(('28'!Z20*'28'!$AS$7*'28'!$AT$7)/('28'!Y20*0.0036))))</f>
        <v>75.29399837794</v>
      </c>
      <c r="AC20" s="58"/>
      <c r="AD20" s="18">
        <f>(('28'!AC20*'28'!$Q$10*1000000))/('28'!Y20*3600)</f>
        <v>0</v>
      </c>
      <c r="AE20" s="183"/>
      <c r="AF20" s="184">
        <f>('28'!AE20/24)*0.454</f>
        <v>0</v>
      </c>
      <c r="AG20" s="19"/>
      <c r="AH20" s="184">
        <f>('28'!AG20/24)*0.454</f>
        <v>0</v>
      </c>
      <c r="AI20" s="182">
        <v>5400</v>
      </c>
      <c r="AJ20" s="184">
        <f>('28'!AI20/24)*0.454</f>
        <v>102.15</v>
      </c>
      <c r="AK20" s="21"/>
      <c r="AL20" s="185">
        <f>('28'!AK20/24)*0.454</f>
        <v>0</v>
      </c>
      <c r="AM20" s="21"/>
      <c r="AN20" s="185">
        <f>('28'!AM20/24)*0.454</f>
        <v>0</v>
      </c>
      <c r="AO20" s="21"/>
      <c r="AP20" s="338">
        <f>('28'!AO20/24)*0.454</f>
        <v>0</v>
      </c>
    </row>
    <row r="21" spans="1:42" ht="19.5" customHeight="1">
      <c r="A21" s="10" t="s">
        <v>54</v>
      </c>
      <c r="B21" s="189">
        <f>MIN('28'!B7:B18)</f>
        <v>80</v>
      </c>
      <c r="C21" s="69">
        <f>MIN('28'!C7:C18)</f>
        <v>15</v>
      </c>
      <c r="D21" s="69">
        <f>MIN('28'!D7:D18)</f>
        <v>15</v>
      </c>
      <c r="E21" s="69">
        <f>MIN('28'!E7:E18)</f>
        <v>2.5</v>
      </c>
      <c r="F21" s="69">
        <f>MIN('28'!F7:F18)</f>
        <v>13</v>
      </c>
      <c r="G21" s="192">
        <f>MIN('28'!G7:G18)</f>
        <v>1.6</v>
      </c>
      <c r="H21" s="192">
        <f>MIN('28'!H7:H18)</f>
        <v>2.2000000000000002</v>
      </c>
      <c r="I21" s="192">
        <f>MIN('28'!I7:I18)</f>
        <v>0.5</v>
      </c>
      <c r="J21" s="192">
        <f>MIN('28'!J7:J18)</f>
        <v>0.5</v>
      </c>
      <c r="K21" s="192">
        <f>MIN('28'!K7:K18)</f>
        <v>7.3</v>
      </c>
      <c r="L21" s="192">
        <f>MIN('28'!L7:L18)</f>
        <v>6.3</v>
      </c>
      <c r="M21" s="192">
        <f>MIN('28'!M7:M18)</f>
        <v>6.3</v>
      </c>
      <c r="N21" s="192">
        <f>MIN('28'!N7:N18)</f>
        <v>6</v>
      </c>
      <c r="O21" s="193">
        <f>MIN('28'!O7:O18)</f>
        <v>3</v>
      </c>
      <c r="P21" s="193">
        <f>MIN('28'!P7:P18)</f>
        <v>0</v>
      </c>
      <c r="Q21" s="193">
        <f>MIN('28'!Q7:Q18)</f>
        <v>0</v>
      </c>
      <c r="R21" s="193">
        <f>MIN('28'!R7:R18)</f>
        <v>979</v>
      </c>
      <c r="S21" s="193">
        <f>MIN('28'!S7:S18)</f>
        <v>68.294205270224921</v>
      </c>
      <c r="T21" s="946"/>
      <c r="U21" s="946"/>
      <c r="X21" s="13">
        <v>0.66666666666666696</v>
      </c>
      <c r="Y21" s="54">
        <v>2603</v>
      </c>
      <c r="Z21" s="54">
        <v>1061</v>
      </c>
      <c r="AA21" s="15">
        <v>1</v>
      </c>
      <c r="AB21" s="58">
        <f>IF('28'!AA21=1,(('28'!Z21*'28'!$AS$6*'28'!$AT$6)/('28'!Y21*0.0036)),IF('28'!AA21=2,(('28'!Z21*'28'!$AS$7*'28'!$AT$7)/('28'!Y21*0.0036))))</f>
        <v>75.29399837794</v>
      </c>
      <c r="AC21" s="58"/>
      <c r="AD21" s="18">
        <f>(('28'!AC21*'28'!$Q$10*1000000))/('28'!Y21*3600)</f>
        <v>0</v>
      </c>
      <c r="AE21" s="183"/>
      <c r="AF21" s="184">
        <f>('28'!AE21/24)*0.454</f>
        <v>0</v>
      </c>
      <c r="AG21" s="19"/>
      <c r="AH21" s="184">
        <f>('28'!AG21/24)*0.454</f>
        <v>0</v>
      </c>
      <c r="AI21" s="182">
        <v>5400</v>
      </c>
      <c r="AJ21" s="184">
        <f>('28'!AI21/24)*0.454</f>
        <v>102.15</v>
      </c>
      <c r="AK21" s="21"/>
      <c r="AL21" s="185">
        <f>('28'!AK21/24)*0.454</f>
        <v>0</v>
      </c>
      <c r="AM21" s="21"/>
      <c r="AN21" s="185">
        <f>('28'!AM21/24)*0.454</f>
        <v>0</v>
      </c>
      <c r="AO21" s="21"/>
      <c r="AP21" s="338">
        <f>('28'!AO21/24)*0.454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54">
        <v>2604</v>
      </c>
      <c r="Z22" s="54">
        <v>1061</v>
      </c>
      <c r="AA22" s="15">
        <v>1</v>
      </c>
      <c r="AB22" s="58">
        <f>IF('28'!AA22=1,(('28'!Z22*'28'!$AS$6*'28'!$AT$6)/('28'!Y22*0.0036)),IF('28'!AA22=2,(('28'!Z22*'28'!$AS$7*'28'!$AT$7)/('28'!Y22*0.0036))))</f>
        <v>75.265083632019127</v>
      </c>
      <c r="AC22" s="58"/>
      <c r="AD22" s="18">
        <f>(('28'!AC22*'28'!$Q$10*1000000))/('28'!Y22*3600)</f>
        <v>0</v>
      </c>
      <c r="AE22" s="183"/>
      <c r="AF22" s="184">
        <f>('28'!AE22/24)*0.454</f>
        <v>0</v>
      </c>
      <c r="AG22" s="19"/>
      <c r="AH22" s="184">
        <f>('28'!AG22/24)*0.454</f>
        <v>0</v>
      </c>
      <c r="AI22" s="182">
        <v>5400</v>
      </c>
      <c r="AJ22" s="184">
        <f>('28'!AI22/24)*0.454</f>
        <v>102.15</v>
      </c>
      <c r="AK22" s="21"/>
      <c r="AL22" s="185">
        <f>('28'!AK22/24)*0.454</f>
        <v>0</v>
      </c>
      <c r="AM22" s="21"/>
      <c r="AN22" s="185">
        <f>('28'!AM22/24)*0.454</f>
        <v>0</v>
      </c>
      <c r="AO22" s="21"/>
      <c r="AP22" s="338">
        <f>('28'!AO22/24)*0.454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54">
        <v>2556</v>
      </c>
      <c r="Z23" s="54">
        <v>1061</v>
      </c>
      <c r="AA23" s="15">
        <v>1</v>
      </c>
      <c r="AB23" s="58">
        <f>IF('28'!AA23=1,(('28'!Z23*'28'!$AS$6*'28'!$AT$6)/('28'!Y23*0.0036)),IF('28'!AA23=2,(('28'!Z23*'28'!$AS$7*'28'!$AT$7)/('28'!Y23*0.0036))))</f>
        <v>76.678512432620423</v>
      </c>
      <c r="AC23" s="58"/>
      <c r="AD23" s="18">
        <f>(('28'!AC23*'28'!$Q$10*1000000))/('28'!Y23*3600)</f>
        <v>0</v>
      </c>
      <c r="AE23" s="183"/>
      <c r="AF23" s="184">
        <f>('28'!AE23/24)*0.454</f>
        <v>0</v>
      </c>
      <c r="AG23" s="19"/>
      <c r="AH23" s="184">
        <f>('28'!AG23/24)*0.454</f>
        <v>0</v>
      </c>
      <c r="AI23" s="182">
        <v>5400</v>
      </c>
      <c r="AJ23" s="184">
        <f>('28'!AI23/24)*0.454</f>
        <v>102.15</v>
      </c>
      <c r="AK23" s="21"/>
      <c r="AL23" s="185">
        <f>('28'!AK23/24)*0.454</f>
        <v>0</v>
      </c>
      <c r="AM23" s="21"/>
      <c r="AN23" s="185">
        <f>('28'!AM23/24)*0.454</f>
        <v>0</v>
      </c>
      <c r="AO23" s="21"/>
      <c r="AP23" s="338">
        <f>('28'!AO23/24)*0.454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54">
        <v>2571</v>
      </c>
      <c r="Z24" s="54">
        <v>1061</v>
      </c>
      <c r="AA24" s="15">
        <v>1</v>
      </c>
      <c r="AB24" s="16">
        <f>IF('28'!AA24=1,(('28'!Z24*'28'!$AS$6*'28'!$AT$6)/('28'!Y24*0.0036)),IF('28'!AA24=2,(('28'!Z24*'28'!$AS$7*'28'!$AT$7)/('28'!Y24*0.0036))))</f>
        <v>76.231146549116218</v>
      </c>
      <c r="AC24" s="58"/>
      <c r="AD24" s="18">
        <f>(('28'!AC24*'28'!$Q$10*1000000))/('28'!Y24*3600)</f>
        <v>0</v>
      </c>
      <c r="AE24" s="183"/>
      <c r="AF24" s="195">
        <f>('28'!AE24/24)*0.454</f>
        <v>0</v>
      </c>
      <c r="AG24" s="19"/>
      <c r="AH24" s="195">
        <f>('28'!AG24/24)*0.454</f>
        <v>0</v>
      </c>
      <c r="AI24" s="182">
        <v>5400</v>
      </c>
      <c r="AJ24" s="195">
        <f>('28'!AI24/24)*0.454</f>
        <v>102.15</v>
      </c>
      <c r="AK24" s="21"/>
      <c r="AL24" s="196">
        <f>('28'!AK24/24)*0.454</f>
        <v>0</v>
      </c>
      <c r="AM24" s="197"/>
      <c r="AN24" s="196">
        <f>('28'!AM24/24)*0.454</f>
        <v>0</v>
      </c>
      <c r="AO24" s="21"/>
      <c r="AP24" s="338">
        <f>('28'!AO24/24)*0.454</f>
        <v>0</v>
      </c>
    </row>
    <row r="25" spans="1:42" ht="19.5" customHeight="1">
      <c r="A25" s="64">
        <v>0.41666666666666702</v>
      </c>
      <c r="B25" s="198"/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5" t="e">
        <f>#DIV/0!</f>
        <v>#DIV/0!</v>
      </c>
      <c r="S25" s="66"/>
      <c r="T25" s="1023" t="s">
        <v>0</v>
      </c>
      <c r="U25" s="1049">
        <f>ESCALA!$A$30</f>
        <v>43918</v>
      </c>
      <c r="X25" s="13">
        <v>0.83333333333333304</v>
      </c>
      <c r="Y25" s="54">
        <v>2580</v>
      </c>
      <c r="Z25" s="54">
        <v>1061</v>
      </c>
      <c r="AA25" s="15">
        <v>1</v>
      </c>
      <c r="AB25" s="58">
        <f>IF('28'!AA25=1,(('28'!Z25*'28'!$AS$6*'28'!$AT$6)/('28'!Y25*0.0036)),IF('28'!AA25=2,(('28'!Z25*'28'!$AS$7*'28'!$AT$7)/('28'!Y25*0.0036))))</f>
        <v>75.965223944875106</v>
      </c>
      <c r="AC25" s="58"/>
      <c r="AD25" s="18">
        <f>(('28'!AC25*'28'!$Q$10*1000000))/('28'!Y25*3600)</f>
        <v>0</v>
      </c>
      <c r="AE25" s="183"/>
      <c r="AF25" s="184">
        <f>('28'!AE25/24)*0.454</f>
        <v>0</v>
      </c>
      <c r="AG25" s="19"/>
      <c r="AH25" s="184">
        <f>('28'!AG25/24)*0.454</f>
        <v>0</v>
      </c>
      <c r="AI25" s="182">
        <v>5400</v>
      </c>
      <c r="AJ25" s="184">
        <f>('28'!AI25/24)*0.454</f>
        <v>102.15</v>
      </c>
      <c r="AK25" s="21"/>
      <c r="AL25" s="185">
        <f>('28'!AK25/24)*0.454</f>
        <v>0</v>
      </c>
      <c r="AM25" s="21"/>
      <c r="AN25" s="185">
        <f>('28'!AM25/24)*0.454</f>
        <v>0</v>
      </c>
      <c r="AO25" s="21"/>
      <c r="AP25" s="338">
        <f>('28'!AO25/24)*0.454</f>
        <v>0</v>
      </c>
    </row>
    <row r="26" spans="1:42" ht="19.5" customHeight="1">
      <c r="A26" s="64">
        <v>0.66666666666666696</v>
      </c>
      <c r="B26" s="198"/>
      <c r="C26" s="198">
        <v>0.5</v>
      </c>
      <c r="D26" s="198">
        <v>0.48</v>
      </c>
      <c r="E26" s="224">
        <v>0.45</v>
      </c>
      <c r="F26" s="224">
        <v>0.51</v>
      </c>
      <c r="G26" s="224">
        <v>0.56000000000000005</v>
      </c>
      <c r="H26" s="224">
        <v>0.54</v>
      </c>
      <c r="I26" s="224">
        <v>0.49</v>
      </c>
      <c r="J26" s="224">
        <v>0.55000000000000004</v>
      </c>
      <c r="K26" s="224">
        <v>0.51</v>
      </c>
      <c r="L26" s="224">
        <v>0.47</v>
      </c>
      <c r="M26" s="224">
        <v>0.49</v>
      </c>
      <c r="N26" s="224">
        <v>0.41</v>
      </c>
      <c r="O26" s="224">
        <v>0.46</v>
      </c>
      <c r="P26" s="224">
        <v>0.42</v>
      </c>
      <c r="Q26" s="224"/>
      <c r="R26" s="65" t="e">
        <f>#DIV/0!</f>
        <v>#DIV/0!</v>
      </c>
      <c r="S26" s="67"/>
      <c r="T26" s="1023"/>
      <c r="U26" s="1049"/>
      <c r="X26" s="13">
        <v>0.875</v>
      </c>
      <c r="Y26" s="54">
        <v>2603</v>
      </c>
      <c r="Z26" s="54">
        <v>1061</v>
      </c>
      <c r="AA26" s="15">
        <v>1</v>
      </c>
      <c r="AB26" s="58">
        <f>IF('28'!AA26=1,(('28'!Z26*'28'!$AS$6*'28'!$AT$6)/('28'!Y26*0.0036)),IF('28'!AA26=2,(('28'!Z26*'28'!$AS$7*'28'!$AT$7)/('28'!Y26*0.0036))))</f>
        <v>75.29399837794</v>
      </c>
      <c r="AC26" s="58"/>
      <c r="AD26" s="18">
        <f>(('28'!AC26*'28'!$Q$10*1000000))/('28'!Y26*3600)</f>
        <v>0</v>
      </c>
      <c r="AE26" s="183"/>
      <c r="AF26" s="184">
        <f>('28'!AE26/24)*0.454</f>
        <v>0</v>
      </c>
      <c r="AG26" s="19"/>
      <c r="AH26" s="184">
        <f>('28'!AG26/24)*0.454</f>
        <v>0</v>
      </c>
      <c r="AI26" s="182">
        <v>5400</v>
      </c>
      <c r="AJ26" s="184">
        <f>('28'!AI26/24)*0.454</f>
        <v>102.15</v>
      </c>
      <c r="AK26" s="21"/>
      <c r="AL26" s="185">
        <f>('28'!AK26/24)*0.454</f>
        <v>0</v>
      </c>
      <c r="AM26" s="21"/>
      <c r="AN26" s="185">
        <f>('28'!AM26/24)*0.454</f>
        <v>0</v>
      </c>
      <c r="AO26" s="21"/>
      <c r="AP26" s="338">
        <f>('28'!AO26/24)*0.454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54">
        <v>2628</v>
      </c>
      <c r="Z27" s="54">
        <v>1061</v>
      </c>
      <c r="AA27" s="15">
        <v>1</v>
      </c>
      <c r="AB27" s="58">
        <f>IF('28'!AA27=1,(('28'!Z27*'28'!$AS$6*'28'!$AT$6)/('28'!Y27*0.0036)),IF('28'!AA27=2,(('28'!Z27*'28'!$AS$7*'28'!$AT$7)/('28'!Y27*0.0036))))</f>
        <v>74.577731270082879</v>
      </c>
      <c r="AC27" s="58"/>
      <c r="AD27" s="18">
        <f>(('28'!AC27*'28'!$Q$10*1000000))/('28'!Y27*3600)</f>
        <v>0</v>
      </c>
      <c r="AE27" s="183"/>
      <c r="AF27" s="184">
        <f>('28'!AE27/24)*0.454</f>
        <v>0</v>
      </c>
      <c r="AG27" s="19"/>
      <c r="AH27" s="184">
        <f>('28'!AG27/24)*0.454</f>
        <v>0</v>
      </c>
      <c r="AI27" s="182">
        <v>5400</v>
      </c>
      <c r="AJ27" s="184">
        <f>('28'!AI27/24)*0.454</f>
        <v>102.15</v>
      </c>
      <c r="AK27" s="21"/>
      <c r="AL27" s="185">
        <f>('28'!AK27/24)*0.454</f>
        <v>0</v>
      </c>
      <c r="AM27" s="21"/>
      <c r="AN27" s="185">
        <f>('28'!AM27/24)*0.454</f>
        <v>0</v>
      </c>
      <c r="AO27" s="21"/>
      <c r="AP27" s="338">
        <f>('28'!AO27/24)*0.454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4">
        <v>2628</v>
      </c>
      <c r="Z28" s="54">
        <v>1061</v>
      </c>
      <c r="AA28" s="15">
        <v>1</v>
      </c>
      <c r="AB28" s="58">
        <f>IF('28'!AA28=1,(('28'!Z28*'28'!$AS$6*'28'!$AT$6)/('28'!Y28*0.0036)),IF('28'!AA28=2,(('28'!Z28*'28'!$AS$7*'28'!$AT$7)/('28'!Y28*0.0036))))</f>
        <v>74.577731270082879</v>
      </c>
      <c r="AC28" s="58"/>
      <c r="AD28" s="18">
        <f>(('28'!AC28*'28'!$Q$10*1000000))/('28'!Y28*3600)</f>
        <v>0</v>
      </c>
      <c r="AE28" s="183"/>
      <c r="AF28" s="184">
        <f>('28'!AE28/24)*0.454</f>
        <v>0</v>
      </c>
      <c r="AG28" s="19"/>
      <c r="AH28" s="184">
        <f>('28'!AG28/24)*0.454</f>
        <v>0</v>
      </c>
      <c r="AI28" s="182">
        <v>5400</v>
      </c>
      <c r="AJ28" s="184">
        <f>('28'!AI28/24)*0.454</f>
        <v>102.15</v>
      </c>
      <c r="AK28" s="21"/>
      <c r="AL28" s="185">
        <f>('28'!AK28/24)*0.454</f>
        <v>0</v>
      </c>
      <c r="AM28" s="21"/>
      <c r="AN28" s="185">
        <f>('28'!AM28/24)*0.454</f>
        <v>0</v>
      </c>
      <c r="AO28" s="21"/>
      <c r="AP28" s="338">
        <f>('28'!AO28/24)*0.454</f>
        <v>0</v>
      </c>
    </row>
    <row r="29" spans="1:42" ht="18.75" customHeight="1">
      <c r="A29" s="1029" t="s">
        <v>156</v>
      </c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4">
        <v>2628</v>
      </c>
      <c r="Z29" s="54">
        <v>1061</v>
      </c>
      <c r="AA29" s="15">
        <v>1</v>
      </c>
      <c r="AB29" s="58">
        <f>IF('28'!AA29=1,(('28'!Z29*'28'!$AS$6*'28'!$AT$6)/('28'!Y29*0.0036)),IF('28'!AA29=2,(('28'!Z29*'28'!$AS$7*'28'!$AT$7)/('28'!Y29*0.0036))))</f>
        <v>74.577731270082879</v>
      </c>
      <c r="AC29" s="58"/>
      <c r="AD29" s="18">
        <f>(('28'!AC29*'28'!$Q$10*1000000))/('28'!Y29*3600)</f>
        <v>0</v>
      </c>
      <c r="AE29" s="183"/>
      <c r="AF29" s="184">
        <f>('28'!AE29/24)*0.454</f>
        <v>0</v>
      </c>
      <c r="AG29" s="19"/>
      <c r="AH29" s="184">
        <f>('28'!AG29/24)*0.454</f>
        <v>0</v>
      </c>
      <c r="AI29" s="182">
        <v>5400</v>
      </c>
      <c r="AJ29" s="184">
        <f>('28'!AI29/24)*0.454</f>
        <v>102.15</v>
      </c>
      <c r="AK29" s="21"/>
      <c r="AL29" s="185">
        <f>('28'!AK29/24)*0.454</f>
        <v>0</v>
      </c>
      <c r="AM29" s="21"/>
      <c r="AN29" s="185">
        <f>('28'!AM29/24)*0.454</f>
        <v>0</v>
      </c>
      <c r="AO29" s="21"/>
      <c r="AP29" s="338">
        <f>('28'!AO29/24)*0.454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SUM('28'!Y6:Y29)*3.6</f>
        <v>225201.6</v>
      </c>
      <c r="Z30" s="82">
        <f>SUM('28'!Z6:Z29)</f>
        <v>25464</v>
      </c>
      <c r="AA30" s="78"/>
      <c r="AB30" s="79"/>
      <c r="AC30" s="78"/>
      <c r="AD30" s="79"/>
      <c r="AE30" s="34"/>
      <c r="AF30" s="184">
        <f>SUM('28'!AF6:AF29)</f>
        <v>0</v>
      </c>
      <c r="AG30" s="34"/>
      <c r="AH30" s="184">
        <f>SUM('28'!AH6:AH29)</f>
        <v>0</v>
      </c>
      <c r="AI30" s="34"/>
      <c r="AJ30" s="184">
        <f>SUM('28'!AJ6:AJ29)</f>
        <v>2451.6000000000008</v>
      </c>
      <c r="AK30" s="80"/>
      <c r="AL30" s="185">
        <f>SUM('28'!AL6:AL29)</f>
        <v>0</v>
      </c>
      <c r="AM30" s="80"/>
      <c r="AN30" s="185">
        <f>SUM('28'!AN6:AN29)</f>
        <v>0</v>
      </c>
      <c r="AO30" s="21"/>
      <c r="AP30" s="185">
        <f>SUM('28'!AP6:AP29)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SUMIF('28'!AA6:AA29,"=1",'28'!Z6:Z29)</f>
        <v>25464</v>
      </c>
      <c r="AA32" s="82">
        <f>'28'!Z32*'28'!AS6</f>
        <v>33867.120000000003</v>
      </c>
      <c r="AB32" s="83">
        <f>SUMIF('28'!$AA$6:$AA$29,"=1",'28'!$AB$6:$AB$29)/COUNTIF('28'!$AA$6:$AA$29,"=1")</f>
        <v>75.199870035488871</v>
      </c>
      <c r="AC32" s="84">
        <f>SUMIF('28'!AA6:AA29,"=1",'28'!AC6:AC29)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SUMIF('28'!AA6:AA29,"=2",'28'!Z6:Z29)</f>
        <v>0</v>
      </c>
      <c r="AA33" s="82">
        <f>'28'!Z33*'28'!AS7</f>
        <v>0</v>
      </c>
      <c r="AB33" s="83" t="e">
        <f>SUMIF('28'!$AA$6:$AA$29,"=2",'28'!$AB$6:$AB$29)/COUNTIF('28'!$AA$6:$AA$29,"=2")</f>
        <v>#DIV/0!</v>
      </c>
      <c r="AC33" s="89">
        <f>SUMIF('28'!AA6:AA29,"=2",'28'!AC6:AC29)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AVERAGE('28'!Y6:Y29)</f>
        <v>2606.5</v>
      </c>
      <c r="Z34" s="96">
        <f>AVERAGE('28'!Z6:Z29)</f>
        <v>1061</v>
      </c>
      <c r="AA34" s="97"/>
      <c r="AB34" s="97"/>
      <c r="AC34" s="98">
        <f>SUM('28'!AC6:AC29)/COUNTIF('28'!AC6:AC29,"&lt;&gt;0")</f>
        <v>0</v>
      </c>
      <c r="AD34" s="99" t="e">
        <f>SUM('28'!AD6:AD29)/COUNTIF('28'!AD6:AD29,"&lt;&gt;0")</f>
        <v>#DIV/0!</v>
      </c>
      <c r="AE34" s="78"/>
      <c r="AF34" s="98">
        <f>AVERAGE('28'!AF6:AF29)</f>
        <v>0</v>
      </c>
      <c r="AG34" s="98"/>
      <c r="AH34" s="98">
        <f>AVERAGE('28'!AH6:AH29)</f>
        <v>0</v>
      </c>
      <c r="AI34" s="98"/>
      <c r="AJ34" s="98">
        <f>'28'!AJ30/24</f>
        <v>102.15000000000003</v>
      </c>
      <c r="AK34" s="98"/>
      <c r="AL34" s="98">
        <f>AVERAGE('28'!AL6:AL29)</f>
        <v>0</v>
      </c>
      <c r="AM34" s="98"/>
      <c r="AN34" s="98">
        <f>AVERAGE('28'!AN6:AN29)</f>
        <v>0</v>
      </c>
      <c r="AO34" s="98"/>
      <c r="AP34" s="98">
        <f>AVERAGE('28'!AP6:AP29)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50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50"/>
      <c r="X36" s="105" t="s">
        <v>73</v>
      </c>
      <c r="Y36" s="106"/>
      <c r="Z36" s="107"/>
      <c r="AA36" s="108" t="s">
        <v>74</v>
      </c>
      <c r="AB36" s="106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79.599999999999994</v>
      </c>
      <c r="D37" s="186">
        <v>64.5</v>
      </c>
      <c r="E37" s="186">
        <v>47.4</v>
      </c>
      <c r="F37" s="186">
        <v>1.4</v>
      </c>
      <c r="G37" s="183">
        <v>0.2</v>
      </c>
      <c r="H37" s="183">
        <v>0.2</v>
      </c>
      <c r="I37" s="183">
        <v>0.25</v>
      </c>
      <c r="J37" s="183">
        <v>0.15</v>
      </c>
      <c r="K37" s="183">
        <v>0.03</v>
      </c>
      <c r="L37" s="1119">
        <v>0</v>
      </c>
      <c r="M37" s="1119"/>
      <c r="N37" s="1119"/>
      <c r="O37" s="10"/>
      <c r="P37" s="10"/>
      <c r="Q37" s="10"/>
      <c r="R37" s="10"/>
      <c r="S37" s="10"/>
      <c r="T37" s="10"/>
      <c r="U37" s="236">
        <f>'28'!V12</f>
        <v>0</v>
      </c>
      <c r="X37" s="962" t="s">
        <v>75</v>
      </c>
      <c r="Y37" s="962"/>
      <c r="Z37" s="110">
        <f>COUNTA('28'!Z6:Z29)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SUM('28'!AF30+'28'!AH30)</f>
        <v>0</v>
      </c>
      <c r="AL38" s="210" t="s">
        <v>78</v>
      </c>
      <c r="AM38" s="212">
        <f>SUM('28'!AL30+'28'!AN30)</f>
        <v>0</v>
      </c>
      <c r="AO38" s="210" t="s">
        <v>78</v>
      </c>
      <c r="AP38" s="211">
        <f>'28'!AJ30</f>
        <v>2451.6000000000008</v>
      </c>
      <c r="AQ38" s="210" t="s">
        <v>78</v>
      </c>
      <c r="AR38" s="212">
        <f>'28'!AP30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('28'!AK38/'28'!Y30)*1000</f>
        <v>0</v>
      </c>
      <c r="AL39" s="215" t="s">
        <v>86</v>
      </c>
      <c r="AM39" s="216">
        <f>('28'!AM38/'28'!Y30)*1000</f>
        <v>0</v>
      </c>
      <c r="AO39" s="213" t="s">
        <v>86</v>
      </c>
      <c r="AP39" s="214">
        <f>('28'!AP38/'28'!Y30)*1000</f>
        <v>10.88624592365241</v>
      </c>
      <c r="AQ39" s="215" t="s">
        <v>86</v>
      </c>
      <c r="AR39" s="216">
        <f>('28'!AR38/'28'!Y30)*1000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SUM('28'!AK38,'28'!AM38)</f>
        <v>0</v>
      </c>
      <c r="AM40" s="975"/>
      <c r="AO40" s="976" t="s">
        <v>90</v>
      </c>
      <c r="AP40" s="976"/>
      <c r="AQ40" s="977">
        <f>SUM('28'!AP38,'28'!AR38)</f>
        <v>2451.6000000000008</v>
      </c>
      <c r="AR40" s="977"/>
    </row>
    <row r="41" spans="1:44" ht="16.5" customHeight="1">
      <c r="A41" s="133">
        <f>COUNTA('28'!E7:E18)</f>
        <v>12</v>
      </c>
      <c r="B41" s="134">
        <f>COUNTA('28'!I7:I18)</f>
        <v>12</v>
      </c>
      <c r="C41" s="978">
        <f>COUNTA('28'!J7:J18)</f>
        <v>12</v>
      </c>
      <c r="D41" s="978">
        <f>COUNTA('28'!K7:K18)</f>
        <v>12</v>
      </c>
      <c r="E41" s="978">
        <f>COUNTIF('28'!E7:E18,"&gt;15")</f>
        <v>0</v>
      </c>
      <c r="F41" s="978"/>
      <c r="G41" s="978">
        <f>COUNTIF('28'!J7:J18,"&gt;1")</f>
        <v>0</v>
      </c>
      <c r="H41" s="978"/>
      <c r="I41" s="135"/>
      <c r="J41" s="978">
        <f>'28'!A41-'28'!E41</f>
        <v>12</v>
      </c>
      <c r="K41" s="978"/>
      <c r="L41" s="978">
        <f>'28'!C41-'28'!G41</f>
        <v>12</v>
      </c>
      <c r="M41" s="978"/>
      <c r="N41" s="135"/>
      <c r="O41" s="979">
        <f>COUNTIF('28'!J7:J18,"&lt;=0,5")</f>
        <v>3</v>
      </c>
      <c r="P41" s="979"/>
      <c r="Q41" s="979"/>
      <c r="R41" s="969"/>
      <c r="S41" s="980">
        <f>COUNTIF('28'!J7:J18,"&lt;=1,0")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SUM(('28'!AK38+'28'!AM38)/'28'!Y30)*1000</f>
        <v>0</v>
      </c>
      <c r="AM41" s="981"/>
      <c r="AO41" s="976" t="s">
        <v>91</v>
      </c>
      <c r="AP41" s="976"/>
      <c r="AQ41" s="981">
        <f>SUM(('28'!AP38+'28'!AR38)/'28'!Y30)*1000</f>
        <v>10.88624592365241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/>
      <c r="Z44" s="144" t="s">
        <v>101</v>
      </c>
      <c r="AA44" s="145"/>
      <c r="AB44" s="144" t="s">
        <v>101</v>
      </c>
      <c r="AC44" s="145"/>
      <c r="AD44" s="988"/>
      <c r="AE44" s="988"/>
      <c r="AF44" s="989" t="s">
        <v>102</v>
      </c>
      <c r="AG44" s="1002">
        <f>SUM('28'!Y45,'28'!AA45,'28'!AC45,'28'!AE45)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COUNTIF('28'!I7:I18,"&lt;=5,0")</f>
        <v>12</v>
      </c>
      <c r="I45" s="992"/>
      <c r="J45" s="992"/>
      <c r="K45" s="135"/>
      <c r="L45" s="974">
        <f>COUNTA('28'!L37)</f>
        <v>1</v>
      </c>
      <c r="M45" s="974"/>
      <c r="O45" s="146"/>
      <c r="P45" s="147"/>
      <c r="Q45" s="993">
        <f>'28'!S41-'28'!O41</f>
        <v>9</v>
      </c>
      <c r="R45" s="993"/>
      <c r="S45" s="993"/>
      <c r="T45" s="148"/>
      <c r="X45" s="149" t="s">
        <v>104</v>
      </c>
      <c r="Y45" s="150">
        <f>'28'!Y44*275.3</f>
        <v>0</v>
      </c>
      <c r="Z45" s="149" t="s">
        <v>104</v>
      </c>
      <c r="AA45" s="150">
        <f>262.4*'28'!AA44</f>
        <v>0</v>
      </c>
      <c r="AB45" s="149" t="s">
        <v>104</v>
      </c>
      <c r="AC45" s="150">
        <f>'28'!AC44*277.7</f>
        <v>0</v>
      </c>
      <c r="AD45" s="149" t="s">
        <v>104</v>
      </c>
      <c r="AE45" s="151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79"/>
      <c r="AP45" s="1079"/>
      <c r="AQ45" s="142"/>
      <c r="AR45" s="143"/>
    </row>
    <row r="46" spans="1:44" ht="15.75" customHeight="1">
      <c r="F46" s="152"/>
      <c r="X46" s="153" t="s">
        <v>105</v>
      </c>
      <c r="Y46" s="154">
        <f>'28'!AS6</f>
        <v>1.33</v>
      </c>
      <c r="Z46" s="153" t="s">
        <v>105</v>
      </c>
      <c r="AA46" s="155">
        <f>'28'!Y46</f>
        <v>1.33</v>
      </c>
      <c r="AB46" s="153" t="s">
        <v>105</v>
      </c>
      <c r="AC46" s="155">
        <f>'28'!Y46</f>
        <v>1.33</v>
      </c>
      <c r="AD46" s="153" t="s">
        <v>105</v>
      </c>
      <c r="AE46" s="156">
        <f>'28'!Y46</f>
        <v>1.33</v>
      </c>
      <c r="AF46" s="995" t="s">
        <v>106</v>
      </c>
      <c r="AG46" s="996">
        <f>SUM('28'!Y47,'28'!AA47,'28'!AC47,'28'!AE47)</f>
        <v>0</v>
      </c>
      <c r="AI46" s="144" t="s">
        <v>101</v>
      </c>
      <c r="AJ46" s="145"/>
      <c r="AK46" s="144" t="s">
        <v>101</v>
      </c>
      <c r="AL46" s="145"/>
      <c r="AM46" s="144" t="s">
        <v>101</v>
      </c>
      <c r="AN46" s="145"/>
      <c r="AO46" s="1079"/>
      <c r="AP46" s="1079"/>
      <c r="AQ46" s="989" t="s">
        <v>102</v>
      </c>
      <c r="AR46" s="990">
        <f>SUM('10'!AJ47,'10'!AL47,'10'!AN47,'10'!AP47)</f>
        <v>0</v>
      </c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'28'!Y45*'28'!Y46</f>
        <v>0</v>
      </c>
      <c r="Z47" s="149" t="s">
        <v>108</v>
      </c>
      <c r="AA47" s="150">
        <f>'28'!AA45*'28'!AA46</f>
        <v>0</v>
      </c>
      <c r="AB47" s="149" t="s">
        <v>108</v>
      </c>
      <c r="AC47" s="150">
        <f>'28'!AC45*'28'!AC46</f>
        <v>0</v>
      </c>
      <c r="AD47" s="149" t="s">
        <v>108</v>
      </c>
      <c r="AE47" s="150">
        <f>'28'!AE45*'28'!AE46</f>
        <v>0</v>
      </c>
      <c r="AF47" s="995"/>
      <c r="AG47" s="996"/>
      <c r="AI47" s="149" t="s">
        <v>104</v>
      </c>
      <c r="AJ47" s="150">
        <f>AJ46*275.3</f>
        <v>0</v>
      </c>
      <c r="AK47" s="149" t="s">
        <v>104</v>
      </c>
      <c r="AL47" s="150">
        <f>262.4*'10'!AL46</f>
        <v>0</v>
      </c>
      <c r="AM47" s="149" t="s">
        <v>104</v>
      </c>
      <c r="AN47" s="150">
        <f>AN46*277.7</f>
        <v>0</v>
      </c>
      <c r="AO47" s="1079"/>
      <c r="AP47" s="1079"/>
      <c r="AQ47" s="989"/>
      <c r="AR47" s="990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Y46</f>
        <v>1.33</v>
      </c>
      <c r="AK48" s="160" t="s">
        <v>105</v>
      </c>
      <c r="AL48" s="154">
        <f>'10'!AJ48</f>
        <v>1.33</v>
      </c>
      <c r="AM48" s="160" t="s">
        <v>105</v>
      </c>
      <c r="AN48" s="154">
        <f>AJ48</f>
        <v>1.33</v>
      </c>
      <c r="AO48" s="1079"/>
      <c r="AP48" s="1079"/>
      <c r="AQ48" s="995" t="s">
        <v>106</v>
      </c>
      <c r="AR48" s="996">
        <f>SUM('10'!AJ49,'10'!AL49,'10'!AN49,'10'!AP49)</f>
        <v>0</v>
      </c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AJ47*AJ48</f>
        <v>0</v>
      </c>
      <c r="AK49" s="149" t="s">
        <v>108</v>
      </c>
      <c r="AL49" s="150">
        <f>'10'!AL47*'10'!AL48</f>
        <v>0</v>
      </c>
      <c r="AM49" s="149" t="s">
        <v>108</v>
      </c>
      <c r="AN49" s="150">
        <f>AN47*AN48</f>
        <v>0</v>
      </c>
      <c r="AO49" s="1079"/>
      <c r="AP49" s="1079"/>
      <c r="AQ49" s="995"/>
      <c r="AR49" s="99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COUNTA('28'!O7:O18)</f>
        <v>12</v>
      </c>
      <c r="P51" s="974">
        <f>COUNTA('28'!W17:W28)</f>
        <v>0</v>
      </c>
      <c r="R51" s="992">
        <f>COUNTIF('28'!O7:O18,"&gt;=0,5")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SUM('28'!Y53,'28'!AA53,'28'!AC53,'28'!AE53)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79"/>
      <c r="AP52" s="1079"/>
      <c r="AQ52" s="313"/>
      <c r="AR52" s="31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'28'!Y52*275.3</f>
        <v>0</v>
      </c>
      <c r="Z53" s="149" t="s">
        <v>104</v>
      </c>
      <c r="AA53" s="150">
        <f>262.4*'28'!AA52</f>
        <v>0</v>
      </c>
      <c r="AB53" s="149" t="s">
        <v>104</v>
      </c>
      <c r="AC53" s="167">
        <f>'28'!AC52*277.7</f>
        <v>0</v>
      </c>
      <c r="AD53" s="149" t="s">
        <v>104</v>
      </c>
      <c r="AE53" s="230"/>
      <c r="AF53" s="989"/>
      <c r="AG53" s="1002"/>
      <c r="AI53" s="144" t="s">
        <v>101</v>
      </c>
      <c r="AJ53" s="166">
        <v>0</v>
      </c>
      <c r="AK53" s="144" t="s">
        <v>101</v>
      </c>
      <c r="AL53" s="164"/>
      <c r="AM53" s="144" t="s">
        <v>101</v>
      </c>
      <c r="AN53" s="164"/>
      <c r="AO53" s="1079"/>
      <c r="AP53" s="1079"/>
      <c r="AQ53" s="989" t="s">
        <v>102</v>
      </c>
      <c r="AR53" s="1002">
        <f>'10'!AJ54+'10'!AL54+'10'!AN54+'10'!AP54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'28'!AS7</f>
        <v>1.345</v>
      </c>
      <c r="Z54" s="153" t="s">
        <v>105</v>
      </c>
      <c r="AA54" s="155">
        <f>'28'!Y54</f>
        <v>1.345</v>
      </c>
      <c r="AB54" s="153" t="s">
        <v>105</v>
      </c>
      <c r="AC54" s="155">
        <f>'28'!Y54</f>
        <v>1.345</v>
      </c>
      <c r="AD54" s="153" t="s">
        <v>105</v>
      </c>
      <c r="AE54" s="156">
        <f>'28'!Y54</f>
        <v>1.345</v>
      </c>
      <c r="AF54" s="995" t="s">
        <v>106</v>
      </c>
      <c r="AG54" s="996">
        <f>SUM('28'!Y55,'28'!AA55,'28'!AC55,'28'!AE55)</f>
        <v>0</v>
      </c>
      <c r="AI54" s="149" t="s">
        <v>104</v>
      </c>
      <c r="AJ54" s="150">
        <f>AJ53*275.3</f>
        <v>0</v>
      </c>
      <c r="AK54" s="149" t="s">
        <v>104</v>
      </c>
      <c r="AL54" s="150">
        <f>262.4*AL53</f>
        <v>0</v>
      </c>
      <c r="AM54" s="149" t="s">
        <v>104</v>
      </c>
      <c r="AN54" s="167">
        <f>AN53*277.7</f>
        <v>0</v>
      </c>
      <c r="AO54" s="1079"/>
      <c r="AP54" s="1079"/>
      <c r="AQ54" s="989"/>
      <c r="AR54" s="1002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'28'!Y53*'28'!Y54</f>
        <v>0</v>
      </c>
      <c r="Z55" s="149" t="s">
        <v>108</v>
      </c>
      <c r="AA55" s="150">
        <f>'28'!AA53*'28'!AA54</f>
        <v>0</v>
      </c>
      <c r="AB55" s="149" t="s">
        <v>108</v>
      </c>
      <c r="AC55" s="150">
        <f>'28'!AC53*'28'!AC54</f>
        <v>0</v>
      </c>
      <c r="AD55" s="149" t="s">
        <v>108</v>
      </c>
      <c r="AE55" s="150">
        <f>'28'!AE53*'28'!AE54</f>
        <v>0</v>
      </c>
      <c r="AF55" s="995"/>
      <c r="AG55" s="996"/>
      <c r="AI55" s="153" t="s">
        <v>105</v>
      </c>
      <c r="AJ55" s="154">
        <f>Y54</f>
        <v>1.345</v>
      </c>
      <c r="AK55" s="153" t="s">
        <v>105</v>
      </c>
      <c r="AL55" s="154">
        <f>AJ55</f>
        <v>1.345</v>
      </c>
      <c r="AM55" s="153" t="s">
        <v>105</v>
      </c>
      <c r="AN55" s="154">
        <f>AJ55</f>
        <v>1.345</v>
      </c>
      <c r="AO55" s="1079"/>
      <c r="AP55" s="1079"/>
      <c r="AQ55" s="995" t="s">
        <v>106</v>
      </c>
      <c r="AR55" s="996">
        <f>SUM('10'!AJ56,'10'!AL56,'10'!AN56,'10'!AP56)</f>
        <v>0</v>
      </c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AJ54*AJ55</f>
        <v>0</v>
      </c>
      <c r="AK56" s="149" t="s">
        <v>108</v>
      </c>
      <c r="AL56" s="150">
        <f>AL54*AL55</f>
        <v>0</v>
      </c>
      <c r="AM56" s="149" t="s">
        <v>108</v>
      </c>
      <c r="AN56" s="150">
        <f>AN54*AN55</f>
        <v>0</v>
      </c>
      <c r="AO56" s="1079"/>
      <c r="AP56" s="1079"/>
      <c r="AQ56" s="995"/>
      <c r="AR56" s="996"/>
    </row>
    <row r="57" spans="15:44" ht="15.75" customHeight="1">
      <c r="O57" s="1003">
        <f>COUNTA('28'!N7:N18)</f>
        <v>12</v>
      </c>
      <c r="P57" s="1003"/>
      <c r="R57" s="1004">
        <f>COUNTIF('28'!N7:N18,"&gt;=6")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33867.120000000003</v>
      </c>
      <c r="AR62" s="1016"/>
    </row>
    <row r="63" spans="15:44" ht="15" customHeight="1">
      <c r="X63" s="170" t="s">
        <v>124</v>
      </c>
      <c r="Y63" s="171">
        <v>0</v>
      </c>
      <c r="Z63" s="1013"/>
      <c r="AA63" s="1013"/>
      <c r="AB63" s="172" t="s">
        <v>124</v>
      </c>
      <c r="AC63" s="173"/>
      <c r="AE63" s="49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-33867.120000000003</v>
      </c>
      <c r="AR63" s="1011"/>
    </row>
    <row r="64" spans="15:44" ht="15" customHeight="1">
      <c r="X64" s="170"/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/>
      <c r="Z65" s="1013"/>
      <c r="AA65" s="1013"/>
      <c r="AB65" s="176" t="s">
        <v>126</v>
      </c>
      <c r="AC65" s="241"/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280">
        <f>SUM('28'!AK38,'28'!AP38)</f>
        <v>2451.6000000000008</v>
      </c>
      <c r="Z67" s="1013"/>
      <c r="AA67" s="1013"/>
      <c r="AB67" s="172" t="s">
        <v>124</v>
      </c>
      <c r="AC67" s="169">
        <f>SUM('28'!AM38,'28'!AR38)</f>
        <v>0</v>
      </c>
    </row>
    <row r="68" spans="24:29" ht="15.75" customHeight="1">
      <c r="X68" s="170" t="s">
        <v>128</v>
      </c>
      <c r="Y68" s="179">
        <f>SUM('28'!Y63,'28'!Y65)-'28'!Y67</f>
        <v>-2451.6000000000008</v>
      </c>
      <c r="Z68" s="1013"/>
      <c r="AA68" s="1013"/>
      <c r="AB68" s="172" t="s">
        <v>128</v>
      </c>
      <c r="AC68" s="180">
        <f>SUM('28'!AC63,'28'!AC65)-'28'!AC67</f>
        <v>0</v>
      </c>
    </row>
    <row r="70" spans="24:29" ht="15.75" customHeight="1">
      <c r="Z70" s="339" t="s">
        <v>157</v>
      </c>
      <c r="AA70" s="340">
        <f>SUM('28'!Y68,'28'!AC68)</f>
        <v>-2451.6000000000008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O4" zoomScaleNormal="100" workbookViewId="0">
      <selection activeCell="AM13" sqref="AM13:AM24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07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149</v>
      </c>
      <c r="AF4" s="937" t="s">
        <v>150</v>
      </c>
      <c r="AG4" s="937" t="s">
        <v>151</v>
      </c>
      <c r="AH4" s="937" t="s">
        <v>152</v>
      </c>
      <c r="AI4" s="937" t="s">
        <v>153</v>
      </c>
      <c r="AJ4" s="937" t="s">
        <v>154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07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4">
        <v>2616</v>
      </c>
      <c r="Z6" s="183">
        <v>1061</v>
      </c>
      <c r="AA6" s="15">
        <v>1</v>
      </c>
      <c r="AB6" s="58">
        <f>IF('29'!AA6=1,(('29'!Z6*'29'!$AS$6*'29'!$AT$6)/('29'!Y6*0.0036)),IF('29'!AA6=2,(('29'!Z6*'29'!$AS$7*'29'!$AT$7)/('29'!Y6*0.0036))))</f>
        <v>74.91983095480802</v>
      </c>
      <c r="AC6" s="58"/>
      <c r="AD6" s="18">
        <f>(('29'!AC6*'29'!$Q$10*1000000))/('29'!Y6*3600)</f>
        <v>0</v>
      </c>
      <c r="AE6" s="183"/>
      <c r="AF6" s="184">
        <f>('29'!AE6/24)*0.454</f>
        <v>0</v>
      </c>
      <c r="AG6" s="19"/>
      <c r="AH6" s="184">
        <f>('29'!AG6/24)*0.454</f>
        <v>0</v>
      </c>
      <c r="AI6" s="183">
        <v>5400</v>
      </c>
      <c r="AJ6" s="184">
        <f>('29'!AI6/24)*0.454</f>
        <v>102.15</v>
      </c>
      <c r="AK6" s="21"/>
      <c r="AL6" s="185">
        <f>('29'!AK6/24)*0.454</f>
        <v>0</v>
      </c>
      <c r="AM6" s="21"/>
      <c r="AN6" s="185">
        <f>('29'!AM6/24)*0.454</f>
        <v>0</v>
      </c>
      <c r="AO6" s="21"/>
      <c r="AP6" s="185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6">
        <v>80</v>
      </c>
      <c r="C7" s="186">
        <v>12.5</v>
      </c>
      <c r="D7" s="186">
        <v>12.5</v>
      </c>
      <c r="E7" s="186">
        <v>2.5</v>
      </c>
      <c r="F7" s="186">
        <v>14</v>
      </c>
      <c r="G7" s="186">
        <v>1.6</v>
      </c>
      <c r="H7" s="186">
        <v>2.2000000000000002</v>
      </c>
      <c r="I7" s="186">
        <v>0.5</v>
      </c>
      <c r="J7" s="186">
        <v>0.5</v>
      </c>
      <c r="K7" s="186">
        <v>7</v>
      </c>
      <c r="L7" s="186">
        <v>6.3</v>
      </c>
      <c r="M7" s="186">
        <v>6.3</v>
      </c>
      <c r="N7" s="186">
        <v>6</v>
      </c>
      <c r="O7" s="186">
        <v>3.2</v>
      </c>
      <c r="P7" s="186"/>
      <c r="Q7" s="188"/>
      <c r="R7" s="37">
        <f>'28'!$Z$29</f>
        <v>1061</v>
      </c>
      <c r="S7" s="187">
        <f>'28'!$AB$29</f>
        <v>74.577731270082879</v>
      </c>
      <c r="T7" s="37">
        <f>'28'!$Y$29</f>
        <v>2628</v>
      </c>
      <c r="U7" s="33" t="str">
        <f>IF('29'!AA6=1,'29'!AR6,'29'!AR7)</f>
        <v>S.A.L</v>
      </c>
      <c r="V7" s="1022">
        <f>ESCALA!$B$30</f>
        <v>0</v>
      </c>
      <c r="W7" s="1022"/>
      <c r="X7" s="13">
        <v>8.3333333333333301E-2</v>
      </c>
      <c r="Y7" s="54">
        <v>2642</v>
      </c>
      <c r="Z7" s="183">
        <v>1061</v>
      </c>
      <c r="AA7" s="15">
        <v>1</v>
      </c>
      <c r="AB7" s="58">
        <f>IF('29'!AA7=1,(('29'!Z7*'29'!$AS$6*'29'!$AT$6)/('29'!Y7*0.0036)),IF('29'!AA7=2,(('29'!Z7*'29'!$AS$7*'29'!$AT$7)/('29'!Y7*0.0036))))</f>
        <v>74.182542686516953</v>
      </c>
      <c r="AC7" s="58"/>
      <c r="AD7" s="18">
        <f>(('29'!AC7*'29'!$Q$10*1000000))/('29'!Y7*3600)</f>
        <v>0</v>
      </c>
      <c r="AE7" s="183"/>
      <c r="AF7" s="184">
        <f>('29'!AE7/24)*0.454</f>
        <v>0</v>
      </c>
      <c r="AG7" s="19"/>
      <c r="AH7" s="184">
        <f>('29'!AG7/24)*0.454</f>
        <v>0</v>
      </c>
      <c r="AI7" s="183">
        <v>5400</v>
      </c>
      <c r="AJ7" s="184">
        <f>('29'!AI7/24)*0.454</f>
        <v>102.15</v>
      </c>
      <c r="AK7" s="21"/>
      <c r="AL7" s="185">
        <f>('29'!AK7/24)*0.454</f>
        <v>0</v>
      </c>
      <c r="AM7" s="21"/>
      <c r="AN7" s="185">
        <f>('29'!AM7/24)*0.454</f>
        <v>0</v>
      </c>
      <c r="AO7" s="21"/>
      <c r="AP7" s="185">
        <f>('29'!AO7/24)*0.454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6">
        <v>80</v>
      </c>
      <c r="C8" s="186">
        <v>12.5</v>
      </c>
      <c r="D8" s="186">
        <v>12.5</v>
      </c>
      <c r="E8" s="186">
        <v>2.5</v>
      </c>
      <c r="F8" s="186">
        <v>15</v>
      </c>
      <c r="G8" s="186">
        <v>1.6</v>
      </c>
      <c r="H8" s="186">
        <v>2.2000000000000002</v>
      </c>
      <c r="I8" s="186">
        <v>0.5</v>
      </c>
      <c r="J8" s="186">
        <v>0.5</v>
      </c>
      <c r="K8" s="186">
        <v>7</v>
      </c>
      <c r="L8" s="186">
        <v>6.3</v>
      </c>
      <c r="M8" s="186">
        <v>6.3</v>
      </c>
      <c r="N8" s="186">
        <v>6</v>
      </c>
      <c r="O8" s="186">
        <v>3.2</v>
      </c>
      <c r="P8" s="186"/>
      <c r="Q8" s="188"/>
      <c r="R8" s="35">
        <f>'29'!Z7</f>
        <v>1061</v>
      </c>
      <c r="S8" s="36">
        <f>'29'!AB7</f>
        <v>74.182542686516953</v>
      </c>
      <c r="T8" s="37">
        <f>'29'!Y7</f>
        <v>2642</v>
      </c>
      <c r="U8" s="33" t="str">
        <f>IF('29'!AA7=1,'29'!AR6,'29'!AR7)</f>
        <v>S.A.L</v>
      </c>
      <c r="V8" s="1022"/>
      <c r="W8" s="1022"/>
      <c r="X8" s="13">
        <v>0.125</v>
      </c>
      <c r="Y8" s="54">
        <v>2675</v>
      </c>
      <c r="Z8" s="183">
        <v>1061</v>
      </c>
      <c r="AA8" s="15">
        <v>1</v>
      </c>
      <c r="AB8" s="58">
        <f>IF('29'!AA8=1,(('29'!Z8*'29'!$AS$6*'29'!$AT$6)/('29'!Y8*0.0036)),IF('29'!AA8=2,(('29'!Z8*'29'!$AS$7*'29'!$AT$7)/('29'!Y8*0.0036))))</f>
        <v>73.267393561786093</v>
      </c>
      <c r="AC8" s="58"/>
      <c r="AD8" s="18">
        <f>(('29'!AC8*'29'!$Q$10*1000000))/('29'!Y8*3600)</f>
        <v>0</v>
      </c>
      <c r="AE8" s="183"/>
      <c r="AF8" s="184">
        <f>('29'!AE8/24)*0.454</f>
        <v>0</v>
      </c>
      <c r="AG8" s="19"/>
      <c r="AH8" s="184">
        <f>('29'!AG8/24)*0.454</f>
        <v>0</v>
      </c>
      <c r="AI8" s="183">
        <v>5400</v>
      </c>
      <c r="AJ8" s="184">
        <f>('29'!AI8/24)*0.454</f>
        <v>102.15</v>
      </c>
      <c r="AK8" s="21"/>
      <c r="AL8" s="185">
        <f>('29'!AK8/24)*0.454</f>
        <v>0</v>
      </c>
      <c r="AM8" s="21"/>
      <c r="AN8" s="185">
        <f>('29'!AM8/24)*0.454</f>
        <v>0</v>
      </c>
      <c r="AO8" s="21"/>
      <c r="AP8" s="185">
        <f>('29'!AO8/24)*0.454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80</v>
      </c>
      <c r="C9" s="186">
        <v>12.5</v>
      </c>
      <c r="D9" s="186">
        <v>12.5</v>
      </c>
      <c r="E9" s="186">
        <v>2.5</v>
      </c>
      <c r="F9" s="186">
        <v>15</v>
      </c>
      <c r="G9" s="186">
        <v>1.6</v>
      </c>
      <c r="H9" s="186">
        <v>2.2999999999999998</v>
      </c>
      <c r="I9" s="186">
        <v>0.5</v>
      </c>
      <c r="J9" s="186">
        <v>0.5</v>
      </c>
      <c r="K9" s="186">
        <v>7</v>
      </c>
      <c r="L9" s="186">
        <v>6.3</v>
      </c>
      <c r="M9" s="186">
        <v>6.3</v>
      </c>
      <c r="N9" s="186">
        <v>6</v>
      </c>
      <c r="O9" s="186">
        <v>3</v>
      </c>
      <c r="P9" s="186"/>
      <c r="Q9" s="188"/>
      <c r="R9" s="37">
        <f>'29'!Z9</f>
        <v>1061</v>
      </c>
      <c r="S9" s="36">
        <f>'29'!AB9</f>
        <v>73.542318115488854</v>
      </c>
      <c r="T9" s="37">
        <f>'29'!Y9</f>
        <v>2665</v>
      </c>
      <c r="U9" s="33" t="str">
        <f>IF('29'!AA9=1,'29'!AR6,'29'!AR7)</f>
        <v>S.A.L</v>
      </c>
      <c r="V9" s="1022"/>
      <c r="W9" s="1022"/>
      <c r="X9" s="13">
        <v>0.16666666666666699</v>
      </c>
      <c r="Y9" s="54">
        <v>2665</v>
      </c>
      <c r="Z9" s="183">
        <v>1061</v>
      </c>
      <c r="AA9" s="15">
        <v>1</v>
      </c>
      <c r="AB9" s="58">
        <f>IF('29'!AA9=1,(('29'!Z9*'29'!$AS$6*'29'!$AT$6)/('29'!Y9*0.0036)),IF('29'!AA9=2,(('29'!Z9*'29'!$AS$7*'29'!$AT$7)/('29'!Y9*0.0036))))</f>
        <v>73.542318115488854</v>
      </c>
      <c r="AC9" s="58"/>
      <c r="AD9" s="18">
        <f>(('29'!AC9*'29'!$Q$10*1000000))/('29'!Y9*3600)</f>
        <v>0</v>
      </c>
      <c r="AE9" s="183"/>
      <c r="AF9" s="184">
        <f>('29'!AE9/24)*0.454</f>
        <v>0</v>
      </c>
      <c r="AG9" s="19"/>
      <c r="AH9" s="184">
        <f>('29'!AG9/24)*0.454</f>
        <v>0</v>
      </c>
      <c r="AI9" s="183">
        <v>5400</v>
      </c>
      <c r="AJ9" s="184">
        <f>('29'!AI9/24)*0.454</f>
        <v>102.15</v>
      </c>
      <c r="AK9" s="21"/>
      <c r="AL9" s="185">
        <f>('29'!AK9/24)*0.454</f>
        <v>0</v>
      </c>
      <c r="AM9" s="21"/>
      <c r="AN9" s="185">
        <f>('29'!AM9/24)*0.454</f>
        <v>0</v>
      </c>
      <c r="AO9" s="21"/>
      <c r="AP9" s="185">
        <f>('29'!AO9/24)*0.454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80</v>
      </c>
      <c r="C10" s="186">
        <v>12.5</v>
      </c>
      <c r="D10" s="186">
        <v>12.5</v>
      </c>
      <c r="E10" s="186">
        <v>2.5</v>
      </c>
      <c r="F10" s="186">
        <v>16</v>
      </c>
      <c r="G10" s="186">
        <v>1.6</v>
      </c>
      <c r="H10" s="186">
        <v>2.2999999999999998</v>
      </c>
      <c r="I10" s="186">
        <v>0.5</v>
      </c>
      <c r="J10" s="186">
        <v>0.5</v>
      </c>
      <c r="K10" s="186">
        <v>7</v>
      </c>
      <c r="L10" s="186">
        <v>6.3</v>
      </c>
      <c r="M10" s="186">
        <v>6.3</v>
      </c>
      <c r="N10" s="186">
        <v>6</v>
      </c>
      <c r="O10" s="186">
        <v>3</v>
      </c>
      <c r="P10" s="186"/>
      <c r="Q10" s="188"/>
      <c r="R10" s="37">
        <f>'29'!Z11</f>
        <v>1061</v>
      </c>
      <c r="S10" s="36">
        <f>'29'!AB11</f>
        <v>74.351395211600078</v>
      </c>
      <c r="T10" s="37">
        <f>'29'!Y11</f>
        <v>2636</v>
      </c>
      <c r="U10" s="33" t="str">
        <f>IF('29'!AA11=1,'29'!AR6,'29'!AR7)</f>
        <v>S.A.L</v>
      </c>
      <c r="V10" s="1022"/>
      <c r="W10" s="1022"/>
      <c r="X10" s="13">
        <v>0.20833333333333301</v>
      </c>
      <c r="Y10" s="54">
        <v>2662</v>
      </c>
      <c r="Z10" s="183">
        <v>1061</v>
      </c>
      <c r="AA10" s="15">
        <v>1</v>
      </c>
      <c r="AB10" s="58">
        <f>IF('29'!AA10=1,(('29'!Z10*'29'!$AS$6*'29'!$AT$6)/('29'!Y10*0.0036)),IF('29'!AA10=2,(('29'!Z10*'29'!$AS$7*'29'!$AT$7)/('29'!Y10*0.0036))))</f>
        <v>73.625198263628022</v>
      </c>
      <c r="AC10" s="58"/>
      <c r="AD10" s="18">
        <f>(('29'!AC10*'29'!$Q$10*1000000))/('29'!Y10*3600)</f>
        <v>0</v>
      </c>
      <c r="AE10" s="183"/>
      <c r="AF10" s="184">
        <f>('29'!AE10/24)*0.454</f>
        <v>0</v>
      </c>
      <c r="AG10" s="19"/>
      <c r="AH10" s="184">
        <f>('29'!AG10/24)*0.454</f>
        <v>0</v>
      </c>
      <c r="AI10" s="183">
        <v>5400</v>
      </c>
      <c r="AJ10" s="184">
        <f>('29'!AI10/24)*0.454</f>
        <v>102.15</v>
      </c>
      <c r="AK10" s="21"/>
      <c r="AL10" s="185">
        <f>('29'!AK10/24)*0.454</f>
        <v>0</v>
      </c>
      <c r="AM10" s="21"/>
      <c r="AN10" s="185">
        <f>('29'!AM10/24)*0.454</f>
        <v>0</v>
      </c>
      <c r="AO10" s="21"/>
      <c r="AP10" s="185">
        <f>('29'!AO10/24)*0.454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6">
        <v>80</v>
      </c>
      <c r="C11" s="186">
        <v>12.5</v>
      </c>
      <c r="D11" s="186">
        <v>12.5</v>
      </c>
      <c r="E11" s="186">
        <v>2.5</v>
      </c>
      <c r="F11" s="186">
        <v>20</v>
      </c>
      <c r="G11" s="186">
        <v>1.7</v>
      </c>
      <c r="H11" s="186">
        <v>2.6</v>
      </c>
      <c r="I11" s="186">
        <v>0.4</v>
      </c>
      <c r="J11" s="186">
        <v>0.5</v>
      </c>
      <c r="K11" s="186">
        <v>7.3</v>
      </c>
      <c r="L11" s="186">
        <v>6.7</v>
      </c>
      <c r="M11" s="186">
        <v>6.7</v>
      </c>
      <c r="N11" s="186">
        <v>6.5</v>
      </c>
      <c r="O11" s="186">
        <v>3</v>
      </c>
      <c r="P11" s="186"/>
      <c r="Q11" s="188"/>
      <c r="R11" s="37">
        <f>'29'!Z13</f>
        <v>1061</v>
      </c>
      <c r="S11" s="36">
        <f>'29'!AB13</f>
        <v>74.154475133476282</v>
      </c>
      <c r="T11" s="37">
        <f>'29'!Y13</f>
        <v>2643</v>
      </c>
      <c r="U11" s="33" t="str">
        <f>IF('29'!AA13=1,'29'!AR6,'29'!AR7)</f>
        <v>S.A.L</v>
      </c>
      <c r="V11" s="1022"/>
      <c r="W11" s="1022"/>
      <c r="X11" s="13">
        <v>0.25</v>
      </c>
      <c r="Y11" s="54">
        <v>2636</v>
      </c>
      <c r="Z11" s="183">
        <v>1061</v>
      </c>
      <c r="AA11" s="15">
        <v>1</v>
      </c>
      <c r="AB11" s="58">
        <f>IF('29'!AA11=1,(('29'!Z11*'29'!$AS$6*'29'!$AT$6)/('29'!Y11*0.0036)),IF('29'!AA11=2,(('29'!Z11*'29'!$AS$7*'29'!$AT$7)/('29'!Y11*0.0036))))</f>
        <v>74.351395211600078</v>
      </c>
      <c r="AC11" s="58"/>
      <c r="AD11" s="18">
        <f>(('29'!AC11*'29'!$Q$10*1000000))/('29'!Y11*3600)</f>
        <v>0</v>
      </c>
      <c r="AE11" s="183"/>
      <c r="AF11" s="184">
        <f>('29'!AE11/24)*0.454</f>
        <v>0</v>
      </c>
      <c r="AG11" s="19"/>
      <c r="AH11" s="184">
        <f>('29'!AG11/24)*0.454</f>
        <v>0</v>
      </c>
      <c r="AI11" s="183">
        <v>5400</v>
      </c>
      <c r="AJ11" s="184">
        <f>('29'!AI11/24)*0.454</f>
        <v>102.15</v>
      </c>
      <c r="AK11" s="21"/>
      <c r="AL11" s="185">
        <f>('29'!AK11/24)*0.454</f>
        <v>0</v>
      </c>
      <c r="AM11" s="21"/>
      <c r="AN11" s="185">
        <f>('29'!AM11/24)*0.454</f>
        <v>0</v>
      </c>
      <c r="AO11" s="21"/>
      <c r="AP11" s="185">
        <f>('29'!AO11/24)*0.454</f>
        <v>0</v>
      </c>
    </row>
    <row r="12" spans="1:47" ht="18.75" customHeight="1">
      <c r="A12" s="28">
        <v>0.41666666666666702</v>
      </c>
      <c r="B12" s="186">
        <v>80</v>
      </c>
      <c r="C12" s="186">
        <v>12.5</v>
      </c>
      <c r="D12" s="186">
        <v>12.5</v>
      </c>
      <c r="E12" s="186">
        <v>2.5</v>
      </c>
      <c r="F12" s="186">
        <v>20</v>
      </c>
      <c r="G12" s="186">
        <v>1.9</v>
      </c>
      <c r="H12" s="186">
        <v>3</v>
      </c>
      <c r="I12" s="186">
        <v>0.4</v>
      </c>
      <c r="J12" s="186">
        <v>0.5</v>
      </c>
      <c r="K12" s="186">
        <v>7.3</v>
      </c>
      <c r="L12" s="186">
        <v>6.7</v>
      </c>
      <c r="M12" s="186">
        <v>6.7</v>
      </c>
      <c r="N12" s="186">
        <v>6.5</v>
      </c>
      <c r="O12" s="186">
        <v>3</v>
      </c>
      <c r="P12" s="186">
        <v>1.4</v>
      </c>
      <c r="Q12" s="188">
        <v>0.4</v>
      </c>
      <c r="R12" s="37">
        <f>'29'!Z15</f>
        <v>1061</v>
      </c>
      <c r="S12" s="36">
        <f>'29'!AB15</f>
        <v>73.791520247657303</v>
      </c>
      <c r="T12" s="37">
        <f>'29'!Y15</f>
        <v>2656</v>
      </c>
      <c r="U12" s="33" t="str">
        <f>IF('29'!AA15=1,'29'!AR6,'29'!AR7)</f>
        <v>S.A.L</v>
      </c>
      <c r="V12" s="944">
        <f>ESCALA!$B$31</f>
        <v>0</v>
      </c>
      <c r="W12" s="944"/>
      <c r="X12" s="13">
        <v>0.29166666666666702</v>
      </c>
      <c r="Y12" s="54">
        <v>2619</v>
      </c>
      <c r="Z12" s="183">
        <v>1061</v>
      </c>
      <c r="AA12" s="15">
        <v>1</v>
      </c>
      <c r="AB12" s="58">
        <f>IF('29'!AA12=1,(('29'!Z12*'29'!$AS$6*'29'!$AT$6)/('29'!Y12*0.0036)),IF('29'!AA12=2,(('29'!Z12*'29'!$AS$7*'29'!$AT$7)/('29'!Y12*0.0036))))</f>
        <v>74.834012133553955</v>
      </c>
      <c r="AC12" s="58"/>
      <c r="AD12" s="18">
        <f>(('29'!AC12*'29'!$Q$10*1000000))/('29'!Y12*3600)</f>
        <v>0</v>
      </c>
      <c r="AE12" s="183"/>
      <c r="AF12" s="184">
        <f>('29'!AE12/24)*0.454</f>
        <v>0</v>
      </c>
      <c r="AG12" s="19"/>
      <c r="AH12" s="184">
        <f>('29'!AG12/24)*0.454</f>
        <v>0</v>
      </c>
      <c r="AI12" s="183">
        <v>5400</v>
      </c>
      <c r="AJ12" s="184">
        <f>('29'!AI12/24)*0.454</f>
        <v>102.15</v>
      </c>
      <c r="AK12" s="21"/>
      <c r="AL12" s="185">
        <f>('29'!AK12/24)*0.454</f>
        <v>0</v>
      </c>
      <c r="AM12" s="21"/>
      <c r="AN12" s="185">
        <f>('29'!AM12/24)*0.454</f>
        <v>0</v>
      </c>
      <c r="AO12" s="21"/>
      <c r="AP12" s="185">
        <f>('29'!AO12/24)*0.454</f>
        <v>0</v>
      </c>
    </row>
    <row r="13" spans="1:47" ht="18.75" customHeight="1">
      <c r="A13" s="28">
        <v>0.5</v>
      </c>
      <c r="B13" s="186">
        <v>80</v>
      </c>
      <c r="C13" s="186">
        <v>12.5</v>
      </c>
      <c r="D13" s="186">
        <v>12.5</v>
      </c>
      <c r="E13" s="186">
        <v>2.5</v>
      </c>
      <c r="F13" s="186">
        <v>21</v>
      </c>
      <c r="G13" s="186">
        <v>1.9</v>
      </c>
      <c r="H13" s="186">
        <v>2.7</v>
      </c>
      <c r="I13" s="186">
        <v>0.4</v>
      </c>
      <c r="J13" s="186">
        <v>0.5</v>
      </c>
      <c r="K13" s="186">
        <v>7.3</v>
      </c>
      <c r="L13" s="186">
        <v>6.7</v>
      </c>
      <c r="M13" s="186">
        <v>6.7</v>
      </c>
      <c r="N13" s="186">
        <v>6.5</v>
      </c>
      <c r="O13" s="186">
        <v>3</v>
      </c>
      <c r="P13" s="186">
        <v>1.5</v>
      </c>
      <c r="Q13" s="188">
        <v>0.4</v>
      </c>
      <c r="R13" s="37">
        <f>'29'!Z17</f>
        <v>1061</v>
      </c>
      <c r="S13" s="36">
        <f>'29'!AB17</f>
        <v>74.91983095480802</v>
      </c>
      <c r="T13" s="37">
        <f>'29'!Y17</f>
        <v>2616</v>
      </c>
      <c r="U13" s="33" t="str">
        <f>IF('29'!AA17=1,'29'!AR6,'29'!AR7)</f>
        <v>S.A.L</v>
      </c>
      <c r="V13" s="944"/>
      <c r="W13" s="944"/>
      <c r="X13" s="13">
        <v>0.33333333333333298</v>
      </c>
      <c r="Y13" s="54">
        <v>2643</v>
      </c>
      <c r="Z13" s="183">
        <v>1061</v>
      </c>
      <c r="AA13" s="15">
        <v>1</v>
      </c>
      <c r="AB13" s="58">
        <f>IF('29'!AA13=1,(('29'!Z13*'29'!$AS$6*'29'!$AT$6)/('29'!Y13*0.0036)),IF('29'!AA13=2,(('29'!Z13*'29'!$AS$7*'29'!$AT$7)/('29'!Y13*0.0036))))</f>
        <v>74.154475133476282</v>
      </c>
      <c r="AC13" s="58"/>
      <c r="AD13" s="18">
        <f>(('29'!AC13*'29'!$Q$10*1000000))/('29'!Y13*3600)</f>
        <v>0</v>
      </c>
      <c r="AE13" s="183">
        <v>1250</v>
      </c>
      <c r="AF13" s="184">
        <f>('29'!AE13/24)*0.454</f>
        <v>23.645833333333336</v>
      </c>
      <c r="AG13" s="183">
        <v>1250</v>
      </c>
      <c r="AH13" s="184">
        <f>('29'!AG13/24)*0.454</f>
        <v>23.645833333333336</v>
      </c>
      <c r="AI13" s="183">
        <v>5000</v>
      </c>
      <c r="AJ13" s="184">
        <f>('29'!AI13/24)*0.454</f>
        <v>94.583333333333343</v>
      </c>
      <c r="AK13" s="21"/>
      <c r="AL13" s="185">
        <f>('29'!AK13/24)*0.454</f>
        <v>0</v>
      </c>
      <c r="AM13" s="21"/>
      <c r="AN13" s="185">
        <f>('29'!AM13/24)*0.454</f>
        <v>0</v>
      </c>
      <c r="AO13" s="21"/>
      <c r="AP13" s="185">
        <f>('29'!AO13/24)*0.454</f>
        <v>0</v>
      </c>
    </row>
    <row r="14" spans="1:47" ht="18.75" customHeight="1">
      <c r="A14" s="28">
        <v>0.58333333333333304</v>
      </c>
      <c r="B14" s="186">
        <v>80</v>
      </c>
      <c r="C14" s="186">
        <v>12.5</v>
      </c>
      <c r="D14" s="186">
        <v>12.5</v>
      </c>
      <c r="E14" s="186">
        <v>2.5</v>
      </c>
      <c r="F14" s="186">
        <v>21</v>
      </c>
      <c r="G14" s="186">
        <v>2</v>
      </c>
      <c r="H14" s="186">
        <v>2.8</v>
      </c>
      <c r="I14" s="186">
        <v>0.4</v>
      </c>
      <c r="J14" s="186">
        <v>0.4</v>
      </c>
      <c r="K14" s="186">
        <v>7.3</v>
      </c>
      <c r="L14" s="186">
        <v>6.7</v>
      </c>
      <c r="M14" s="186">
        <v>6.7</v>
      </c>
      <c r="N14" s="186">
        <v>6.5</v>
      </c>
      <c r="O14" s="186">
        <v>3.3</v>
      </c>
      <c r="P14" s="186">
        <v>1.5</v>
      </c>
      <c r="Q14" s="188">
        <v>0.4</v>
      </c>
      <c r="R14" s="37">
        <f>'29'!Z19</f>
        <v>1061</v>
      </c>
      <c r="S14" s="36">
        <f>'29'!AB19</f>
        <v>74.948480985765883</v>
      </c>
      <c r="T14" s="37">
        <f>'29'!Y19</f>
        <v>2615</v>
      </c>
      <c r="U14" s="33" t="str">
        <f>IF('29'!AA19=1,'29'!AR6,'29'!AR7)</f>
        <v>S.A.L</v>
      </c>
      <c r="V14" s="944"/>
      <c r="W14" s="944"/>
      <c r="X14" s="13">
        <v>0.375</v>
      </c>
      <c r="Y14" s="54">
        <v>2631</v>
      </c>
      <c r="Z14" s="183">
        <v>1061</v>
      </c>
      <c r="AA14" s="15">
        <v>1</v>
      </c>
      <c r="AB14" s="58">
        <f>IF('29'!AA14=1,(('29'!Z14*'29'!$AS$6*'29'!$AT$6)/('29'!Y14*0.0036)),IF('29'!AA14=2,(('29'!Z14*'29'!$AS$7*'29'!$AT$7)/('29'!Y14*0.0036))))</f>
        <v>74.492693948224172</v>
      </c>
      <c r="AC14" s="58"/>
      <c r="AD14" s="18">
        <f>(('29'!AC14*'29'!$Q$10*1000000))/('29'!Y14*3600)</f>
        <v>0</v>
      </c>
      <c r="AE14" s="183">
        <v>1250</v>
      </c>
      <c r="AF14" s="184">
        <f>('29'!AE14/24)*0.454</f>
        <v>23.645833333333336</v>
      </c>
      <c r="AG14" s="183">
        <v>1250</v>
      </c>
      <c r="AH14" s="184">
        <f>('29'!AG14/24)*0.454</f>
        <v>23.645833333333336</v>
      </c>
      <c r="AI14" s="183">
        <v>5000</v>
      </c>
      <c r="AJ14" s="184">
        <f>('29'!AI14/24)*0.454</f>
        <v>94.583333333333343</v>
      </c>
      <c r="AK14" s="21"/>
      <c r="AL14" s="185">
        <f>('29'!AK14/24)*0.454</f>
        <v>0</v>
      </c>
      <c r="AM14" s="21"/>
      <c r="AN14" s="185">
        <f>('29'!AM14/24)*0.454</f>
        <v>0</v>
      </c>
      <c r="AO14" s="21"/>
      <c r="AP14" s="185">
        <f>('29'!AO14/24)*0.454</f>
        <v>0</v>
      </c>
    </row>
    <row r="15" spans="1:47" ht="18.75" customHeight="1">
      <c r="A15" s="28">
        <v>0.66666666666666696</v>
      </c>
      <c r="B15" s="186">
        <v>80</v>
      </c>
      <c r="C15" s="186">
        <v>12.5</v>
      </c>
      <c r="D15" s="186">
        <v>12.5</v>
      </c>
      <c r="E15" s="186">
        <v>2.5</v>
      </c>
      <c r="F15" s="186">
        <v>21</v>
      </c>
      <c r="G15" s="186">
        <v>2</v>
      </c>
      <c r="H15" s="186">
        <v>2.8</v>
      </c>
      <c r="I15" s="186">
        <v>0.4</v>
      </c>
      <c r="J15" s="186">
        <v>0.4</v>
      </c>
      <c r="K15" s="186">
        <v>7.3</v>
      </c>
      <c r="L15" s="186">
        <v>6.7</v>
      </c>
      <c r="M15" s="186">
        <v>6.7</v>
      </c>
      <c r="N15" s="186">
        <v>6.5</v>
      </c>
      <c r="O15" s="186">
        <v>3.3</v>
      </c>
      <c r="P15" s="186">
        <v>1.5</v>
      </c>
      <c r="Q15" s="188">
        <v>0.5</v>
      </c>
      <c r="R15" s="37">
        <f>'29'!Z21</f>
        <v>1061</v>
      </c>
      <c r="S15" s="36">
        <f>'29'!AB21</f>
        <v>75.935791467562112</v>
      </c>
      <c r="T15" s="37">
        <f>'29'!Y21</f>
        <v>2581</v>
      </c>
      <c r="U15" s="33" t="str">
        <f>IF('29'!AA21=1,'29'!AR6,'29'!AR7)</f>
        <v>S.A.L</v>
      </c>
      <c r="V15" s="944"/>
      <c r="W15" s="944"/>
      <c r="X15" s="13">
        <v>0.41666666666666702</v>
      </c>
      <c r="Y15" s="54">
        <v>2656</v>
      </c>
      <c r="Z15" s="183">
        <v>1061</v>
      </c>
      <c r="AA15" s="15">
        <v>1</v>
      </c>
      <c r="AB15" s="58">
        <f>IF('29'!AA15=1,(('29'!Z15*'29'!$AS$6*'29'!$AT$6)/('29'!Y15*0.0036)),IF('29'!AA15=2,(('29'!Z15*'29'!$AS$7*'29'!$AT$7)/('29'!Y15*0.0036))))</f>
        <v>73.791520247657303</v>
      </c>
      <c r="AC15" s="58"/>
      <c r="AD15" s="18">
        <f>(('29'!AC15*'29'!$Q$10*1000000))/('29'!Y15*3600)</f>
        <v>0</v>
      </c>
      <c r="AE15" s="183">
        <v>1250</v>
      </c>
      <c r="AF15" s="184">
        <f>('29'!AE15/24)*0.454</f>
        <v>23.645833333333336</v>
      </c>
      <c r="AG15" s="183">
        <v>1250</v>
      </c>
      <c r="AH15" s="184">
        <f>('29'!AG15/24)*0.454</f>
        <v>23.645833333333336</v>
      </c>
      <c r="AI15" s="183">
        <v>5000</v>
      </c>
      <c r="AJ15" s="184">
        <f>('29'!AI15/24)*0.454</f>
        <v>94.583333333333343</v>
      </c>
      <c r="AK15" s="21"/>
      <c r="AL15" s="185">
        <f>('29'!AK15/24)*0.454</f>
        <v>0</v>
      </c>
      <c r="AM15" s="21"/>
      <c r="AN15" s="185">
        <f>('29'!AM15/24)*0.454</f>
        <v>0</v>
      </c>
      <c r="AO15" s="21"/>
      <c r="AP15" s="185">
        <f>('29'!AO15/24)*0.454</f>
        <v>0</v>
      </c>
    </row>
    <row r="16" spans="1:47" ht="18.75" customHeight="1">
      <c r="A16" s="28">
        <v>0.75</v>
      </c>
      <c r="B16" s="186">
        <v>80</v>
      </c>
      <c r="C16" s="186">
        <v>12.5</v>
      </c>
      <c r="D16" s="186">
        <v>12.5</v>
      </c>
      <c r="E16" s="186">
        <v>2.5</v>
      </c>
      <c r="F16" s="186">
        <v>20</v>
      </c>
      <c r="G16" s="186">
        <v>2</v>
      </c>
      <c r="H16" s="186">
        <v>2.8</v>
      </c>
      <c r="I16" s="186">
        <v>0.4</v>
      </c>
      <c r="J16" s="186">
        <v>0.4</v>
      </c>
      <c r="K16" s="186">
        <v>7.3</v>
      </c>
      <c r="L16" s="186">
        <v>6.7</v>
      </c>
      <c r="M16" s="186">
        <v>6.7</v>
      </c>
      <c r="N16" s="186">
        <v>6.5</v>
      </c>
      <c r="O16" s="186">
        <v>3.3</v>
      </c>
      <c r="P16" s="186">
        <v>1.5</v>
      </c>
      <c r="Q16" s="188">
        <v>0.5</v>
      </c>
      <c r="R16" s="37">
        <f>'29'!Z23</f>
        <v>1061</v>
      </c>
      <c r="S16" s="36">
        <f>'29'!AB23</f>
        <v>77.804794671606899</v>
      </c>
      <c r="T16" s="37">
        <f>'29'!Y23</f>
        <v>2519</v>
      </c>
      <c r="U16" s="33" t="str">
        <f>IF('29'!AA23=1,'29'!AR6,'29'!AR7)</f>
        <v>S.A.L</v>
      </c>
      <c r="V16" s="944"/>
      <c r="W16" s="944"/>
      <c r="X16" s="13">
        <v>0.45833333333333298</v>
      </c>
      <c r="Y16" s="54">
        <v>2562</v>
      </c>
      <c r="Z16" s="183">
        <v>1061</v>
      </c>
      <c r="AA16" s="15">
        <v>1</v>
      </c>
      <c r="AB16" s="58">
        <f>IF('29'!AA16=1,(('29'!Z16*'29'!$AS$6*'29'!$AT$6)/('29'!Y16*0.0036)),IF('29'!AA16=2,(('29'!Z16*'29'!$AS$7*'29'!$AT$7)/('29'!Y16*0.0036))))</f>
        <v>76.498937462052226</v>
      </c>
      <c r="AC16" s="58"/>
      <c r="AD16" s="18">
        <f>(('29'!AC16*'29'!$Q$10*1000000))/('29'!Y16*3600)</f>
        <v>0</v>
      </c>
      <c r="AE16" s="183">
        <v>1250</v>
      </c>
      <c r="AF16" s="184">
        <f>('29'!AE16/24)*0.454</f>
        <v>23.645833333333336</v>
      </c>
      <c r="AG16" s="183">
        <v>1250</v>
      </c>
      <c r="AH16" s="184">
        <f>('29'!AG16/24)*0.454</f>
        <v>23.645833333333336</v>
      </c>
      <c r="AI16" s="183">
        <v>5000</v>
      </c>
      <c r="AJ16" s="184">
        <f>('29'!AI14/24)*0.454</f>
        <v>94.583333333333343</v>
      </c>
      <c r="AK16" s="21"/>
      <c r="AL16" s="185">
        <f>('29'!AK16/24)*0.454</f>
        <v>0</v>
      </c>
      <c r="AM16" s="21"/>
      <c r="AN16" s="185">
        <f>('29'!AM16/24)*0.454</f>
        <v>0</v>
      </c>
      <c r="AO16" s="21"/>
      <c r="AP16" s="185">
        <f>('29'!AO16/24)*0.454</f>
        <v>0</v>
      </c>
    </row>
    <row r="17" spans="1:42" ht="18.75" customHeight="1">
      <c r="A17" s="28">
        <v>0.83333333333333304</v>
      </c>
      <c r="B17" s="186">
        <v>80</v>
      </c>
      <c r="C17" s="186">
        <v>12.5</v>
      </c>
      <c r="D17" s="186">
        <v>12.5</v>
      </c>
      <c r="E17" s="186">
        <v>2.5</v>
      </c>
      <c r="F17" s="186">
        <v>19</v>
      </c>
      <c r="G17" s="186">
        <v>2.1</v>
      </c>
      <c r="H17" s="186">
        <v>2.7</v>
      </c>
      <c r="I17" s="186">
        <v>0.4</v>
      </c>
      <c r="J17" s="186">
        <v>0.4</v>
      </c>
      <c r="K17" s="186">
        <v>7.3</v>
      </c>
      <c r="L17" s="186">
        <v>6.7</v>
      </c>
      <c r="M17" s="186">
        <v>6.7</v>
      </c>
      <c r="N17" s="186">
        <v>6.5</v>
      </c>
      <c r="O17" s="186">
        <v>3.3</v>
      </c>
      <c r="P17" s="186"/>
      <c r="Q17" s="188"/>
      <c r="R17" s="37">
        <f>'29'!Z25</f>
        <v>1061</v>
      </c>
      <c r="S17" s="36">
        <f>'29'!AB25</f>
        <v>76.171891868549466</v>
      </c>
      <c r="T17" s="37">
        <f>'29'!Y25</f>
        <v>2573</v>
      </c>
      <c r="U17" s="33" t="str">
        <f>IF('29'!AA25=1,'29'!AR6,'29'!AR7)</f>
        <v>S.A.L</v>
      </c>
      <c r="V17" s="944"/>
      <c r="W17" s="944"/>
      <c r="X17" s="13">
        <v>0.5</v>
      </c>
      <c r="Y17" s="54">
        <v>2616</v>
      </c>
      <c r="Z17" s="183">
        <v>1061</v>
      </c>
      <c r="AA17" s="15">
        <v>1</v>
      </c>
      <c r="AB17" s="58">
        <f>IF('29'!AA17=1,(('29'!Z17*'29'!$AS$6*'29'!$AT$6)/('29'!Y17*0.0036)),IF('29'!AA17=2,(('29'!Z17*'29'!$AS$7*'29'!$AT$7)/('29'!Y17*0.0036))))</f>
        <v>74.91983095480802</v>
      </c>
      <c r="AC17" s="58"/>
      <c r="AD17" s="18">
        <f>(('29'!AC17*'29'!$Q$10*1000000))/('29'!Y17*3600)</f>
        <v>0</v>
      </c>
      <c r="AE17" s="183">
        <v>1250</v>
      </c>
      <c r="AF17" s="184">
        <f>('29'!AE17/24)*0.454</f>
        <v>23.645833333333336</v>
      </c>
      <c r="AG17" s="183">
        <v>1250</v>
      </c>
      <c r="AH17" s="184">
        <f>('29'!AG17/24)*0.454</f>
        <v>23.645833333333336</v>
      </c>
      <c r="AI17" s="183">
        <v>5000</v>
      </c>
      <c r="AJ17" s="184">
        <f>('29'!AI15/24)*0.454</f>
        <v>94.583333333333343</v>
      </c>
      <c r="AK17" s="21"/>
      <c r="AL17" s="185">
        <f>('29'!AK17/24)*0.454</f>
        <v>0</v>
      </c>
      <c r="AM17" s="21"/>
      <c r="AN17" s="185">
        <f>('29'!AM17/24)*0.454</f>
        <v>0</v>
      </c>
      <c r="AO17" s="21"/>
      <c r="AP17" s="185">
        <f>('29'!AO17/24)*0.454</f>
        <v>0</v>
      </c>
    </row>
    <row r="18" spans="1:42" ht="19.5" customHeight="1">
      <c r="A18" s="28">
        <v>0.91666666666666696</v>
      </c>
      <c r="B18" s="186">
        <v>80</v>
      </c>
      <c r="C18" s="186">
        <v>12.5</v>
      </c>
      <c r="D18" s="186">
        <v>12.5</v>
      </c>
      <c r="E18" s="186">
        <v>2.5</v>
      </c>
      <c r="F18" s="186">
        <v>19</v>
      </c>
      <c r="G18" s="186">
        <v>2.1</v>
      </c>
      <c r="H18" s="186">
        <v>2.7</v>
      </c>
      <c r="I18" s="186">
        <v>0.4</v>
      </c>
      <c r="J18" s="186">
        <v>0.4</v>
      </c>
      <c r="K18" s="186">
        <v>7.3</v>
      </c>
      <c r="L18" s="186">
        <v>6.7</v>
      </c>
      <c r="M18" s="186">
        <v>6.7</v>
      </c>
      <c r="N18" s="186">
        <v>6.5</v>
      </c>
      <c r="O18" s="186">
        <v>3.3</v>
      </c>
      <c r="P18" s="186"/>
      <c r="Q18" s="188"/>
      <c r="R18" s="37">
        <f>'29'!Z27</f>
        <v>1061</v>
      </c>
      <c r="S18" s="36">
        <f>'29'!AB27</f>
        <v>76.498937462052226</v>
      </c>
      <c r="T18" s="37">
        <f>'29'!Y27</f>
        <v>2562</v>
      </c>
      <c r="U18" s="33" t="str">
        <f>IF('29'!AA27=1,'29'!AR6,'29'!AR7)</f>
        <v>S.A.L</v>
      </c>
      <c r="V18" s="944"/>
      <c r="W18" s="944"/>
      <c r="X18" s="13">
        <v>0.54166666666666696</v>
      </c>
      <c r="Y18" s="54">
        <v>2630</v>
      </c>
      <c r="Z18" s="183">
        <v>1061</v>
      </c>
      <c r="AA18" s="15">
        <v>1</v>
      </c>
      <c r="AB18" s="58">
        <f>IF('29'!AA18=1,(('29'!Z18*'29'!$AS$6*'29'!$AT$6)/('29'!Y18*0.0036)),IF('29'!AA18=2,(('29'!Z18*'29'!$AS$7*'29'!$AT$7)/('29'!Y18*0.0036))))</f>
        <v>74.521018166455434</v>
      </c>
      <c r="AC18" s="58"/>
      <c r="AD18" s="18">
        <f>(('29'!AC18*'29'!$Q$10*1000000))/('29'!Y18*3600)</f>
        <v>0</v>
      </c>
      <c r="AE18" s="183">
        <v>1250</v>
      </c>
      <c r="AF18" s="184">
        <f>('29'!AE18/24)*0.454</f>
        <v>23.645833333333336</v>
      </c>
      <c r="AG18" s="183">
        <v>1250</v>
      </c>
      <c r="AH18" s="184">
        <f>('29'!AG18/24)*0.454</f>
        <v>23.645833333333336</v>
      </c>
      <c r="AI18" s="183">
        <v>5000</v>
      </c>
      <c r="AJ18" s="184">
        <f>('29'!AI16/24)*0.454</f>
        <v>94.583333333333343</v>
      </c>
      <c r="AK18" s="21"/>
      <c r="AL18" s="185">
        <f>('29'!AK18/24)*0.454</f>
        <v>0</v>
      </c>
      <c r="AM18" s="21"/>
      <c r="AN18" s="185">
        <f>('29'!AM18/24)*0.454</f>
        <v>0</v>
      </c>
      <c r="AO18" s="21"/>
      <c r="AP18" s="185">
        <f>('29'!AO18/24)*0.454</f>
        <v>0</v>
      </c>
    </row>
    <row r="19" spans="1:42" ht="18.75" customHeight="1">
      <c r="A19" s="10" t="s">
        <v>52</v>
      </c>
      <c r="B19" s="189">
        <f>AVERAGE('29'!B7:B18)</f>
        <v>80</v>
      </c>
      <c r="C19" s="69">
        <f>AVERAGE('29'!C7:C18)</f>
        <v>12.5</v>
      </c>
      <c r="D19" s="69">
        <f>AVERAGE('29'!D7:D18)</f>
        <v>12.5</v>
      </c>
      <c r="E19" s="69">
        <f>AVERAGE('29'!E7:E18)</f>
        <v>2.5</v>
      </c>
      <c r="F19" s="69">
        <f>AVERAGE('29'!F7:F18)</f>
        <v>18.416666666666668</v>
      </c>
      <c r="G19" s="69">
        <f>AVERAGE('29'!G7:G18)</f>
        <v>1.8416666666666668</v>
      </c>
      <c r="H19" s="69">
        <f>AVERAGE('29'!H7:H18)</f>
        <v>2.5916666666666668</v>
      </c>
      <c r="I19" s="69">
        <f>AVERAGE('29'!I7:I18)</f>
        <v>0.43333333333333335</v>
      </c>
      <c r="J19" s="69">
        <f>AVERAGE('29'!J7:J18)</f>
        <v>0.45833333333333343</v>
      </c>
      <c r="K19" s="69">
        <f>AVERAGE('29'!K7:K18)</f>
        <v>7.1999999999999984</v>
      </c>
      <c r="L19" s="69">
        <f>AVERAGE('29'!L7:L18)</f>
        <v>6.5666666666666673</v>
      </c>
      <c r="M19" s="69">
        <f>AVERAGE('29'!M7:M18)</f>
        <v>6.5666666666666673</v>
      </c>
      <c r="N19" s="69">
        <f>AVERAGE('29'!N7:N18)</f>
        <v>6.333333333333333</v>
      </c>
      <c r="O19" s="69">
        <f>AVERAGE('29'!O7:O18)</f>
        <v>3.1583333333333332</v>
      </c>
      <c r="P19" s="190">
        <f>AVERAGE('29'!P7:P18)</f>
        <v>1.48</v>
      </c>
      <c r="Q19" s="191">
        <f>AVERAGE('29'!Q7:Q18)</f>
        <v>0.44000000000000006</v>
      </c>
      <c r="R19" s="191">
        <f>AVERAGE('29'!R7:R18)</f>
        <v>1061</v>
      </c>
      <c r="S19" s="191">
        <f>AVERAGE('29'!S7:S18)</f>
        <v>75.073309172930593</v>
      </c>
      <c r="T19" s="946"/>
      <c r="U19" s="946"/>
      <c r="V19" s="49"/>
      <c r="W19" s="50"/>
      <c r="X19" s="13">
        <v>0.58333333333333304</v>
      </c>
      <c r="Y19" s="54">
        <v>2615</v>
      </c>
      <c r="Z19" s="183">
        <v>1061</v>
      </c>
      <c r="AA19" s="15">
        <v>1</v>
      </c>
      <c r="AB19" s="58">
        <f>IF('29'!AA19=1,(('29'!Z19*'29'!$AS$6*'29'!$AT$6)/('29'!Y19*0.0036)),IF('29'!AA19=2,(('29'!Z19*'29'!$AS$7*'29'!$AT$7)/('29'!Y19*0.0036))))</f>
        <v>74.948480985765883</v>
      </c>
      <c r="AC19" s="58"/>
      <c r="AD19" s="18">
        <f>(('29'!AC19*'29'!$Q$10*1000000))/('29'!Y19*3600)</f>
        <v>0</v>
      </c>
      <c r="AE19" s="183">
        <v>1250</v>
      </c>
      <c r="AF19" s="184">
        <f>('29'!AE19/24)*0.454</f>
        <v>23.645833333333336</v>
      </c>
      <c r="AG19" s="183">
        <v>1250</v>
      </c>
      <c r="AH19" s="184">
        <f>('29'!AG19/24)*0.454</f>
        <v>23.645833333333336</v>
      </c>
      <c r="AI19" s="183">
        <v>5000</v>
      </c>
      <c r="AJ19" s="184">
        <f>('29'!AI17/24)*0.454</f>
        <v>94.583333333333343</v>
      </c>
      <c r="AK19" s="21"/>
      <c r="AL19" s="185">
        <f>('29'!AK19/24)*0.454</f>
        <v>0</v>
      </c>
      <c r="AM19" s="21"/>
      <c r="AN19" s="185">
        <f>('29'!AM19/24)*0.454</f>
        <v>0</v>
      </c>
      <c r="AO19" s="21"/>
      <c r="AP19" s="185">
        <f>('29'!AO19/24)*0.454</f>
        <v>0</v>
      </c>
    </row>
    <row r="20" spans="1:42" ht="18.75" customHeight="1">
      <c r="A20" s="10" t="s">
        <v>53</v>
      </c>
      <c r="B20" s="189">
        <f>MAX('29'!B7:B18)</f>
        <v>80</v>
      </c>
      <c r="C20" s="69">
        <f>MAX('29'!C7:C18)</f>
        <v>12.5</v>
      </c>
      <c r="D20" s="69">
        <f>MAX('29'!D7:D18)</f>
        <v>12.5</v>
      </c>
      <c r="E20" s="69">
        <f>MAX('29'!E7:E18)</f>
        <v>2.5</v>
      </c>
      <c r="F20" s="69">
        <f>MAX('29'!F7:F18)</f>
        <v>21</v>
      </c>
      <c r="G20" s="69">
        <f>MAX('29'!G7:G18)</f>
        <v>2.1</v>
      </c>
      <c r="H20" s="69">
        <f>MAX('29'!H7:H18)</f>
        <v>3</v>
      </c>
      <c r="I20" s="69">
        <f>MAX('29'!I7:I18)</f>
        <v>0.5</v>
      </c>
      <c r="J20" s="69">
        <f>MAX('29'!J7:J18)</f>
        <v>0.5</v>
      </c>
      <c r="K20" s="69">
        <f>MAX('29'!K7:K18)</f>
        <v>7.3</v>
      </c>
      <c r="L20" s="69">
        <f>MAX('29'!L7:L18)</f>
        <v>6.7</v>
      </c>
      <c r="M20" s="69">
        <f>MAX('29'!M7:M18)</f>
        <v>6.7</v>
      </c>
      <c r="N20" s="69">
        <f>MAX('29'!N7:N18)</f>
        <v>6.5</v>
      </c>
      <c r="O20" s="70">
        <f>MAX('29'!O7:O18)</f>
        <v>3.3</v>
      </c>
      <c r="P20" s="70">
        <f>MAX('29'!P7:P18)</f>
        <v>1.5</v>
      </c>
      <c r="Q20" s="70">
        <f>MAX('29'!Q7:Q18)</f>
        <v>0.5</v>
      </c>
      <c r="R20" s="70">
        <f>MAX('29'!R7:R18)</f>
        <v>1061</v>
      </c>
      <c r="S20" s="70">
        <f>MAX('29'!S7:S18)</f>
        <v>77.804794671606899</v>
      </c>
      <c r="T20" s="946"/>
      <c r="U20" s="946"/>
      <c r="X20" s="13">
        <v>0.625</v>
      </c>
      <c r="Y20" s="54">
        <v>2622</v>
      </c>
      <c r="Z20" s="183">
        <v>1061</v>
      </c>
      <c r="AA20" s="15">
        <v>1</v>
      </c>
      <c r="AB20" s="58">
        <f>IF('29'!AA20=1,(('29'!Z20*'29'!$AS$6*'29'!$AT$6)/('29'!Y20*0.0036)),IF('29'!AA20=2,(('29'!Z20*'29'!$AS$7*'29'!$AT$7)/('29'!Y20*0.0036))))</f>
        <v>74.748389694041876</v>
      </c>
      <c r="AC20" s="58"/>
      <c r="AD20" s="18">
        <f>(('29'!AC20*'29'!$Q$10*1000000))/('29'!Y20*3600)</f>
        <v>0</v>
      </c>
      <c r="AE20" s="183">
        <v>1250</v>
      </c>
      <c r="AF20" s="184">
        <f>('29'!AE20/24)*0.454</f>
        <v>23.645833333333336</v>
      </c>
      <c r="AG20" s="183">
        <v>1250</v>
      </c>
      <c r="AH20" s="184">
        <f>('29'!AG20/24)*0.454</f>
        <v>23.645833333333336</v>
      </c>
      <c r="AI20" s="183">
        <v>5000</v>
      </c>
      <c r="AJ20" s="184">
        <f>('29'!AI18/24)*0.454</f>
        <v>94.583333333333343</v>
      </c>
      <c r="AK20" s="21"/>
      <c r="AL20" s="185">
        <f>('29'!AK20/24)*0.454</f>
        <v>0</v>
      </c>
      <c r="AM20" s="21"/>
      <c r="AN20" s="185">
        <f>('29'!AM20/24)*0.454</f>
        <v>0</v>
      </c>
      <c r="AO20" s="21"/>
      <c r="AP20" s="185">
        <f>('29'!AO20/24)*0.454</f>
        <v>0</v>
      </c>
    </row>
    <row r="21" spans="1:42" ht="19.5" customHeight="1">
      <c r="A21" s="10" t="s">
        <v>54</v>
      </c>
      <c r="B21" s="189">
        <f>MIN('29'!B7:B18)</f>
        <v>80</v>
      </c>
      <c r="C21" s="69">
        <f>MIN('29'!C7:C18)</f>
        <v>12.5</v>
      </c>
      <c r="D21" s="69">
        <f>MIN('29'!D7:D18)</f>
        <v>12.5</v>
      </c>
      <c r="E21" s="69">
        <f>MIN('29'!E7:E18)</f>
        <v>2.5</v>
      </c>
      <c r="F21" s="69">
        <f>MIN('29'!F7:F18)</f>
        <v>14</v>
      </c>
      <c r="G21" s="192">
        <f>MIN('29'!G7:G18)</f>
        <v>1.6</v>
      </c>
      <c r="H21" s="192">
        <f>MIN('29'!H7:H18)</f>
        <v>2.2000000000000002</v>
      </c>
      <c r="I21" s="192">
        <f>MIN('29'!I7:I18)</f>
        <v>0.4</v>
      </c>
      <c r="J21" s="192">
        <f>MIN('29'!J7:J18)</f>
        <v>0.4</v>
      </c>
      <c r="K21" s="192">
        <f>MIN('29'!K7:K18)</f>
        <v>7</v>
      </c>
      <c r="L21" s="192">
        <f>MIN('29'!L7:L18)</f>
        <v>6.3</v>
      </c>
      <c r="M21" s="192">
        <f>MIN('29'!M7:M18)</f>
        <v>6.3</v>
      </c>
      <c r="N21" s="192">
        <f>MIN('29'!N7:N18)</f>
        <v>6</v>
      </c>
      <c r="O21" s="193">
        <f>MIN('29'!O7:O18)</f>
        <v>3</v>
      </c>
      <c r="P21" s="193">
        <f>MIN('29'!P7:P18)</f>
        <v>1.4</v>
      </c>
      <c r="Q21" s="193">
        <f>MIN('29'!Q7:Q18)</f>
        <v>0.4</v>
      </c>
      <c r="R21" s="193">
        <f>MIN('29'!R7:R18)</f>
        <v>1061</v>
      </c>
      <c r="S21" s="193">
        <f>MIN('29'!S7:S18)</f>
        <v>73.542318115488854</v>
      </c>
      <c r="T21" s="946"/>
      <c r="U21" s="946"/>
      <c r="X21" s="13">
        <v>0.66666666666666696</v>
      </c>
      <c r="Y21" s="54">
        <v>2581</v>
      </c>
      <c r="Z21" s="183">
        <v>1061</v>
      </c>
      <c r="AA21" s="15">
        <v>1</v>
      </c>
      <c r="AB21" s="58">
        <f>IF('29'!AA21=1,(('29'!Z21*'29'!$AS$6*'29'!$AT$6)/('29'!Y21*0.0036)),IF('29'!AA21=2,(('29'!Z21*'29'!$AS$7*'29'!$AT$7)/('29'!Y21*0.0036))))</f>
        <v>75.935791467562112</v>
      </c>
      <c r="AC21" s="58"/>
      <c r="AD21" s="18">
        <f>(('29'!AC21*'29'!$Q$10*1000000))/('29'!Y21*3600)</f>
        <v>0</v>
      </c>
      <c r="AE21" s="183">
        <v>1250</v>
      </c>
      <c r="AF21" s="184">
        <f>('29'!AE21/24)*0.454</f>
        <v>23.645833333333336</v>
      </c>
      <c r="AG21" s="183">
        <v>1250</v>
      </c>
      <c r="AH21" s="184">
        <f>('29'!AG21/24)*0.454</f>
        <v>23.645833333333336</v>
      </c>
      <c r="AI21" s="183">
        <v>5000</v>
      </c>
      <c r="AJ21" s="184">
        <f>('29'!AI19/24)*0.454</f>
        <v>94.583333333333343</v>
      </c>
      <c r="AK21" s="21"/>
      <c r="AL21" s="185">
        <f>('29'!AK21/24)*0.454</f>
        <v>0</v>
      </c>
      <c r="AM21" s="21"/>
      <c r="AN21" s="185">
        <f>('29'!AM21/24)*0.454</f>
        <v>0</v>
      </c>
      <c r="AO21" s="21"/>
      <c r="AP21" s="185">
        <f>('29'!AO21/24)*0.454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54">
        <v>2578</v>
      </c>
      <c r="Z22" s="183">
        <v>1061</v>
      </c>
      <c r="AA22" s="15">
        <v>1</v>
      </c>
      <c r="AB22" s="58">
        <f>IF('29'!AA22=1,(('29'!Z22*'29'!$AS$6*'29'!$AT$6)/('29'!Y22*0.0036)),IF('29'!AA22=2,(('29'!Z22*'29'!$AS$7*'29'!$AT$7)/('29'!Y22*0.0036))))</f>
        <v>76.024157400224126</v>
      </c>
      <c r="AC22" s="58"/>
      <c r="AD22" s="18">
        <f>(('29'!AC22*'29'!$Q$10*1000000))/('29'!Y22*3600)</f>
        <v>0</v>
      </c>
      <c r="AE22" s="183">
        <v>1250</v>
      </c>
      <c r="AF22" s="184">
        <f>('29'!AE22/24)*0.454</f>
        <v>23.645833333333336</v>
      </c>
      <c r="AG22" s="183">
        <v>1250</v>
      </c>
      <c r="AH22" s="184">
        <f>('29'!AG22/24)*0.454</f>
        <v>23.645833333333336</v>
      </c>
      <c r="AI22" s="183">
        <v>5000</v>
      </c>
      <c r="AJ22" s="184">
        <f>('29'!AI20/24)*0.454</f>
        <v>94.583333333333343</v>
      </c>
      <c r="AK22" s="21"/>
      <c r="AL22" s="185">
        <f>('29'!AK22/24)*0.454</f>
        <v>0</v>
      </c>
      <c r="AM22" s="21"/>
      <c r="AN22" s="185">
        <f>('29'!AM22/24)*0.454</f>
        <v>0</v>
      </c>
      <c r="AO22" s="21"/>
      <c r="AP22" s="185">
        <f>('29'!AO22/24)*0.454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54">
        <v>2519</v>
      </c>
      <c r="Z23" s="183">
        <v>1061</v>
      </c>
      <c r="AA23" s="15">
        <v>1</v>
      </c>
      <c r="AB23" s="58">
        <f>IF('29'!AA23=1,(('29'!Z23*'29'!$AS$6*'29'!$AT$6)/('29'!Y23*0.0036)),IF('29'!AA23=2,(('29'!Z23*'29'!$AS$7*'29'!$AT$7)/('29'!Y23*0.0036))))</f>
        <v>77.804794671606899</v>
      </c>
      <c r="AC23" s="58"/>
      <c r="AD23" s="18">
        <f>(('29'!AC23*'29'!$Q$10*1000000))/('29'!Y23*3600)</f>
        <v>0</v>
      </c>
      <c r="AE23" s="183">
        <v>1250</v>
      </c>
      <c r="AF23" s="184">
        <f>('29'!AE23/24)*0.454</f>
        <v>23.645833333333336</v>
      </c>
      <c r="AG23" s="183">
        <v>1250</v>
      </c>
      <c r="AH23" s="184">
        <f>('29'!AG23/24)*0.454</f>
        <v>23.645833333333336</v>
      </c>
      <c r="AI23" s="183">
        <v>5000</v>
      </c>
      <c r="AJ23" s="184">
        <f>('29'!AI21/24)*0.454</f>
        <v>94.583333333333343</v>
      </c>
      <c r="AK23" s="21"/>
      <c r="AL23" s="185">
        <f>('29'!AK23/24)*0.454</f>
        <v>0</v>
      </c>
      <c r="AM23" s="21"/>
      <c r="AN23" s="185">
        <f>('29'!AM23/24)*0.454</f>
        <v>0</v>
      </c>
      <c r="AO23" s="21"/>
      <c r="AP23" s="185">
        <f>('29'!AO23/24)*0.454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54">
        <v>2536</v>
      </c>
      <c r="Z24" s="183">
        <v>1061</v>
      </c>
      <c r="AA24" s="15">
        <v>1</v>
      </c>
      <c r="AB24" s="16">
        <f>IF('29'!AA24=1,(('29'!Z24*'29'!$AS$6*'29'!$AT$6)/('29'!Y24*0.0036)),IF('29'!AA24=2,(('29'!Z24*'29'!$AS$7*'29'!$AT$7)/('29'!Y24*0.0036))))</f>
        <v>77.283232562215218</v>
      </c>
      <c r="AC24" s="58"/>
      <c r="AD24" s="18">
        <f>(('29'!AC24*'29'!$Q$10*1000000))/('29'!Y24*3600)</f>
        <v>0</v>
      </c>
      <c r="AE24" s="183">
        <v>1250</v>
      </c>
      <c r="AF24" s="195">
        <f>('29'!AE24/24)*0.454</f>
        <v>23.645833333333336</v>
      </c>
      <c r="AG24" s="183">
        <v>1250</v>
      </c>
      <c r="AH24" s="195">
        <f>('29'!AG24/24)*0.454</f>
        <v>23.645833333333336</v>
      </c>
      <c r="AI24" s="183">
        <v>5000</v>
      </c>
      <c r="AJ24" s="195">
        <f>('29'!AI22/24)*0.454</f>
        <v>94.583333333333343</v>
      </c>
      <c r="AK24" s="21"/>
      <c r="AL24" s="196">
        <f>('29'!AK24/24)*0.454</f>
        <v>0</v>
      </c>
      <c r="AM24" s="21"/>
      <c r="AN24" s="196">
        <f>('29'!AM24/24)*0.454</f>
        <v>0</v>
      </c>
      <c r="AO24" s="21"/>
      <c r="AP24" s="196">
        <f>('29'!AO24/24)*0.454</f>
        <v>0</v>
      </c>
    </row>
    <row r="25" spans="1:42" ht="19.5" customHeight="1">
      <c r="A25" s="64">
        <v>0.41666666666666702</v>
      </c>
      <c r="B25" s="261"/>
      <c r="C25" s="261">
        <v>0.45</v>
      </c>
      <c r="D25" s="261">
        <v>0.39</v>
      </c>
      <c r="E25" s="224">
        <v>0.4</v>
      </c>
      <c r="F25" s="224">
        <v>0.42</v>
      </c>
      <c r="G25" s="224">
        <v>0.44</v>
      </c>
      <c r="H25" s="224">
        <v>0.36</v>
      </c>
      <c r="I25" s="224">
        <v>0.49</v>
      </c>
      <c r="J25" s="224">
        <v>0.31</v>
      </c>
      <c r="K25" s="224">
        <v>0.4</v>
      </c>
      <c r="L25" s="224">
        <v>0.38</v>
      </c>
      <c r="M25" s="224">
        <v>0.4</v>
      </c>
      <c r="N25" s="224">
        <v>0.37</v>
      </c>
      <c r="O25" s="224">
        <v>0.42</v>
      </c>
      <c r="P25" s="224">
        <v>0.48</v>
      </c>
      <c r="Q25" s="224"/>
      <c r="R25" s="65" t="e">
        <f>#DIV/0!</f>
        <v>#DIV/0!</v>
      </c>
      <c r="S25" s="66"/>
      <c r="T25" s="1100" t="s">
        <v>0</v>
      </c>
      <c r="U25" s="1049">
        <f>ESCALA!$A$31</f>
        <v>43919</v>
      </c>
      <c r="X25" s="13">
        <v>0.83333333333333304</v>
      </c>
      <c r="Y25" s="54">
        <v>2573</v>
      </c>
      <c r="Z25" s="183">
        <v>1061</v>
      </c>
      <c r="AA25" s="15">
        <v>1</v>
      </c>
      <c r="AB25" s="58">
        <f>IF('29'!AA25=1,(('29'!Z25*'29'!$AS$6*'29'!$AT$6)/('29'!Y25*0.0036)),IF('29'!AA25=2,(('29'!Z25*'29'!$AS$7*'29'!$AT$7)/('29'!Y25*0.0036))))</f>
        <v>76.171891868549466</v>
      </c>
      <c r="AC25" s="58"/>
      <c r="AD25" s="18">
        <f>(('29'!AC25*'29'!$Q$10*1000000))/('29'!Y25*3600)</f>
        <v>0</v>
      </c>
      <c r="AE25" s="183"/>
      <c r="AF25" s="184">
        <f>('29'!AE25/24)*0.454</f>
        <v>0</v>
      </c>
      <c r="AG25" s="19"/>
      <c r="AH25" s="184">
        <f>('29'!AG25/24)*0.454</f>
        <v>0</v>
      </c>
      <c r="AI25" s="183">
        <v>5400</v>
      </c>
      <c r="AJ25" s="184">
        <f>('29'!AI23/24)*0.454</f>
        <v>94.583333333333343</v>
      </c>
      <c r="AK25" s="21"/>
      <c r="AL25" s="185">
        <f>('29'!AK25/24)*0.454</f>
        <v>0</v>
      </c>
      <c r="AM25" s="21"/>
      <c r="AN25" s="185">
        <f>('29'!AM25/24)*0.454</f>
        <v>0</v>
      </c>
      <c r="AO25" s="21"/>
      <c r="AP25" s="185">
        <f>('29'!AO25/24)*0.454</f>
        <v>0</v>
      </c>
    </row>
    <row r="26" spans="1:42" ht="19.5" customHeight="1">
      <c r="A26" s="64">
        <v>0.66666666666666696</v>
      </c>
      <c r="B26" s="261"/>
      <c r="C26" s="261"/>
      <c r="D26" s="261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65" t="e">
        <f>#DIV/0!</f>
        <v>#DIV/0!</v>
      </c>
      <c r="S26" s="67"/>
      <c r="T26" s="1100"/>
      <c r="U26" s="1049"/>
      <c r="X26" s="13">
        <v>0.875</v>
      </c>
      <c r="Y26" s="54">
        <v>2562</v>
      </c>
      <c r="Z26" s="183">
        <v>1061</v>
      </c>
      <c r="AA26" s="15">
        <v>1</v>
      </c>
      <c r="AB26" s="58">
        <f>IF('29'!AA26=1,(('29'!Z26*'29'!$AS$6*'29'!$AT$6)/('29'!Y26*0.0036)),IF('29'!AA26=2,(('29'!Z26*'29'!$AS$7*'29'!$AT$7)/('29'!Y26*0.0036))))</f>
        <v>76.498937462052226</v>
      </c>
      <c r="AC26" s="58"/>
      <c r="AD26" s="18">
        <f>(('29'!AC26*'29'!$Q$10*1000000))/('29'!Y26*3600)</f>
        <v>0</v>
      </c>
      <c r="AE26" s="183"/>
      <c r="AF26" s="184">
        <f>('29'!AE26/24)*0.454</f>
        <v>0</v>
      </c>
      <c r="AG26" s="19"/>
      <c r="AH26" s="184">
        <f>('29'!AG26/24)*0.454</f>
        <v>0</v>
      </c>
      <c r="AI26" s="183">
        <v>5400</v>
      </c>
      <c r="AJ26" s="184">
        <f>('29'!AI24/24)*0.454</f>
        <v>94.583333333333343</v>
      </c>
      <c r="AK26" s="21"/>
      <c r="AL26" s="185">
        <f>('29'!AK26/24)*0.454</f>
        <v>0</v>
      </c>
      <c r="AM26" s="21"/>
      <c r="AN26" s="185">
        <f>('29'!AM26/24)*0.454</f>
        <v>0</v>
      </c>
      <c r="AO26" s="21"/>
      <c r="AP26" s="185">
        <f>('29'!AO26/24)*0.454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71"/>
      <c r="S27" s="72"/>
      <c r="T27" s="73"/>
      <c r="U27" s="74"/>
      <c r="X27" s="13">
        <v>0.91666666666666696</v>
      </c>
      <c r="Y27" s="54">
        <v>2562</v>
      </c>
      <c r="Z27" s="183">
        <v>1061</v>
      </c>
      <c r="AA27" s="15">
        <v>1</v>
      </c>
      <c r="AB27" s="58">
        <f>IF('29'!AA27=1,(('29'!Z27*'29'!$AS$6*'29'!$AT$6)/('29'!Y27*0.0036)),IF('29'!AA27=2,(('29'!Z27*'29'!$AS$7*'29'!$AT$7)/('29'!Y27*0.0036))))</f>
        <v>76.498937462052226</v>
      </c>
      <c r="AC27" s="58"/>
      <c r="AD27" s="18">
        <f>(('29'!AC27*'29'!$Q$10*1000000))/('29'!Y27*3600)</f>
        <v>0</v>
      </c>
      <c r="AE27" s="183"/>
      <c r="AF27" s="184">
        <f>('29'!AE27/24)*0.454</f>
        <v>0</v>
      </c>
      <c r="AG27" s="19"/>
      <c r="AH27" s="184">
        <f>('29'!AG27/24)*0.454</f>
        <v>0</v>
      </c>
      <c r="AI27" s="183">
        <v>5400</v>
      </c>
      <c r="AJ27" s="184">
        <f>('29'!AI25/24)*0.454</f>
        <v>102.15</v>
      </c>
      <c r="AK27" s="21"/>
      <c r="AL27" s="185">
        <f>('29'!AK27/24)*0.454</f>
        <v>0</v>
      </c>
      <c r="AM27" s="21"/>
      <c r="AN27" s="185">
        <f>('29'!AM27/24)*0.454</f>
        <v>0</v>
      </c>
      <c r="AO27" s="21"/>
      <c r="AP27" s="185">
        <f>('29'!AO27/24)*0.454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4">
        <v>2589</v>
      </c>
      <c r="Z28" s="183">
        <v>1061</v>
      </c>
      <c r="AA28" s="15">
        <v>1</v>
      </c>
      <c r="AB28" s="58">
        <f>IF('29'!AA28=1,(('29'!Z28*'29'!$AS$6*'29'!$AT$6)/('29'!Y28*0.0036)),IF('29'!AA28=2,(('29'!Z28*'29'!$AS$7*'29'!$AT$7)/('29'!Y28*0.0036))))</f>
        <v>75.701150165228967</v>
      </c>
      <c r="AC28" s="58"/>
      <c r="AD28" s="18">
        <f>(('29'!AC28*'29'!$Q$10*1000000))/('29'!Y28*3600)</f>
        <v>0</v>
      </c>
      <c r="AE28" s="183"/>
      <c r="AF28" s="184">
        <f>('29'!AE28/24)*0.454</f>
        <v>0</v>
      </c>
      <c r="AG28" s="19"/>
      <c r="AH28" s="184">
        <f>('29'!AG28/24)*0.454</f>
        <v>0</v>
      </c>
      <c r="AI28" s="183">
        <v>5400</v>
      </c>
      <c r="AJ28" s="184">
        <f>('29'!AI26/24)*0.454</f>
        <v>102.15</v>
      </c>
      <c r="AK28" s="21"/>
      <c r="AL28" s="185">
        <f>('29'!AK28/24)*0.454</f>
        <v>0</v>
      </c>
      <c r="AM28" s="21"/>
      <c r="AN28" s="185">
        <f>('29'!AM28/24)*0.454</f>
        <v>0</v>
      </c>
      <c r="AO28" s="21"/>
      <c r="AP28" s="185">
        <f>('29'!AO28/24)*0.454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4">
        <v>2548</v>
      </c>
      <c r="Z29" s="183">
        <v>1061</v>
      </c>
      <c r="AA29" s="15">
        <v>1</v>
      </c>
      <c r="AB29" s="58">
        <f>IF('29'!AA29=1,(('29'!Z29*'29'!$AS$6*'29'!$AT$6)/('29'!Y29*0.0036)),IF('29'!AA29=2,(('29'!Z29*'29'!$AS$7*'29'!$AT$7)/('29'!Y29*0.0036))))</f>
        <v>76.91926129426129</v>
      </c>
      <c r="AC29" s="58"/>
      <c r="AD29" s="18">
        <f>(('29'!AC29*'29'!$Q$10*1000000))/('29'!Y29*3600)</f>
        <v>0</v>
      </c>
      <c r="AE29" s="183"/>
      <c r="AF29" s="184">
        <f>('29'!AE29/24)*0.454</f>
        <v>0</v>
      </c>
      <c r="AG29" s="19"/>
      <c r="AH29" s="184">
        <f>('29'!AG29/24)*0.454</f>
        <v>0</v>
      </c>
      <c r="AI29" s="183">
        <v>5400</v>
      </c>
      <c r="AJ29" s="184">
        <f>('29'!AI27/24)*0.454</f>
        <v>102.15</v>
      </c>
      <c r="AK29" s="21"/>
      <c r="AL29" s="185">
        <f>('29'!AK29/24)*0.454</f>
        <v>0</v>
      </c>
      <c r="AM29" s="21"/>
      <c r="AN29" s="185">
        <f>('29'!AM29/24)*0.454</f>
        <v>0</v>
      </c>
      <c r="AO29" s="21"/>
      <c r="AP29" s="185">
        <f>('29'!AO29/24)*0.454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SUM('29'!Y6:Y29)*3.6</f>
        <v>225136.80000000002</v>
      </c>
      <c r="Z30" s="82">
        <f>SUM('29'!Z6:Z29)</f>
        <v>25464</v>
      </c>
      <c r="AA30" s="78"/>
      <c r="AB30" s="79"/>
      <c r="AC30" s="78"/>
      <c r="AD30" s="79"/>
      <c r="AE30" s="34"/>
      <c r="AF30" s="184">
        <f>SUM('29'!AF6:AF29)</f>
        <v>283.75000000000006</v>
      </c>
      <c r="AG30" s="34"/>
      <c r="AH30" s="184">
        <f>SUM('29'!AH6:AH29)</f>
        <v>283.75000000000006</v>
      </c>
      <c r="AI30" s="34"/>
      <c r="AJ30" s="184">
        <f>SUM('29'!AJ6:AJ29)</f>
        <v>2345.6666666666661</v>
      </c>
      <c r="AK30" s="80"/>
      <c r="AL30" s="185">
        <f>SUM('29'!AL6:AL29)</f>
        <v>0</v>
      </c>
      <c r="AM30" s="80"/>
      <c r="AN30" s="185">
        <f>SUM('29'!AN6:AN29)</f>
        <v>0</v>
      </c>
      <c r="AO30" s="80"/>
      <c r="AP30" s="185">
        <f>SUM('29'!AP6:AP29)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SUMIF('29'!AA6:AA29,"=1",'29'!Z6:Z29)</f>
        <v>25464</v>
      </c>
      <c r="AA32" s="82">
        <f>'29'!Z32*'29'!AS6</f>
        <v>33867.120000000003</v>
      </c>
      <c r="AB32" s="83">
        <f>SUMIF('29'!$AA$6:$AA$29,"=1",'29'!$AB$6:$AB$29)/COUNTIF('29'!$AA$6:$AA$29,"=1")</f>
        <v>75.234841328067333</v>
      </c>
      <c r="AC32" s="84">
        <f>SUMIF('29'!AA6:AA29,"=1",'29'!AC6:AC29)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SUMIF('29'!AA6:AA29,"=2",'29'!Z6:Z29)</f>
        <v>0</v>
      </c>
      <c r="AA33" s="82">
        <f>'29'!Z33*'29'!AS7</f>
        <v>0</v>
      </c>
      <c r="AB33" s="83" t="e">
        <f>SUMIF('29'!$AA$6:$AA$29,"=2",'29'!$AB$6:$AB$29)/COUNTIF('29'!$AA$6:$AA$29,"=2")</f>
        <v>#DIV/0!</v>
      </c>
      <c r="AC33" s="89">
        <f>SUMIF('29'!AA6:AA29,"=2",'29'!AC6:AC29)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AVERAGE('29'!Y6:Y29)</f>
        <v>2605.75</v>
      </c>
      <c r="Z34" s="96">
        <f>AVERAGE('29'!Z6:Z29)</f>
        <v>1061</v>
      </c>
      <c r="AA34" s="97"/>
      <c r="AB34" s="97"/>
      <c r="AC34" s="98">
        <f>SUM('29'!AC6:AC29)/COUNTIF('29'!AC6:AC29,"&lt;&gt;0")</f>
        <v>0</v>
      </c>
      <c r="AD34" s="99" t="e">
        <f>SUM('29'!AD6:AD29)/COUNTIF('29'!AD6:AD29,"&lt;&gt;0")</f>
        <v>#DIV/0!</v>
      </c>
      <c r="AE34" s="78"/>
      <c r="AF34" s="98">
        <f>AVERAGE('29'!AF6:AF29)</f>
        <v>11.82291666666667</v>
      </c>
      <c r="AG34" s="98"/>
      <c r="AH34" s="98">
        <f>AVERAGE('29'!AH6:AH29)</f>
        <v>11.82291666666667</v>
      </c>
      <c r="AI34" s="98"/>
      <c r="AJ34" s="98">
        <f>'29'!AJ30/24</f>
        <v>97.736111111111086</v>
      </c>
      <c r="AK34" s="98"/>
      <c r="AL34" s="98">
        <f>AVERAGE('29'!AL6:AL29)</f>
        <v>0</v>
      </c>
      <c r="AM34" s="98"/>
      <c r="AN34" s="98">
        <f>AVERAGE('29'!AN6:AN29)</f>
        <v>0</v>
      </c>
      <c r="AO34" s="98"/>
      <c r="AP34" s="98">
        <f>AVERAGE('29'!AP6:AP29)</f>
        <v>0</v>
      </c>
    </row>
    <row r="35" spans="1:44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50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50"/>
      <c r="X36" s="105" t="s">
        <v>73</v>
      </c>
      <c r="Y36" s="106">
        <v>0</v>
      </c>
      <c r="Z36" s="107"/>
      <c r="AA36" s="108" t="s">
        <v>74</v>
      </c>
      <c r="AB36" s="106">
        <v>4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1"/>
      <c r="B37" s="28">
        <v>0.33333333333333298</v>
      </c>
      <c r="C37" s="186">
        <v>80.599999999999994</v>
      </c>
      <c r="D37" s="186">
        <v>54.4</v>
      </c>
      <c r="E37" s="186">
        <v>40.299999999999997</v>
      </c>
      <c r="F37" s="186">
        <v>1.8</v>
      </c>
      <c r="G37" s="183">
        <v>0.1</v>
      </c>
      <c r="H37" s="183">
        <v>0.1</v>
      </c>
      <c r="I37" s="183">
        <v>0.3</v>
      </c>
      <c r="J37" s="183">
        <v>0.08</v>
      </c>
      <c r="K37" s="183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36">
        <f>'29'!V12</f>
        <v>0</v>
      </c>
      <c r="X37" s="1062" t="s">
        <v>75</v>
      </c>
      <c r="Y37" s="1062"/>
      <c r="Z37" s="110">
        <f>COUNTA('29'!Z6:Z29)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SUM('29'!AF30+'29'!AH30)</f>
        <v>567.50000000000011</v>
      </c>
      <c r="AL38" s="210" t="s">
        <v>78</v>
      </c>
      <c r="AM38" s="212">
        <f>SUM('29'!AL30+'29'!AN30)</f>
        <v>0</v>
      </c>
      <c r="AO38" s="210" t="s">
        <v>78</v>
      </c>
      <c r="AP38" s="211">
        <f>'29'!AJ30</f>
        <v>2345.6666666666661</v>
      </c>
      <c r="AQ38" s="210" t="s">
        <v>78</v>
      </c>
      <c r="AR38" s="212">
        <f>'29'!AP30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('29'!AK38/'29'!Y30)*1000</f>
        <v>2.5206896429193275</v>
      </c>
      <c r="AL39" s="215" t="s">
        <v>86</v>
      </c>
      <c r="AM39" s="216">
        <f>('29'!AM38/'29'!Y30)*1000</f>
        <v>0</v>
      </c>
      <c r="AO39" s="213" t="s">
        <v>86</v>
      </c>
      <c r="AP39" s="214">
        <f>('29'!AP38/'29'!Y30)*1000</f>
        <v>10.418850524066549</v>
      </c>
      <c r="AQ39" s="215" t="s">
        <v>86</v>
      </c>
      <c r="AR39" s="216">
        <f>('29'!AR38/'29'!Y30)*1000</f>
        <v>0</v>
      </c>
    </row>
    <row r="40" spans="1:44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SUM('29'!AK38,'29'!AM38)</f>
        <v>567.50000000000011</v>
      </c>
      <c r="AM40" s="975"/>
      <c r="AO40" s="976" t="s">
        <v>90</v>
      </c>
      <c r="AP40" s="976"/>
      <c r="AQ40" s="977">
        <f>SUM('29'!AP38,'29'!AR38)</f>
        <v>2345.6666666666661</v>
      </c>
      <c r="AR40" s="977"/>
    </row>
    <row r="41" spans="1:44" ht="16.5" customHeight="1">
      <c r="A41" s="133">
        <f>COUNTA('29'!E7:E18)</f>
        <v>12</v>
      </c>
      <c r="B41" s="134">
        <f>COUNTA('29'!I7:I18)</f>
        <v>12</v>
      </c>
      <c r="C41" s="978">
        <f>COUNTA('29'!J7:J18)</f>
        <v>12</v>
      </c>
      <c r="D41" s="978">
        <f>COUNTA('29'!K7:K18)</f>
        <v>12</v>
      </c>
      <c r="E41" s="978">
        <f>COUNTIF('29'!E7:E18,"&gt;15")</f>
        <v>0</v>
      </c>
      <c r="F41" s="978"/>
      <c r="G41" s="978">
        <f>COUNTIF('29'!J7:J18,"&gt;1")</f>
        <v>0</v>
      </c>
      <c r="H41" s="978"/>
      <c r="I41" s="135"/>
      <c r="J41" s="978">
        <f>'29'!A41-'29'!E41</f>
        <v>12</v>
      </c>
      <c r="K41" s="978"/>
      <c r="L41" s="978">
        <f>'29'!C41-'29'!G41</f>
        <v>12</v>
      </c>
      <c r="M41" s="978"/>
      <c r="N41" s="135"/>
      <c r="O41" s="979">
        <f>COUNTIF('29'!J7:J18,"&lt;=0,5")</f>
        <v>12</v>
      </c>
      <c r="P41" s="979"/>
      <c r="Q41" s="979"/>
      <c r="R41" s="969"/>
      <c r="S41" s="980">
        <f>COUNTIF('29'!J7:J18,"&lt;=1,0")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SUM(('29'!AK38+'29'!AM38)/'29'!Y30)*1000</f>
        <v>2.5206896429193275</v>
      </c>
      <c r="AM41" s="981"/>
      <c r="AO41" s="976" t="s">
        <v>91</v>
      </c>
      <c r="AP41" s="976"/>
      <c r="AQ41" s="981">
        <f>SUM(('29'!AP38+'29'!AR38)/'29'!Y30)*1000</f>
        <v>10.418850524066549</v>
      </c>
      <c r="AR41" s="981"/>
    </row>
    <row r="42" spans="1:44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4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>
        <v>71</v>
      </c>
      <c r="Z44" s="144" t="s">
        <v>101</v>
      </c>
      <c r="AA44" s="145"/>
      <c r="AB44" s="144" t="s">
        <v>101</v>
      </c>
      <c r="AC44" s="145">
        <v>140</v>
      </c>
      <c r="AD44" s="988"/>
      <c r="AE44" s="988"/>
      <c r="AF44" s="989" t="s">
        <v>102</v>
      </c>
      <c r="AG44" s="1002">
        <f>SUM('29'!Y45,'29'!AA45,'29'!AC45,'29'!AE45)</f>
        <v>214424.3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COUNTIF('29'!I7:I18,"&lt;=5,0")</f>
        <v>12</v>
      </c>
      <c r="I45" s="992"/>
      <c r="J45" s="992"/>
      <c r="K45" s="135"/>
      <c r="L45" s="974">
        <f>COUNTA('29'!L37)</f>
        <v>1</v>
      </c>
      <c r="M45" s="974"/>
      <c r="O45" s="146"/>
      <c r="P45" s="147"/>
      <c r="Q45" s="993">
        <f>'29'!S41-'29'!O41</f>
        <v>0</v>
      </c>
      <c r="R45" s="993"/>
      <c r="S45" s="993"/>
      <c r="T45" s="148"/>
      <c r="X45" s="149" t="s">
        <v>104</v>
      </c>
      <c r="Y45" s="150">
        <f>'29'!Y44*275.3</f>
        <v>19546.3</v>
      </c>
      <c r="Z45" s="149" t="s">
        <v>104</v>
      </c>
      <c r="AA45" s="150">
        <f>262.4*'29'!AA44</f>
        <v>0</v>
      </c>
      <c r="AB45" s="149" t="s">
        <v>104</v>
      </c>
      <c r="AC45" s="150">
        <f>'29'!AC44*277.7</f>
        <v>38878</v>
      </c>
      <c r="AD45" s="149" t="s">
        <v>104</v>
      </c>
      <c r="AE45" s="151">
        <v>156000</v>
      </c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79"/>
      <c r="AP45" s="1079"/>
      <c r="AQ45" s="142"/>
      <c r="AR45" s="143"/>
    </row>
    <row r="46" spans="1:44" ht="15.75" customHeight="1">
      <c r="F46" s="152"/>
      <c r="X46" s="153" t="s">
        <v>105</v>
      </c>
      <c r="Y46" s="154">
        <f>'29'!AS6</f>
        <v>1.33</v>
      </c>
      <c r="Z46" s="153" t="s">
        <v>105</v>
      </c>
      <c r="AA46" s="155">
        <f>'29'!Y46</f>
        <v>1.33</v>
      </c>
      <c r="AB46" s="153" t="s">
        <v>105</v>
      </c>
      <c r="AC46" s="155">
        <f>'29'!Y46</f>
        <v>1.33</v>
      </c>
      <c r="AD46" s="153" t="s">
        <v>105</v>
      </c>
      <c r="AE46" s="156">
        <f>'29'!Y46</f>
        <v>1.33</v>
      </c>
      <c r="AF46" s="995" t="s">
        <v>106</v>
      </c>
      <c r="AG46" s="996">
        <f>SUM('29'!Y47,'29'!AA47,'29'!AC47,'29'!AE47)</f>
        <v>285184.31900000002</v>
      </c>
      <c r="AI46" s="144" t="s">
        <v>101</v>
      </c>
      <c r="AJ46" s="145">
        <v>38</v>
      </c>
      <c r="AK46" s="144" t="s">
        <v>101</v>
      </c>
      <c r="AL46" s="145"/>
      <c r="AM46" s="144" t="s">
        <v>101</v>
      </c>
      <c r="AN46" s="145">
        <v>50</v>
      </c>
      <c r="AO46" s="1079"/>
      <c r="AP46" s="1079"/>
      <c r="AQ46" s="989" t="s">
        <v>102</v>
      </c>
      <c r="AR46" s="990">
        <f>SUM('10'!AJ47,'10'!AL47,'10'!AN47,'10'!AP47)</f>
        <v>0</v>
      </c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'29'!Y45*'29'!Y46</f>
        <v>25996.579000000002</v>
      </c>
      <c r="Z47" s="149" t="s">
        <v>108</v>
      </c>
      <c r="AA47" s="150">
        <f>'29'!AA45*'29'!AA46</f>
        <v>0</v>
      </c>
      <c r="AB47" s="149" t="s">
        <v>108</v>
      </c>
      <c r="AC47" s="150">
        <f>'29'!AC45*'29'!AC46</f>
        <v>51707.740000000005</v>
      </c>
      <c r="AD47" s="149" t="s">
        <v>108</v>
      </c>
      <c r="AE47" s="150">
        <f>'29'!AE45*'29'!AE46</f>
        <v>207480</v>
      </c>
      <c r="AF47" s="995"/>
      <c r="AG47" s="996"/>
      <c r="AI47" s="149" t="s">
        <v>104</v>
      </c>
      <c r="AJ47" s="150">
        <f>AJ46*275.3</f>
        <v>10461.4</v>
      </c>
      <c r="AK47" s="149" t="s">
        <v>104</v>
      </c>
      <c r="AL47" s="150">
        <f>262.4*'10'!AL46</f>
        <v>0</v>
      </c>
      <c r="AM47" s="149" t="s">
        <v>104</v>
      </c>
      <c r="AN47" s="150">
        <f>AN46*277.7</f>
        <v>13885</v>
      </c>
      <c r="AO47" s="1079"/>
      <c r="AP47" s="1079"/>
      <c r="AQ47" s="989"/>
      <c r="AR47" s="990"/>
    </row>
    <row r="48" spans="1:44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53" t="s">
        <v>105</v>
      </c>
      <c r="AJ48" s="154">
        <f>Y46</f>
        <v>1.33</v>
      </c>
      <c r="AK48" s="160" t="s">
        <v>105</v>
      </c>
      <c r="AL48" s="154">
        <f>'10'!AJ48</f>
        <v>1.33</v>
      </c>
      <c r="AM48" s="160" t="s">
        <v>105</v>
      </c>
      <c r="AN48" s="154">
        <f>AJ48</f>
        <v>1.33</v>
      </c>
      <c r="AO48" s="1079"/>
      <c r="AP48" s="1079"/>
      <c r="AQ48" s="995" t="s">
        <v>106</v>
      </c>
      <c r="AR48" s="996">
        <f>SUM('10'!AJ49,'10'!AL49,'10'!AN49,'10'!AP49)</f>
        <v>0</v>
      </c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49" t="s">
        <v>108</v>
      </c>
      <c r="AJ49" s="150">
        <f>AJ47*AJ48</f>
        <v>13913.662</v>
      </c>
      <c r="AK49" s="149" t="s">
        <v>108</v>
      </c>
      <c r="AL49" s="150">
        <f>'10'!AL47*'10'!AL48</f>
        <v>0</v>
      </c>
      <c r="AM49" s="149" t="s">
        <v>108</v>
      </c>
      <c r="AN49" s="150">
        <f>AN47*AN48</f>
        <v>18467.05</v>
      </c>
      <c r="AO49" s="1079"/>
      <c r="AP49" s="1079"/>
      <c r="AQ49" s="995"/>
      <c r="AR49" s="99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COUNTA('29'!O7:O18)</f>
        <v>12</v>
      </c>
      <c r="P51" s="974">
        <f>COUNTA('29'!W17:W28)</f>
        <v>0</v>
      </c>
      <c r="R51" s="992">
        <f>COUNTIF('29'!O7:O18,"&gt;=0,5")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SUM('29'!Y53,'29'!AA53,'29'!AC53,'29'!AE53)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79"/>
      <c r="AP52" s="1079"/>
      <c r="AQ52" s="313"/>
      <c r="AR52" s="31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'29'!Y52*275.3</f>
        <v>0</v>
      </c>
      <c r="Z53" s="149" t="s">
        <v>104</v>
      </c>
      <c r="AA53" s="150">
        <f>262.4*'29'!AA52</f>
        <v>0</v>
      </c>
      <c r="AB53" s="149" t="s">
        <v>104</v>
      </c>
      <c r="AC53" s="167">
        <f>'29'!AC52*277.7</f>
        <v>0</v>
      </c>
      <c r="AD53" s="149" t="s">
        <v>104</v>
      </c>
      <c r="AE53" s="230"/>
      <c r="AF53" s="989"/>
      <c r="AG53" s="1002"/>
      <c r="AI53" s="144" t="s">
        <v>101</v>
      </c>
      <c r="AJ53" s="166">
        <v>0</v>
      </c>
      <c r="AK53" s="144" t="s">
        <v>101</v>
      </c>
      <c r="AL53" s="164"/>
      <c r="AM53" s="144" t="s">
        <v>101</v>
      </c>
      <c r="AN53" s="164"/>
      <c r="AO53" s="1079"/>
      <c r="AP53" s="1079"/>
      <c r="AQ53" s="989" t="s">
        <v>102</v>
      </c>
      <c r="AR53" s="1002">
        <f>'10'!AJ54+'10'!AL54+'10'!AN54+'10'!AP54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'29'!AS7</f>
        <v>1.377</v>
      </c>
      <c r="Z54" s="153" t="s">
        <v>105</v>
      </c>
      <c r="AA54" s="155">
        <f>'29'!Y54</f>
        <v>1.377</v>
      </c>
      <c r="AB54" s="153" t="s">
        <v>105</v>
      </c>
      <c r="AC54" s="155">
        <f>'29'!Y54</f>
        <v>1.377</v>
      </c>
      <c r="AD54" s="153" t="s">
        <v>105</v>
      </c>
      <c r="AE54" s="156">
        <f>'29'!Y54</f>
        <v>1.377</v>
      </c>
      <c r="AF54" s="995" t="s">
        <v>106</v>
      </c>
      <c r="AG54" s="996">
        <f>SUM('29'!Y55,'29'!AA55,'29'!AC55,'29'!AE55)</f>
        <v>0</v>
      </c>
      <c r="AI54" s="149" t="s">
        <v>104</v>
      </c>
      <c r="AJ54" s="150">
        <f>AJ53*275.3</f>
        <v>0</v>
      </c>
      <c r="AK54" s="149" t="s">
        <v>104</v>
      </c>
      <c r="AL54" s="150">
        <f>262.4*AL53</f>
        <v>0</v>
      </c>
      <c r="AM54" s="149" t="s">
        <v>104</v>
      </c>
      <c r="AN54" s="167">
        <f>AN53*277.7</f>
        <v>0</v>
      </c>
      <c r="AO54" s="1079"/>
      <c r="AP54" s="1079"/>
      <c r="AQ54" s="989"/>
      <c r="AR54" s="1002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'29'!Y53*'29'!Y54</f>
        <v>0</v>
      </c>
      <c r="Z55" s="149" t="s">
        <v>108</v>
      </c>
      <c r="AA55" s="150">
        <f>'29'!AA53*'29'!AA54</f>
        <v>0</v>
      </c>
      <c r="AB55" s="149" t="s">
        <v>108</v>
      </c>
      <c r="AC55" s="150">
        <f>'29'!AC53*'29'!AC54</f>
        <v>0</v>
      </c>
      <c r="AD55" s="149" t="s">
        <v>108</v>
      </c>
      <c r="AE55" s="150">
        <f>'29'!AE53*'29'!AE54</f>
        <v>0</v>
      </c>
      <c r="AF55" s="995"/>
      <c r="AG55" s="996"/>
      <c r="AI55" s="153" t="s">
        <v>105</v>
      </c>
      <c r="AJ55" s="154">
        <f>Y54</f>
        <v>1.377</v>
      </c>
      <c r="AK55" s="153" t="s">
        <v>105</v>
      </c>
      <c r="AL55" s="154">
        <f>AJ55</f>
        <v>1.377</v>
      </c>
      <c r="AM55" s="153" t="s">
        <v>105</v>
      </c>
      <c r="AN55" s="154">
        <f>AJ55</f>
        <v>1.377</v>
      </c>
      <c r="AO55" s="1079"/>
      <c r="AP55" s="1079"/>
      <c r="AQ55" s="995" t="s">
        <v>106</v>
      </c>
      <c r="AR55" s="996">
        <f>SUM('10'!AJ56,'10'!AL56,'10'!AN56,'10'!AP56)</f>
        <v>0</v>
      </c>
    </row>
    <row r="56" spans="15:44">
      <c r="O56" s="998"/>
      <c r="P56" s="998"/>
      <c r="R56" s="999"/>
      <c r="S56" s="999"/>
      <c r="T56" s="999"/>
      <c r="AI56" s="149" t="s">
        <v>108</v>
      </c>
      <c r="AJ56" s="150">
        <f>AJ54*AJ55</f>
        <v>0</v>
      </c>
      <c r="AK56" s="149" t="s">
        <v>108</v>
      </c>
      <c r="AL56" s="150">
        <f>AL54*AL55</f>
        <v>0</v>
      </c>
      <c r="AM56" s="149" t="s">
        <v>108</v>
      </c>
      <c r="AN56" s="150">
        <f>AN54*AN55</f>
        <v>0</v>
      </c>
      <c r="AO56" s="1079"/>
      <c r="AP56" s="1079"/>
      <c r="AQ56" s="995"/>
      <c r="AR56" s="996"/>
    </row>
    <row r="57" spans="15:44" ht="15.75" customHeight="1">
      <c r="O57" s="1003">
        <f>COUNTA('29'!N7:N18)</f>
        <v>12</v>
      </c>
      <c r="P57" s="1003"/>
      <c r="R57" s="1004">
        <f>COUNTIF('29'!N7:N18,"&gt;=6")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32380.712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33867.120000000003</v>
      </c>
      <c r="AR62" s="1016"/>
    </row>
    <row r="63" spans="15:44" ht="15" customHeight="1">
      <c r="X63" s="170" t="s">
        <v>124</v>
      </c>
      <c r="Y63" s="171"/>
      <c r="Z63" s="1013"/>
      <c r="AA63" s="1013"/>
      <c r="AB63" s="172" t="s">
        <v>124</v>
      </c>
      <c r="AC63" s="173"/>
      <c r="AE63" s="49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-1486.4080000000031</v>
      </c>
      <c r="AR63" s="1011"/>
    </row>
    <row r="64" spans="15:44" ht="15" customHeight="1">
      <c r="X64" s="170" t="s">
        <v>133</v>
      </c>
      <c r="Y64" s="171"/>
      <c r="Z64" s="1013"/>
      <c r="AA64" s="1013"/>
      <c r="AB64" s="172"/>
      <c r="AC64" s="173"/>
    </row>
    <row r="65" spans="24:29" ht="39" customHeight="1">
      <c r="X65" s="174" t="s">
        <v>126</v>
      </c>
      <c r="Y65" s="217">
        <f>'28'!$Y$68</f>
        <v>-2451.6000000000008</v>
      </c>
      <c r="Z65" s="1013"/>
      <c r="AA65" s="1013"/>
      <c r="AB65" s="176" t="s">
        <v>126</v>
      </c>
      <c r="AC65" s="241">
        <f>'28'!$AC$68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280">
        <f>SUM('29'!AK38,'29'!AP38)</f>
        <v>2913.1666666666661</v>
      </c>
      <c r="Z67" s="1013"/>
      <c r="AA67" s="1013"/>
      <c r="AB67" s="172" t="s">
        <v>124</v>
      </c>
      <c r="AC67" s="169">
        <f>SUM('29'!AM38,'29'!AR38)</f>
        <v>0</v>
      </c>
    </row>
    <row r="68" spans="24:29" ht="15.75" customHeight="1">
      <c r="X68" s="170" t="s">
        <v>128</v>
      </c>
      <c r="Y68" s="179">
        <f>SUM('29'!Y63,'29'!Y65)-'29'!Y67-'29'!Y64</f>
        <v>-5364.7666666666664</v>
      </c>
      <c r="Z68" s="1013"/>
      <c r="AA68" s="1013"/>
      <c r="AB68" s="172" t="s">
        <v>128</v>
      </c>
      <c r="AC68" s="180">
        <f>SUM('29'!AC63,'29'!AC65)-'29'!AC67</f>
        <v>0</v>
      </c>
    </row>
  </sheetData>
  <sheetProtection password="E1DF" sheet="1" objects="1" scenarios="1" selectLockedCells="1"/>
  <mergeCells count="177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A10" zoomScaleNormal="100" workbookViewId="0">
      <selection activeCell="C38" sqref="C38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07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149</v>
      </c>
      <c r="AF4" s="937" t="s">
        <v>150</v>
      </c>
      <c r="AG4" s="937" t="s">
        <v>151</v>
      </c>
      <c r="AH4" s="937" t="s">
        <v>152</v>
      </c>
      <c r="AI4" s="937" t="s">
        <v>153</v>
      </c>
      <c r="AJ4" s="937" t="s">
        <v>154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07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173">
        <v>2605</v>
      </c>
      <c r="Z6" s="257">
        <v>1061</v>
      </c>
      <c r="AA6" s="15">
        <v>1</v>
      </c>
      <c r="AB6" s="58">
        <f>IF('30'!AA6=1,(('30'!Z6*'30'!$AS$6*'30'!$AT$6)/('30'!Y6*0.0036)),IF('30'!AA6=2,(('30'!Z6*'30'!$AS$7*'30'!$AT$7)/('30'!Y6*0.0036))))</f>
        <v>75.236191085519309</v>
      </c>
      <c r="AC6" s="58"/>
      <c r="AD6" s="18">
        <f>(('30'!AC6*'30'!$Q$10*1000000))/('30'!Y6*3600)</f>
        <v>0</v>
      </c>
      <c r="AE6" s="183"/>
      <c r="AF6" s="184">
        <f>('30'!AE6/24)*0.454</f>
        <v>0</v>
      </c>
      <c r="AG6" s="19"/>
      <c r="AH6" s="184">
        <f>('30'!AG6/24)*0.454</f>
        <v>0</v>
      </c>
      <c r="AI6" s="271">
        <v>5400</v>
      </c>
      <c r="AJ6" s="184">
        <f>('30'!AI6/24)*0.454</f>
        <v>102.15</v>
      </c>
      <c r="AK6" s="21"/>
      <c r="AL6" s="185">
        <f>('30'!AK6/24)*0.454</f>
        <v>0</v>
      </c>
      <c r="AM6" s="21"/>
      <c r="AN6" s="185">
        <f>('30'!AM6/24)*0.454</f>
        <v>0</v>
      </c>
      <c r="AO6" s="21"/>
      <c r="AP6" s="185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6">
        <v>80</v>
      </c>
      <c r="C7" s="186">
        <v>12.5</v>
      </c>
      <c r="D7" s="186">
        <v>12.5</v>
      </c>
      <c r="E7" s="186">
        <v>2.5</v>
      </c>
      <c r="F7" s="186">
        <v>20</v>
      </c>
      <c r="G7" s="186">
        <v>1.7</v>
      </c>
      <c r="H7" s="186">
        <v>2.6</v>
      </c>
      <c r="I7" s="186">
        <v>0.4</v>
      </c>
      <c r="J7" s="186">
        <v>0.4</v>
      </c>
      <c r="K7" s="186">
        <v>7.3</v>
      </c>
      <c r="L7" s="186">
        <v>6.7</v>
      </c>
      <c r="M7" s="186">
        <v>6.7</v>
      </c>
      <c r="N7" s="186">
        <v>6.5</v>
      </c>
      <c r="O7" s="186">
        <v>3.5</v>
      </c>
      <c r="P7" s="186"/>
      <c r="Q7" s="188"/>
      <c r="R7" s="37">
        <f>'29'!$Z$29</f>
        <v>1061</v>
      </c>
      <c r="S7" s="187">
        <f>'29'!$AB$29</f>
        <v>76.91926129426129</v>
      </c>
      <c r="T7" s="37">
        <f>'29'!$Y$29</f>
        <v>2548</v>
      </c>
      <c r="U7" s="33" t="str">
        <f>IF('30'!AA6=1,'30'!AR6,'30'!AR7)</f>
        <v>S.A.L</v>
      </c>
      <c r="V7" s="1022">
        <f>ESCALA!$B$31</f>
        <v>0</v>
      </c>
      <c r="W7" s="1022"/>
      <c r="X7" s="13">
        <v>8.3333333333333301E-2</v>
      </c>
      <c r="Y7" s="173">
        <v>2594</v>
      </c>
      <c r="Z7" s="257">
        <v>1061</v>
      </c>
      <c r="AA7" s="15">
        <v>1</v>
      </c>
      <c r="AB7" s="58">
        <f>IF('30'!AA7=1,(('30'!Z7*'30'!$AS$6*'30'!$AT$6)/('30'!Y7*0.0036)),IF('30'!AA7=2,(('30'!Z7*'30'!$AS$7*'30'!$AT$7)/('30'!Y7*0.0036))))</f>
        <v>75.555234301379258</v>
      </c>
      <c r="AC7" s="58"/>
      <c r="AD7" s="18">
        <f>(('30'!AC7*'30'!$Q$10*1000000))/('30'!Y7*3600)</f>
        <v>0</v>
      </c>
      <c r="AE7" s="183"/>
      <c r="AF7" s="184">
        <f>('30'!AE7/24)*0.454</f>
        <v>0</v>
      </c>
      <c r="AG7" s="19"/>
      <c r="AH7" s="184">
        <f>('30'!AG7/24)*0.454</f>
        <v>0</v>
      </c>
      <c r="AI7" s="271">
        <v>5400</v>
      </c>
      <c r="AJ7" s="184">
        <f>('30'!AI7/24)*0.454</f>
        <v>102.15</v>
      </c>
      <c r="AK7" s="21"/>
      <c r="AL7" s="185">
        <f>('30'!AK7/24)*0.454</f>
        <v>0</v>
      </c>
      <c r="AM7" s="21"/>
      <c r="AN7" s="185">
        <f>('30'!AM7/24)*0.454</f>
        <v>0</v>
      </c>
      <c r="AO7" s="21"/>
      <c r="AP7" s="185">
        <f>('30'!AO7/24)*0.454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6">
        <v>80</v>
      </c>
      <c r="C8" s="186">
        <v>12.5</v>
      </c>
      <c r="D8" s="186">
        <v>12.5</v>
      </c>
      <c r="E8" s="186">
        <v>2.5</v>
      </c>
      <c r="F8" s="186">
        <v>20</v>
      </c>
      <c r="G8" s="186">
        <v>1.7</v>
      </c>
      <c r="H8" s="186">
        <v>2.6</v>
      </c>
      <c r="I8" s="186">
        <v>0.4</v>
      </c>
      <c r="J8" s="186">
        <v>0.4</v>
      </c>
      <c r="K8" s="186">
        <v>7.3</v>
      </c>
      <c r="L8" s="186">
        <v>6.7</v>
      </c>
      <c r="M8" s="186">
        <v>6.7</v>
      </c>
      <c r="N8" s="186">
        <v>6.5</v>
      </c>
      <c r="O8" s="186">
        <v>3.5</v>
      </c>
      <c r="P8" s="186"/>
      <c r="Q8" s="188"/>
      <c r="R8" s="35">
        <f>'30'!Z7</f>
        <v>1061</v>
      </c>
      <c r="S8" s="36">
        <f>'30'!AB7</f>
        <v>75.555234301379258</v>
      </c>
      <c r="T8" s="37">
        <f>'30'!Y7</f>
        <v>2594</v>
      </c>
      <c r="U8" s="33" t="str">
        <f>IF('30'!AA7=1,'30'!AR6,'30'!AR7)</f>
        <v>S.A.L</v>
      </c>
      <c r="V8" s="1022"/>
      <c r="W8" s="1022"/>
      <c r="X8" s="13">
        <v>0.125</v>
      </c>
      <c r="Y8" s="173">
        <v>2586</v>
      </c>
      <c r="Z8" s="257">
        <v>1061</v>
      </c>
      <c r="AA8" s="15">
        <v>1</v>
      </c>
      <c r="AB8" s="58">
        <f>IF('30'!AA8=1,(('30'!Z8*'30'!$AS$6*'30'!$AT$6)/('30'!Y8*0.0036)),IF('30'!AA8=2,(('30'!Z8*'30'!$AS$7*'30'!$AT$7)/('30'!Y8*0.0036))))</f>
        <v>75.788970525049422</v>
      </c>
      <c r="AC8" s="58"/>
      <c r="AD8" s="18">
        <f>(('30'!AC8*'30'!$Q$10*1000000))/('30'!Y8*3600)</f>
        <v>0</v>
      </c>
      <c r="AE8" s="183"/>
      <c r="AF8" s="184">
        <f>('30'!AE8/24)*0.454</f>
        <v>0</v>
      </c>
      <c r="AG8" s="19"/>
      <c r="AH8" s="184">
        <f>('30'!AG8/24)*0.454</f>
        <v>0</v>
      </c>
      <c r="AI8" s="271">
        <v>5400</v>
      </c>
      <c r="AJ8" s="184">
        <f>('30'!AI8/24)*0.454</f>
        <v>102.15</v>
      </c>
      <c r="AK8" s="21"/>
      <c r="AL8" s="185">
        <f>('30'!AK8/24)*0.454</f>
        <v>0</v>
      </c>
      <c r="AM8" s="21"/>
      <c r="AN8" s="185">
        <f>('30'!AM8/24)*0.454</f>
        <v>0</v>
      </c>
      <c r="AO8" s="21"/>
      <c r="AP8" s="185">
        <f>('30'!AO8/24)*0.454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80</v>
      </c>
      <c r="C9" s="186">
        <v>12.5</v>
      </c>
      <c r="D9" s="186">
        <v>12.5</v>
      </c>
      <c r="E9" s="186">
        <v>2.5</v>
      </c>
      <c r="F9" s="186">
        <v>21</v>
      </c>
      <c r="G9" s="186">
        <v>1.5</v>
      </c>
      <c r="H9" s="186">
        <v>2.5</v>
      </c>
      <c r="I9" s="186">
        <v>0.4</v>
      </c>
      <c r="J9" s="186">
        <v>0.4</v>
      </c>
      <c r="K9" s="186">
        <v>7.3</v>
      </c>
      <c r="L9" s="186">
        <v>6.7</v>
      </c>
      <c r="M9" s="186">
        <v>6.7</v>
      </c>
      <c r="N9" s="186">
        <v>6.5</v>
      </c>
      <c r="O9" s="186">
        <v>3.5</v>
      </c>
      <c r="P9" s="186"/>
      <c r="Q9" s="188"/>
      <c r="R9" s="37">
        <f>'30'!Z9</f>
        <v>1061</v>
      </c>
      <c r="S9" s="36">
        <f>'30'!AB9</f>
        <v>75.467954477388446</v>
      </c>
      <c r="T9" s="37">
        <f>'30'!Y9</f>
        <v>2597</v>
      </c>
      <c r="U9" s="33" t="str">
        <f>IF('30'!AA9=1,'30'!AR6,'30'!AR7)</f>
        <v>S.A.L</v>
      </c>
      <c r="V9" s="1022"/>
      <c r="W9" s="1022"/>
      <c r="X9" s="13">
        <v>0.16666666666666699</v>
      </c>
      <c r="Y9" s="173">
        <v>2597</v>
      </c>
      <c r="Z9" s="257">
        <v>1061</v>
      </c>
      <c r="AA9" s="15">
        <v>1</v>
      </c>
      <c r="AB9" s="58">
        <f>IF('30'!AA9=1,(('30'!Z9*'30'!$AS$6*'30'!$AT$6)/('30'!Y9*0.0036)),IF('30'!AA9=2,(('30'!Z9*'30'!$AS$7*'30'!$AT$7)/('30'!Y9*0.0036))))</f>
        <v>75.467954477388446</v>
      </c>
      <c r="AC9" s="58"/>
      <c r="AD9" s="18">
        <f>(('30'!AC9*'30'!$Q$10*1000000))/('30'!Y9*3600)</f>
        <v>0</v>
      </c>
      <c r="AE9" s="183"/>
      <c r="AF9" s="184">
        <f>('30'!AE9/24)*0.454</f>
        <v>0</v>
      </c>
      <c r="AG9" s="19"/>
      <c r="AH9" s="184">
        <f>('30'!AG9/24)*0.454</f>
        <v>0</v>
      </c>
      <c r="AI9" s="271">
        <v>5400</v>
      </c>
      <c r="AJ9" s="184">
        <f>('30'!AI9/24)*0.454</f>
        <v>102.15</v>
      </c>
      <c r="AK9" s="21"/>
      <c r="AL9" s="185">
        <f>('30'!AK9/24)*0.454</f>
        <v>0</v>
      </c>
      <c r="AM9" s="21"/>
      <c r="AN9" s="185">
        <f>('30'!AM9/24)*0.454</f>
        <v>0</v>
      </c>
      <c r="AO9" s="21"/>
      <c r="AP9" s="185">
        <f>('30'!AO9/24)*0.454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80</v>
      </c>
      <c r="C10" s="186">
        <v>12.5</v>
      </c>
      <c r="D10" s="186">
        <v>12.5</v>
      </c>
      <c r="E10" s="186">
        <v>2.5</v>
      </c>
      <c r="F10" s="186">
        <v>21</v>
      </c>
      <c r="G10" s="186">
        <v>1.5</v>
      </c>
      <c r="H10" s="186">
        <v>2.5</v>
      </c>
      <c r="I10" s="186">
        <v>0.4</v>
      </c>
      <c r="J10" s="186">
        <v>0.4</v>
      </c>
      <c r="K10" s="186">
        <v>7.3</v>
      </c>
      <c r="L10" s="186">
        <v>6.7</v>
      </c>
      <c r="M10" s="186">
        <v>6.7</v>
      </c>
      <c r="N10" s="186">
        <v>6.5</v>
      </c>
      <c r="O10" s="186">
        <v>3.5</v>
      </c>
      <c r="P10" s="186"/>
      <c r="Q10" s="188"/>
      <c r="R10" s="37">
        <f>'30'!Z11</f>
        <v>1061</v>
      </c>
      <c r="S10" s="36">
        <f>'30'!AB11</f>
        <v>76.52880819124475</v>
      </c>
      <c r="T10" s="37">
        <f>'30'!Y11</f>
        <v>2561</v>
      </c>
      <c r="U10" s="33" t="str">
        <f>IF('30'!AA11=1,'30'!AR6,'30'!AR7)</f>
        <v>S.A.L</v>
      </c>
      <c r="V10" s="1022"/>
      <c r="W10" s="1022"/>
      <c r="X10" s="13">
        <v>0.20833333333333301</v>
      </c>
      <c r="Y10" s="173">
        <v>2566</v>
      </c>
      <c r="Z10" s="257">
        <v>1061</v>
      </c>
      <c r="AA10" s="15">
        <v>1</v>
      </c>
      <c r="AB10" s="58">
        <f>IF('30'!AA10=1,(('30'!Z10*'30'!$AS$6*'30'!$AT$6)/('30'!Y10*0.0036)),IF('30'!AA10=2,(('30'!Z10*'30'!$AS$7*'30'!$AT$7)/('30'!Y10*0.0036))))</f>
        <v>76.379687364683463</v>
      </c>
      <c r="AC10" s="58"/>
      <c r="AD10" s="18">
        <f>(('30'!AC10*'30'!$Q$10*1000000))/('30'!Y10*3600)</f>
        <v>0</v>
      </c>
      <c r="AE10" s="183"/>
      <c r="AF10" s="184">
        <f>('30'!AE10/24)*0.454</f>
        <v>0</v>
      </c>
      <c r="AG10" s="19"/>
      <c r="AH10" s="184">
        <f>('30'!AG10/24)*0.454</f>
        <v>0</v>
      </c>
      <c r="AI10" s="271">
        <v>5400</v>
      </c>
      <c r="AJ10" s="184">
        <f>('30'!AI10/24)*0.454</f>
        <v>102.15</v>
      </c>
      <c r="AK10" s="21"/>
      <c r="AL10" s="185">
        <f>('30'!AK10/24)*0.454</f>
        <v>0</v>
      </c>
      <c r="AM10" s="21"/>
      <c r="AN10" s="185">
        <f>('30'!AM10/24)*0.454</f>
        <v>0</v>
      </c>
      <c r="AO10" s="21"/>
      <c r="AP10" s="185">
        <f>('30'!AO10/24)*0.454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6">
        <v>80</v>
      </c>
      <c r="C11" s="186">
        <v>12.5</v>
      </c>
      <c r="D11" s="186">
        <v>15</v>
      </c>
      <c r="E11" s="186">
        <v>2.5</v>
      </c>
      <c r="F11" s="186">
        <v>21</v>
      </c>
      <c r="G11" s="186">
        <v>1.9</v>
      </c>
      <c r="H11" s="186">
        <v>2.7</v>
      </c>
      <c r="I11" s="186">
        <v>0.4</v>
      </c>
      <c r="J11" s="186">
        <v>0.4</v>
      </c>
      <c r="K11" s="186">
        <v>7.3</v>
      </c>
      <c r="L11" s="186">
        <v>6.5</v>
      </c>
      <c r="M11" s="186">
        <v>6.5</v>
      </c>
      <c r="N11" s="186">
        <v>6.3</v>
      </c>
      <c r="O11" s="186">
        <v>3.5</v>
      </c>
      <c r="P11" s="186"/>
      <c r="Q11" s="188"/>
      <c r="R11" s="37">
        <f>'30'!Z13</f>
        <v>1061</v>
      </c>
      <c r="S11" s="36">
        <f>'30'!AB13</f>
        <v>73.902819674878501</v>
      </c>
      <c r="T11" s="37">
        <f>'30'!Y13</f>
        <v>2652</v>
      </c>
      <c r="U11" s="33" t="str">
        <f>IF('30'!AA13=1,'30'!AR6,'30'!AR7)</f>
        <v>S.A.L</v>
      </c>
      <c r="V11" s="1022"/>
      <c r="W11" s="1022"/>
      <c r="X11" s="13">
        <v>0.25</v>
      </c>
      <c r="Y11" s="173">
        <v>2561</v>
      </c>
      <c r="Z11" s="257">
        <v>1061</v>
      </c>
      <c r="AA11" s="15">
        <v>1</v>
      </c>
      <c r="AB11" s="58">
        <f>IF('30'!AA11=1,(('30'!Z11*'30'!$AS$6*'30'!$AT$6)/('30'!Y11*0.0036)),IF('30'!AA11=2,(('30'!Z11*'30'!$AS$7*'30'!$AT$7)/('30'!Y11*0.0036))))</f>
        <v>76.52880819124475</v>
      </c>
      <c r="AC11" s="58"/>
      <c r="AD11" s="18">
        <f>(('30'!AC11*'30'!$Q$10*1000000))/('30'!Y11*3600)</f>
        <v>0</v>
      </c>
      <c r="AE11" s="183"/>
      <c r="AF11" s="184">
        <f>('30'!AE11/24)*0.454</f>
        <v>0</v>
      </c>
      <c r="AG11" s="19"/>
      <c r="AH11" s="184">
        <f>('30'!AG11/24)*0.454</f>
        <v>0</v>
      </c>
      <c r="AI11" s="271">
        <v>5400</v>
      </c>
      <c r="AJ11" s="184">
        <f>('30'!AI11/24)*0.454</f>
        <v>102.15</v>
      </c>
      <c r="AK11" s="21"/>
      <c r="AL11" s="185">
        <f>('30'!AK11/24)*0.454</f>
        <v>0</v>
      </c>
      <c r="AM11" s="21"/>
      <c r="AN11" s="185">
        <f>('30'!AM11/24)*0.454</f>
        <v>0</v>
      </c>
      <c r="AO11" s="21"/>
      <c r="AP11" s="185">
        <f>('30'!AO11/24)*0.454</f>
        <v>0</v>
      </c>
    </row>
    <row r="12" spans="1:47" ht="18.75" customHeight="1">
      <c r="A12" s="28">
        <v>0.41666666666666702</v>
      </c>
      <c r="B12" s="186">
        <v>80</v>
      </c>
      <c r="C12" s="186">
        <v>15</v>
      </c>
      <c r="D12" s="186">
        <v>17.5</v>
      </c>
      <c r="E12" s="186">
        <v>2.5</v>
      </c>
      <c r="F12" s="186">
        <v>22</v>
      </c>
      <c r="G12" s="186">
        <v>2.2000000000000002</v>
      </c>
      <c r="H12" s="186">
        <v>3.1</v>
      </c>
      <c r="I12" s="186">
        <v>0.5</v>
      </c>
      <c r="J12" s="186">
        <v>0.35</v>
      </c>
      <c r="K12" s="186">
        <v>7.3</v>
      </c>
      <c r="L12" s="186">
        <v>6.5</v>
      </c>
      <c r="M12" s="186">
        <v>6.5</v>
      </c>
      <c r="N12" s="186">
        <v>6.3</v>
      </c>
      <c r="O12" s="186">
        <v>3.2</v>
      </c>
      <c r="P12" s="186"/>
      <c r="Q12" s="188"/>
      <c r="R12" s="37">
        <f>'30'!Z15</f>
        <v>1061</v>
      </c>
      <c r="S12" s="36">
        <f>'30'!AB15</f>
        <v>75.906381788449963</v>
      </c>
      <c r="T12" s="37">
        <f>'30'!Y15</f>
        <v>2582</v>
      </c>
      <c r="U12" s="33" t="str">
        <f>IF('30'!AA15=1,'30'!AR6,'30'!AR7)</f>
        <v>S.A.L</v>
      </c>
      <c r="V12" s="944">
        <f>ESCALA!$B$32</f>
        <v>0</v>
      </c>
      <c r="W12" s="944"/>
      <c r="X12" s="13">
        <v>0.29166666666666702</v>
      </c>
      <c r="Y12" s="173">
        <v>2578</v>
      </c>
      <c r="Z12" s="257">
        <v>1061</v>
      </c>
      <c r="AA12" s="15">
        <v>1</v>
      </c>
      <c r="AB12" s="58">
        <f>IF('30'!AA12=1,(('30'!Z12*'30'!$AS$6*'30'!$AT$6)/('30'!Y12*0.0036)),IF('30'!AA12=2,(('30'!Z12*'30'!$AS$7*'30'!$AT$7)/('30'!Y12*0.0036))))</f>
        <v>76.024157400224126</v>
      </c>
      <c r="AC12" s="58"/>
      <c r="AD12" s="18">
        <f>(('30'!AC12*'30'!$Q$10*1000000))/('30'!Y12*3600)</f>
        <v>0</v>
      </c>
      <c r="AE12" s="183"/>
      <c r="AF12" s="184">
        <f>('30'!AE12/24)*0.454</f>
        <v>0</v>
      </c>
      <c r="AG12" s="19"/>
      <c r="AH12" s="184">
        <f>('30'!AG12/24)*0.454</f>
        <v>0</v>
      </c>
      <c r="AI12" s="271">
        <v>5400</v>
      </c>
      <c r="AJ12" s="184">
        <f>('30'!AI12/24)*0.454</f>
        <v>102.15</v>
      </c>
      <c r="AK12" s="21"/>
      <c r="AL12" s="185">
        <f>('30'!AK12/24)*0.454</f>
        <v>0</v>
      </c>
      <c r="AM12" s="21"/>
      <c r="AN12" s="185">
        <f>('30'!AM12/24)*0.454</f>
        <v>0</v>
      </c>
      <c r="AO12" s="21"/>
      <c r="AP12" s="185">
        <f>('30'!AO12/24)*0.454</f>
        <v>0</v>
      </c>
    </row>
    <row r="13" spans="1:47" ht="18.75" customHeight="1">
      <c r="A13" s="28">
        <v>0.5</v>
      </c>
      <c r="B13" s="186">
        <v>80</v>
      </c>
      <c r="C13" s="186">
        <v>15</v>
      </c>
      <c r="D13" s="186">
        <v>15</v>
      </c>
      <c r="E13" s="186">
        <v>2.5</v>
      </c>
      <c r="F13" s="186">
        <v>19</v>
      </c>
      <c r="G13" s="186">
        <v>2.2000000000000002</v>
      </c>
      <c r="H13" s="186">
        <v>2.8</v>
      </c>
      <c r="I13" s="186">
        <v>0.6</v>
      </c>
      <c r="J13" s="186">
        <v>0.6</v>
      </c>
      <c r="K13" s="186">
        <v>7.3</v>
      </c>
      <c r="L13" s="186">
        <v>6.5</v>
      </c>
      <c r="M13" s="186">
        <v>6.5</v>
      </c>
      <c r="N13" s="186">
        <v>6.3</v>
      </c>
      <c r="O13" s="186">
        <v>3.2</v>
      </c>
      <c r="P13" s="186"/>
      <c r="Q13" s="188"/>
      <c r="R13" s="37">
        <f>'30'!Z17</f>
        <v>1061</v>
      </c>
      <c r="S13" s="36">
        <f>'30'!AB17</f>
        <v>75.994679246908802</v>
      </c>
      <c r="T13" s="37">
        <f>'30'!Y17</f>
        <v>2579</v>
      </c>
      <c r="U13" s="33" t="str">
        <f>IF('30'!AA17=1,'30'!AR6,'30'!AR7)</f>
        <v>S.A.L</v>
      </c>
      <c r="V13" s="944"/>
      <c r="W13" s="944"/>
      <c r="X13" s="13">
        <v>0.33333333333333298</v>
      </c>
      <c r="Y13" s="341">
        <v>2652</v>
      </c>
      <c r="Z13" s="257">
        <v>1061</v>
      </c>
      <c r="AA13" s="15">
        <v>1</v>
      </c>
      <c r="AB13" s="58">
        <f>IF('30'!AA13=1,(('30'!Z13*'30'!$AS$6*'30'!$AT$6)/('30'!Y13*0.0036)),IF('30'!AA13=2,(('30'!Z13*'30'!$AS$7*'30'!$AT$7)/('30'!Y13*0.0036))))</f>
        <v>73.902819674878501</v>
      </c>
      <c r="AC13" s="58"/>
      <c r="AD13" s="18">
        <f>(('30'!AC13*'30'!$Q$10*1000000))/('30'!Y13*3600)</f>
        <v>0</v>
      </c>
      <c r="AE13" s="183"/>
      <c r="AF13" s="184">
        <f>('30'!AE13/24)*0.454</f>
        <v>0</v>
      </c>
      <c r="AG13" s="19"/>
      <c r="AH13" s="184">
        <f>('30'!AG13/24)*0.454</f>
        <v>0</v>
      </c>
      <c r="AI13" s="271">
        <v>5400</v>
      </c>
      <c r="AJ13" s="184">
        <f>('30'!AI13/24)*0.454</f>
        <v>102.15</v>
      </c>
      <c r="AK13" s="21"/>
      <c r="AL13" s="185">
        <f>('30'!AK13/24)*0.454</f>
        <v>0</v>
      </c>
      <c r="AM13" s="21"/>
      <c r="AN13" s="185">
        <f>('30'!AM13/24)*0.454</f>
        <v>0</v>
      </c>
      <c r="AO13" s="21"/>
      <c r="AP13" s="185">
        <f>('30'!AO13/24)*0.454</f>
        <v>0</v>
      </c>
    </row>
    <row r="14" spans="1:47" ht="18.75" customHeight="1">
      <c r="A14" s="28">
        <v>0.58333333333333304</v>
      </c>
      <c r="B14" s="186">
        <v>80</v>
      </c>
      <c r="C14" s="186">
        <v>15</v>
      </c>
      <c r="D14" s="186">
        <v>15</v>
      </c>
      <c r="E14" s="186">
        <v>2.5</v>
      </c>
      <c r="F14" s="186">
        <v>19</v>
      </c>
      <c r="G14" s="186">
        <v>2.2000000000000002</v>
      </c>
      <c r="H14" s="186">
        <v>2.6</v>
      </c>
      <c r="I14" s="186">
        <v>0.6</v>
      </c>
      <c r="J14" s="186">
        <v>0.7</v>
      </c>
      <c r="K14" s="186">
        <v>7.3</v>
      </c>
      <c r="L14" s="186">
        <v>6.5</v>
      </c>
      <c r="M14" s="186">
        <v>6.5</v>
      </c>
      <c r="N14" s="186">
        <v>6.3</v>
      </c>
      <c r="O14" s="186">
        <v>3.2</v>
      </c>
      <c r="P14" s="186"/>
      <c r="Q14" s="188"/>
      <c r="R14" s="37">
        <f>'30'!Z19</f>
        <v>1061</v>
      </c>
      <c r="S14" s="36">
        <f>'30'!AB19</f>
        <v>74.862596553773031</v>
      </c>
      <c r="T14" s="37">
        <f>'30'!Y19</f>
        <v>2618</v>
      </c>
      <c r="U14" s="33" t="str">
        <f>IF('30'!AA19=1,'30'!AR6,'30'!AR7)</f>
        <v>S.A.L</v>
      </c>
      <c r="V14" s="944"/>
      <c r="W14" s="944"/>
      <c r="X14" s="13">
        <v>0.375</v>
      </c>
      <c r="Y14" s="173">
        <v>2542</v>
      </c>
      <c r="Z14" s="257">
        <v>1061</v>
      </c>
      <c r="AA14" s="15">
        <v>1</v>
      </c>
      <c r="AB14" s="58">
        <f>IF('30'!AA14=1,(('30'!Z14*'30'!$AS$6*'30'!$AT$6)/('30'!Y14*0.0036)),IF('30'!AA14=2,(('30'!Z14*'30'!$AS$7*'30'!$AT$7)/('30'!Y14*0.0036))))</f>
        <v>77.100817379141546</v>
      </c>
      <c r="AC14" s="58"/>
      <c r="AD14" s="18">
        <f>(('30'!AC14*'30'!$Q$10*1000000))/('30'!Y14*3600)</f>
        <v>0</v>
      </c>
      <c r="AE14" s="183"/>
      <c r="AF14" s="184">
        <f>('30'!AE14/24)*0.454</f>
        <v>0</v>
      </c>
      <c r="AG14" s="19"/>
      <c r="AH14" s="184">
        <f>('30'!AG14/24)*0.454</f>
        <v>0</v>
      </c>
      <c r="AI14" s="271">
        <v>5400</v>
      </c>
      <c r="AJ14" s="184">
        <f>('30'!AI14/24)*0.454</f>
        <v>102.15</v>
      </c>
      <c r="AK14" s="21"/>
      <c r="AL14" s="185">
        <f>('30'!AK14/24)*0.454</f>
        <v>0</v>
      </c>
      <c r="AM14" s="21"/>
      <c r="AN14" s="185">
        <f>('30'!AM14/24)*0.454</f>
        <v>0</v>
      </c>
      <c r="AO14" s="21"/>
      <c r="AP14" s="185">
        <f>('30'!AO14/24)*0.454</f>
        <v>0</v>
      </c>
    </row>
    <row r="15" spans="1:47" ht="18.75" customHeight="1">
      <c r="A15" s="28">
        <v>0.66666666666666696</v>
      </c>
      <c r="B15" s="186">
        <v>80</v>
      </c>
      <c r="C15" s="186">
        <v>12.5</v>
      </c>
      <c r="D15" s="186">
        <v>12.5</v>
      </c>
      <c r="E15" s="186">
        <v>2.5</v>
      </c>
      <c r="F15" s="186">
        <v>17</v>
      </c>
      <c r="G15" s="186">
        <v>2</v>
      </c>
      <c r="H15" s="186">
        <v>2.2000000000000002</v>
      </c>
      <c r="I15" s="186">
        <v>0.5</v>
      </c>
      <c r="J15" s="186">
        <v>0.5</v>
      </c>
      <c r="K15" s="186">
        <v>7.3</v>
      </c>
      <c r="L15" s="186">
        <v>6.5</v>
      </c>
      <c r="M15" s="186">
        <v>6.5</v>
      </c>
      <c r="N15" s="186">
        <v>6.3</v>
      </c>
      <c r="O15" s="186">
        <v>3.5</v>
      </c>
      <c r="P15" s="186"/>
      <c r="Q15" s="188"/>
      <c r="R15" s="37">
        <f>'30'!Z21</f>
        <v>1061</v>
      </c>
      <c r="S15" s="36">
        <f>'30'!AB21</f>
        <v>74.436110056125258</v>
      </c>
      <c r="T15" s="37">
        <f>'30'!Y21</f>
        <v>2633</v>
      </c>
      <c r="U15" s="33" t="str">
        <f>IF('30'!AA21=1,'30'!AR6,'30'!AR7)</f>
        <v>S.A.L</v>
      </c>
      <c r="V15" s="944"/>
      <c r="W15" s="944"/>
      <c r="X15" s="13">
        <v>0.41666666666666702</v>
      </c>
      <c r="Y15" s="173">
        <v>2582</v>
      </c>
      <c r="Z15" s="257">
        <v>1061</v>
      </c>
      <c r="AA15" s="15">
        <v>1</v>
      </c>
      <c r="AB15" s="58">
        <f>IF('30'!AA15=1,(('30'!Z15*'30'!$AS$6*'30'!$AT$6)/('30'!Y15*0.0036)),IF('30'!AA15=2,(('30'!Z15*'30'!$AS$7*'30'!$AT$7)/('30'!Y15*0.0036))))</f>
        <v>75.906381788449963</v>
      </c>
      <c r="AC15" s="58"/>
      <c r="AD15" s="18">
        <f>(('30'!AC15*'30'!$Q$10*1000000))/('30'!Y15*3600)</f>
        <v>0</v>
      </c>
      <c r="AE15" s="183"/>
      <c r="AF15" s="184">
        <f>('30'!AE15/24)*0.454</f>
        <v>0</v>
      </c>
      <c r="AG15" s="19"/>
      <c r="AH15" s="184">
        <f>('30'!AG15/24)*0.454</f>
        <v>0</v>
      </c>
      <c r="AI15" s="271">
        <v>5400</v>
      </c>
      <c r="AJ15" s="184">
        <f>('30'!AI15/24)*0.454</f>
        <v>102.15</v>
      </c>
      <c r="AK15" s="21"/>
      <c r="AL15" s="185">
        <f>('30'!AK15/24)*0.454</f>
        <v>0</v>
      </c>
      <c r="AM15" s="21"/>
      <c r="AN15" s="185">
        <f>('30'!AM15/24)*0.454</f>
        <v>0</v>
      </c>
      <c r="AO15" s="21"/>
      <c r="AP15" s="185">
        <f>('30'!AO15/24)*0.454</f>
        <v>0</v>
      </c>
    </row>
    <row r="16" spans="1:47" ht="18.75" customHeight="1">
      <c r="A16" s="28">
        <v>0.75</v>
      </c>
      <c r="B16" s="186">
        <v>80</v>
      </c>
      <c r="C16" s="186">
        <v>12.5</v>
      </c>
      <c r="D16" s="186">
        <v>12.5</v>
      </c>
      <c r="E16" s="186">
        <v>2.5</v>
      </c>
      <c r="F16" s="186">
        <v>16</v>
      </c>
      <c r="G16" s="186">
        <v>2.4</v>
      </c>
      <c r="H16" s="186">
        <v>2.6</v>
      </c>
      <c r="I16" s="186">
        <v>0.4</v>
      </c>
      <c r="J16" s="186">
        <v>0.5</v>
      </c>
      <c r="K16" s="186">
        <v>7.3</v>
      </c>
      <c r="L16" s="186">
        <v>6.5</v>
      </c>
      <c r="M16" s="186">
        <v>6.5</v>
      </c>
      <c r="N16" s="186">
        <v>6.3</v>
      </c>
      <c r="O16" s="186">
        <v>3.5</v>
      </c>
      <c r="P16" s="186"/>
      <c r="Q16" s="188"/>
      <c r="R16" s="37">
        <f>'30'!Z23</f>
        <v>1061</v>
      </c>
      <c r="S16" s="36">
        <f>'30'!AB23</f>
        <v>76.409465020576135</v>
      </c>
      <c r="T16" s="37">
        <f>'30'!Y23</f>
        <v>2565</v>
      </c>
      <c r="U16" s="33" t="str">
        <f>IF('30'!AA23=1,'30'!AR6,'30'!AR7)</f>
        <v>S.A.L</v>
      </c>
      <c r="V16" s="944"/>
      <c r="W16" s="944"/>
      <c r="X16" s="13">
        <v>0.45833333333333298</v>
      </c>
      <c r="Y16" s="173">
        <v>2616</v>
      </c>
      <c r="Z16" s="257">
        <v>1061</v>
      </c>
      <c r="AA16" s="15">
        <v>1</v>
      </c>
      <c r="AB16" s="58">
        <f>IF('30'!AA16=1,(('30'!Z16*'30'!$AS$6*'30'!$AT$6)/('30'!Y16*0.0036)),IF('30'!AA16=2,(('30'!Z16*'30'!$AS$7*'30'!$AT$7)/('30'!Y16*0.0036))))</f>
        <v>74.91983095480802</v>
      </c>
      <c r="AC16" s="58"/>
      <c r="AD16" s="18">
        <f>(('30'!AC16*'30'!$Q$10*1000000))/('30'!Y16*3600)</f>
        <v>0</v>
      </c>
      <c r="AE16" s="183"/>
      <c r="AF16" s="184">
        <f>('30'!AE16/24)*0.454</f>
        <v>0</v>
      </c>
      <c r="AG16" s="19"/>
      <c r="AH16" s="184">
        <f>('30'!AG16/24)*0.454</f>
        <v>0</v>
      </c>
      <c r="AI16" s="271">
        <v>5400</v>
      </c>
      <c r="AJ16" s="184">
        <f>('30'!AI16/24)*0.454</f>
        <v>102.15</v>
      </c>
      <c r="AK16" s="21"/>
      <c r="AL16" s="185">
        <f>('30'!AK16/24)*0.454</f>
        <v>0</v>
      </c>
      <c r="AM16" s="21"/>
      <c r="AN16" s="185">
        <f>('30'!AM16/24)*0.454</f>
        <v>0</v>
      </c>
      <c r="AO16" s="21"/>
      <c r="AP16" s="185">
        <f>('30'!AO16/24)*0.454</f>
        <v>0</v>
      </c>
    </row>
    <row r="17" spans="1:42" ht="18.75" customHeight="1">
      <c r="A17" s="28">
        <v>0.83333333333333304</v>
      </c>
      <c r="B17" s="186">
        <v>80</v>
      </c>
      <c r="C17" s="186">
        <v>12.5</v>
      </c>
      <c r="D17" s="186">
        <v>15</v>
      </c>
      <c r="E17" s="186">
        <v>2.5</v>
      </c>
      <c r="F17" s="186">
        <v>15</v>
      </c>
      <c r="G17" s="186">
        <v>2.4</v>
      </c>
      <c r="H17" s="186">
        <v>2.6</v>
      </c>
      <c r="I17" s="186">
        <v>0.5</v>
      </c>
      <c r="J17" s="186">
        <v>0.6</v>
      </c>
      <c r="K17" s="186">
        <v>7.3</v>
      </c>
      <c r="L17" s="186">
        <v>6.5</v>
      </c>
      <c r="M17" s="186">
        <v>6.6</v>
      </c>
      <c r="N17" s="186">
        <v>6.4</v>
      </c>
      <c r="O17" s="186">
        <v>3.5</v>
      </c>
      <c r="P17" s="186"/>
      <c r="Q17" s="188"/>
      <c r="R17" s="37">
        <f>'30'!Z25</f>
        <v>1061</v>
      </c>
      <c r="S17" s="36">
        <f>'30'!AB25</f>
        <v>76.469090042051434</v>
      </c>
      <c r="T17" s="37">
        <f>'30'!Y25</f>
        <v>2563</v>
      </c>
      <c r="U17" s="33" t="str">
        <f>IF('30'!AA25=1,'30'!AR6,'30'!AR7)</f>
        <v>S.A.L</v>
      </c>
      <c r="V17" s="944"/>
      <c r="W17" s="944"/>
      <c r="X17" s="13">
        <v>0.5</v>
      </c>
      <c r="Y17" s="173">
        <v>2579</v>
      </c>
      <c r="Z17" s="257">
        <v>1061</v>
      </c>
      <c r="AA17" s="15">
        <v>1</v>
      </c>
      <c r="AB17" s="58">
        <f>IF('30'!AA17=1,(('30'!Z17*'30'!$AS$6*'30'!$AT$6)/('30'!Y17*0.0036)),IF('30'!AA17=2,(('30'!Z17*'30'!$AS$7*'30'!$AT$7)/('30'!Y17*0.0036))))</f>
        <v>75.994679246908802</v>
      </c>
      <c r="AC17" s="58"/>
      <c r="AD17" s="18">
        <f>(('30'!AC17*'30'!$Q$10*1000000))/('30'!Y17*3600)</f>
        <v>0</v>
      </c>
      <c r="AE17" s="183"/>
      <c r="AF17" s="184">
        <f>('30'!AE17/24)*0.454</f>
        <v>0</v>
      </c>
      <c r="AG17" s="19"/>
      <c r="AH17" s="184">
        <f>('30'!AG17/24)*0.454</f>
        <v>0</v>
      </c>
      <c r="AI17" s="271">
        <v>5400</v>
      </c>
      <c r="AJ17" s="184">
        <f>('30'!AI17/24)*0.454</f>
        <v>102.15</v>
      </c>
      <c r="AK17" s="21"/>
      <c r="AL17" s="185">
        <f>('30'!AK17/24)*0.454</f>
        <v>0</v>
      </c>
      <c r="AM17" s="21"/>
      <c r="AN17" s="185">
        <f>('30'!AM17/24)*0.454</f>
        <v>0</v>
      </c>
      <c r="AO17" s="21"/>
      <c r="AP17" s="185">
        <f>('30'!AO17/24)*0.454</f>
        <v>0</v>
      </c>
    </row>
    <row r="18" spans="1:42" ht="19.5" customHeight="1">
      <c r="A18" s="28">
        <v>0.91666666666666696</v>
      </c>
      <c r="B18" s="186">
        <v>80</v>
      </c>
      <c r="C18" s="186">
        <v>12.5</v>
      </c>
      <c r="D18" s="186">
        <v>15</v>
      </c>
      <c r="E18" s="186">
        <v>2.5</v>
      </c>
      <c r="F18" s="186">
        <v>14</v>
      </c>
      <c r="G18" s="186">
        <v>2.2000000000000002</v>
      </c>
      <c r="H18" s="186">
        <v>2.8</v>
      </c>
      <c r="I18" s="186">
        <v>0.5</v>
      </c>
      <c r="J18" s="186">
        <v>0.6</v>
      </c>
      <c r="K18" s="186">
        <v>7.3</v>
      </c>
      <c r="L18" s="186">
        <v>6.5</v>
      </c>
      <c r="M18" s="186">
        <v>6.6</v>
      </c>
      <c r="N18" s="186">
        <v>6.4</v>
      </c>
      <c r="O18" s="186">
        <v>3.5</v>
      </c>
      <c r="P18" s="186"/>
      <c r="Q18" s="188"/>
      <c r="R18" s="37">
        <f>'30'!Z27</f>
        <v>1061</v>
      </c>
      <c r="S18" s="36">
        <f>'30'!AB27</f>
        <v>74.323199764041632</v>
      </c>
      <c r="T18" s="37">
        <f>'30'!Y27</f>
        <v>2637</v>
      </c>
      <c r="U18" s="33" t="str">
        <f>IF('30'!AA27=1,'30'!AR6,'30'!AR7)</f>
        <v>S.A.L</v>
      </c>
      <c r="V18" s="944"/>
      <c r="W18" s="944"/>
      <c r="X18" s="13">
        <v>0.54166666666666696</v>
      </c>
      <c r="Y18" s="173">
        <v>2573</v>
      </c>
      <c r="Z18" s="257">
        <v>1061</v>
      </c>
      <c r="AA18" s="15">
        <v>1</v>
      </c>
      <c r="AB18" s="58">
        <f>IF('30'!AA18=1,(('30'!Z18*'30'!$AS$6*'30'!$AT$6)/('30'!Y18*0.0036)),IF('30'!AA18=2,(('30'!Z18*'30'!$AS$7*'30'!$AT$7)/('30'!Y18*0.0036))))</f>
        <v>76.171891868549466</v>
      </c>
      <c r="AC18" s="58"/>
      <c r="AD18" s="18">
        <f>(('30'!AC18*'30'!$Q$10*1000000))/('30'!Y18*3600)</f>
        <v>0</v>
      </c>
      <c r="AE18" s="183"/>
      <c r="AF18" s="184">
        <f>('30'!AE18/24)*0.454</f>
        <v>0</v>
      </c>
      <c r="AG18" s="19"/>
      <c r="AH18" s="184">
        <f>('30'!AG18/24)*0.454</f>
        <v>0</v>
      </c>
      <c r="AI18" s="271">
        <v>5400</v>
      </c>
      <c r="AJ18" s="184">
        <f>('30'!AI18/24)*0.454</f>
        <v>102.15</v>
      </c>
      <c r="AK18" s="21"/>
      <c r="AL18" s="185">
        <f>('30'!AK18/24)*0.454</f>
        <v>0</v>
      </c>
      <c r="AM18" s="21"/>
      <c r="AN18" s="185">
        <f>('30'!AM18/24)*0.454</f>
        <v>0</v>
      </c>
      <c r="AO18" s="21"/>
      <c r="AP18" s="185">
        <f>('30'!AO18/24)*0.454</f>
        <v>0</v>
      </c>
    </row>
    <row r="19" spans="1:42" ht="18.75" customHeight="1">
      <c r="A19" s="10" t="s">
        <v>52</v>
      </c>
      <c r="B19" s="189">
        <f>AVERAGE('30'!B7:B18)</f>
        <v>80</v>
      </c>
      <c r="C19" s="189">
        <f>AVERAGE('30'!C7:C18)</f>
        <v>13.125</v>
      </c>
      <c r="D19" s="69">
        <f>AVERAGE('30'!D7:D18)</f>
        <v>13.958333333333334</v>
      </c>
      <c r="E19" s="69">
        <f>AVERAGE('30'!E7:E18)</f>
        <v>2.5</v>
      </c>
      <c r="F19" s="69">
        <f>AVERAGE(F7,F18)</f>
        <v>17</v>
      </c>
      <c r="G19" s="69">
        <f>AVERAGE(G7,G18)</f>
        <v>1.9500000000000002</v>
      </c>
      <c r="H19" s="69">
        <f>AVERAGE('30'!H7:H18)</f>
        <v>2.6333333333333333</v>
      </c>
      <c r="I19" s="69">
        <f>AVERAGE('30'!I7:I18)</f>
        <v>0.46666666666666673</v>
      </c>
      <c r="J19" s="69">
        <f>AVERAGE('30'!J7:J18)</f>
        <v>0.48749999999999999</v>
      </c>
      <c r="K19" s="69">
        <f>AVERAGE('30'!K7:K18)</f>
        <v>7.299999999999998</v>
      </c>
      <c r="L19" s="69">
        <f>AVERAGE('30'!L7:L18)</f>
        <v>6.5666666666666664</v>
      </c>
      <c r="M19" s="69">
        <f>AVERAGE('30'!M7:M18)</f>
        <v>6.5833333333333321</v>
      </c>
      <c r="N19" s="69">
        <f>AVERAGE('30'!N7:N18)</f>
        <v>6.3833333333333329</v>
      </c>
      <c r="O19" s="69">
        <f>AVERAGE('30'!O7:O18)</f>
        <v>3.4249999999999994</v>
      </c>
      <c r="P19" s="190" t="e">
        <f>AVERAGE('30'!P7:P18)</f>
        <v>#DIV/0!</v>
      </c>
      <c r="Q19" s="191" t="e">
        <f>AVERAGE('30'!Q7:Q18)</f>
        <v>#DIV/0!</v>
      </c>
      <c r="R19" s="191">
        <f>AVERAGE('30'!R7:R18)</f>
        <v>1061</v>
      </c>
      <c r="S19" s="191">
        <f>AVERAGE('30'!S7:S18)</f>
        <v>75.564633367589877</v>
      </c>
      <c r="T19" s="946"/>
      <c r="U19" s="946"/>
      <c r="V19" s="49"/>
      <c r="W19" s="50"/>
      <c r="X19" s="13">
        <v>0.58333333333333304</v>
      </c>
      <c r="Y19" s="173">
        <v>2618</v>
      </c>
      <c r="Z19" s="257">
        <v>1061</v>
      </c>
      <c r="AA19" s="15">
        <v>1</v>
      </c>
      <c r="AB19" s="58">
        <f>IF('30'!AA19=1,(('30'!Z19*'30'!$AS$6*'30'!$AT$6)/('30'!Y19*0.0036)),IF('30'!AA19=2,(('30'!Z19*'30'!$AS$7*'30'!$AT$7)/('30'!Y19*0.0036))))</f>
        <v>74.862596553773031</v>
      </c>
      <c r="AC19" s="58"/>
      <c r="AD19" s="18">
        <f>(('30'!AC19*'30'!$Q$10*1000000))/('30'!Y19*3600)</f>
        <v>0</v>
      </c>
      <c r="AE19" s="183"/>
      <c r="AF19" s="184">
        <f>('30'!AE19/24)*0.454</f>
        <v>0</v>
      </c>
      <c r="AG19" s="19"/>
      <c r="AH19" s="184">
        <f>('30'!AG19/24)*0.454</f>
        <v>0</v>
      </c>
      <c r="AI19" s="271">
        <v>5400</v>
      </c>
      <c r="AJ19" s="184">
        <f>('30'!AI19/24)*0.454</f>
        <v>102.15</v>
      </c>
      <c r="AK19" s="21"/>
      <c r="AL19" s="185">
        <f>('30'!AK19/24)*0.454</f>
        <v>0</v>
      </c>
      <c r="AM19" s="21"/>
      <c r="AN19" s="185">
        <f>('30'!AM19/24)*0.454</f>
        <v>0</v>
      </c>
      <c r="AO19" s="21"/>
      <c r="AP19" s="185">
        <f>('30'!AO19/24)*0.454</f>
        <v>0</v>
      </c>
    </row>
    <row r="20" spans="1:42" ht="18.75" customHeight="1">
      <c r="A20" s="10" t="s">
        <v>53</v>
      </c>
      <c r="B20" s="189">
        <f>MAX('30'!B7:B18)</f>
        <v>80</v>
      </c>
      <c r="C20" s="69">
        <f>MAX('30'!C7:C18)</f>
        <v>15</v>
      </c>
      <c r="D20" s="69">
        <f>MAX('30'!D7:D18)</f>
        <v>17.5</v>
      </c>
      <c r="E20" s="69">
        <f>MAX('30'!E7:E18)</f>
        <v>2.5</v>
      </c>
      <c r="F20" s="69">
        <f>MAX('30'!F7:F18)</f>
        <v>22</v>
      </c>
      <c r="G20" s="69">
        <f>MAX('30'!G7:G18)</f>
        <v>2.4</v>
      </c>
      <c r="H20" s="69">
        <f>MAX('30'!H7:H18)</f>
        <v>3.1</v>
      </c>
      <c r="I20" s="69">
        <f>MAX('30'!I7:I18)</f>
        <v>0.6</v>
      </c>
      <c r="J20" s="69">
        <f>MAX('30'!J7:J18)</f>
        <v>0.7</v>
      </c>
      <c r="K20" s="69">
        <f>MAX('30'!K7:K18)</f>
        <v>7.3</v>
      </c>
      <c r="L20" s="69">
        <f>MAX('30'!L7:L18)</f>
        <v>6.7</v>
      </c>
      <c r="M20" s="69">
        <f>MAX('30'!M7:M18)</f>
        <v>6.7</v>
      </c>
      <c r="N20" s="69">
        <f>MAX('30'!N7:N18)</f>
        <v>6.5</v>
      </c>
      <c r="O20" s="70">
        <f>MAX('30'!O7:O18)</f>
        <v>3.5</v>
      </c>
      <c r="P20" s="70">
        <f>MAX('30'!P7:P18)</f>
        <v>0</v>
      </c>
      <c r="Q20" s="70">
        <f>MAX('30'!Q7:Q18)</f>
        <v>0</v>
      </c>
      <c r="R20" s="70">
        <f>MAX('30'!R7:R18)</f>
        <v>1061</v>
      </c>
      <c r="S20" s="70">
        <f>MAX('30'!S7:S18)</f>
        <v>76.91926129426129</v>
      </c>
      <c r="T20" s="946"/>
      <c r="U20" s="946"/>
      <c r="X20" s="13">
        <v>0.625</v>
      </c>
      <c r="Y20" s="173">
        <v>2583</v>
      </c>
      <c r="Z20" s="257">
        <v>1061</v>
      </c>
      <c r="AA20" s="15">
        <v>1</v>
      </c>
      <c r="AB20" s="58">
        <f>IF('30'!AA20=1,(('30'!Z20*'30'!$AS$6*'30'!$AT$6)/('30'!Y20*0.0036)),IF('30'!AA20=2,(('30'!Z20*'30'!$AS$7*'30'!$AT$7)/('30'!Y20*0.0036))))</f>
        <v>75.876994881059929</v>
      </c>
      <c r="AC20" s="58"/>
      <c r="AD20" s="18">
        <f>(('30'!AC20*'30'!$Q$10*1000000))/('30'!Y20*3600)</f>
        <v>0</v>
      </c>
      <c r="AE20" s="183"/>
      <c r="AF20" s="184">
        <f>('30'!AE20/24)*0.454</f>
        <v>0</v>
      </c>
      <c r="AG20" s="19"/>
      <c r="AH20" s="184">
        <f>('30'!AG20/24)*0.454</f>
        <v>0</v>
      </c>
      <c r="AI20" s="271">
        <v>5400</v>
      </c>
      <c r="AJ20" s="184">
        <f>('30'!AI20/24)*0.454</f>
        <v>102.15</v>
      </c>
      <c r="AK20" s="21"/>
      <c r="AL20" s="185">
        <f>('30'!AK20/24)*0.454</f>
        <v>0</v>
      </c>
      <c r="AM20" s="21"/>
      <c r="AN20" s="185">
        <f>('30'!AM20/24)*0.454</f>
        <v>0</v>
      </c>
      <c r="AO20" s="21"/>
      <c r="AP20" s="185">
        <f>('30'!AO20/24)*0.454</f>
        <v>0</v>
      </c>
    </row>
    <row r="21" spans="1:42" ht="19.5" customHeight="1">
      <c r="A21" s="10" t="s">
        <v>54</v>
      </c>
      <c r="B21" s="189">
        <f>MIN('30'!B7:B18)</f>
        <v>80</v>
      </c>
      <c r="C21" s="69">
        <f>MIN('30'!C7:C18)</f>
        <v>12.5</v>
      </c>
      <c r="D21" s="69">
        <f>MIN('30'!D7:D18)</f>
        <v>12.5</v>
      </c>
      <c r="E21" s="69">
        <f>MIN('30'!E7:E18)</f>
        <v>2.5</v>
      </c>
      <c r="F21" s="69">
        <f>MIN('30'!F7:F18)</f>
        <v>14</v>
      </c>
      <c r="G21" s="69">
        <f>MIN('30'!G7:G18)</f>
        <v>1.5</v>
      </c>
      <c r="H21" s="192">
        <f>MIN('30'!H7:H18)</f>
        <v>2.2000000000000002</v>
      </c>
      <c r="I21" s="192">
        <f>MIN('30'!I7:I18)</f>
        <v>0.4</v>
      </c>
      <c r="J21" s="192">
        <f>MIN('30'!J7:J18)</f>
        <v>0.35</v>
      </c>
      <c r="K21" s="192">
        <f>MIN('30'!K7:K18)</f>
        <v>7.3</v>
      </c>
      <c r="L21" s="192">
        <f>MIN('30'!L7:L18)</f>
        <v>6.5</v>
      </c>
      <c r="M21" s="192">
        <f>MIN('30'!M7:M18)</f>
        <v>6.5</v>
      </c>
      <c r="N21" s="192">
        <f>MIN('30'!N7:N18)</f>
        <v>6.3</v>
      </c>
      <c r="O21" s="193">
        <f>MIN('30'!O7:O18)</f>
        <v>3.2</v>
      </c>
      <c r="P21" s="193">
        <f>MIN('30'!P7:P18)</f>
        <v>0</v>
      </c>
      <c r="Q21" s="193">
        <f>MIN('30'!Q7:Q18)</f>
        <v>0</v>
      </c>
      <c r="R21" s="193">
        <f>MIN('30'!R7:R18)</f>
        <v>1061</v>
      </c>
      <c r="S21" s="193">
        <f>MIN('30'!S7:S18)</f>
        <v>73.902819674878501</v>
      </c>
      <c r="T21" s="946"/>
      <c r="U21" s="946"/>
      <c r="X21" s="13">
        <v>0.66666666666666696</v>
      </c>
      <c r="Y21" s="173">
        <v>2633</v>
      </c>
      <c r="Z21" s="257">
        <v>1061</v>
      </c>
      <c r="AA21" s="15">
        <v>1</v>
      </c>
      <c r="AB21" s="58">
        <f>IF('30'!AA21=1,(('30'!Z21*'30'!$AS$6*'30'!$AT$6)/('30'!Y21*0.0036)),IF('30'!AA21=2,(('30'!Z21*'30'!$AS$7*'30'!$AT$7)/('30'!Y21*0.0036))))</f>
        <v>74.436110056125258</v>
      </c>
      <c r="AC21" s="58"/>
      <c r="AD21" s="18">
        <f>(('30'!AC21*'30'!$Q$10*1000000))/('30'!Y21*3600)</f>
        <v>0</v>
      </c>
      <c r="AE21" s="183">
        <v>1500</v>
      </c>
      <c r="AF21" s="184">
        <f>('30'!AE21/24)*0.454</f>
        <v>28.375</v>
      </c>
      <c r="AG21" s="19"/>
      <c r="AH21" s="184">
        <f>('30'!AG21/24)*0.454</f>
        <v>0</v>
      </c>
      <c r="AI21" s="271">
        <v>5000</v>
      </c>
      <c r="AJ21" s="184">
        <f>('30'!AI21/24)*0.454</f>
        <v>94.583333333333343</v>
      </c>
      <c r="AK21" s="21"/>
      <c r="AL21" s="185">
        <f>('30'!AK21/24)*0.454</f>
        <v>0</v>
      </c>
      <c r="AM21" s="21"/>
      <c r="AN21" s="185">
        <f>('30'!AM21/24)*0.454</f>
        <v>0</v>
      </c>
      <c r="AO21" s="21"/>
      <c r="AP21" s="185">
        <f>('30'!AO21/24)*0.454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173">
        <v>2589</v>
      </c>
      <c r="Z22" s="257">
        <v>1061</v>
      </c>
      <c r="AA22" s="15">
        <v>1</v>
      </c>
      <c r="AB22" s="58">
        <f>IF('30'!AA22=1,(('30'!Z22*'30'!$AS$6*'30'!$AT$6)/('30'!Y22*0.0036)),IF('30'!AA22=2,(('30'!Z22*'30'!$AS$7*'30'!$AT$7)/('30'!Y22*0.0036))))</f>
        <v>75.701150165228967</v>
      </c>
      <c r="AC22" s="58"/>
      <c r="AD22" s="18">
        <f>(('30'!AC22*'30'!$Q$10*1000000))/('30'!Y22*3600)</f>
        <v>0</v>
      </c>
      <c r="AE22" s="183">
        <v>1500</v>
      </c>
      <c r="AF22" s="184">
        <f>('30'!AE22/24)*0.454</f>
        <v>28.375</v>
      </c>
      <c r="AG22" s="19"/>
      <c r="AH22" s="184">
        <f>('30'!AG22/24)*0.454</f>
        <v>0</v>
      </c>
      <c r="AI22" s="271">
        <v>5000</v>
      </c>
      <c r="AJ22" s="184">
        <f>('30'!AI22/24)*0.454</f>
        <v>94.583333333333343</v>
      </c>
      <c r="AK22" s="21"/>
      <c r="AL22" s="185">
        <f>('30'!AK22/24)*0.454</f>
        <v>0</v>
      </c>
      <c r="AM22" s="21"/>
      <c r="AN22" s="185">
        <f>('30'!AM22/24)*0.454</f>
        <v>0</v>
      </c>
      <c r="AO22" s="21"/>
      <c r="AP22" s="185">
        <f>('30'!AO22/24)*0.454</f>
        <v>0</v>
      </c>
    </row>
    <row r="23" spans="1:42" ht="18.75" customHeight="1">
      <c r="A23" s="949"/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173">
        <v>2565</v>
      </c>
      <c r="Z23" s="257">
        <v>1061</v>
      </c>
      <c r="AA23" s="15">
        <v>1</v>
      </c>
      <c r="AB23" s="58">
        <f>IF('30'!AA23=1,(('30'!Z23*'30'!$AS$6*'30'!$AT$6)/('30'!Y23*0.0036)),IF('30'!AA23=2,(('30'!Z23*'30'!$AS$7*'30'!$AT$7)/('30'!Y23*0.0036))))</f>
        <v>76.409465020576135</v>
      </c>
      <c r="AC23" s="58"/>
      <c r="AD23" s="18">
        <f>(('30'!AC23*'30'!$Q$10*1000000))/('30'!Y23*3600)</f>
        <v>0</v>
      </c>
      <c r="AE23" s="183">
        <v>1500</v>
      </c>
      <c r="AF23" s="184">
        <f>('30'!AE23/24)*0.454</f>
        <v>28.375</v>
      </c>
      <c r="AG23" s="19"/>
      <c r="AH23" s="184">
        <f>('30'!AG23/24)*0.454</f>
        <v>0</v>
      </c>
      <c r="AI23" s="271">
        <v>5000</v>
      </c>
      <c r="AJ23" s="184">
        <f>('30'!AI23/24)*0.454</f>
        <v>94.583333333333343</v>
      </c>
      <c r="AK23" s="21"/>
      <c r="AL23" s="185">
        <f>('30'!AK23/24)*0.454</f>
        <v>0</v>
      </c>
      <c r="AM23" s="21"/>
      <c r="AN23" s="185">
        <f>('30'!AM23/24)*0.454</f>
        <v>0</v>
      </c>
      <c r="AO23" s="21"/>
      <c r="AP23" s="185">
        <f>('30'!AO23/24)*0.454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173">
        <v>2574</v>
      </c>
      <c r="Z24" s="257">
        <v>1061</v>
      </c>
      <c r="AA24" s="15">
        <v>1</v>
      </c>
      <c r="AB24" s="16">
        <f>IF('30'!AA24=1,(('30'!Z24*'30'!$AS$6*'30'!$AT$6)/('30'!Y24*0.0036)),IF('30'!AA24=2,(('30'!Z24*'30'!$AS$7*'30'!$AT$7)/('30'!Y24*0.0036))))</f>
        <v>76.142299058965733</v>
      </c>
      <c r="AC24" s="58"/>
      <c r="AD24" s="18">
        <f>(('30'!AC24*'30'!$Q$10*1000000))/('30'!Y24*3600)</f>
        <v>0</v>
      </c>
      <c r="AE24" s="183">
        <v>1500</v>
      </c>
      <c r="AF24" s="195">
        <f>('30'!AE24/24)*0.454</f>
        <v>28.375</v>
      </c>
      <c r="AG24" s="173"/>
      <c r="AH24" s="195">
        <f>('30'!AG24/24)*0.454</f>
        <v>0</v>
      </c>
      <c r="AI24" s="271">
        <v>5000</v>
      </c>
      <c r="AJ24" s="195">
        <f>('30'!AI24/24)*0.454</f>
        <v>94.583333333333343</v>
      </c>
      <c r="AK24" s="21"/>
      <c r="AL24" s="196">
        <f>('30'!AK24/24)*0.454</f>
        <v>0</v>
      </c>
      <c r="AM24" s="21"/>
      <c r="AN24" s="196">
        <f>('30'!AM24/24)*0.454</f>
        <v>0</v>
      </c>
      <c r="AO24" s="21"/>
      <c r="AP24" s="196">
        <f>('30'!AO24/24)*0.454</f>
        <v>0</v>
      </c>
    </row>
    <row r="25" spans="1:42" ht="19.5" customHeight="1">
      <c r="A25" s="64">
        <v>0.41666666666666702</v>
      </c>
      <c r="B25" s="198"/>
      <c r="C25" s="198"/>
      <c r="D25" s="198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65" t="e">
        <f>#DIV/0!</f>
        <v>#DIV/0!</v>
      </c>
      <c r="S25" s="66"/>
      <c r="T25" s="1065" t="s">
        <v>0</v>
      </c>
      <c r="U25" s="1053">
        <f>ESCALA!$A$32</f>
        <v>43920</v>
      </c>
      <c r="X25" s="13">
        <v>0.83333333333333304</v>
      </c>
      <c r="Y25" s="173">
        <v>2563</v>
      </c>
      <c r="Z25" s="257">
        <v>1061</v>
      </c>
      <c r="AA25" s="15">
        <v>1</v>
      </c>
      <c r="AB25" s="58">
        <f>IF('30'!AA25=1,(('30'!Z25*'30'!$AS$6*'30'!$AT$6)/('30'!Y25*0.0036)),IF('30'!AA25=2,(('30'!Z25*'30'!$AS$7*'30'!$AT$7)/('30'!Y25*0.0036))))</f>
        <v>76.469090042051434</v>
      </c>
      <c r="AC25" s="58"/>
      <c r="AD25" s="18">
        <f>(('30'!AC25*'30'!$Q$10*1000000))/('30'!Y25*3600)</f>
        <v>0</v>
      </c>
      <c r="AE25" s="183">
        <v>1500</v>
      </c>
      <c r="AF25" s="184">
        <f>('30'!AE25/24)*0.454</f>
        <v>28.375</v>
      </c>
      <c r="AG25" s="19"/>
      <c r="AH25" s="184">
        <f>('30'!AG25/24)*0.454</f>
        <v>0</v>
      </c>
      <c r="AI25" s="271">
        <v>5000</v>
      </c>
      <c r="AJ25" s="184">
        <f>('30'!AI25/24)*0.454</f>
        <v>94.583333333333343</v>
      </c>
      <c r="AK25" s="21"/>
      <c r="AL25" s="185">
        <f>('30'!AK25/24)*0.454</f>
        <v>0</v>
      </c>
      <c r="AM25" s="21"/>
      <c r="AN25" s="185">
        <f>('30'!AM25/24)*0.454</f>
        <v>0</v>
      </c>
      <c r="AO25" s="21"/>
      <c r="AP25" s="185">
        <f>('30'!AO25/24)*0.454</f>
        <v>0</v>
      </c>
    </row>
    <row r="26" spans="1:42" ht="19.5" customHeight="1">
      <c r="A26" s="64">
        <v>0.66666666666666696</v>
      </c>
      <c r="B26" s="198"/>
      <c r="C26" s="198"/>
      <c r="D26" s="198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65" t="e">
        <f>#DIV/0!</f>
        <v>#DIV/0!</v>
      </c>
      <c r="S26" s="67"/>
      <c r="T26" s="1065"/>
      <c r="U26" s="1053"/>
      <c r="X26" s="13">
        <v>0.875</v>
      </c>
      <c r="Y26" s="173">
        <v>2584</v>
      </c>
      <c r="Z26" s="257">
        <v>1061</v>
      </c>
      <c r="AA26" s="15">
        <v>1</v>
      </c>
      <c r="AB26" s="58">
        <f>IF('30'!AA26=1,(('30'!Z26*'30'!$AS$6*'30'!$AT$6)/('30'!Y26*0.0036)),IF('30'!AA26=2,(('30'!Z26*'30'!$AS$7*'30'!$AT$7)/('30'!Y26*0.0036))))</f>
        <v>75.84763071895425</v>
      </c>
      <c r="AC26" s="58"/>
      <c r="AD26" s="18">
        <f>(('30'!AC26*'30'!$Q$10*1000000))/('30'!Y26*3600)</f>
        <v>0</v>
      </c>
      <c r="AE26" s="183">
        <v>1500</v>
      </c>
      <c r="AF26" s="184">
        <f>('30'!AE26/24)*0.454</f>
        <v>28.375</v>
      </c>
      <c r="AG26" s="19"/>
      <c r="AH26" s="184">
        <f>('30'!AG26/24)*0.454</f>
        <v>0</v>
      </c>
      <c r="AI26" s="271">
        <v>5000</v>
      </c>
      <c r="AJ26" s="184">
        <f>('30'!AI26/24)*0.454</f>
        <v>94.583333333333343</v>
      </c>
      <c r="AK26" s="21"/>
      <c r="AL26" s="185">
        <f>('30'!AK26/24)*0.454</f>
        <v>0</v>
      </c>
      <c r="AM26" s="21"/>
      <c r="AN26" s="185">
        <f>('30'!AM26/24)*0.454</f>
        <v>0</v>
      </c>
      <c r="AO26" s="21"/>
      <c r="AP26" s="185">
        <f>('30'!AO26/24)*0.454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173">
        <v>2637</v>
      </c>
      <c r="Z27" s="257">
        <v>1061</v>
      </c>
      <c r="AA27" s="15">
        <v>1</v>
      </c>
      <c r="AB27" s="58">
        <f>IF('30'!AA27=1,(('30'!Z27*'30'!$AS$6*'30'!$AT$6)/('30'!Y27*0.0036)),IF('30'!AA27=2,(('30'!Z27*'30'!$AS$7*'30'!$AT$7)/('30'!Y27*0.0036))))</f>
        <v>74.323199764041632</v>
      </c>
      <c r="AC27" s="58"/>
      <c r="AD27" s="18">
        <f>(('30'!AC27*'30'!$Q$10*1000000))/('30'!Y27*3600)</f>
        <v>0</v>
      </c>
      <c r="AE27" s="183">
        <v>1500</v>
      </c>
      <c r="AF27" s="184">
        <f>('30'!AE27/24)*0.454</f>
        <v>28.375</v>
      </c>
      <c r="AG27" s="19"/>
      <c r="AH27" s="184">
        <f>('30'!AG27/24)*0.454</f>
        <v>0</v>
      </c>
      <c r="AI27" s="271">
        <v>5000</v>
      </c>
      <c r="AJ27" s="184">
        <f>('30'!AI27/24)*0.454</f>
        <v>94.583333333333343</v>
      </c>
      <c r="AK27" s="21"/>
      <c r="AL27" s="185">
        <f>('30'!AK27/24)*0.454</f>
        <v>0</v>
      </c>
      <c r="AM27" s="21"/>
      <c r="AN27" s="185">
        <f>('30'!AM27/24)*0.454</f>
        <v>0</v>
      </c>
      <c r="AO27" s="21"/>
      <c r="AP27" s="185">
        <f>('30'!AO27/24)*0.454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3">
        <v>2564</v>
      </c>
      <c r="Z28" s="257">
        <v>1061</v>
      </c>
      <c r="AA28" s="15">
        <v>1</v>
      </c>
      <c r="AB28" s="58">
        <f>IF('30'!AA28=1,(('30'!Z28*'30'!$AS$6*'30'!$AT$6)/('30'!Y28*0.0036)),IF('30'!AA28=2,(('30'!Z28*'30'!$AS$7*'30'!$AT$7)/('30'!Y28*0.0036))))</f>
        <v>76.439265903969499</v>
      </c>
      <c r="AC28" s="58"/>
      <c r="AD28" s="18">
        <f>(('30'!AC28*'30'!$Q$10*1000000))/('30'!Y28*3600)</f>
        <v>0</v>
      </c>
      <c r="AE28" s="183">
        <v>1500</v>
      </c>
      <c r="AF28" s="184">
        <f>('30'!AE28/24)*0.454</f>
        <v>28.375</v>
      </c>
      <c r="AG28" s="19"/>
      <c r="AH28" s="184">
        <f>('30'!AG28/24)*0.454</f>
        <v>0</v>
      </c>
      <c r="AI28" s="271">
        <v>5000</v>
      </c>
      <c r="AJ28" s="184">
        <f>('30'!AI28/24)*0.454</f>
        <v>94.583333333333343</v>
      </c>
      <c r="AK28" s="21"/>
      <c r="AL28" s="185">
        <f>('30'!AK28/24)*0.454</f>
        <v>0</v>
      </c>
      <c r="AM28" s="21"/>
      <c r="AN28" s="185">
        <f>('30'!AM28/24)*0.454</f>
        <v>0</v>
      </c>
      <c r="AO28" s="21"/>
      <c r="AP28" s="185">
        <f>('30'!AO28/24)*0.454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3">
        <v>2601</v>
      </c>
      <c r="Z29" s="257">
        <v>1061</v>
      </c>
      <c r="AA29" s="15">
        <v>1</v>
      </c>
      <c r="AB29" s="58">
        <f>IF('30'!AA29=1,(('30'!Z29*'30'!$AS$6*'30'!$AT$6)/('30'!Y29*0.0036)),IF('30'!AA29=2,(('30'!Z29*'30'!$AS$7*'30'!$AT$7)/('30'!Y29*0.0036))))</f>
        <v>75.351894570464353</v>
      </c>
      <c r="AC29" s="58"/>
      <c r="AD29" s="18">
        <f>(('30'!AC29*'30'!$Q$10*1000000))/('30'!Y29*3600)</f>
        <v>0</v>
      </c>
      <c r="AE29" s="183">
        <v>1800</v>
      </c>
      <c r="AF29" s="184">
        <f>('30'!AE29/24)*0.454</f>
        <v>34.050000000000004</v>
      </c>
      <c r="AG29" s="19"/>
      <c r="AH29" s="184">
        <f>('30'!AG29/24)*0.454</f>
        <v>0</v>
      </c>
      <c r="AI29" s="271">
        <v>5000</v>
      </c>
      <c r="AJ29" s="184">
        <f>('30'!AI29/24)*0.454</f>
        <v>94.583333333333343</v>
      </c>
      <c r="AK29" s="21"/>
      <c r="AL29" s="185">
        <f>('30'!AK29/24)*0.454</f>
        <v>0</v>
      </c>
      <c r="AM29" s="21"/>
      <c r="AN29" s="185">
        <f>('30'!AM29/24)*0.454</f>
        <v>0</v>
      </c>
      <c r="AO29" s="21"/>
      <c r="AP29" s="185">
        <f>('30'!AO29/24)*0.454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342">
        <f>SUM('30'!Y6:Y29)*3.6</f>
        <v>223711.2</v>
      </c>
      <c r="Z30" s="82">
        <f>SUM('30'!Z6:Z29)</f>
        <v>25464</v>
      </c>
      <c r="AA30" s="78"/>
      <c r="AB30" s="79"/>
      <c r="AC30" s="78"/>
      <c r="AD30" s="79"/>
      <c r="AE30" s="34"/>
      <c r="AF30" s="184">
        <f>SUM('30'!AF6:AF29)</f>
        <v>261.05</v>
      </c>
      <c r="AG30" s="34"/>
      <c r="AH30" s="184">
        <f>SUM('30'!AH6:AH29)</f>
        <v>0</v>
      </c>
      <c r="AI30" s="34"/>
      <c r="AJ30" s="184">
        <f>SUM('30'!AJ6:AJ29)</f>
        <v>2383.5000000000005</v>
      </c>
      <c r="AK30" s="80"/>
      <c r="AL30" s="185">
        <f>SUM('30'!AL6:AL29)</f>
        <v>0</v>
      </c>
      <c r="AM30" s="80"/>
      <c r="AN30" s="185">
        <f>SUM('30'!AN6:AN29)</f>
        <v>0</v>
      </c>
      <c r="AO30" s="80"/>
      <c r="AP30" s="185">
        <f>SUM('30'!AP6:AP29)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SUMIF('30'!AA6:AA29,"=1",'30'!Z6:Z29)</f>
        <v>25464</v>
      </c>
      <c r="AA32" s="82">
        <f>'30'!Z32*'30'!AS6</f>
        <v>33867.120000000003</v>
      </c>
      <c r="AB32" s="83">
        <f>SUMIF('30'!$AA$6:$AA$29,"=1",'30'!$AB$6:$AB$29)/COUNTIF('30'!$AA$6:$AA$29,"=1")</f>
        <v>75.701546708059809</v>
      </c>
      <c r="AC32" s="84">
        <f>SUMIF('30'!AA6:AA29,"=1",'30'!AC6:AC29)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6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SUMIF('30'!AA6:AA29,"=2",'30'!Z6:Z29)</f>
        <v>0</v>
      </c>
      <c r="AA33" s="82">
        <f>'30'!Z33*'30'!AS7</f>
        <v>0</v>
      </c>
      <c r="AB33" s="83" t="e">
        <f>SUMIF('30'!$AA$6:$AA$29,"=2",'30'!$AB$6:$AB$29)/COUNTIF('30'!$AA$6:$AA$29,"=2")</f>
        <v>#DIV/0!</v>
      </c>
      <c r="AC33" s="89">
        <f>SUMIF('30'!AA6:AA29,"=2",'30'!AC6:AC29)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6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AVERAGE('30'!Y6:Y29)</f>
        <v>2589.25</v>
      </c>
      <c r="Z34" s="96">
        <f>AVERAGE('30'!Z6:Z29)</f>
        <v>1061</v>
      </c>
      <c r="AA34" s="97"/>
      <c r="AB34" s="97"/>
      <c r="AC34" s="98">
        <f>SUM('30'!AC6:AC29)/COUNTIF('30'!AC6:AC29,"&lt;&gt;0")</f>
        <v>0</v>
      </c>
      <c r="AD34" s="99" t="e">
        <f>SUM('30'!AD6:AD29)/COUNTIF('30'!AD6:AD29,"&lt;&gt;0")</f>
        <v>#DIV/0!</v>
      </c>
      <c r="AE34" s="78"/>
      <c r="AF34" s="98">
        <f>AVERAGE('30'!AF6:AF29)</f>
        <v>10.877083333333333</v>
      </c>
      <c r="AG34" s="98"/>
      <c r="AH34" s="98">
        <f>AVERAGE('30'!AH6:AH29)</f>
        <v>0</v>
      </c>
      <c r="AI34" s="98"/>
      <c r="AJ34" s="98">
        <f>'30'!AJ30/24</f>
        <v>99.312500000000014</v>
      </c>
      <c r="AK34" s="98"/>
      <c r="AL34" s="98">
        <f>AVERAGE('30'!AL6:AL29)</f>
        <v>0</v>
      </c>
      <c r="AM34" s="98"/>
      <c r="AN34" s="98">
        <f>AVERAGE('30'!AN6:AN29)</f>
        <v>0</v>
      </c>
      <c r="AO34" s="98"/>
      <c r="AP34" s="98">
        <f>AVERAGE('30'!AP6:AP29)</f>
        <v>0</v>
      </c>
    </row>
    <row r="35" spans="1:46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96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6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96"/>
      <c r="X36" s="105" t="s">
        <v>73</v>
      </c>
      <c r="Y36" s="106">
        <v>6</v>
      </c>
      <c r="Z36" s="107"/>
      <c r="AA36" s="108" t="s">
        <v>74</v>
      </c>
      <c r="AB36" s="106">
        <v>6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6" ht="18" customHeight="1">
      <c r="A37" s="101"/>
      <c r="B37" s="28">
        <v>0.33333333333333298</v>
      </c>
      <c r="C37" s="186">
        <v>85.7</v>
      </c>
      <c r="D37" s="186">
        <v>58.5</v>
      </c>
      <c r="E37" s="186">
        <v>50.4</v>
      </c>
      <c r="F37" s="186">
        <v>1.2</v>
      </c>
      <c r="G37" s="183">
        <v>0.2</v>
      </c>
      <c r="H37" s="183">
        <v>0</v>
      </c>
      <c r="I37" s="183">
        <v>0.3</v>
      </c>
      <c r="J37" s="183"/>
      <c r="K37" s="183">
        <v>0.03</v>
      </c>
      <c r="L37" s="1026">
        <v>0</v>
      </c>
      <c r="M37" s="1026"/>
      <c r="N37" s="1026"/>
      <c r="O37" s="10"/>
      <c r="P37" s="10"/>
      <c r="Q37" s="10"/>
      <c r="R37" s="10"/>
      <c r="S37" s="10"/>
      <c r="T37" s="10"/>
      <c r="U37" s="288">
        <f>'30'!V12</f>
        <v>0</v>
      </c>
      <c r="X37" s="962" t="s">
        <v>75</v>
      </c>
      <c r="Y37" s="962"/>
      <c r="Z37" s="110">
        <f>COUNTA('30'!Z6:Z29)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6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SUM('30'!AF30+'30'!AH30)</f>
        <v>261.05</v>
      </c>
      <c r="AL38" s="210" t="s">
        <v>78</v>
      </c>
      <c r="AM38" s="212">
        <f>SUM('30'!AL30+'30'!AN30)</f>
        <v>0</v>
      </c>
      <c r="AO38" s="210" t="s">
        <v>78</v>
      </c>
      <c r="AP38" s="211">
        <f>'30'!AJ30</f>
        <v>2383.5000000000005</v>
      </c>
      <c r="AQ38" s="210" t="s">
        <v>78</v>
      </c>
      <c r="AR38" s="212">
        <f>'30'!AP30</f>
        <v>0</v>
      </c>
    </row>
    <row r="39" spans="1:46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('30'!AK38/'30'!Y30)*1000</f>
        <v>1.1669062612868732</v>
      </c>
      <c r="AL39" s="215" t="s">
        <v>86</v>
      </c>
      <c r="AM39" s="216">
        <f>('30'!AM38/'30'!Y30)*1000</f>
        <v>0</v>
      </c>
      <c r="AO39" s="213" t="s">
        <v>86</v>
      </c>
      <c r="AP39" s="214">
        <f>('30'!AP38/'30'!Y30)*1000</f>
        <v>10.654361516097541</v>
      </c>
      <c r="AQ39" s="215" t="s">
        <v>86</v>
      </c>
      <c r="AR39" s="216">
        <f>('30'!AR38/'30'!Y30)*1000</f>
        <v>0</v>
      </c>
    </row>
    <row r="40" spans="1:46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SUM('30'!AK38,'30'!AM38)</f>
        <v>261.05</v>
      </c>
      <c r="AM40" s="975"/>
      <c r="AO40" s="976" t="s">
        <v>90</v>
      </c>
      <c r="AP40" s="976"/>
      <c r="AQ40" s="977">
        <f>SUM('30'!AP38,'30'!AR38)</f>
        <v>2383.5000000000005</v>
      </c>
      <c r="AR40" s="977"/>
      <c r="AT40" s="343"/>
    </row>
    <row r="41" spans="1:46" ht="16.5" customHeight="1">
      <c r="A41" s="133">
        <f>COUNTA('30'!E7:E18)</f>
        <v>12</v>
      </c>
      <c r="B41" s="134">
        <f>COUNTA('30'!I7:I18)</f>
        <v>12</v>
      </c>
      <c r="C41" s="978">
        <f>COUNTA('30'!J7:J18)</f>
        <v>12</v>
      </c>
      <c r="D41" s="978">
        <f>COUNTA('30'!K7:K18)</f>
        <v>12</v>
      </c>
      <c r="E41" s="978">
        <f>COUNTIF('30'!E7:E18,"&gt;15")</f>
        <v>0</v>
      </c>
      <c r="F41" s="978"/>
      <c r="G41" s="978">
        <f>COUNTIF('30'!J7:J18,"&gt;1")</f>
        <v>0</v>
      </c>
      <c r="H41" s="978"/>
      <c r="I41" s="135"/>
      <c r="J41" s="978">
        <f>'30'!A41-'30'!E41</f>
        <v>12</v>
      </c>
      <c r="K41" s="978"/>
      <c r="L41" s="978">
        <f>'30'!C41-'30'!G41</f>
        <v>12</v>
      </c>
      <c r="M41" s="978"/>
      <c r="N41" s="135"/>
      <c r="O41" s="979">
        <f>COUNTIF('30'!J7:J18,"&lt;=0,5")</f>
        <v>8</v>
      </c>
      <c r="P41" s="979"/>
      <c r="Q41" s="979"/>
      <c r="R41" s="969"/>
      <c r="S41" s="980">
        <f>COUNTIF('30'!J7:J18,"&lt;=1,0")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1120" t="s">
        <v>158</v>
      </c>
      <c r="AK41" s="1120"/>
      <c r="AL41" s="981">
        <f>SUM(('30'!AK38+'30'!AM38)/'30'!Y30)*1000</f>
        <v>1.1669062612868732</v>
      </c>
      <c r="AM41" s="981"/>
      <c r="AO41" s="1120" t="s">
        <v>158</v>
      </c>
      <c r="AP41" s="1120"/>
      <c r="AQ41" s="1121">
        <f>SUM(('30'!AP38+'30'!AR38)/'30'!Y30)*1000</f>
        <v>10.654361516097541</v>
      </c>
      <c r="AR41" s="1121"/>
    </row>
    <row r="42" spans="1:46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  <c r="AJ42" s="1120"/>
      <c r="AK42" s="1120"/>
      <c r="AL42" s="981"/>
      <c r="AM42" s="981"/>
      <c r="AO42" s="1120"/>
      <c r="AP42" s="1120"/>
      <c r="AQ42" s="1121"/>
      <c r="AR42" s="1121"/>
    </row>
    <row r="43" spans="1:46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6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>
        <v>140</v>
      </c>
      <c r="Z44" s="144" t="s">
        <v>101</v>
      </c>
      <c r="AA44" s="145">
        <v>0</v>
      </c>
      <c r="AB44" s="144" t="s">
        <v>101</v>
      </c>
      <c r="AC44" s="145">
        <v>77</v>
      </c>
      <c r="AD44" s="988"/>
      <c r="AE44" s="988"/>
      <c r="AF44" s="989" t="s">
        <v>102</v>
      </c>
      <c r="AG44" s="1002">
        <f>SUM('30'!Y45,'30'!AA45,'30'!AC45,'30'!AE45)</f>
        <v>206924.9</v>
      </c>
    </row>
    <row r="45" spans="1:46" ht="15" customHeight="1">
      <c r="H45" s="992">
        <f>COUNTIF('30'!I7:I18,"&lt;=5,0")</f>
        <v>12</v>
      </c>
      <c r="I45" s="992"/>
      <c r="J45" s="992"/>
      <c r="K45" s="135"/>
      <c r="L45" s="974">
        <f>COUNTA('30'!L37)</f>
        <v>1</v>
      </c>
      <c r="M45" s="974"/>
      <c r="O45" s="146"/>
      <c r="P45" s="147"/>
      <c r="Q45" s="993">
        <f>'30'!S41-'30'!O41</f>
        <v>4</v>
      </c>
      <c r="R45" s="993"/>
      <c r="S45" s="993"/>
      <c r="T45" s="148"/>
      <c r="X45" s="149" t="s">
        <v>104</v>
      </c>
      <c r="Y45" s="150">
        <f>'30'!Y44*275.3</f>
        <v>38542</v>
      </c>
      <c r="Z45" s="149" t="s">
        <v>104</v>
      </c>
      <c r="AA45" s="150">
        <f>262.4*'30'!AA44</f>
        <v>0</v>
      </c>
      <c r="AB45" s="149" t="s">
        <v>104</v>
      </c>
      <c r="AC45" s="150">
        <f>'30'!AC44*277.7</f>
        <v>21382.899999999998</v>
      </c>
      <c r="AD45" s="149" t="s">
        <v>104</v>
      </c>
      <c r="AE45" s="151">
        <v>147000</v>
      </c>
      <c r="AF45" s="989"/>
      <c r="AG45" s="1002"/>
      <c r="AI45" s="991" t="s">
        <v>103</v>
      </c>
      <c r="AJ45" s="991"/>
      <c r="AK45" s="991"/>
      <c r="AL45" s="991"/>
      <c r="AM45" s="991"/>
      <c r="AN45" s="991"/>
      <c r="AO45" s="991"/>
      <c r="AP45" s="991"/>
      <c r="AQ45" s="991"/>
      <c r="AR45" s="991"/>
    </row>
    <row r="46" spans="1:46" ht="15.75" customHeight="1">
      <c r="F46" s="152"/>
      <c r="X46" s="153" t="s">
        <v>105</v>
      </c>
      <c r="Y46" s="154">
        <f>'30'!AS6</f>
        <v>1.33</v>
      </c>
      <c r="Z46" s="153" t="s">
        <v>105</v>
      </c>
      <c r="AA46" s="155">
        <f>'30'!Y46</f>
        <v>1.33</v>
      </c>
      <c r="AB46" s="153" t="s">
        <v>105</v>
      </c>
      <c r="AC46" s="155">
        <f>'30'!Y46</f>
        <v>1.33</v>
      </c>
      <c r="AD46" s="153" t="s">
        <v>105</v>
      </c>
      <c r="AE46" s="156">
        <f>'30'!Y46</f>
        <v>1.33</v>
      </c>
      <c r="AF46" s="995" t="s">
        <v>106</v>
      </c>
      <c r="AG46" s="996">
        <f>SUM('30'!Y47,'30'!AA47,'30'!AC47,'30'!AE47)</f>
        <v>275210.11699999997</v>
      </c>
      <c r="AI46" s="987" t="s">
        <v>97</v>
      </c>
      <c r="AJ46" s="987"/>
      <c r="AK46" s="987" t="s">
        <v>98</v>
      </c>
      <c r="AL46" s="987"/>
      <c r="AM46" s="987" t="s">
        <v>99</v>
      </c>
      <c r="AN46" s="987"/>
      <c r="AO46" s="1079"/>
      <c r="AP46" s="1079"/>
      <c r="AQ46" s="142"/>
      <c r="AR46" s="143"/>
    </row>
    <row r="47" spans="1:46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'30'!Y45*'30'!Y46</f>
        <v>51260.86</v>
      </c>
      <c r="Z47" s="149" t="s">
        <v>108</v>
      </c>
      <c r="AA47" s="150">
        <f>'30'!AA45*'30'!AA46</f>
        <v>0</v>
      </c>
      <c r="AB47" s="149" t="s">
        <v>108</v>
      </c>
      <c r="AC47" s="150">
        <f>'30'!AC45*'30'!AC46</f>
        <v>28439.256999999998</v>
      </c>
      <c r="AD47" s="149" t="s">
        <v>108</v>
      </c>
      <c r="AE47" s="150">
        <f>'30'!AE45*'30'!AE46</f>
        <v>195510</v>
      </c>
      <c r="AF47" s="995"/>
      <c r="AG47" s="996"/>
      <c r="AI47" s="144" t="s">
        <v>101</v>
      </c>
      <c r="AJ47" s="145"/>
      <c r="AK47" s="144" t="s">
        <v>101</v>
      </c>
      <c r="AL47" s="145"/>
      <c r="AM47" s="144" t="s">
        <v>101</v>
      </c>
      <c r="AN47" s="145"/>
      <c r="AO47" s="1079"/>
      <c r="AP47" s="1079"/>
      <c r="AQ47" s="989" t="s">
        <v>102</v>
      </c>
      <c r="AR47" s="990">
        <f>SUM('10'!AJ48,'10'!AL48,'10'!AN48,'10'!AP48)</f>
        <v>3.99</v>
      </c>
    </row>
    <row r="48" spans="1:46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49" t="s">
        <v>104</v>
      </c>
      <c r="AJ48" s="150">
        <f>AJ47*275.3</f>
        <v>0</v>
      </c>
      <c r="AK48" s="149" t="s">
        <v>104</v>
      </c>
      <c r="AL48" s="150">
        <f>262.4*'10'!AL47</f>
        <v>0</v>
      </c>
      <c r="AM48" s="149" t="s">
        <v>104</v>
      </c>
      <c r="AN48" s="150">
        <f>AN47*277.7</f>
        <v>0</v>
      </c>
      <c r="AO48" s="1079"/>
      <c r="AP48" s="1079"/>
      <c r="AQ48" s="989"/>
      <c r="AR48" s="990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53" t="s">
        <v>105</v>
      </c>
      <c r="AJ49" s="154">
        <v>1.33</v>
      </c>
      <c r="AK49" s="160" t="s">
        <v>105</v>
      </c>
      <c r="AL49" s="154">
        <f>'10'!AJ49</f>
        <v>0</v>
      </c>
      <c r="AM49" s="160" t="s">
        <v>105</v>
      </c>
      <c r="AN49" s="154">
        <v>1.33</v>
      </c>
      <c r="AO49" s="1079"/>
      <c r="AP49" s="1079"/>
      <c r="AQ49" s="995" t="s">
        <v>106</v>
      </c>
      <c r="AR49" s="996">
        <f>SUM('10'!AJ50,'10'!AL50,'10'!AN50,'10'!AP50)</f>
        <v>0</v>
      </c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  <c r="AI50" s="149" t="s">
        <v>108</v>
      </c>
      <c r="AJ50" s="150">
        <f>AJ48*AJ49</f>
        <v>0</v>
      </c>
      <c r="AK50" s="149" t="s">
        <v>108</v>
      </c>
      <c r="AL50" s="150">
        <f>'10'!AL48*'10'!AL49</f>
        <v>0</v>
      </c>
      <c r="AM50" s="149" t="s">
        <v>108</v>
      </c>
      <c r="AN50" s="150">
        <f>AN48*AN49</f>
        <v>0</v>
      </c>
      <c r="AO50" s="1079"/>
      <c r="AP50" s="1079"/>
      <c r="AQ50" s="995"/>
      <c r="AR50" s="996"/>
    </row>
    <row r="51" spans="15:44" ht="16.5" customHeight="1">
      <c r="O51" s="974">
        <f>COUNTA('30'!O7:O18)</f>
        <v>12</v>
      </c>
      <c r="P51" s="974">
        <f>COUNTA('30'!W17:W28)</f>
        <v>0</v>
      </c>
      <c r="R51" s="992">
        <f>COUNTIF('30'!O7:O18,"&gt;=0,5")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SUM('30'!Y53,'30'!AA53,'30'!AC53,'30'!AE53)</f>
        <v>0</v>
      </c>
      <c r="AI52" s="1000" t="s">
        <v>112</v>
      </c>
      <c r="AJ52" s="1000"/>
      <c r="AK52" s="1000"/>
      <c r="AL52" s="1000"/>
      <c r="AM52" s="1000"/>
      <c r="AN52" s="1000"/>
      <c r="AO52" s="1000"/>
      <c r="AP52" s="1000"/>
      <c r="AQ52" s="1000"/>
      <c r="AR52" s="1000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'30'!Y52*275.3</f>
        <v>0</v>
      </c>
      <c r="Z53" s="149" t="s">
        <v>104</v>
      </c>
      <c r="AA53" s="150">
        <f>262.4*'30'!AA52</f>
        <v>0</v>
      </c>
      <c r="AB53" s="149" t="s">
        <v>104</v>
      </c>
      <c r="AC53" s="167">
        <f>'30'!AC52*277.7</f>
        <v>0</v>
      </c>
      <c r="AD53" s="149" t="s">
        <v>104</v>
      </c>
      <c r="AE53" s="230">
        <v>0</v>
      </c>
      <c r="AF53" s="989"/>
      <c r="AG53" s="1002"/>
      <c r="AI53" s="987" t="s">
        <v>97</v>
      </c>
      <c r="AJ53" s="987"/>
      <c r="AK53" s="987" t="s">
        <v>98</v>
      </c>
      <c r="AL53" s="987"/>
      <c r="AM53" s="987" t="s">
        <v>99</v>
      </c>
      <c r="AN53" s="987"/>
      <c r="AO53" s="1079"/>
      <c r="AP53" s="1079"/>
      <c r="AQ53" s="313"/>
      <c r="AR53" s="314"/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'30'!AS7</f>
        <v>1.377</v>
      </c>
      <c r="Z54" s="153" t="s">
        <v>105</v>
      </c>
      <c r="AA54" s="155">
        <f>'30'!Y54</f>
        <v>1.377</v>
      </c>
      <c r="AB54" s="153" t="s">
        <v>105</v>
      </c>
      <c r="AC54" s="155">
        <f>'30'!Y54</f>
        <v>1.377</v>
      </c>
      <c r="AD54" s="153" t="s">
        <v>105</v>
      </c>
      <c r="AE54" s="156">
        <f>'30'!Y54</f>
        <v>1.377</v>
      </c>
      <c r="AF54" s="995" t="s">
        <v>106</v>
      </c>
      <c r="AG54" s="996">
        <f>SUM('30'!Y55,'30'!AA55,'30'!AC55,'30'!AE55)</f>
        <v>0</v>
      </c>
      <c r="AI54" s="144" t="s">
        <v>101</v>
      </c>
      <c r="AJ54" s="166"/>
      <c r="AK54" s="144" t="s">
        <v>101</v>
      </c>
      <c r="AL54" s="164"/>
      <c r="AM54" s="144" t="s">
        <v>101</v>
      </c>
      <c r="AN54" s="164"/>
      <c r="AO54" s="1079"/>
      <c r="AP54" s="1079"/>
      <c r="AQ54" s="989" t="s">
        <v>102</v>
      </c>
      <c r="AR54" s="1002">
        <f>'10'!AJ55+'10'!AL55+'10'!AN55+'10'!AP55</f>
        <v>0</v>
      </c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'30'!Y53*'30'!Y54</f>
        <v>0</v>
      </c>
      <c r="Z55" s="149" t="s">
        <v>108</v>
      </c>
      <c r="AA55" s="150">
        <f>'30'!AA53*'30'!AA54</f>
        <v>0</v>
      </c>
      <c r="AB55" s="149" t="s">
        <v>108</v>
      </c>
      <c r="AC55" s="150">
        <f>'30'!AC53*'30'!AC54</f>
        <v>0</v>
      </c>
      <c r="AD55" s="149" t="s">
        <v>108</v>
      </c>
      <c r="AE55" s="150">
        <f>'30'!AE53*'30'!AE54</f>
        <v>0</v>
      </c>
      <c r="AF55" s="995"/>
      <c r="AG55" s="996"/>
      <c r="AI55" s="149" t="s">
        <v>104</v>
      </c>
      <c r="AJ55" s="150">
        <f>AJ54*275.3</f>
        <v>0</v>
      </c>
      <c r="AK55" s="149" t="s">
        <v>104</v>
      </c>
      <c r="AL55" s="150">
        <f>262.4*AL54</f>
        <v>0</v>
      </c>
      <c r="AM55" s="149" t="s">
        <v>104</v>
      </c>
      <c r="AN55" s="167">
        <f>AN54*277.7</f>
        <v>0</v>
      </c>
      <c r="AO55" s="1079"/>
      <c r="AP55" s="1079"/>
      <c r="AQ55" s="989"/>
      <c r="AR55" s="1002"/>
    </row>
    <row r="56" spans="15:44" ht="13.9" customHeight="1">
      <c r="O56" s="998"/>
      <c r="P56" s="998"/>
      <c r="R56" s="999"/>
      <c r="S56" s="999"/>
      <c r="T56" s="999"/>
      <c r="AI56" s="153" t="s">
        <v>105</v>
      </c>
      <c r="AJ56" s="154">
        <f>Y54</f>
        <v>1.377</v>
      </c>
      <c r="AK56" s="153" t="s">
        <v>105</v>
      </c>
      <c r="AL56" s="154">
        <f>AJ56</f>
        <v>1.377</v>
      </c>
      <c r="AM56" s="153" t="s">
        <v>105</v>
      </c>
      <c r="AN56" s="154">
        <f>AJ56</f>
        <v>1.377</v>
      </c>
      <c r="AO56" s="1079"/>
      <c r="AP56" s="1079"/>
      <c r="AQ56" s="995" t="s">
        <v>106</v>
      </c>
      <c r="AR56" s="996">
        <f>SUM('10'!AJ57,'10'!AL57,'10'!AN57,'10'!AP57)</f>
        <v>0</v>
      </c>
    </row>
    <row r="57" spans="15:44" ht="15.75" customHeight="1">
      <c r="O57" s="1003">
        <f>COUNTA('30'!N7:N18)</f>
        <v>12</v>
      </c>
      <c r="P57" s="1003"/>
      <c r="R57" s="1004">
        <f>COUNTIF('30'!N7:N18,"&gt;=6")</f>
        <v>12</v>
      </c>
      <c r="S57" s="1004"/>
      <c r="T57" s="1004"/>
      <c r="AI57" s="149" t="s">
        <v>108</v>
      </c>
      <c r="AJ57" s="150">
        <f>AJ55*AJ56</f>
        <v>0</v>
      </c>
      <c r="AK57" s="149" t="s">
        <v>108</v>
      </c>
      <c r="AL57" s="150">
        <f>AL55*AL56</f>
        <v>0</v>
      </c>
      <c r="AM57" s="149" t="s">
        <v>108</v>
      </c>
      <c r="AN57" s="150">
        <f>AN55*AN56</f>
        <v>0</v>
      </c>
      <c r="AO57" s="1079"/>
      <c r="AP57" s="1079"/>
      <c r="AQ57" s="995"/>
      <c r="AR57" s="996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6" t="s">
        <v>117</v>
      </c>
      <c r="AJ60" s="1006"/>
      <c r="AK60" s="1006"/>
      <c r="AL60" s="1006"/>
      <c r="AM60" s="1006"/>
      <c r="AN60" s="1006"/>
      <c r="AO60" s="1006"/>
      <c r="AP60" s="1006"/>
      <c r="AQ60" s="1006"/>
      <c r="AR60" s="1006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04" t="s">
        <v>120</v>
      </c>
      <c r="AJ61" s="1004"/>
      <c r="AK61" s="1004"/>
      <c r="AL61" s="1004"/>
      <c r="AM61" s="1004"/>
      <c r="AN61" s="1004" t="s">
        <v>93</v>
      </c>
      <c r="AO61" s="1004"/>
      <c r="AP61" s="1004"/>
      <c r="AQ61" s="1004"/>
      <c r="AR61" s="1004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121</v>
      </c>
      <c r="AJ62" s="1010"/>
      <c r="AK62" s="1010"/>
      <c r="AL62" s="1011">
        <f>AJ57+AL57+AN57</f>
        <v>0</v>
      </c>
      <c r="AM62" s="1011"/>
      <c r="AN62" s="1010" t="s">
        <v>121</v>
      </c>
      <c r="AO62" s="1010"/>
      <c r="AP62" s="1010"/>
      <c r="AQ62" s="1011">
        <f>AJ50+AL50+AN50</f>
        <v>0</v>
      </c>
      <c r="AR62" s="1011"/>
    </row>
    <row r="63" spans="15:44" ht="15" customHeight="1">
      <c r="X63" s="170" t="s">
        <v>124</v>
      </c>
      <c r="Y63" s="171"/>
      <c r="Z63" s="1013"/>
      <c r="AA63" s="1013"/>
      <c r="AB63" s="172" t="s">
        <v>159</v>
      </c>
      <c r="AC63" s="173">
        <v>0</v>
      </c>
      <c r="AI63" s="1010" t="s">
        <v>123</v>
      </c>
      <c r="AJ63" s="1010"/>
      <c r="AK63" s="1010"/>
      <c r="AL63" s="1015">
        <f>AA33</f>
        <v>0</v>
      </c>
      <c r="AM63" s="1015"/>
      <c r="AN63" s="1010" t="s">
        <v>123</v>
      </c>
      <c r="AO63" s="1010"/>
      <c r="AP63" s="1010"/>
      <c r="AQ63" s="1016">
        <f>AA32</f>
        <v>33867.120000000003</v>
      </c>
      <c r="AR63" s="1016"/>
    </row>
    <row r="64" spans="15:44" ht="15" customHeight="1">
      <c r="X64" s="170"/>
      <c r="Y64" s="171"/>
      <c r="Z64" s="1013"/>
      <c r="AA64" s="1013"/>
      <c r="AB64" s="172" t="s">
        <v>160</v>
      </c>
      <c r="AC64" s="173">
        <v>0</v>
      </c>
      <c r="AI64" s="1010" t="s">
        <v>125</v>
      </c>
      <c r="AJ64" s="1010"/>
      <c r="AK64" s="1010"/>
      <c r="AL64" s="1011">
        <f>AL62-AL63</f>
        <v>0</v>
      </c>
      <c r="AM64" s="1011"/>
      <c r="AN64" s="1010" t="s">
        <v>125</v>
      </c>
      <c r="AO64" s="1010"/>
      <c r="AP64" s="1010"/>
      <c r="AQ64" s="1011">
        <f>AQ62-AQ63</f>
        <v>-33867.120000000003</v>
      </c>
      <c r="AR64" s="1011"/>
    </row>
    <row r="65" spans="24:29" ht="39" customHeight="1">
      <c r="X65" s="174" t="s">
        <v>126</v>
      </c>
      <c r="Y65" s="217">
        <f>'29'!$Y$68</f>
        <v>-5364.7666666666664</v>
      </c>
      <c r="Z65" s="1013"/>
      <c r="AA65" s="1013"/>
      <c r="AB65" s="176" t="s">
        <v>126</v>
      </c>
      <c r="AC65" s="241">
        <f>'29'!$AC$68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280">
        <f>SUM('30'!AK38,'30'!AP38)</f>
        <v>2644.5500000000006</v>
      </c>
      <c r="Z67" s="1013"/>
      <c r="AA67" s="1013"/>
      <c r="AB67" s="172" t="s">
        <v>124</v>
      </c>
      <c r="AC67" s="169">
        <f>SUM('30'!AM38,'30'!AR38)</f>
        <v>0</v>
      </c>
    </row>
    <row r="68" spans="24:29" ht="15.75" customHeight="1">
      <c r="X68" s="170" t="s">
        <v>128</v>
      </c>
      <c r="Y68" s="179">
        <f>SUM('30'!Y63,'30'!Y65)-'30'!Y67</f>
        <v>-8009.3166666666675</v>
      </c>
      <c r="Z68" s="1013"/>
      <c r="AA68" s="1013"/>
      <c r="AB68" s="172" t="s">
        <v>128</v>
      </c>
      <c r="AC68" s="180">
        <f>'30'!AC65</f>
        <v>0</v>
      </c>
    </row>
    <row r="70" spans="24:29" ht="15.75" customHeight="1">
      <c r="Z70" s="339" t="s">
        <v>157</v>
      </c>
      <c r="AA70" s="340">
        <f>'30'!AC68+'30'!Y68</f>
        <v>-8009.3166666666675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priority="2" operator="greaterThan">
      <formula>3</formula>
    </cfRule>
  </conditionalFormatting>
  <conditionalFormatting sqref="O21">
    <cfRule type="cellIs" priority="3" operator="lessThan">
      <formula>2.5</formula>
    </cfRule>
  </conditionalFormatting>
  <conditionalFormatting sqref="O19">
    <cfRule type="cellIs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P1" zoomScaleNormal="100" workbookViewId="0">
      <selection activeCell="Y6" sqref="Y6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07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149</v>
      </c>
      <c r="AF4" s="937" t="s">
        <v>150</v>
      </c>
      <c r="AG4" s="937" t="s">
        <v>151</v>
      </c>
      <c r="AH4" s="937" t="s">
        <v>152</v>
      </c>
      <c r="AI4" s="937" t="s">
        <v>153</v>
      </c>
      <c r="AJ4" s="937" t="s">
        <v>154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07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4">
        <v>2569</v>
      </c>
      <c r="Z6" s="183">
        <v>1061</v>
      </c>
      <c r="AA6" s="15">
        <v>1</v>
      </c>
      <c r="AB6" s="58">
        <f>IF('31'!AA6=1,(('31'!Z6*'31'!$AS$6*'31'!$AT$6)/('31'!Y6*0.0036)),IF('31'!AA6=2,(('31'!Z6*'31'!$AS$7*'31'!$AT$7)/('31'!Y6*0.0036))))</f>
        <v>76.290493490765968</v>
      </c>
      <c r="AC6" s="58"/>
      <c r="AD6" s="18">
        <f>(('31'!AC6*'31'!$I$10*1000000))/('31'!Y6*3600)</f>
        <v>0</v>
      </c>
      <c r="AE6" s="19">
        <v>1800</v>
      </c>
      <c r="AF6" s="184">
        <f>('31'!AE6/24)*0.454</f>
        <v>34.050000000000004</v>
      </c>
      <c r="AG6" s="19"/>
      <c r="AH6" s="184">
        <f>('31'!AG6/24)*0.454</f>
        <v>0</v>
      </c>
      <c r="AI6" s="183">
        <v>5000</v>
      </c>
      <c r="AJ6" s="184">
        <f>('31'!AI6/24)*0.454</f>
        <v>94.583333333333343</v>
      </c>
      <c r="AK6" s="21"/>
      <c r="AL6" s="185">
        <f>('31'!AK6/24)*0.454</f>
        <v>0</v>
      </c>
      <c r="AM6" s="21"/>
      <c r="AN6" s="185">
        <f>('31'!AM6/24)*0.454</f>
        <v>0</v>
      </c>
      <c r="AO6" s="21"/>
      <c r="AP6" s="185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6">
        <v>80</v>
      </c>
      <c r="C7" s="186">
        <v>12.5</v>
      </c>
      <c r="D7" s="186">
        <v>15</v>
      </c>
      <c r="E7" s="186">
        <v>2.5</v>
      </c>
      <c r="F7" s="186">
        <v>14</v>
      </c>
      <c r="G7" s="186">
        <v>2.2000000000000002</v>
      </c>
      <c r="H7" s="186">
        <v>2.7</v>
      </c>
      <c r="I7" s="186">
        <v>0.6</v>
      </c>
      <c r="J7" s="186">
        <v>0.6</v>
      </c>
      <c r="K7" s="186">
        <v>7.3</v>
      </c>
      <c r="L7" s="186">
        <v>6.5</v>
      </c>
      <c r="M7" s="186">
        <v>6.6</v>
      </c>
      <c r="N7" s="186">
        <v>6.4</v>
      </c>
      <c r="O7" s="186">
        <v>3.3</v>
      </c>
      <c r="P7" s="186">
        <v>0.1</v>
      </c>
      <c r="Q7" s="188"/>
      <c r="R7" s="37">
        <f>'30'!Z29</f>
        <v>1061</v>
      </c>
      <c r="S7" s="187">
        <f>'30'!AB29</f>
        <v>75.351894570464353</v>
      </c>
      <c r="T7" s="37">
        <f>'30'!$Y$29</f>
        <v>2601</v>
      </c>
      <c r="U7" s="33" t="str">
        <f>IF('31'!AA6=1,'31'!AR6,'31'!AR7)</f>
        <v>S.A.L</v>
      </c>
      <c r="V7" s="1022">
        <f>ESCALA!$B$32</f>
        <v>0</v>
      </c>
      <c r="W7" s="1022"/>
      <c r="X7" s="13">
        <v>8.3333333333333301E-2</v>
      </c>
      <c r="Y7" s="54">
        <v>2579</v>
      </c>
      <c r="Z7" s="183">
        <v>1061</v>
      </c>
      <c r="AA7" s="15">
        <v>1</v>
      </c>
      <c r="AB7" s="58">
        <f>IF('31'!AA7=1,(('31'!Z7*'31'!$AS$6*'31'!$AT$6)/('31'!Y7*0.0036)),IF('31'!AA7=2,(('31'!Z7*'31'!$AS$7*'31'!$AT$7)/('31'!Y7*0.0036))))</f>
        <v>75.994679246908802</v>
      </c>
      <c r="AC7" s="58"/>
      <c r="AD7" s="18">
        <f>(('31'!AC7*'31'!$I$10*1000000))/('31'!Y7*3600)</f>
        <v>0</v>
      </c>
      <c r="AE7" s="19">
        <v>1800</v>
      </c>
      <c r="AF7" s="184">
        <f>('31'!AE7/24)*0.454</f>
        <v>34.050000000000004</v>
      </c>
      <c r="AG7" s="19"/>
      <c r="AH7" s="184">
        <f>('31'!AG7/24)*0.454</f>
        <v>0</v>
      </c>
      <c r="AI7" s="183">
        <v>5000</v>
      </c>
      <c r="AJ7" s="184">
        <f>('31'!AI7/24)*0.454</f>
        <v>94.583333333333343</v>
      </c>
      <c r="AK7" s="21"/>
      <c r="AL7" s="185">
        <f>('31'!AK7/24)*0.454</f>
        <v>0</v>
      </c>
      <c r="AM7" s="21"/>
      <c r="AN7" s="185">
        <f>('31'!AM7/24)*0.454</f>
        <v>0</v>
      </c>
      <c r="AO7" s="21"/>
      <c r="AP7" s="185">
        <f>('31'!AO7/24)*0.454</f>
        <v>0</v>
      </c>
      <c r="AQ7" s="24">
        <v>2</v>
      </c>
      <c r="AR7" s="25" t="s">
        <v>146</v>
      </c>
      <c r="AS7" s="26">
        <v>1.345</v>
      </c>
      <c r="AT7" s="25">
        <v>1</v>
      </c>
      <c r="AU7" s="34">
        <v>24</v>
      </c>
    </row>
    <row r="8" spans="1:47" ht="18.75" customHeight="1">
      <c r="A8" s="28">
        <v>8.3333333333333301E-2</v>
      </c>
      <c r="B8" s="186">
        <v>80</v>
      </c>
      <c r="C8" s="186">
        <v>12.5</v>
      </c>
      <c r="D8" s="186">
        <v>15</v>
      </c>
      <c r="E8" s="186">
        <v>2.5</v>
      </c>
      <c r="F8" s="186">
        <v>14</v>
      </c>
      <c r="G8" s="186">
        <v>2</v>
      </c>
      <c r="H8" s="186">
        <v>2.6</v>
      </c>
      <c r="I8" s="186">
        <v>0.6</v>
      </c>
      <c r="J8" s="186">
        <v>0.6</v>
      </c>
      <c r="K8" s="186">
        <v>7.3</v>
      </c>
      <c r="L8" s="186">
        <v>6.5</v>
      </c>
      <c r="M8" s="186">
        <v>6.6</v>
      </c>
      <c r="N8" s="186">
        <v>6.4</v>
      </c>
      <c r="O8" s="186">
        <v>3.2</v>
      </c>
      <c r="P8" s="186">
        <v>0.1</v>
      </c>
      <c r="Q8" s="188"/>
      <c r="R8" s="35">
        <f>'31'!Z7</f>
        <v>1061</v>
      </c>
      <c r="S8" s="36">
        <f>'31'!AB7</f>
        <v>75.994679246908802</v>
      </c>
      <c r="T8" s="37">
        <f>'31'!Y7</f>
        <v>2579</v>
      </c>
      <c r="U8" s="33" t="str">
        <f>IF('31'!AA7=1,'31'!AR6,'31'!AR7)</f>
        <v>S.A.L</v>
      </c>
      <c r="V8" s="1022"/>
      <c r="W8" s="1022"/>
      <c r="X8" s="13">
        <v>0.125</v>
      </c>
      <c r="Y8" s="54">
        <v>2561</v>
      </c>
      <c r="Z8" s="183">
        <v>1061</v>
      </c>
      <c r="AA8" s="15">
        <v>1</v>
      </c>
      <c r="AB8" s="58">
        <f>IF('31'!AA8=1,(('31'!Z8*'31'!$AS$6*'31'!$AT$6)/('31'!Y8*0.0036)),IF('31'!AA8=2,(('31'!Z8*'31'!$AS$7*'31'!$AT$7)/('31'!Y8*0.0036))))</f>
        <v>76.52880819124475</v>
      </c>
      <c r="AC8" s="58"/>
      <c r="AD8" s="18">
        <f>(('31'!AC8*'31'!$I$10*1000000))/('31'!Y8*3600)</f>
        <v>0</v>
      </c>
      <c r="AE8" s="19">
        <v>1800</v>
      </c>
      <c r="AF8" s="184">
        <f>('31'!AE8/24)*0.454</f>
        <v>34.050000000000004</v>
      </c>
      <c r="AG8" s="19"/>
      <c r="AH8" s="184">
        <f>('31'!AG8/24)*0.454</f>
        <v>0</v>
      </c>
      <c r="AI8" s="183">
        <v>5000</v>
      </c>
      <c r="AJ8" s="184">
        <f>('31'!AI8/24)*0.454</f>
        <v>94.583333333333343</v>
      </c>
      <c r="AK8" s="21"/>
      <c r="AL8" s="185">
        <f>('31'!AK8/24)*0.454</f>
        <v>0</v>
      </c>
      <c r="AM8" s="21"/>
      <c r="AN8" s="185">
        <f>('31'!AM8/24)*0.454</f>
        <v>0</v>
      </c>
      <c r="AO8" s="21"/>
      <c r="AP8" s="185">
        <f>('31'!AO8/24)*0.454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6">
        <v>80</v>
      </c>
      <c r="C9" s="186">
        <v>12.5</v>
      </c>
      <c r="D9" s="186">
        <v>15</v>
      </c>
      <c r="E9" s="186">
        <v>2.5</v>
      </c>
      <c r="F9" s="186">
        <v>14</v>
      </c>
      <c r="G9" s="186">
        <v>1.8</v>
      </c>
      <c r="H9" s="186">
        <v>2.6</v>
      </c>
      <c r="I9" s="186">
        <v>0.6</v>
      </c>
      <c r="J9" s="186">
        <v>0.6</v>
      </c>
      <c r="K9" s="186">
        <v>7.3</v>
      </c>
      <c r="L9" s="186">
        <v>6.5</v>
      </c>
      <c r="M9" s="186">
        <v>6.6</v>
      </c>
      <c r="N9" s="186">
        <v>6.4</v>
      </c>
      <c r="O9" s="186">
        <v>3.2</v>
      </c>
      <c r="P9" s="186">
        <v>0.2</v>
      </c>
      <c r="Q9" s="188"/>
      <c r="R9" s="37">
        <f>'31'!Z9</f>
        <v>1061</v>
      </c>
      <c r="S9" s="36">
        <f>'31'!AB9</f>
        <v>77.100817379141546</v>
      </c>
      <c r="T9" s="37">
        <f>'31'!Y9</f>
        <v>2542</v>
      </c>
      <c r="U9" s="33" t="str">
        <f>IF('31'!AA9=1,'31'!AR6,'31'!AR7)</f>
        <v>S.A.L</v>
      </c>
      <c r="V9" s="1022"/>
      <c r="W9" s="1022"/>
      <c r="X9" s="13">
        <v>0.16666666666666699</v>
      </c>
      <c r="Y9" s="54">
        <v>2542</v>
      </c>
      <c r="Z9" s="183">
        <v>1061</v>
      </c>
      <c r="AA9" s="15">
        <v>1</v>
      </c>
      <c r="AB9" s="58">
        <f>IF('31'!AA9=1,(('31'!Z9*'31'!$AS$6*'31'!$AT$6)/('31'!Y9*0.0036)),IF('31'!AA9=2,(('31'!Z9*'31'!$AS$7*'31'!$AT$7)/('31'!Y9*0.0036))))</f>
        <v>77.100817379141546</v>
      </c>
      <c r="AC9" s="58"/>
      <c r="AD9" s="18">
        <f>(('31'!AC9*'31'!$I$10*1000000))/('31'!Y9*3600)</f>
        <v>0</v>
      </c>
      <c r="AE9" s="19">
        <v>1800</v>
      </c>
      <c r="AF9" s="184">
        <f>('31'!AE9/24)*0.454</f>
        <v>34.050000000000004</v>
      </c>
      <c r="AG9" s="19"/>
      <c r="AH9" s="184">
        <f>('31'!AG9/24)*0.454</f>
        <v>0</v>
      </c>
      <c r="AI9" s="183">
        <v>5000</v>
      </c>
      <c r="AJ9" s="184">
        <f>('31'!AI9/24)*0.454</f>
        <v>94.583333333333343</v>
      </c>
      <c r="AK9" s="21"/>
      <c r="AL9" s="185">
        <f>('31'!AK9/24)*0.454</f>
        <v>0</v>
      </c>
      <c r="AM9" s="21"/>
      <c r="AN9" s="185">
        <f>('31'!AM9/24)*0.454</f>
        <v>0</v>
      </c>
      <c r="AO9" s="21"/>
      <c r="AP9" s="185">
        <f>('31'!AO9/24)*0.454</f>
        <v>0</v>
      </c>
      <c r="AQ9" s="942" t="s">
        <v>37</v>
      </c>
      <c r="AR9" s="942"/>
      <c r="AS9" s="942"/>
      <c r="AT9" s="38" t="s">
        <v>39</v>
      </c>
    </row>
    <row r="10" spans="1:47" ht="18.75" customHeight="1">
      <c r="A10" s="28">
        <v>0.25</v>
      </c>
      <c r="B10" s="186">
        <v>80</v>
      </c>
      <c r="C10" s="186">
        <v>12.5</v>
      </c>
      <c r="D10" s="186">
        <v>15</v>
      </c>
      <c r="E10" s="186">
        <v>2.5</v>
      </c>
      <c r="F10" s="186">
        <v>15</v>
      </c>
      <c r="G10" s="186">
        <v>1.8</v>
      </c>
      <c r="H10" s="186">
        <v>2.6</v>
      </c>
      <c r="I10" s="186">
        <v>0.6</v>
      </c>
      <c r="J10" s="186">
        <v>0.6</v>
      </c>
      <c r="K10" s="186">
        <v>7.3</v>
      </c>
      <c r="L10" s="186">
        <v>6.5</v>
      </c>
      <c r="M10" s="186">
        <v>6.6</v>
      </c>
      <c r="N10" s="186">
        <v>6.4</v>
      </c>
      <c r="O10" s="186">
        <v>3.2</v>
      </c>
      <c r="P10" s="186">
        <v>0.2</v>
      </c>
      <c r="Q10" s="188"/>
      <c r="R10" s="37">
        <f>'31'!Z11</f>
        <v>1061</v>
      </c>
      <c r="S10" s="36">
        <f>'31'!AB11</f>
        <v>76.024157400224126</v>
      </c>
      <c r="T10" s="37">
        <f>'31'!Y11</f>
        <v>2578</v>
      </c>
      <c r="U10" s="33" t="str">
        <f>IF('31'!AA11=1,'31'!AR6,'31'!AR7)</f>
        <v>S.A.L</v>
      </c>
      <c r="V10" s="1022"/>
      <c r="W10" s="1022"/>
      <c r="X10" s="13">
        <v>0.20833333333333301</v>
      </c>
      <c r="Y10" s="54">
        <v>2616</v>
      </c>
      <c r="Z10" s="183">
        <v>1061</v>
      </c>
      <c r="AA10" s="15">
        <v>1</v>
      </c>
      <c r="AB10" s="58">
        <f>IF('31'!AA10=1,(('31'!Z10*'31'!$AS$6*'31'!$AT$6)/('31'!Y10*0.0036)),IF('31'!AA10=2,(('31'!Z10*'31'!$AS$7*'31'!$AT$7)/('31'!Y10*0.0036))))</f>
        <v>74.91983095480802</v>
      </c>
      <c r="AC10" s="58"/>
      <c r="AD10" s="18">
        <f>(('31'!AC10*'31'!$I$10*1000000))/('31'!Y10*3600)</f>
        <v>0</v>
      </c>
      <c r="AE10" s="19">
        <v>1800</v>
      </c>
      <c r="AF10" s="184">
        <f>('31'!AE10/24)*0.454</f>
        <v>34.050000000000004</v>
      </c>
      <c r="AG10" s="19"/>
      <c r="AH10" s="184">
        <f>('31'!AG10/24)*0.454</f>
        <v>0</v>
      </c>
      <c r="AI10" s="183">
        <v>5000</v>
      </c>
      <c r="AJ10" s="184">
        <f>('31'!AI10/24)*0.454</f>
        <v>94.583333333333343</v>
      </c>
      <c r="AK10" s="21"/>
      <c r="AL10" s="185">
        <f>('31'!AK10/24)*0.454</f>
        <v>0</v>
      </c>
      <c r="AM10" s="21"/>
      <c r="AN10" s="185">
        <f>('31'!AM10/24)*0.454</f>
        <v>0</v>
      </c>
      <c r="AO10" s="21"/>
      <c r="AP10" s="185">
        <f>('31'!AO10/24)*0.454</f>
        <v>0</v>
      </c>
      <c r="AQ10" s="943" t="s">
        <v>51</v>
      </c>
      <c r="AR10" s="943"/>
      <c r="AS10" s="943"/>
      <c r="AT10" s="41">
        <v>2E-3</v>
      </c>
    </row>
    <row r="11" spans="1:47" ht="19.5" customHeight="1">
      <c r="A11" s="28">
        <v>0.33333333333333298</v>
      </c>
      <c r="B11" s="186">
        <v>80</v>
      </c>
      <c r="C11" s="186">
        <v>12.5</v>
      </c>
      <c r="D11" s="186">
        <v>17.5</v>
      </c>
      <c r="E11" s="186">
        <v>2.5</v>
      </c>
      <c r="F11" s="186">
        <v>14</v>
      </c>
      <c r="G11" s="186">
        <v>1.5</v>
      </c>
      <c r="H11" s="186">
        <v>2.5</v>
      </c>
      <c r="I11" s="186">
        <v>0.4</v>
      </c>
      <c r="J11" s="186">
        <v>0.5</v>
      </c>
      <c r="K11" s="186">
        <v>7.3</v>
      </c>
      <c r="L11" s="186">
        <v>6.5</v>
      </c>
      <c r="M11" s="186">
        <v>6.5</v>
      </c>
      <c r="N11" s="186">
        <v>6.3</v>
      </c>
      <c r="O11" s="186">
        <v>3.2</v>
      </c>
      <c r="P11" s="186">
        <v>0.2</v>
      </c>
      <c r="Q11" s="188"/>
      <c r="R11" s="37">
        <f>'31'!Z13</f>
        <v>1061</v>
      </c>
      <c r="S11" s="36">
        <f>'31'!AB13</f>
        <v>75.380876068376082</v>
      </c>
      <c r="T11" s="37">
        <f>'31'!Y13</f>
        <v>2600</v>
      </c>
      <c r="U11" s="33" t="str">
        <f>IF('31'!AA13=1,'31'!AR6,'31'!AR7)</f>
        <v>S.A.L</v>
      </c>
      <c r="V11" s="1022"/>
      <c r="W11" s="1022"/>
      <c r="X11" s="13">
        <v>0.25</v>
      </c>
      <c r="Y11" s="54">
        <v>2578</v>
      </c>
      <c r="Z11" s="183">
        <v>1061</v>
      </c>
      <c r="AA11" s="15">
        <v>1</v>
      </c>
      <c r="AB11" s="58">
        <f>IF('31'!AA11=1,(('31'!Z11*'31'!$AS$6*'31'!$AT$6)/('31'!Y11*0.0036)),IF('31'!AA11=2,(('31'!Z11*'31'!$AS$7*'31'!$AT$7)/('31'!Y11*0.0036))))</f>
        <v>76.024157400224126</v>
      </c>
      <c r="AC11" s="58"/>
      <c r="AD11" s="18">
        <f>(('31'!AC11*'31'!$I$10*1000000))/('31'!Y11*3600)</f>
        <v>0</v>
      </c>
      <c r="AE11" s="19">
        <v>2100</v>
      </c>
      <c r="AF11" s="184">
        <f>('31'!AE11/24)*0.454</f>
        <v>39.725000000000001</v>
      </c>
      <c r="AG11" s="19"/>
      <c r="AH11" s="184">
        <f>('31'!AG11/24)*0.454</f>
        <v>0</v>
      </c>
      <c r="AI11" s="183">
        <v>5000</v>
      </c>
      <c r="AJ11" s="184">
        <f>('31'!AI11/24)*0.454</f>
        <v>94.583333333333343</v>
      </c>
      <c r="AK11" s="21"/>
      <c r="AL11" s="185">
        <f>('31'!AK11/24)*0.454</f>
        <v>0</v>
      </c>
      <c r="AM11" s="21"/>
      <c r="AN11" s="185">
        <f>('31'!AM11/24)*0.454</f>
        <v>0</v>
      </c>
      <c r="AO11" s="21"/>
      <c r="AP11" s="185">
        <f>('31'!AO11/24)*0.454</f>
        <v>0</v>
      </c>
    </row>
    <row r="12" spans="1:47" ht="18.75" customHeight="1">
      <c r="A12" s="28">
        <v>0.41666666666666702</v>
      </c>
      <c r="B12" s="186">
        <v>80</v>
      </c>
      <c r="C12" s="186">
        <v>12.5</v>
      </c>
      <c r="D12" s="186">
        <v>17.5</v>
      </c>
      <c r="E12" s="186">
        <v>2.5</v>
      </c>
      <c r="F12" s="186">
        <v>14</v>
      </c>
      <c r="G12" s="186">
        <v>1.7</v>
      </c>
      <c r="H12" s="186">
        <v>2.8</v>
      </c>
      <c r="I12" s="186">
        <v>0.4</v>
      </c>
      <c r="J12" s="186">
        <v>0.6</v>
      </c>
      <c r="K12" s="186">
        <v>7.3</v>
      </c>
      <c r="L12" s="186">
        <v>6.5</v>
      </c>
      <c r="M12" s="186">
        <v>6.5</v>
      </c>
      <c r="N12" s="186">
        <v>6.3</v>
      </c>
      <c r="O12" s="186">
        <v>3</v>
      </c>
      <c r="P12" s="186">
        <v>0.2</v>
      </c>
      <c r="Q12" s="188"/>
      <c r="R12" s="37">
        <f>'31'!Z15</f>
        <v>1061</v>
      </c>
      <c r="S12" s="36">
        <f>'31'!AB15</f>
        <v>76.320201626860509</v>
      </c>
      <c r="T12" s="37">
        <f>'31'!Y15</f>
        <v>2568</v>
      </c>
      <c r="U12" s="33" t="str">
        <f>IF('31'!AA15=1,'31'!AR6,'31'!AR7)</f>
        <v>S.A.L</v>
      </c>
      <c r="V12" s="944">
        <f>ESCALA!$B$33</f>
        <v>0</v>
      </c>
      <c r="W12" s="944"/>
      <c r="X12" s="13">
        <v>0.29166666666666702</v>
      </c>
      <c r="Y12" s="54">
        <v>2555</v>
      </c>
      <c r="Z12" s="183">
        <v>1061</v>
      </c>
      <c r="AA12" s="15">
        <v>1</v>
      </c>
      <c r="AB12" s="58">
        <f>IF('31'!AA12=1,(('31'!Z12*'31'!$AS$6*'31'!$AT$6)/('31'!Y12*0.0036)),IF('31'!AA12=2,(('31'!Z12*'31'!$AS$7*'31'!$AT$7)/('31'!Y12*0.0036))))</f>
        <v>76.708523592085243</v>
      </c>
      <c r="AC12" s="58"/>
      <c r="AD12" s="18">
        <f>(('31'!AC12*'31'!$I$10*1000000))/('31'!Y12*3600)</f>
        <v>0</v>
      </c>
      <c r="AE12" s="19">
        <v>2100</v>
      </c>
      <c r="AF12" s="184">
        <f>('31'!AE12/24)*0.454</f>
        <v>39.725000000000001</v>
      </c>
      <c r="AG12" s="19"/>
      <c r="AH12" s="184">
        <f>('31'!AG12/24)*0.454</f>
        <v>0</v>
      </c>
      <c r="AI12" s="183">
        <v>5000</v>
      </c>
      <c r="AJ12" s="184">
        <f>('31'!AI12/24)*0.454</f>
        <v>94.583333333333343</v>
      </c>
      <c r="AK12" s="21"/>
      <c r="AL12" s="185">
        <f>('31'!AK12/24)*0.454</f>
        <v>0</v>
      </c>
      <c r="AM12" s="21"/>
      <c r="AN12" s="185">
        <f>('31'!AM12/24)*0.454</f>
        <v>0</v>
      </c>
      <c r="AO12" s="21"/>
      <c r="AP12" s="185">
        <f>('31'!AO12/24)*0.454</f>
        <v>0</v>
      </c>
    </row>
    <row r="13" spans="1:47" ht="18.75" customHeight="1">
      <c r="A13" s="28">
        <v>0.5</v>
      </c>
      <c r="B13" s="186">
        <v>80</v>
      </c>
      <c r="C13" s="186">
        <v>12.5</v>
      </c>
      <c r="D13" s="186">
        <v>15</v>
      </c>
      <c r="E13" s="186">
        <v>2.5</v>
      </c>
      <c r="F13" s="186">
        <v>14</v>
      </c>
      <c r="G13" s="186">
        <v>1.7</v>
      </c>
      <c r="H13" s="186">
        <v>2.4</v>
      </c>
      <c r="I13" s="186">
        <v>0.5</v>
      </c>
      <c r="J13" s="186">
        <v>0.5</v>
      </c>
      <c r="K13" s="186">
        <v>7.3</v>
      </c>
      <c r="L13" s="186">
        <v>6.5</v>
      </c>
      <c r="M13" s="186">
        <v>6.5</v>
      </c>
      <c r="N13" s="186">
        <v>6.3</v>
      </c>
      <c r="O13" s="186">
        <v>3</v>
      </c>
      <c r="P13" s="186"/>
      <c r="Q13" s="188"/>
      <c r="R13" s="37">
        <f>'31'!Z17</f>
        <v>1061</v>
      </c>
      <c r="S13" s="36">
        <f>'31'!AB17</f>
        <v>77.681441846126759</v>
      </c>
      <c r="T13" s="37">
        <f>'31'!Y17</f>
        <v>2523</v>
      </c>
      <c r="U13" s="33" t="str">
        <f>IF('31'!AA17=1,'31'!AR6,'31'!AR7)</f>
        <v>S.A.L</v>
      </c>
      <c r="V13" s="944"/>
      <c r="W13" s="944"/>
      <c r="X13" s="13">
        <v>0.33333333333333298</v>
      </c>
      <c r="Y13" s="54">
        <v>2600</v>
      </c>
      <c r="Z13" s="183">
        <v>1061</v>
      </c>
      <c r="AA13" s="15">
        <v>1</v>
      </c>
      <c r="AB13" s="58">
        <f>IF('31'!AA13=1,(('31'!Z13*'31'!$AS$6*'31'!$AT$6)/('31'!Y13*0.0036)),IF('31'!AA13=2,(('31'!Z13*'31'!$AS$7*'31'!$AT$7)/('31'!Y13*0.0036))))</f>
        <v>75.380876068376082</v>
      </c>
      <c r="AC13" s="58"/>
      <c r="AD13" s="18">
        <f>(('31'!AC13*'31'!$I$10*1000000))/('31'!Y13*3600)</f>
        <v>0</v>
      </c>
      <c r="AE13" s="19">
        <v>2100</v>
      </c>
      <c r="AF13" s="184">
        <f>('31'!AE13/24)*0.454</f>
        <v>39.725000000000001</v>
      </c>
      <c r="AG13" s="19"/>
      <c r="AH13" s="184">
        <f>('31'!AG13/24)*0.454</f>
        <v>0</v>
      </c>
      <c r="AI13" s="183">
        <v>5000</v>
      </c>
      <c r="AJ13" s="184">
        <f>('31'!AI13/24)*0.454</f>
        <v>94.583333333333343</v>
      </c>
      <c r="AK13" s="21"/>
      <c r="AL13" s="185">
        <f>('31'!AK13/24)*0.454</f>
        <v>0</v>
      </c>
      <c r="AM13" s="21"/>
      <c r="AN13" s="185">
        <f>('31'!AM13/24)*0.454</f>
        <v>0</v>
      </c>
      <c r="AO13" s="21"/>
      <c r="AP13" s="185">
        <f>('31'!AO13/24)*0.454</f>
        <v>0</v>
      </c>
    </row>
    <row r="14" spans="1:47" ht="18.75" customHeight="1">
      <c r="A14" s="28">
        <v>0.58333333333333304</v>
      </c>
      <c r="B14" s="186">
        <v>80</v>
      </c>
      <c r="C14" s="186">
        <v>12.5</v>
      </c>
      <c r="D14" s="186">
        <v>15</v>
      </c>
      <c r="E14" s="186">
        <v>2.5</v>
      </c>
      <c r="F14" s="186">
        <v>15</v>
      </c>
      <c r="G14" s="186">
        <v>1.6</v>
      </c>
      <c r="H14" s="186">
        <v>2.2000000000000002</v>
      </c>
      <c r="I14" s="186">
        <v>0.4</v>
      </c>
      <c r="J14" s="186">
        <v>0.5</v>
      </c>
      <c r="K14" s="186">
        <v>7.3</v>
      </c>
      <c r="L14" s="186">
        <v>6.5</v>
      </c>
      <c r="M14" s="186">
        <v>6.5</v>
      </c>
      <c r="N14" s="186">
        <v>6.3</v>
      </c>
      <c r="O14" s="186">
        <v>3.2</v>
      </c>
      <c r="P14" s="186">
        <v>0.2</v>
      </c>
      <c r="Q14" s="188"/>
      <c r="R14" s="37">
        <f>'31'!Z19</f>
        <v>1061</v>
      </c>
      <c r="S14" s="36">
        <f>'31'!AB19</f>
        <v>76.142299058965733</v>
      </c>
      <c r="T14" s="37">
        <f>'31'!Y19</f>
        <v>2574</v>
      </c>
      <c r="U14" s="33" t="str">
        <f>IF('31'!AA19=1,'31'!AR6,'31'!AR7)</f>
        <v>S.A.L</v>
      </c>
      <c r="V14" s="944"/>
      <c r="W14" s="944"/>
      <c r="X14" s="13">
        <v>0.375</v>
      </c>
      <c r="Y14" s="54">
        <v>2530</v>
      </c>
      <c r="Z14" s="183">
        <v>1061</v>
      </c>
      <c r="AA14" s="15">
        <v>1</v>
      </c>
      <c r="AB14" s="58">
        <f>IF('31'!AA14=1,(('31'!Z14*'31'!$AS$6*'31'!$AT$6)/('31'!Y14*0.0036)),IF('31'!AA14=2,(('31'!Z14*'31'!$AS$7*'31'!$AT$7)/('31'!Y14*0.0036))))</f>
        <v>77.466512955643395</v>
      </c>
      <c r="AC14" s="58"/>
      <c r="AD14" s="18">
        <f>(('31'!AC14*'31'!$I$10*1000000))/('31'!Y14*3600)</f>
        <v>0</v>
      </c>
      <c r="AE14" s="19">
        <v>2100</v>
      </c>
      <c r="AF14" s="184">
        <f>('31'!AE14/24)*0.454</f>
        <v>39.725000000000001</v>
      </c>
      <c r="AG14" s="19"/>
      <c r="AH14" s="184">
        <f>('31'!AG14/24)*0.454</f>
        <v>0</v>
      </c>
      <c r="AI14" s="183">
        <v>5000</v>
      </c>
      <c r="AJ14" s="184">
        <f>('31'!AI14/24)*0.454</f>
        <v>94.583333333333343</v>
      </c>
      <c r="AK14" s="21"/>
      <c r="AL14" s="185">
        <f>('31'!AK14/24)*0.454</f>
        <v>0</v>
      </c>
      <c r="AM14" s="21"/>
      <c r="AN14" s="185">
        <f>('31'!AM14/24)*0.454</f>
        <v>0</v>
      </c>
      <c r="AO14" s="21"/>
      <c r="AP14" s="185">
        <f>('31'!AO14/24)*0.454</f>
        <v>0</v>
      </c>
    </row>
    <row r="15" spans="1:47" ht="18.75" customHeight="1">
      <c r="A15" s="28">
        <v>0.66666666666666696</v>
      </c>
      <c r="B15" s="186">
        <v>80</v>
      </c>
      <c r="C15" s="186">
        <v>12.5</v>
      </c>
      <c r="D15" s="186">
        <v>15</v>
      </c>
      <c r="E15" s="186">
        <v>2.5</v>
      </c>
      <c r="F15" s="186">
        <v>14</v>
      </c>
      <c r="G15" s="186">
        <v>1.3</v>
      </c>
      <c r="H15" s="186">
        <v>2.2999999999999998</v>
      </c>
      <c r="I15" s="186">
        <v>0.4</v>
      </c>
      <c r="J15" s="186">
        <v>0.4</v>
      </c>
      <c r="K15" s="186">
        <v>7.3</v>
      </c>
      <c r="L15" s="186">
        <v>6.5</v>
      </c>
      <c r="M15" s="186">
        <v>6.5</v>
      </c>
      <c r="N15" s="186">
        <v>6.3</v>
      </c>
      <c r="O15" s="186">
        <v>3.2</v>
      </c>
      <c r="P15" s="186">
        <v>0.2</v>
      </c>
      <c r="Q15" s="188"/>
      <c r="R15" s="37">
        <f>'31'!Z21</f>
        <v>1061</v>
      </c>
      <c r="S15" s="36">
        <f>'31'!AB21</f>
        <v>76.024157400224126</v>
      </c>
      <c r="T15" s="37">
        <f>'31'!Y21</f>
        <v>2578</v>
      </c>
      <c r="U15" s="33" t="str">
        <f>IF('31'!AA21=1,'31'!AR6,'31'!AR7)</f>
        <v>S.A.L</v>
      </c>
      <c r="V15" s="944"/>
      <c r="W15" s="944"/>
      <c r="X15" s="13">
        <v>0.41666666666666702</v>
      </c>
      <c r="Y15" s="54">
        <v>2568</v>
      </c>
      <c r="Z15" s="183">
        <v>1061</v>
      </c>
      <c r="AA15" s="15">
        <v>1</v>
      </c>
      <c r="AB15" s="58">
        <f>IF('31'!AA15=1,(('31'!Z15*'31'!$AS$6*'31'!$AT$6)/('31'!Y15*0.0036)),IF('31'!AA15=2,(('31'!Z15*'31'!$AS$7*'31'!$AT$7)/('31'!Y15*0.0036))))</f>
        <v>76.320201626860509</v>
      </c>
      <c r="AC15" s="58"/>
      <c r="AD15" s="18">
        <f>(('31'!AC15*'31'!$I$10*1000000))/('31'!Y15*3600)</f>
        <v>0</v>
      </c>
      <c r="AE15" s="19">
        <v>2100</v>
      </c>
      <c r="AF15" s="184">
        <f>('31'!AE15/24)*0.454</f>
        <v>39.725000000000001</v>
      </c>
      <c r="AG15" s="19"/>
      <c r="AH15" s="184">
        <f>('31'!AG15/24)*0.454</f>
        <v>0</v>
      </c>
      <c r="AI15" s="183">
        <v>5000</v>
      </c>
      <c r="AJ15" s="184">
        <f>('31'!AI15/24)*0.454</f>
        <v>94.583333333333343</v>
      </c>
      <c r="AK15" s="21"/>
      <c r="AL15" s="185">
        <f>('31'!AK15/24)*0.454</f>
        <v>0</v>
      </c>
      <c r="AM15" s="21"/>
      <c r="AN15" s="185">
        <f>('31'!AM15/24)*0.454</f>
        <v>0</v>
      </c>
      <c r="AO15" s="21"/>
      <c r="AP15" s="185">
        <f>('31'!AO15/24)*0.454</f>
        <v>0</v>
      </c>
    </row>
    <row r="16" spans="1:47" ht="18.75" customHeight="1">
      <c r="A16" s="28">
        <v>0.75</v>
      </c>
      <c r="B16" s="186">
        <v>80</v>
      </c>
      <c r="C16" s="186">
        <v>12.5</v>
      </c>
      <c r="D16" s="186">
        <v>17.5</v>
      </c>
      <c r="E16" s="186">
        <v>2.5</v>
      </c>
      <c r="F16" s="186">
        <v>11</v>
      </c>
      <c r="G16" s="186">
        <v>1.2</v>
      </c>
      <c r="H16" s="186">
        <v>2.7</v>
      </c>
      <c r="I16" s="186">
        <v>0.4</v>
      </c>
      <c r="J16" s="186">
        <v>0.5</v>
      </c>
      <c r="K16" s="186">
        <v>7.3</v>
      </c>
      <c r="L16" s="186">
        <v>6.5</v>
      </c>
      <c r="M16" s="186">
        <v>6.5</v>
      </c>
      <c r="N16" s="186">
        <v>6.3</v>
      </c>
      <c r="O16" s="186">
        <v>3.5</v>
      </c>
      <c r="P16" s="186">
        <v>0.2</v>
      </c>
      <c r="Q16" s="188"/>
      <c r="R16" s="37">
        <f>'31'!Z23</f>
        <v>1061</v>
      </c>
      <c r="S16" s="36">
        <f>'31'!AB23</f>
        <v>77.100817379141546</v>
      </c>
      <c r="T16" s="37">
        <f>'31'!Y23</f>
        <v>2542</v>
      </c>
      <c r="U16" s="33" t="str">
        <f>IF('31'!AA23=1,'31'!AR6,'31'!AR7)</f>
        <v>S.A.L</v>
      </c>
      <c r="V16" s="944"/>
      <c r="W16" s="944"/>
      <c r="X16" s="13">
        <v>0.45833333333333298</v>
      </c>
      <c r="Y16" s="54">
        <v>2562</v>
      </c>
      <c r="Z16" s="183">
        <v>1061</v>
      </c>
      <c r="AA16" s="15">
        <v>1</v>
      </c>
      <c r="AB16" s="58">
        <f>IF('31'!AA16=1,(('31'!Z16*'31'!$AS$6*'31'!$AT$6)/('31'!Y16*0.0036)),IF('31'!AA16=2,(('31'!Z16*'31'!$AS$7*'31'!$AT$7)/('31'!Y16*0.0036))))</f>
        <v>76.498937462052226</v>
      </c>
      <c r="AC16" s="58"/>
      <c r="AD16" s="18">
        <f>(('31'!AC16*'31'!$I$10*1000000))/('31'!Y16*3600)</f>
        <v>0</v>
      </c>
      <c r="AE16" s="19"/>
      <c r="AF16" s="184">
        <f>('31'!AE16/24)*0.454</f>
        <v>0</v>
      </c>
      <c r="AG16" s="19"/>
      <c r="AH16" s="184">
        <f>('31'!AG16/24)*0.454</f>
        <v>0</v>
      </c>
      <c r="AI16" s="183">
        <v>5400</v>
      </c>
      <c r="AJ16" s="184">
        <f>('31'!AI16/24)*0.454</f>
        <v>102.15</v>
      </c>
      <c r="AK16" s="21"/>
      <c r="AL16" s="185">
        <f>('31'!AK16/24)*0.454</f>
        <v>0</v>
      </c>
      <c r="AM16" s="21"/>
      <c r="AN16" s="185">
        <f>('31'!AM16/24)*0.454</f>
        <v>0</v>
      </c>
      <c r="AO16" s="21"/>
      <c r="AP16" s="185">
        <f>('31'!AO16/24)*0.454</f>
        <v>0</v>
      </c>
    </row>
    <row r="17" spans="1:42" ht="18.75" customHeight="1">
      <c r="A17" s="28">
        <v>0.83333333333333304</v>
      </c>
      <c r="B17" s="186">
        <v>75</v>
      </c>
      <c r="C17" s="186">
        <v>12.5</v>
      </c>
      <c r="D17" s="186">
        <v>17.5</v>
      </c>
      <c r="E17" s="186">
        <v>2.5</v>
      </c>
      <c r="F17" s="186">
        <v>9</v>
      </c>
      <c r="G17" s="186">
        <v>1.3</v>
      </c>
      <c r="H17" s="186">
        <v>2.5</v>
      </c>
      <c r="I17" s="186">
        <v>0.4</v>
      </c>
      <c r="J17" s="186">
        <v>0.4</v>
      </c>
      <c r="K17" s="186">
        <v>7.3</v>
      </c>
      <c r="L17" s="186">
        <v>6.5</v>
      </c>
      <c r="M17" s="186">
        <v>6.5</v>
      </c>
      <c r="N17" s="186">
        <v>6.3</v>
      </c>
      <c r="O17" s="186">
        <v>3.5</v>
      </c>
      <c r="P17" s="186">
        <v>0.1</v>
      </c>
      <c r="Q17" s="188"/>
      <c r="R17" s="37">
        <f>'31'!Z25</f>
        <v>1061</v>
      </c>
      <c r="S17" s="36">
        <f>'31'!AB25</f>
        <v>76.798698188784414</v>
      </c>
      <c r="T17" s="37">
        <f>'31'!Y25</f>
        <v>2552</v>
      </c>
      <c r="U17" s="33" t="str">
        <f>IF('31'!AA25=1,'31'!AR6,'31'!AR7)</f>
        <v>S.A.L</v>
      </c>
      <c r="V17" s="944"/>
      <c r="W17" s="944"/>
      <c r="X17" s="13">
        <v>0.5</v>
      </c>
      <c r="Y17" s="54">
        <v>2523</v>
      </c>
      <c r="Z17" s="183">
        <v>1061</v>
      </c>
      <c r="AA17" s="15">
        <v>1</v>
      </c>
      <c r="AB17" s="58">
        <f>IF('31'!AA17=1,(('31'!Z17*'31'!$AS$6*'31'!$AT$6)/('31'!Y17*0.0036)),IF('31'!AA17=2,(('31'!Z17*'31'!$AS$7*'31'!$AT$7)/('31'!Y17*0.0036))))</f>
        <v>77.681441846126759</v>
      </c>
      <c r="AC17" s="58"/>
      <c r="AD17" s="18">
        <f>(('31'!AC17*'31'!$I$10*1000000))/('31'!Y17*3600)</f>
        <v>0</v>
      </c>
      <c r="AE17" s="19"/>
      <c r="AF17" s="184">
        <f>('31'!AE17/24)*0.454</f>
        <v>0</v>
      </c>
      <c r="AG17" s="19"/>
      <c r="AH17" s="184">
        <f>('31'!AG17/24)*0.454</f>
        <v>0</v>
      </c>
      <c r="AI17" s="183">
        <v>5400</v>
      </c>
      <c r="AJ17" s="184">
        <f>('31'!AI17/24)*0.454</f>
        <v>102.15</v>
      </c>
      <c r="AK17" s="21"/>
      <c r="AL17" s="185">
        <f>('31'!AK17/24)*0.454</f>
        <v>0</v>
      </c>
      <c r="AM17" s="21"/>
      <c r="AN17" s="185">
        <f>('31'!AM17/24)*0.454</f>
        <v>0</v>
      </c>
      <c r="AO17" s="21"/>
      <c r="AP17" s="185">
        <f>('31'!AO17/24)*0.454</f>
        <v>0</v>
      </c>
    </row>
    <row r="18" spans="1:42" ht="19.5" customHeight="1">
      <c r="A18" s="28">
        <v>0.91666666666666696</v>
      </c>
      <c r="B18" s="186">
        <v>80</v>
      </c>
      <c r="C18" s="186">
        <v>12.5</v>
      </c>
      <c r="D18" s="186">
        <v>17.5</v>
      </c>
      <c r="E18" s="186">
        <v>2.5</v>
      </c>
      <c r="F18" s="186">
        <v>9</v>
      </c>
      <c r="G18" s="186">
        <v>1.3</v>
      </c>
      <c r="H18" s="186">
        <v>2.5</v>
      </c>
      <c r="I18" s="186">
        <v>0.5</v>
      </c>
      <c r="J18" s="186">
        <v>0.5</v>
      </c>
      <c r="K18" s="186">
        <v>7.3</v>
      </c>
      <c r="L18" s="186">
        <v>6.5</v>
      </c>
      <c r="M18" s="186">
        <v>6.5</v>
      </c>
      <c r="N18" s="186">
        <v>6.3</v>
      </c>
      <c r="O18" s="186">
        <v>3.2</v>
      </c>
      <c r="P18" s="186">
        <v>0.1</v>
      </c>
      <c r="Q18" s="188"/>
      <c r="R18" s="37">
        <f>'31'!Z27</f>
        <v>1061</v>
      </c>
      <c r="S18" s="36">
        <f>'31'!AB27</f>
        <v>77.252770113432319</v>
      </c>
      <c r="T18" s="37">
        <f>'31'!Y27</f>
        <v>2537</v>
      </c>
      <c r="U18" s="33" t="str">
        <f>IF('31'!AA27=1,'31'!AR6,'31'!AR7)</f>
        <v>S.A.L</v>
      </c>
      <c r="V18" s="944"/>
      <c r="W18" s="944"/>
      <c r="X18" s="13">
        <v>0.54166666666666696</v>
      </c>
      <c r="Y18" s="54">
        <v>2587</v>
      </c>
      <c r="Z18" s="183">
        <v>1061</v>
      </c>
      <c r="AA18" s="15">
        <v>1</v>
      </c>
      <c r="AB18" s="58">
        <f>IF('31'!AA18=1,(('31'!Z18*'31'!$AS$6*'31'!$AT$6)/('31'!Y18*0.0036)),IF('31'!AA18=2,(('31'!Z18*'31'!$AS$7*'31'!$AT$7)/('31'!Y18*0.0036))))</f>
        <v>75.759674440578962</v>
      </c>
      <c r="AC18" s="58"/>
      <c r="AD18" s="18">
        <f>(('31'!AC18*'31'!$I$10*1000000))/('31'!Y18*3600)</f>
        <v>0</v>
      </c>
      <c r="AE18" s="19">
        <v>2100</v>
      </c>
      <c r="AF18" s="184">
        <f>('31'!AE18/24)*0.454</f>
        <v>39.725000000000001</v>
      </c>
      <c r="AG18" s="19"/>
      <c r="AH18" s="184">
        <f>('31'!AG18/24)*0.454</f>
        <v>0</v>
      </c>
      <c r="AI18" s="183">
        <v>5400</v>
      </c>
      <c r="AJ18" s="184">
        <f>('31'!AI18/24)*0.454</f>
        <v>102.15</v>
      </c>
      <c r="AK18" s="21"/>
      <c r="AL18" s="185">
        <f>('31'!AK18/24)*0.454</f>
        <v>0</v>
      </c>
      <c r="AM18" s="21"/>
      <c r="AN18" s="185">
        <f>('31'!AM18/24)*0.454</f>
        <v>0</v>
      </c>
      <c r="AO18" s="21"/>
      <c r="AP18" s="185">
        <f>('31'!AO18/24)*0.454</f>
        <v>0</v>
      </c>
    </row>
    <row r="19" spans="1:42" ht="18.75" customHeight="1">
      <c r="A19" s="10" t="s">
        <v>52</v>
      </c>
      <c r="B19" s="69">
        <f>AVERAGE('31'!B7:B18)</f>
        <v>79.583333333333329</v>
      </c>
      <c r="C19" s="69">
        <f>AVERAGE('31'!C7:C18)</f>
        <v>12.5</v>
      </c>
      <c r="D19" s="69">
        <f>AVERAGE('31'!D7:D18)</f>
        <v>16.041666666666668</v>
      </c>
      <c r="E19" s="69">
        <f>AVERAGE('31'!E7:E18)</f>
        <v>2.5</v>
      </c>
      <c r="F19" s="69">
        <f>AVERAGE('31'!F7:F18)</f>
        <v>13.083333333333334</v>
      </c>
      <c r="G19" s="69">
        <f>AVERAGE('31'!G7:G18)</f>
        <v>1.6166666666666669</v>
      </c>
      <c r="H19" s="69">
        <f>AVERAGE('31'!H7:H18)</f>
        <v>2.5333333333333332</v>
      </c>
      <c r="I19" s="69">
        <f>AVERAGE('31'!I7:I18)</f>
        <v>0.48333333333333339</v>
      </c>
      <c r="J19" s="69">
        <f>AVERAGE('31'!J7:J18)</f>
        <v>0.52500000000000002</v>
      </c>
      <c r="K19" s="69">
        <f>AVERAGE('31'!K7:K18)</f>
        <v>7.299999999999998</v>
      </c>
      <c r="L19" s="69">
        <f>AVERAGE('31'!L7:L18)</f>
        <v>6.5</v>
      </c>
      <c r="M19" s="69">
        <f>AVERAGE('31'!M7:M18)</f>
        <v>6.5333333333333341</v>
      </c>
      <c r="N19" s="69">
        <f>AVERAGE('31'!N7:N18)</f>
        <v>6.3333333333333321</v>
      </c>
      <c r="O19" s="69">
        <f>AVERAGE('31'!O7:O18)</f>
        <v>3.2250000000000001</v>
      </c>
      <c r="P19" s="69">
        <f>AVERAGE('31'!P7:P18)</f>
        <v>0.16363636363636364</v>
      </c>
      <c r="Q19" s="69" t="e">
        <f>AVERAGE('31'!Q7:Q18)</f>
        <v>#DIV/0!</v>
      </c>
      <c r="R19" s="189">
        <f>AVERAGE('31'!R7:R18)</f>
        <v>1061</v>
      </c>
      <c r="S19" s="189">
        <f>AVERAGE('31'!S7:S18)</f>
        <v>76.431067523220861</v>
      </c>
      <c r="T19" s="946"/>
      <c r="U19" s="946"/>
      <c r="V19" s="49"/>
      <c r="W19" s="50"/>
      <c r="X19" s="13">
        <v>0.58333333333333304</v>
      </c>
      <c r="Y19" s="54">
        <v>2574</v>
      </c>
      <c r="Z19" s="183">
        <v>1061</v>
      </c>
      <c r="AA19" s="15">
        <v>1</v>
      </c>
      <c r="AB19" s="58">
        <f>IF('31'!AA19=1,(('31'!Z19*'31'!$AS$6*'31'!$AT$6)/('31'!Y19*0.0036)),IF('31'!AA19=2,(('31'!Z19*'31'!$AS$7*'31'!$AT$7)/('31'!Y19*0.0036))))</f>
        <v>76.142299058965733</v>
      </c>
      <c r="AC19" s="58"/>
      <c r="AD19" s="18">
        <f>(('31'!AC19*'31'!$I$10*1000000))/('31'!Y19*3600)</f>
        <v>0</v>
      </c>
      <c r="AE19" s="19">
        <v>2100</v>
      </c>
      <c r="AF19" s="184">
        <f>('31'!AE19/24)*0.454</f>
        <v>39.725000000000001</v>
      </c>
      <c r="AG19" s="19"/>
      <c r="AH19" s="184">
        <f>('31'!AG19/24)*0.454</f>
        <v>0</v>
      </c>
      <c r="AI19" s="183">
        <v>5400</v>
      </c>
      <c r="AJ19" s="184">
        <f>('31'!AI19/24)*0.454</f>
        <v>102.15</v>
      </c>
      <c r="AK19" s="21"/>
      <c r="AL19" s="185">
        <f>('31'!AK19/24)*0.454</f>
        <v>0</v>
      </c>
      <c r="AM19" s="21"/>
      <c r="AN19" s="185">
        <f>('31'!AM19/24)*0.454</f>
        <v>0</v>
      </c>
      <c r="AO19" s="21"/>
      <c r="AP19" s="185">
        <f>('31'!AO19/24)*0.454</f>
        <v>0</v>
      </c>
    </row>
    <row r="20" spans="1:42" ht="18.75" customHeight="1">
      <c r="A20" s="10" t="s">
        <v>53</v>
      </c>
      <c r="B20" s="69">
        <f>MAX('31'!B7:B18)</f>
        <v>80</v>
      </c>
      <c r="C20" s="69">
        <f>MAX('31'!C7:C18)</f>
        <v>12.5</v>
      </c>
      <c r="D20" s="69">
        <f>MAX('31'!D7:D18)</f>
        <v>17.5</v>
      </c>
      <c r="E20" s="69">
        <f>MAX('31'!E7:E18)</f>
        <v>2.5</v>
      </c>
      <c r="F20" s="69">
        <f>MAX('31'!F7:F18)</f>
        <v>15</v>
      </c>
      <c r="G20" s="69">
        <f>MAX('31'!G7:G18)</f>
        <v>2.2000000000000002</v>
      </c>
      <c r="H20" s="69">
        <f>MAX('31'!H7:H18)</f>
        <v>2.8</v>
      </c>
      <c r="I20" s="69">
        <f>MAX('31'!I7:I18)</f>
        <v>0.6</v>
      </c>
      <c r="J20" s="69">
        <f>MAX('31'!J7:J18)</f>
        <v>0.6</v>
      </c>
      <c r="K20" s="69">
        <f>MAX('31'!K7:K18)</f>
        <v>7.3</v>
      </c>
      <c r="L20" s="69">
        <f>MAX('31'!L7:L18)</f>
        <v>6.5</v>
      </c>
      <c r="M20" s="69">
        <f>MAX('31'!M7:M18)</f>
        <v>6.6</v>
      </c>
      <c r="N20" s="69">
        <f>MAX('31'!N7:N18)</f>
        <v>6.4</v>
      </c>
      <c r="O20" s="69">
        <f>MAX('31'!O7:O18)</f>
        <v>3.5</v>
      </c>
      <c r="P20" s="69">
        <f>MAX('31'!P7:P18)</f>
        <v>0.2</v>
      </c>
      <c r="Q20" s="69">
        <f>MAX('31'!Q7:Q18)</f>
        <v>0</v>
      </c>
      <c r="R20" s="69">
        <f>MAX('31'!R7:R18)</f>
        <v>1061</v>
      </c>
      <c r="S20" s="344">
        <f>MAX('31'!S7:S18)</f>
        <v>77.681441846126759</v>
      </c>
      <c r="T20" s="946"/>
      <c r="U20" s="946"/>
      <c r="X20" s="13">
        <v>0.625</v>
      </c>
      <c r="Y20" s="54">
        <v>2569</v>
      </c>
      <c r="Z20" s="183">
        <v>1061</v>
      </c>
      <c r="AA20" s="15">
        <v>1</v>
      </c>
      <c r="AB20" s="58">
        <f>IF('31'!AA20=1,(('31'!Z20*'31'!$AS$6*'31'!$AT$6)/('31'!Y20*0.0036)),IF('31'!AA20=2,(('31'!Z20*'31'!$AS$7*'31'!$AT$7)/('31'!Y20*0.0036))))</f>
        <v>76.290493490765968</v>
      </c>
      <c r="AC20" s="58"/>
      <c r="AD20" s="18">
        <f>(('31'!AC20*'31'!$I$10*1000000))/('31'!Y20*3600)</f>
        <v>0</v>
      </c>
      <c r="AE20" s="19">
        <v>2100</v>
      </c>
      <c r="AF20" s="184">
        <f>('31'!AE20/24)*0.454</f>
        <v>39.725000000000001</v>
      </c>
      <c r="AG20" s="19"/>
      <c r="AH20" s="184">
        <f>('31'!AG20/24)*0.454</f>
        <v>0</v>
      </c>
      <c r="AI20" s="183">
        <v>5400</v>
      </c>
      <c r="AJ20" s="184">
        <f>('31'!AI20/24)*0.454</f>
        <v>102.15</v>
      </c>
      <c r="AK20" s="21"/>
      <c r="AL20" s="185">
        <f>('31'!AK20/24)*0.454</f>
        <v>0</v>
      </c>
      <c r="AM20" s="21"/>
      <c r="AN20" s="185">
        <f>('31'!AM20/24)*0.454</f>
        <v>0</v>
      </c>
      <c r="AO20" s="21"/>
      <c r="AP20" s="185">
        <f>('31'!AO20/24)*0.454</f>
        <v>0</v>
      </c>
    </row>
    <row r="21" spans="1:42" ht="19.5" customHeight="1">
      <c r="A21" s="10" t="s">
        <v>54</v>
      </c>
      <c r="B21" s="69">
        <f>MIN('31'!B7:B18)</f>
        <v>75</v>
      </c>
      <c r="C21" s="69">
        <f>MIN('31'!C7:C18)</f>
        <v>12.5</v>
      </c>
      <c r="D21" s="69">
        <f>MIN('31'!D7:D18)</f>
        <v>15</v>
      </c>
      <c r="E21" s="69">
        <f>MIN('31'!E7:E18)</f>
        <v>2.5</v>
      </c>
      <c r="F21" s="69">
        <f>MIN('31'!F7:F18)</f>
        <v>9</v>
      </c>
      <c r="G21" s="69">
        <f>MIN('31'!G7:G18)</f>
        <v>1.2</v>
      </c>
      <c r="H21" s="69">
        <f>MIN('31'!H7:H18)</f>
        <v>2.2000000000000002</v>
      </c>
      <c r="I21" s="69">
        <f>MIN('31'!I7:I18)</f>
        <v>0.4</v>
      </c>
      <c r="J21" s="69">
        <f>MIN('31'!J7:J18)</f>
        <v>0.4</v>
      </c>
      <c r="K21" s="69">
        <f>MIN('31'!K7:K18)</f>
        <v>7.3</v>
      </c>
      <c r="L21" s="69">
        <f>MIN('31'!L7:L18)</f>
        <v>6.5</v>
      </c>
      <c r="M21" s="69">
        <f>MIN('31'!M7:M18)</f>
        <v>6.5</v>
      </c>
      <c r="N21" s="69">
        <f>MIN('31'!N7:N18)</f>
        <v>6.3</v>
      </c>
      <c r="O21" s="69">
        <f>MIN('31'!O7:O18)</f>
        <v>3</v>
      </c>
      <c r="P21" s="69">
        <f>MIN('31'!P7:P18)</f>
        <v>0.1</v>
      </c>
      <c r="Q21" s="69">
        <f>MIN('31'!Q7:Q18)</f>
        <v>0</v>
      </c>
      <c r="R21" s="69">
        <f>MIN('31'!R7:R18)</f>
        <v>1061</v>
      </c>
      <c r="S21" s="69">
        <f>MIN('31'!S7:S18)</f>
        <v>75.351894570464353</v>
      </c>
      <c r="T21" s="946"/>
      <c r="U21" s="946"/>
      <c r="X21" s="13">
        <v>0.66666666666666696</v>
      </c>
      <c r="Y21" s="54">
        <v>2578</v>
      </c>
      <c r="Z21" s="183">
        <v>1061</v>
      </c>
      <c r="AA21" s="15">
        <v>1</v>
      </c>
      <c r="AB21" s="58">
        <f>IF('31'!AA21=1,(('31'!Z21*'31'!$AS$6*'31'!$AT$6)/('31'!Y21*0.0036)),IF('31'!AA21=2,(('31'!Z21*'31'!$AS$7*'31'!$AT$7)/('31'!Y21*0.0036))))</f>
        <v>76.024157400224126</v>
      </c>
      <c r="AC21" s="58"/>
      <c r="AD21" s="18">
        <f>(('31'!AC21*'31'!$I$10*1000000))/('31'!Y21*3600)</f>
        <v>0</v>
      </c>
      <c r="AE21" s="19">
        <v>2100</v>
      </c>
      <c r="AF21" s="184">
        <f>('31'!AE21/24)*0.454</f>
        <v>39.725000000000001</v>
      </c>
      <c r="AG21" s="19"/>
      <c r="AH21" s="184">
        <f>('31'!AG21/24)*0.454</f>
        <v>0</v>
      </c>
      <c r="AI21" s="183">
        <v>5400</v>
      </c>
      <c r="AJ21" s="184">
        <f>('31'!AI21/24)*0.454</f>
        <v>102.15</v>
      </c>
      <c r="AK21" s="21"/>
      <c r="AL21" s="185">
        <f>('31'!AK21/24)*0.454</f>
        <v>0</v>
      </c>
      <c r="AM21" s="21"/>
      <c r="AN21" s="185">
        <f>('31'!AM21/24)*0.454</f>
        <v>0</v>
      </c>
      <c r="AO21" s="21"/>
      <c r="AP21" s="185">
        <f>('31'!AO21/24)*0.454</f>
        <v>0</v>
      </c>
    </row>
    <row r="22" spans="1:42" ht="19.5" customHeight="1">
      <c r="A22" s="55"/>
      <c r="B22" s="56"/>
      <c r="C22" s="56"/>
      <c r="D22" s="56"/>
      <c r="E22" s="56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948" t="s">
        <v>55</v>
      </c>
      <c r="S22" s="948"/>
      <c r="T22" s="946"/>
      <c r="U22" s="946"/>
      <c r="X22" s="13">
        <v>0.70833333333333304</v>
      </c>
      <c r="Y22" s="54">
        <v>2521</v>
      </c>
      <c r="Z22" s="183">
        <v>1061</v>
      </c>
      <c r="AA22" s="15">
        <v>1</v>
      </c>
      <c r="AB22" s="58">
        <f>IF('31'!AA22=1,(('31'!Z22*'31'!$AS$6*'31'!$AT$6)/('31'!Y22*0.0036)),IF('31'!AA22=2,(('31'!Z22*'31'!$AS$7*'31'!$AT$7)/('31'!Y22*0.0036))))</f>
        <v>77.743069328749627</v>
      </c>
      <c r="AC22" s="58"/>
      <c r="AD22" s="18">
        <f>(('31'!AC22*'31'!$I$10*1000000))/('31'!Y22*3600)</f>
        <v>0</v>
      </c>
      <c r="AE22" s="19">
        <v>2100</v>
      </c>
      <c r="AF22" s="184">
        <f>('31'!AE22/24)*0.454</f>
        <v>39.725000000000001</v>
      </c>
      <c r="AG22" s="19"/>
      <c r="AH22" s="184">
        <f>('31'!AG22/24)*0.454</f>
        <v>0</v>
      </c>
      <c r="AI22" s="183">
        <v>5400</v>
      </c>
      <c r="AJ22" s="184">
        <f>('31'!AI22/24)*0.454</f>
        <v>102.15</v>
      </c>
      <c r="AK22" s="21"/>
      <c r="AL22" s="185">
        <f>('31'!AK22/24)*0.454</f>
        <v>0</v>
      </c>
      <c r="AM22" s="21"/>
      <c r="AN22" s="185">
        <f>('31'!AM22/24)*0.454</f>
        <v>0</v>
      </c>
      <c r="AO22" s="21"/>
      <c r="AP22" s="185">
        <f>('31'!AO22/24)*0.454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9">
        <v>440</v>
      </c>
      <c r="S23" s="60" t="s">
        <v>57</v>
      </c>
      <c r="T23" s="946"/>
      <c r="U23" s="946"/>
      <c r="X23" s="13">
        <v>0.75</v>
      </c>
      <c r="Y23" s="54">
        <v>2542</v>
      </c>
      <c r="Z23" s="183">
        <v>1061</v>
      </c>
      <c r="AA23" s="15">
        <v>1</v>
      </c>
      <c r="AB23" s="58">
        <f>IF('31'!AA23=1,(('31'!Z23*'31'!$AS$6*'31'!$AT$6)/('31'!Y23*0.0036)),IF('31'!AA23=2,(('31'!Z23*'31'!$AS$7*'31'!$AT$7)/('31'!Y23*0.0036))))</f>
        <v>77.100817379141546</v>
      </c>
      <c r="AC23" s="58"/>
      <c r="AD23" s="18">
        <f>(('31'!AC23*'31'!$I$10*1000000))/('31'!Y23*3600)</f>
        <v>0</v>
      </c>
      <c r="AE23" s="19">
        <v>2100</v>
      </c>
      <c r="AF23" s="184">
        <f>('31'!AE23/24)*0.454</f>
        <v>39.725000000000001</v>
      </c>
      <c r="AG23" s="19"/>
      <c r="AH23" s="184">
        <f>('31'!AG23/24)*0.454</f>
        <v>0</v>
      </c>
      <c r="AI23" s="183">
        <v>5400</v>
      </c>
      <c r="AJ23" s="184">
        <f>('31'!AI23/24)*0.454</f>
        <v>102.15</v>
      </c>
      <c r="AK23" s="21"/>
      <c r="AL23" s="185">
        <f>('31'!AK23/24)*0.454</f>
        <v>0</v>
      </c>
      <c r="AM23" s="21"/>
      <c r="AN23" s="185">
        <f>('31'!AM23/24)*0.454</f>
        <v>0</v>
      </c>
      <c r="AO23" s="21"/>
      <c r="AP23" s="185">
        <f>('31'!AO23/24)*0.454</f>
        <v>0</v>
      </c>
    </row>
    <row r="24" spans="1:42" ht="19.5" customHeight="1">
      <c r="A24" s="10" t="s">
        <v>7</v>
      </c>
      <c r="B24" s="61">
        <v>1</v>
      </c>
      <c r="C24" s="61">
        <v>2</v>
      </c>
      <c r="D24" s="61">
        <v>3</v>
      </c>
      <c r="E24" s="61">
        <v>4</v>
      </c>
      <c r="F24" s="61">
        <v>5</v>
      </c>
      <c r="G24" s="61">
        <v>6</v>
      </c>
      <c r="H24" s="61">
        <v>7</v>
      </c>
      <c r="I24" s="61">
        <v>8</v>
      </c>
      <c r="J24" s="61">
        <v>9</v>
      </c>
      <c r="K24" s="61">
        <v>10</v>
      </c>
      <c r="L24" s="61">
        <v>11</v>
      </c>
      <c r="M24" s="61">
        <v>12</v>
      </c>
      <c r="N24" s="61">
        <v>13</v>
      </c>
      <c r="O24" s="61">
        <v>14</v>
      </c>
      <c r="P24" s="61">
        <v>15</v>
      </c>
      <c r="Q24" s="62">
        <v>16</v>
      </c>
      <c r="R24" s="59">
        <v>0</v>
      </c>
      <c r="S24" s="60" t="s">
        <v>58</v>
      </c>
      <c r="T24" s="946"/>
      <c r="U24" s="946"/>
      <c r="X24" s="13">
        <v>0.79166666666666696</v>
      </c>
      <c r="Y24" s="54">
        <v>2556</v>
      </c>
      <c r="Z24" s="183">
        <v>1061</v>
      </c>
      <c r="AA24" s="15">
        <v>1</v>
      </c>
      <c r="AB24" s="16">
        <f>IF('31'!AA24=1,(('31'!Z24*'31'!$AS$6*'31'!$AT$6)/('31'!Y24*0.0036)),IF('31'!AA24=2,(('31'!Z24*'31'!$AS$7*'31'!$AT$7)/('31'!Y24*0.0036))))</f>
        <v>76.678512432620423</v>
      </c>
      <c r="AC24" s="58"/>
      <c r="AD24" s="18">
        <f>(('31'!AC24*'31'!$I$10*1000000))/('31'!Y24*3600)</f>
        <v>0</v>
      </c>
      <c r="AE24" s="19">
        <v>2100</v>
      </c>
      <c r="AF24" s="195">
        <f>('31'!AE24/24)*0.454</f>
        <v>39.725000000000001</v>
      </c>
      <c r="AG24" s="19"/>
      <c r="AH24" s="195">
        <f>('31'!AG24/24)*0.454</f>
        <v>0</v>
      </c>
      <c r="AI24" s="183">
        <v>5400</v>
      </c>
      <c r="AJ24" s="184">
        <f>('31'!AI24/24)*0.454</f>
        <v>102.15</v>
      </c>
      <c r="AK24" s="21"/>
      <c r="AL24" s="196">
        <f>('31'!AK24/24)*0.454</f>
        <v>0</v>
      </c>
      <c r="AM24" s="21"/>
      <c r="AN24" s="196">
        <f>('31'!AM24/24)*0.454</f>
        <v>0</v>
      </c>
      <c r="AO24" s="21"/>
      <c r="AP24" s="185">
        <f>('31'!AO24/24)*0.454</f>
        <v>0</v>
      </c>
    </row>
    <row r="25" spans="1:42" ht="19.5" customHeight="1">
      <c r="A25" s="64">
        <v>0.41666666666666702</v>
      </c>
      <c r="B25" s="261"/>
      <c r="C25" s="261">
        <v>0.44</v>
      </c>
      <c r="D25" s="259">
        <v>0.45</v>
      </c>
      <c r="E25" s="260">
        <v>0.4</v>
      </c>
      <c r="F25" s="260">
        <v>0.5</v>
      </c>
      <c r="G25" s="260">
        <v>0.48</v>
      </c>
      <c r="H25" s="260">
        <v>0.42</v>
      </c>
      <c r="I25" s="260">
        <v>0.49</v>
      </c>
      <c r="J25" s="260">
        <v>0.49</v>
      </c>
      <c r="K25" s="260">
        <v>0.51</v>
      </c>
      <c r="L25" s="260">
        <v>0.56000000000000005</v>
      </c>
      <c r="M25" s="260">
        <v>0.52</v>
      </c>
      <c r="N25" s="345">
        <v>0.5</v>
      </c>
      <c r="O25" s="260">
        <v>0.48</v>
      </c>
      <c r="P25" s="260">
        <v>0.53</v>
      </c>
      <c r="Q25" s="260"/>
      <c r="R25" s="65" t="e">
        <f>#DIV/0!</f>
        <v>#DIV/0!</v>
      </c>
      <c r="S25" s="66"/>
      <c r="T25" s="1023" t="s">
        <v>0</v>
      </c>
      <c r="U25" s="1049">
        <f>ESCALA!$A$33</f>
        <v>43921</v>
      </c>
      <c r="X25" s="13">
        <v>0.83333333333333304</v>
      </c>
      <c r="Y25" s="54">
        <v>2552</v>
      </c>
      <c r="Z25" s="183">
        <v>1061</v>
      </c>
      <c r="AA25" s="15">
        <v>1</v>
      </c>
      <c r="AB25" s="58">
        <f>IF('31'!AA25=1,(('31'!Z25*'31'!$AS$6*'31'!$AT$6)/('31'!Y25*0.0036)),IF('31'!AA25=2,(('31'!Z25*'31'!$AS$7*'31'!$AT$7)/('31'!Y25*0.0036))))</f>
        <v>76.798698188784414</v>
      </c>
      <c r="AC25" s="58"/>
      <c r="AD25" s="18">
        <f>(('31'!AC25*'31'!$I$10*1000000))/('31'!Y25*3600)</f>
        <v>0</v>
      </c>
      <c r="AE25" s="19">
        <v>2100</v>
      </c>
      <c r="AF25" s="184">
        <f>('31'!AE25/24)*0.454</f>
        <v>39.725000000000001</v>
      </c>
      <c r="AG25" s="19"/>
      <c r="AH25" s="184">
        <f>('31'!AG25/24)*0.454</f>
        <v>0</v>
      </c>
      <c r="AI25" s="183">
        <v>5400</v>
      </c>
      <c r="AJ25" s="184">
        <f>('31'!AI25/24)*0.454</f>
        <v>102.15</v>
      </c>
      <c r="AK25" s="21"/>
      <c r="AL25" s="185">
        <f>('31'!AK25/24)*0.454</f>
        <v>0</v>
      </c>
      <c r="AM25" s="21"/>
      <c r="AN25" s="185">
        <f>('31'!AM25/24)*0.454</f>
        <v>0</v>
      </c>
      <c r="AO25" s="21"/>
      <c r="AP25" s="185">
        <f>('31'!AO25/24)*0.454</f>
        <v>0</v>
      </c>
    </row>
    <row r="26" spans="1:42" ht="19.5" customHeight="1">
      <c r="A26" s="64">
        <v>0.66666666666666696</v>
      </c>
      <c r="B26" s="261"/>
      <c r="C26" s="261"/>
      <c r="D26" s="261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65" t="e">
        <f>#DIV/0!</f>
        <v>#DIV/0!</v>
      </c>
      <c r="S26" s="67"/>
      <c r="T26" s="1023"/>
      <c r="U26" s="1049"/>
      <c r="X26" s="13">
        <v>0.875</v>
      </c>
      <c r="Y26" s="54">
        <v>2527</v>
      </c>
      <c r="Z26" s="183">
        <v>1061</v>
      </c>
      <c r="AA26" s="15">
        <v>1</v>
      </c>
      <c r="AB26" s="58">
        <f>IF('31'!AA26=1,(('31'!Z26*'31'!$AS$6*'31'!$AT$6)/('31'!Y26*0.0036)),IF('31'!AA26=2,(('31'!Z26*'31'!$AS$7*'31'!$AT$7)/('31'!Y26*0.0036))))</f>
        <v>77.558479532163759</v>
      </c>
      <c r="AC26" s="58"/>
      <c r="AD26" s="18">
        <f>(('31'!AC26*'31'!$I$10*1000000))/('31'!Y26*3600)</f>
        <v>0</v>
      </c>
      <c r="AE26" s="19">
        <v>2100</v>
      </c>
      <c r="AF26" s="184">
        <f>('31'!AE26/24)*0.454</f>
        <v>39.725000000000001</v>
      </c>
      <c r="AG26" s="19"/>
      <c r="AH26" s="184">
        <f>('31'!AG26/24)*0.454</f>
        <v>0</v>
      </c>
      <c r="AI26" s="183">
        <v>5400</v>
      </c>
      <c r="AJ26" s="184">
        <f>('31'!AI26/24)*0.454</f>
        <v>102.15</v>
      </c>
      <c r="AK26" s="21"/>
      <c r="AL26" s="185">
        <f>('31'!AK26/24)*0.454</f>
        <v>0</v>
      </c>
      <c r="AM26" s="21"/>
      <c r="AN26" s="185">
        <f>('31'!AM26/24)*0.454</f>
        <v>0</v>
      </c>
      <c r="AO26" s="21"/>
      <c r="AP26" s="185">
        <f>('31'!AO26/24)*0.454</f>
        <v>0</v>
      </c>
    </row>
    <row r="27" spans="1:42" ht="19.5" customHeight="1">
      <c r="A27" s="68" t="s">
        <v>52</v>
      </c>
      <c r="B27" s="48" t="e">
        <f>#DIV/0!</f>
        <v>#DIV/0!</v>
      </c>
      <c r="C27" s="48" t="e">
        <f>#DIV/0!</f>
        <v>#DIV/0!</v>
      </c>
      <c r="D27" s="48" t="e">
        <f>#DIV/0!</f>
        <v>#DIV/0!</v>
      </c>
      <c r="E27" s="69" t="e">
        <f>#DIV/0!</f>
        <v>#DIV/0!</v>
      </c>
      <c r="F27" s="69" t="e">
        <f>#DIV/0!</f>
        <v>#DIV/0!</v>
      </c>
      <c r="G27" s="69" t="e">
        <f>#DIV/0!</f>
        <v>#DIV/0!</v>
      </c>
      <c r="H27" s="69" t="e">
        <f>#DIV/0!</f>
        <v>#DIV/0!</v>
      </c>
      <c r="I27" s="69" t="e">
        <f>#DIV/0!</f>
        <v>#DIV/0!</v>
      </c>
      <c r="J27" s="69" t="e">
        <f>#DIV/0!</f>
        <v>#DIV/0!</v>
      </c>
      <c r="K27" s="69" t="e">
        <f>#DIV/0!</f>
        <v>#DIV/0!</v>
      </c>
      <c r="L27" s="69" t="e">
        <f>#DIV/0!</f>
        <v>#DIV/0!</v>
      </c>
      <c r="M27" s="69" t="e">
        <f>#DIV/0!</f>
        <v>#DIV/0!</v>
      </c>
      <c r="N27" s="69" t="e">
        <f>#DIV/0!</f>
        <v>#DIV/0!</v>
      </c>
      <c r="O27" s="69" t="e">
        <f>#DIV/0!</f>
        <v>#DIV/0!</v>
      </c>
      <c r="P27" s="69" t="e">
        <f>#DIV/0!</f>
        <v>#DIV/0!</v>
      </c>
      <c r="Q27" s="70" t="e">
        <f>#DIV/0!</f>
        <v>#DIV/0!</v>
      </c>
      <c r="R27" s="1024"/>
      <c r="S27" s="1024"/>
      <c r="T27" s="1024"/>
      <c r="U27" s="74"/>
      <c r="X27" s="13">
        <v>0.91666666666666696</v>
      </c>
      <c r="Y27" s="54">
        <v>2537</v>
      </c>
      <c r="Z27" s="183">
        <v>1061</v>
      </c>
      <c r="AA27" s="15">
        <v>1</v>
      </c>
      <c r="AB27" s="58">
        <f>IF('31'!AA27=1,(('31'!Z27*'31'!$AS$6*'31'!$AT$6)/('31'!Y27*0.0036)),IF('31'!AA27=2,(('31'!Z27*'31'!$AS$7*'31'!$AT$7)/('31'!Y27*0.0036))))</f>
        <v>77.252770113432319</v>
      </c>
      <c r="AC27" s="58"/>
      <c r="AD27" s="18">
        <f>(('31'!AC27*'31'!$I$10*1000000))/('31'!Y27*3600)</f>
        <v>0</v>
      </c>
      <c r="AE27" s="19">
        <v>2100</v>
      </c>
      <c r="AF27" s="184">
        <f>('31'!AE27/24)*0.454</f>
        <v>39.725000000000001</v>
      </c>
      <c r="AG27" s="19"/>
      <c r="AH27" s="184">
        <f>('31'!AG27/24)*0.454</f>
        <v>0</v>
      </c>
      <c r="AI27" s="183">
        <v>5400</v>
      </c>
      <c r="AJ27" s="184">
        <f>('31'!AI27/24)*0.454</f>
        <v>102.15</v>
      </c>
      <c r="AK27" s="21"/>
      <c r="AL27" s="185">
        <f>('31'!AK27/24)*0.454</f>
        <v>0</v>
      </c>
      <c r="AM27" s="21"/>
      <c r="AN27" s="185">
        <f>('31'!AM27/24)*0.454</f>
        <v>0</v>
      </c>
      <c r="AO27" s="21"/>
      <c r="AP27" s="185">
        <f>('31'!AO27/24)*0.454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4">
        <v>2519</v>
      </c>
      <c r="Z28" s="183">
        <v>1061</v>
      </c>
      <c r="AA28" s="15">
        <v>1</v>
      </c>
      <c r="AB28" s="58">
        <f>IF('31'!AA28=1,(('31'!Z28*'31'!$AS$6*'31'!$AT$6)/('31'!Y28*0.0036)),IF('31'!AA28=2,(('31'!Z28*'31'!$AS$7*'31'!$AT$7)/('31'!Y28*0.0036))))</f>
        <v>77.804794671606899</v>
      </c>
      <c r="AC28" s="58"/>
      <c r="AD28" s="18">
        <f>(('31'!AC28*'31'!$I$10*1000000))/('31'!Y28*3600)</f>
        <v>0</v>
      </c>
      <c r="AE28" s="19">
        <v>2100</v>
      </c>
      <c r="AF28" s="184">
        <f>('31'!AE28/24)*0.454</f>
        <v>39.725000000000001</v>
      </c>
      <c r="AG28" s="19"/>
      <c r="AH28" s="184">
        <f>('31'!AG28/24)*0.454</f>
        <v>0</v>
      </c>
      <c r="AI28" s="183">
        <v>5400</v>
      </c>
      <c r="AJ28" s="184">
        <f>('31'!AI28/24)*0.454</f>
        <v>102.15</v>
      </c>
      <c r="AK28" s="21"/>
      <c r="AL28" s="185">
        <f>('31'!AK28/24)*0.454</f>
        <v>0</v>
      </c>
      <c r="AM28" s="21"/>
      <c r="AN28" s="185">
        <f>('31'!AM28/24)*0.454</f>
        <v>0</v>
      </c>
      <c r="AO28" s="21"/>
      <c r="AP28" s="185">
        <f>('31'!AO28/24)*0.454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4">
        <v>2585</v>
      </c>
      <c r="Z29" s="183">
        <v>1061</v>
      </c>
      <c r="AA29" s="15">
        <v>1</v>
      </c>
      <c r="AB29" s="58">
        <f>IF('31'!AA29=1,(('31'!Z29*'31'!$AS$6*'31'!$AT$6)/('31'!Y29*0.0036)),IF('31'!AA29=2,(('31'!Z29*'31'!$AS$7*'31'!$AT$7)/('31'!Y29*0.0036))))</f>
        <v>75.818289275736092</v>
      </c>
      <c r="AC29" s="58"/>
      <c r="AD29" s="18">
        <f>(('31'!AC29*'31'!$I$10*1000000))/('31'!Y29*3600)</f>
        <v>0</v>
      </c>
      <c r="AE29" s="19">
        <v>2100</v>
      </c>
      <c r="AF29" s="184">
        <f>('31'!AE29/24)*0.454</f>
        <v>39.725000000000001</v>
      </c>
      <c r="AG29" s="19"/>
      <c r="AH29" s="184">
        <f>('31'!AG29/24)*0.454</f>
        <v>0</v>
      </c>
      <c r="AI29" s="183">
        <v>5400</v>
      </c>
      <c r="AJ29" s="184">
        <f>('31'!AI29/24)*0.454</f>
        <v>102.15</v>
      </c>
      <c r="AK29" s="21"/>
      <c r="AL29" s="185">
        <f>('31'!AK29/24)*0.454</f>
        <v>0</v>
      </c>
      <c r="AM29" s="21"/>
      <c r="AN29" s="185">
        <f>('31'!AM29/24)*0.454</f>
        <v>0</v>
      </c>
      <c r="AO29" s="21"/>
      <c r="AP29" s="185">
        <f>('31'!AO29/24)*0.454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5" t="s">
        <v>55</v>
      </c>
      <c r="Y30" s="201">
        <f>SUM('31'!Y6:Y29)*3.6</f>
        <v>221148</v>
      </c>
      <c r="Z30" s="82">
        <f>SUM('31'!Z6:Z29)</f>
        <v>25464</v>
      </c>
      <c r="AA30" s="78"/>
      <c r="AB30" s="79"/>
      <c r="AC30" s="78"/>
      <c r="AD30" s="79"/>
      <c r="AE30" s="34"/>
      <c r="AF30" s="184">
        <f>SUM('31'!AF6:AF29)</f>
        <v>845.57500000000027</v>
      </c>
      <c r="AG30" s="34"/>
      <c r="AH30" s="184">
        <f>SUM('31'!AH6:AH29)</f>
        <v>0</v>
      </c>
      <c r="AI30" s="34"/>
      <c r="AJ30" s="184">
        <f>SUM('31'!AJ6:AJ29)</f>
        <v>2375.9333333333348</v>
      </c>
      <c r="AK30" s="80"/>
      <c r="AL30" s="185">
        <f>SUM('31'!AL6:AL29)</f>
        <v>0</v>
      </c>
      <c r="AM30" s="80"/>
      <c r="AN30" s="185">
        <f>SUM('31'!AN6:AN29)</f>
        <v>0</v>
      </c>
      <c r="AO30" s="80"/>
      <c r="AP30" s="185">
        <f>SUM('31'!AP6:AP29)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1"/>
      <c r="AL31" s="81"/>
      <c r="AM31" s="81"/>
      <c r="AN31" s="81"/>
      <c r="AO31" s="81"/>
      <c r="AP31" s="81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2">
        <f>SUMIF('31'!AA6:AA29,"=1",'31'!Z6:Z29)</f>
        <v>25464</v>
      </c>
      <c r="AA32" s="82">
        <f>'31'!Z32*'31'!AS6</f>
        <v>33867.120000000003</v>
      </c>
      <c r="AB32" s="83">
        <f>SUMIF('31'!$AA$6:$AA$29,"=1",'31'!$AB$6:$AB$29)/COUNTIF('31'!$AA$6:$AA$29,"=1")</f>
        <v>76.57863898029197</v>
      </c>
      <c r="AC32" s="84">
        <f>SUMIF('31'!AA6:AA29,"=1",'31'!AC6:AC29)</f>
        <v>0</v>
      </c>
      <c r="AD32" s="84"/>
      <c r="AE32" s="85"/>
      <c r="AF32" s="86"/>
      <c r="AG32" s="85"/>
      <c r="AH32" s="86"/>
      <c r="AI32" s="85"/>
      <c r="AJ32" s="87"/>
      <c r="AK32" s="88"/>
      <c r="AL32" s="88"/>
      <c r="AM32" s="88"/>
      <c r="AN32" s="88"/>
      <c r="AO32" s="88"/>
      <c r="AP32" s="88"/>
    </row>
    <row r="33" spans="1:46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2">
        <f>SUMIF('31'!AA6:AA29,"=2",'31'!Z6:Z29)</f>
        <v>0</v>
      </c>
      <c r="AA33" s="82">
        <f>'31'!Z33*'31'!AS7</f>
        <v>0</v>
      </c>
      <c r="AB33" s="83" t="e">
        <f>SUMIF('31'!$AA$6:$AA$29,"=2",'31'!$AB$6:$AB$29)/COUNTIF('31'!$AA$6:$AA$29,"=2")</f>
        <v>#DIV/0!</v>
      </c>
      <c r="AC33" s="89">
        <f>SUMIF('31'!AA6:AA29,"=2",'31'!AC6:AC29)</f>
        <v>0</v>
      </c>
      <c r="AD33" s="89"/>
      <c r="AE33" s="90"/>
      <c r="AF33" s="91"/>
      <c r="AG33" s="90"/>
      <c r="AH33" s="91"/>
      <c r="AI33" s="90"/>
      <c r="AJ33" s="92"/>
      <c r="AK33" s="93"/>
      <c r="AL33" s="93"/>
      <c r="AM33" s="93"/>
      <c r="AN33" s="93"/>
      <c r="AO33" s="93"/>
      <c r="AP33" s="93"/>
    </row>
    <row r="34" spans="1:46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4" t="s">
        <v>52</v>
      </c>
      <c r="Y34" s="95">
        <f>AVERAGE('31'!Y6:Y29)</f>
        <v>2559.5833333333335</v>
      </c>
      <c r="Z34" s="96">
        <f>AVERAGE('31'!Z6:Z29)</f>
        <v>1061</v>
      </c>
      <c r="AA34" s="97"/>
      <c r="AB34" s="97"/>
      <c r="AC34" s="98">
        <f>SUM('31'!AC6:AC29)/COUNTIF('31'!AC6:AC29,"&lt;&gt;0")</f>
        <v>0</v>
      </c>
      <c r="AD34" s="99" t="e">
        <f>SUM('31'!AD6:AD29)/COUNTIF('31'!AD6:AD29,"&lt;&gt;0")</f>
        <v>#DIV/0!</v>
      </c>
      <c r="AE34" s="78"/>
      <c r="AF34" s="98">
        <f>AVERAGE('31'!AF6:AF29)</f>
        <v>35.232291666666676</v>
      </c>
      <c r="AG34" s="98"/>
      <c r="AH34" s="98">
        <f>AVERAGE('31'!AH6:AH29)</f>
        <v>0</v>
      </c>
      <c r="AI34" s="98"/>
      <c r="AJ34" s="98">
        <f>'31'!AJ30/24</f>
        <v>98.997222222222277</v>
      </c>
      <c r="AK34" s="98"/>
      <c r="AL34" s="98">
        <f>AVERAGE('31'!AL6:AL29)</f>
        <v>0</v>
      </c>
      <c r="AM34" s="98"/>
      <c r="AN34" s="98">
        <f>AVERAGE('31'!AN6:AN29)</f>
        <v>0</v>
      </c>
      <c r="AO34" s="98"/>
      <c r="AP34" s="98">
        <f>AVERAGE('31'!AP6:AP29)</f>
        <v>0</v>
      </c>
    </row>
    <row r="35" spans="1:46" ht="15.75" customHeight="1">
      <c r="A35" s="101"/>
      <c r="B35" s="102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1"/>
      <c r="P35" s="101"/>
      <c r="Q35" s="101"/>
      <c r="R35" s="101"/>
      <c r="S35" s="101"/>
      <c r="T35" s="101"/>
      <c r="U35" s="1050" t="s">
        <v>15</v>
      </c>
      <c r="X35" s="958" t="s">
        <v>66</v>
      </c>
      <c r="Y35" s="958"/>
      <c r="Z35" s="103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6" ht="15.75" customHeight="1">
      <c r="A36" s="101"/>
      <c r="B36" s="10" t="s">
        <v>7</v>
      </c>
      <c r="C36" s="61" t="s">
        <v>40</v>
      </c>
      <c r="D36" s="61" t="s">
        <v>70</v>
      </c>
      <c r="E36" s="61" t="s">
        <v>71</v>
      </c>
      <c r="F36" s="61" t="s">
        <v>40</v>
      </c>
      <c r="G36" s="61" t="s">
        <v>72</v>
      </c>
      <c r="H36" s="61" t="s">
        <v>71</v>
      </c>
      <c r="I36" s="61" t="s">
        <v>40</v>
      </c>
      <c r="J36" s="61" t="s">
        <v>72</v>
      </c>
      <c r="K36" s="61" t="s">
        <v>71</v>
      </c>
      <c r="L36" s="960" t="s">
        <v>71</v>
      </c>
      <c r="M36" s="960"/>
      <c r="N36" s="960"/>
      <c r="O36" s="101"/>
      <c r="P36" s="101"/>
      <c r="Q36" s="101"/>
      <c r="R36" s="101"/>
      <c r="S36" s="101"/>
      <c r="T36" s="101"/>
      <c r="U36" s="1050"/>
      <c r="X36" s="105" t="s">
        <v>73</v>
      </c>
      <c r="Y36" s="106"/>
      <c r="Z36" s="107"/>
      <c r="AA36" s="108" t="s">
        <v>74</v>
      </c>
      <c r="AB36" s="106"/>
      <c r="AJ36" s="1025"/>
      <c r="AK36" s="1025"/>
      <c r="AL36" s="1025"/>
      <c r="AM36" s="1025"/>
      <c r="AO36" s="1025"/>
      <c r="AP36" s="1025"/>
      <c r="AQ36" s="1025"/>
      <c r="AR36" s="1025"/>
    </row>
    <row r="37" spans="1:46" ht="18" customHeight="1">
      <c r="A37" s="101"/>
      <c r="B37" s="28">
        <v>0.33333333333333298</v>
      </c>
      <c r="C37" s="186">
        <v>80.599999999999994</v>
      </c>
      <c r="D37" s="186">
        <v>52.4</v>
      </c>
      <c r="E37" s="186">
        <v>46.4</v>
      </c>
      <c r="F37" s="186">
        <v>1.2</v>
      </c>
      <c r="G37" s="183">
        <v>0.2</v>
      </c>
      <c r="H37" s="183">
        <v>0.2</v>
      </c>
      <c r="I37" s="183">
        <v>0.4</v>
      </c>
      <c r="J37" s="183">
        <v>0.25</v>
      </c>
      <c r="K37" s="183">
        <v>0.03</v>
      </c>
      <c r="L37" s="1026">
        <v>0</v>
      </c>
      <c r="M37" s="1026"/>
      <c r="N37" s="1026"/>
      <c r="O37" s="10"/>
      <c r="P37" s="10"/>
      <c r="Q37" s="10"/>
      <c r="R37" s="10"/>
      <c r="S37" s="10"/>
      <c r="T37" s="10"/>
      <c r="U37" s="236">
        <f>'31'!V12</f>
        <v>0</v>
      </c>
      <c r="X37" s="1062" t="s">
        <v>75</v>
      </c>
      <c r="Y37" s="1062"/>
      <c r="Z37" s="110">
        <f>COUNTA('31'!Z6:Z29)</f>
        <v>24</v>
      </c>
      <c r="AA37" s="111"/>
      <c r="AB37" s="111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6" ht="16.5" customHeight="1">
      <c r="A38" s="101"/>
      <c r="B38" s="28">
        <v>0.66666666666666696</v>
      </c>
      <c r="C38" s="206"/>
      <c r="D38" s="206"/>
      <c r="E38" s="207"/>
      <c r="F38" s="207"/>
      <c r="G38" s="207"/>
      <c r="H38" s="207"/>
      <c r="I38" s="206"/>
      <c r="J38" s="206"/>
      <c r="K38" s="206"/>
      <c r="L38" s="961"/>
      <c r="M38" s="961"/>
      <c r="N38" s="961"/>
      <c r="O38" s="101"/>
      <c r="P38" s="101"/>
      <c r="Q38" s="101"/>
      <c r="R38" s="101"/>
      <c r="S38" s="101"/>
      <c r="T38" s="101"/>
      <c r="U38" s="101"/>
      <c r="X38" s="112"/>
      <c r="Y38" s="112"/>
      <c r="Z38" s="113"/>
      <c r="AA38" s="111"/>
      <c r="AB38" s="111"/>
      <c r="AJ38" s="210" t="s">
        <v>78</v>
      </c>
      <c r="AK38" s="211">
        <f>SUM('31'!AF30+'31'!AH30)</f>
        <v>845.57500000000027</v>
      </c>
      <c r="AL38" s="210" t="s">
        <v>78</v>
      </c>
      <c r="AM38" s="212">
        <f>SUM('31'!AL30+'31'!AN30)</f>
        <v>0</v>
      </c>
      <c r="AO38" s="210" t="s">
        <v>78</v>
      </c>
      <c r="AP38" s="211">
        <f>'31'!AJ30</f>
        <v>2375.9333333333348</v>
      </c>
      <c r="AQ38" s="210" t="s">
        <v>78</v>
      </c>
      <c r="AR38" s="212">
        <f>'31'!AP30</f>
        <v>0</v>
      </c>
    </row>
    <row r="39" spans="1:46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1"/>
      <c r="V39" s="122"/>
      <c r="X39" s="112"/>
      <c r="Y39" s="112"/>
      <c r="Z39" s="113"/>
      <c r="AA39" s="111"/>
      <c r="AB39" s="111"/>
      <c r="AJ39" s="213" t="s">
        <v>86</v>
      </c>
      <c r="AK39" s="214">
        <f>('31'!AK38/'31'!Y30)*1000</f>
        <v>3.8235706404760625</v>
      </c>
      <c r="AL39" s="215" t="s">
        <v>86</v>
      </c>
      <c r="AM39" s="216">
        <f>('31'!AM38/'31'!Y30)*1000</f>
        <v>0</v>
      </c>
      <c r="AO39" s="213" t="s">
        <v>86</v>
      </c>
      <c r="AP39" s="214">
        <f>('31'!AP38/'31'!Y30)*1000</f>
        <v>10.74363473028621</v>
      </c>
      <c r="AQ39" s="215" t="s">
        <v>86</v>
      </c>
      <c r="AR39" s="216">
        <f>('31'!AR38/'31'!Y30)*1000</f>
        <v>0</v>
      </c>
    </row>
    <row r="40" spans="1:46" ht="16.5" customHeight="1">
      <c r="A40" s="130" t="s">
        <v>87</v>
      </c>
      <c r="B40" s="131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2"/>
      <c r="V40" s="122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SUM('31'!AK38,'31'!AM38)</f>
        <v>845.57500000000027</v>
      </c>
      <c r="AM40" s="975"/>
      <c r="AO40" s="976" t="s">
        <v>90</v>
      </c>
      <c r="AP40" s="976"/>
      <c r="AQ40" s="977">
        <f>SUM('31'!AP38,'31'!AR38)</f>
        <v>2375.9333333333348</v>
      </c>
      <c r="AR40" s="977"/>
      <c r="AT40" s="343"/>
    </row>
    <row r="41" spans="1:46" ht="16.5" customHeight="1">
      <c r="A41" s="133">
        <f>COUNTA('31'!E7:E18)</f>
        <v>12</v>
      </c>
      <c r="B41" s="134">
        <f>COUNTA('31'!I7:I18)</f>
        <v>12</v>
      </c>
      <c r="C41" s="978">
        <f>COUNTA('31'!B7:B18)</f>
        <v>12</v>
      </c>
      <c r="D41" s="978">
        <f>COUNTA('31'!C7:C18)</f>
        <v>12</v>
      </c>
      <c r="E41" s="978">
        <f>COUNTIF('31'!E7:E18,"&gt;15")</f>
        <v>0</v>
      </c>
      <c r="F41" s="978"/>
      <c r="G41" s="978">
        <f>COUNTIF('31'!B7:B18,"&gt;1")</f>
        <v>12</v>
      </c>
      <c r="H41" s="978"/>
      <c r="I41" s="135"/>
      <c r="J41" s="978">
        <f>'31'!A41-'31'!E41</f>
        <v>12</v>
      </c>
      <c r="K41" s="978"/>
      <c r="L41" s="978">
        <f>'31'!C41-'31'!G41</f>
        <v>0</v>
      </c>
      <c r="M41" s="978"/>
      <c r="N41" s="135"/>
      <c r="O41" s="979">
        <f>COUNTIF('31'!J7:J18,"&lt;=0,5")</f>
        <v>7</v>
      </c>
      <c r="P41" s="979"/>
      <c r="Q41" s="979"/>
      <c r="R41" s="969"/>
      <c r="S41" s="980">
        <f>COUNTIF('31'!J7:J18,"&lt;=1,0")</f>
        <v>12</v>
      </c>
      <c r="T41" s="980"/>
      <c r="U41" s="136"/>
      <c r="V41" s="122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1120" t="s">
        <v>158</v>
      </c>
      <c r="AK41" s="1120"/>
      <c r="AL41" s="981">
        <f>SUM(('31'!AK38+'31'!AM38)/'31'!Y30)*1000</f>
        <v>3.8235706404760625</v>
      </c>
      <c r="AM41" s="981"/>
      <c r="AO41" s="1120" t="s">
        <v>158</v>
      </c>
      <c r="AP41" s="1120"/>
      <c r="AQ41" s="1121">
        <f>SUM(('31'!AP38+'31'!AR38)/'31'!Y30)*1000</f>
        <v>10.74363473028621</v>
      </c>
      <c r="AR41" s="1121"/>
    </row>
    <row r="42" spans="1:46" ht="19.5" customHeight="1">
      <c r="A42" s="137"/>
      <c r="B42" s="137"/>
      <c r="C42" s="137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  <c r="AJ42" s="1120"/>
      <c r="AK42" s="1120"/>
      <c r="AL42" s="981"/>
      <c r="AM42" s="981"/>
      <c r="AO42" s="1120"/>
      <c r="AP42" s="1120"/>
      <c r="AQ42" s="1121"/>
      <c r="AR42" s="1121"/>
    </row>
    <row r="43" spans="1:46" ht="16.5" customHeight="1">
      <c r="A43" s="137"/>
      <c r="B43" s="137"/>
      <c r="C43" s="137"/>
      <c r="H43" s="984" t="s">
        <v>94</v>
      </c>
      <c r="I43" s="984"/>
      <c r="J43" s="984"/>
      <c r="L43" s="985" t="s">
        <v>95</v>
      </c>
      <c r="M43" s="985"/>
      <c r="N43" s="138"/>
      <c r="O43" s="139"/>
      <c r="P43" s="140"/>
      <c r="Q43" s="986" t="s">
        <v>96</v>
      </c>
      <c r="R43" s="986"/>
      <c r="S43" s="986"/>
      <c r="T43" s="141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2"/>
      <c r="AG43" s="143"/>
    </row>
    <row r="44" spans="1:46" ht="15" customHeight="1">
      <c r="A44" s="137"/>
      <c r="B44" s="137"/>
      <c r="C44" s="137"/>
      <c r="H44" s="984"/>
      <c r="I44" s="984"/>
      <c r="J44" s="984"/>
      <c r="L44" s="985"/>
      <c r="M44" s="985"/>
      <c r="N44" s="138"/>
      <c r="O44" s="139"/>
      <c r="P44" s="140"/>
      <c r="Q44" s="986"/>
      <c r="R44" s="986"/>
      <c r="S44" s="986"/>
      <c r="T44" s="141"/>
      <c r="X44" s="144" t="s">
        <v>101</v>
      </c>
      <c r="Y44" s="145"/>
      <c r="Z44" s="144" t="s">
        <v>101</v>
      </c>
      <c r="AA44" s="145"/>
      <c r="AB44" s="144" t="s">
        <v>101</v>
      </c>
      <c r="AC44" s="145"/>
      <c r="AD44" s="988"/>
      <c r="AE44" s="988"/>
      <c r="AF44" s="989" t="s">
        <v>102</v>
      </c>
      <c r="AG44" s="1002">
        <f>SUM('31'!Y45,'31'!AA45,'31'!AC45,'31'!AE45)</f>
        <v>0</v>
      </c>
    </row>
    <row r="45" spans="1:46" ht="15" customHeight="1">
      <c r="H45" s="992">
        <f>COUNTIF('31'!I7:I18,"&lt;=5,0")</f>
        <v>12</v>
      </c>
      <c r="I45" s="992"/>
      <c r="J45" s="992"/>
      <c r="K45" s="135"/>
      <c r="L45" s="974">
        <f>COUNTA('31'!L37)</f>
        <v>1</v>
      </c>
      <c r="M45" s="974"/>
      <c r="O45" s="146"/>
      <c r="P45" s="147"/>
      <c r="Q45" s="993">
        <f>'31'!S41-'31'!O41</f>
        <v>5</v>
      </c>
      <c r="R45" s="993"/>
      <c r="S45" s="993"/>
      <c r="T45" s="148"/>
      <c r="X45" s="149" t="s">
        <v>104</v>
      </c>
      <c r="Y45" s="150">
        <f>'31'!Y44*275.3</f>
        <v>0</v>
      </c>
      <c r="Z45" s="149" t="s">
        <v>104</v>
      </c>
      <c r="AA45" s="150">
        <f>262.4*'31'!AA44</f>
        <v>0</v>
      </c>
      <c r="AB45" s="149" t="s">
        <v>104</v>
      </c>
      <c r="AC45" s="150">
        <f>'31'!AC44*277.7</f>
        <v>0</v>
      </c>
      <c r="AD45" s="149" t="s">
        <v>104</v>
      </c>
      <c r="AE45" s="151"/>
      <c r="AF45" s="989"/>
      <c r="AG45" s="1002"/>
      <c r="AI45" s="991" t="s">
        <v>103</v>
      </c>
      <c r="AJ45" s="991"/>
      <c r="AK45" s="991"/>
      <c r="AL45" s="991"/>
      <c r="AM45" s="991"/>
      <c r="AN45" s="991"/>
      <c r="AO45" s="991"/>
      <c r="AP45" s="991"/>
      <c r="AQ45" s="991"/>
      <c r="AR45" s="991"/>
    </row>
    <row r="46" spans="1:46" ht="15.75" customHeight="1">
      <c r="F46" s="152"/>
      <c r="X46" s="153" t="s">
        <v>105</v>
      </c>
      <c r="Y46" s="154">
        <f>'31'!AS6</f>
        <v>1.33</v>
      </c>
      <c r="Z46" s="153" t="s">
        <v>105</v>
      </c>
      <c r="AA46" s="155">
        <f>'31'!Y46</f>
        <v>1.33</v>
      </c>
      <c r="AB46" s="153" t="s">
        <v>105</v>
      </c>
      <c r="AC46" s="155">
        <f>'31'!Y46</f>
        <v>1.33</v>
      </c>
      <c r="AD46" s="153" t="s">
        <v>105</v>
      </c>
      <c r="AE46" s="156">
        <f>'31'!Y46</f>
        <v>1.33</v>
      </c>
      <c r="AF46" s="995" t="s">
        <v>106</v>
      </c>
      <c r="AG46" s="996">
        <f>SUM('31'!Y47,'31'!AA47,'31'!AC47,'31'!AE47)</f>
        <v>0</v>
      </c>
      <c r="AI46" s="987" t="s">
        <v>97</v>
      </c>
      <c r="AJ46" s="987"/>
      <c r="AK46" s="987" t="s">
        <v>98</v>
      </c>
      <c r="AL46" s="987"/>
      <c r="AM46" s="987" t="s">
        <v>99</v>
      </c>
      <c r="AN46" s="987"/>
      <c r="AO46" s="1079"/>
      <c r="AP46" s="1079"/>
      <c r="AQ46" s="142"/>
      <c r="AR46" s="143"/>
    </row>
    <row r="47" spans="1:46" ht="15" customHeight="1">
      <c r="O47" s="997" t="s">
        <v>107</v>
      </c>
      <c r="P47" s="997"/>
      <c r="Q47" s="997"/>
      <c r="R47" s="997"/>
      <c r="S47" s="997"/>
      <c r="T47" s="997"/>
      <c r="X47" s="149" t="s">
        <v>108</v>
      </c>
      <c r="Y47" s="150">
        <f>'31'!Y45*'31'!Y46</f>
        <v>0</v>
      </c>
      <c r="Z47" s="149" t="s">
        <v>108</v>
      </c>
      <c r="AA47" s="150">
        <f>'31'!AA45*'31'!AA46</f>
        <v>0</v>
      </c>
      <c r="AB47" s="149" t="s">
        <v>108</v>
      </c>
      <c r="AC47" s="150">
        <f>'31'!AC45*'31'!AC46</f>
        <v>0</v>
      </c>
      <c r="AD47" s="149" t="s">
        <v>108</v>
      </c>
      <c r="AE47" s="150">
        <f>'31'!AE45*'31'!AE46</f>
        <v>0</v>
      </c>
      <c r="AF47" s="995"/>
      <c r="AG47" s="996"/>
      <c r="AI47" s="144" t="s">
        <v>101</v>
      </c>
      <c r="AJ47" s="145"/>
      <c r="AK47" s="144" t="s">
        <v>101</v>
      </c>
      <c r="AL47" s="145"/>
      <c r="AM47" s="144" t="s">
        <v>101</v>
      </c>
      <c r="AN47" s="145"/>
      <c r="AO47" s="1079"/>
      <c r="AP47" s="1079"/>
      <c r="AQ47" s="989" t="s">
        <v>102</v>
      </c>
      <c r="AR47" s="990">
        <f>SUM('10'!AJ48,'10'!AL48,'10'!AN48,'10'!AP48)</f>
        <v>3.99</v>
      </c>
    </row>
    <row r="48" spans="1:46" ht="15.75" customHeight="1">
      <c r="O48" s="997"/>
      <c r="P48" s="997"/>
      <c r="Q48" s="997"/>
      <c r="R48" s="997"/>
      <c r="S48" s="997"/>
      <c r="T48" s="997"/>
      <c r="X48" s="157"/>
      <c r="Y48" s="158"/>
      <c r="Z48" s="157"/>
      <c r="AA48" s="158"/>
      <c r="AB48" s="157"/>
      <c r="AC48" s="158"/>
      <c r="AD48" s="157"/>
      <c r="AE48" s="159"/>
      <c r="AF48" s="159"/>
      <c r="AG48" s="159"/>
      <c r="AI48" s="149" t="s">
        <v>104</v>
      </c>
      <c r="AJ48" s="150">
        <f>AJ47*275.3</f>
        <v>0</v>
      </c>
      <c r="AK48" s="149" t="s">
        <v>104</v>
      </c>
      <c r="AL48" s="150">
        <f>262.4*'10'!AL47</f>
        <v>0</v>
      </c>
      <c r="AM48" s="149" t="s">
        <v>104</v>
      </c>
      <c r="AN48" s="150">
        <f>AN47*277.7</f>
        <v>0</v>
      </c>
      <c r="AO48" s="1079"/>
      <c r="AP48" s="1079"/>
      <c r="AQ48" s="989"/>
      <c r="AR48" s="990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1"/>
      <c r="AF49" s="161"/>
      <c r="AG49" s="161"/>
      <c r="AI49" s="153" t="s">
        <v>105</v>
      </c>
      <c r="AJ49" s="154">
        <f>Y46</f>
        <v>1.33</v>
      </c>
      <c r="AK49" s="160" t="s">
        <v>105</v>
      </c>
      <c r="AL49" s="154">
        <f>AJ49</f>
        <v>1.33</v>
      </c>
      <c r="AM49" s="160" t="s">
        <v>105</v>
      </c>
      <c r="AN49" s="154">
        <f>AJ49</f>
        <v>1.33</v>
      </c>
      <c r="AO49" s="1079"/>
      <c r="AP49" s="1079"/>
      <c r="AQ49" s="995" t="s">
        <v>106</v>
      </c>
      <c r="AR49" s="996">
        <f>SUM('10'!AJ50,'10'!AL50,'10'!AN50,'10'!AP50)</f>
        <v>0</v>
      </c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  <c r="AI50" s="149" t="s">
        <v>108</v>
      </c>
      <c r="AJ50" s="150">
        <f>'10'!AJ48*'10'!AJ49</f>
        <v>0</v>
      </c>
      <c r="AK50" s="149" t="s">
        <v>108</v>
      </c>
      <c r="AL50" s="150">
        <f>'10'!AL48*'10'!AL49</f>
        <v>0</v>
      </c>
      <c r="AM50" s="149" t="s">
        <v>108</v>
      </c>
      <c r="AN50" s="150">
        <f>'10'!AN48*'10'!AN49</f>
        <v>0</v>
      </c>
      <c r="AO50" s="1079"/>
      <c r="AP50" s="1079"/>
      <c r="AQ50" s="995"/>
      <c r="AR50" s="996"/>
    </row>
    <row r="51" spans="15:44" ht="16.5" customHeight="1">
      <c r="O51" s="974">
        <f>COUNTA('31'!G7:G18)</f>
        <v>12</v>
      </c>
      <c r="P51" s="974">
        <f>COUNTA('31'!W17:W28)</f>
        <v>0</v>
      </c>
      <c r="R51" s="992">
        <f>COUNTIF('31'!G7:G18,"&gt;=0,5")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2"/>
      <c r="AG51" s="163"/>
    </row>
    <row r="52" spans="15:44" ht="15" customHeight="1">
      <c r="X52" s="144" t="s">
        <v>101</v>
      </c>
      <c r="Y52" s="164"/>
      <c r="Z52" s="144" t="s">
        <v>101</v>
      </c>
      <c r="AA52" s="164"/>
      <c r="AB52" s="144" t="s">
        <v>101</v>
      </c>
      <c r="AC52" s="164"/>
      <c r="AD52" s="1001"/>
      <c r="AE52" s="1001"/>
      <c r="AF52" s="989" t="s">
        <v>102</v>
      </c>
      <c r="AG52" s="1002">
        <f>SUM('31'!Y53,'31'!AA53,'31'!AC53,'31'!AE53)</f>
        <v>0</v>
      </c>
      <c r="AI52" s="1000" t="s">
        <v>112</v>
      </c>
      <c r="AJ52" s="1000"/>
      <c r="AK52" s="1000"/>
      <c r="AL52" s="1000"/>
      <c r="AM52" s="1000"/>
      <c r="AN52" s="1000"/>
      <c r="AO52" s="1000"/>
      <c r="AP52" s="1000"/>
      <c r="AQ52" s="1000"/>
      <c r="AR52" s="1000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9" t="s">
        <v>104</v>
      </c>
      <c r="Y53" s="150">
        <f>'31'!Y52*275.3</f>
        <v>0</v>
      </c>
      <c r="Z53" s="149" t="s">
        <v>104</v>
      </c>
      <c r="AA53" s="150">
        <f>262.4*'31'!AA52</f>
        <v>0</v>
      </c>
      <c r="AB53" s="149" t="s">
        <v>104</v>
      </c>
      <c r="AC53" s="167">
        <f>'31'!AC52*277.7</f>
        <v>0</v>
      </c>
      <c r="AD53" s="149" t="s">
        <v>104</v>
      </c>
      <c r="AE53" s="230"/>
      <c r="AF53" s="989"/>
      <c r="AG53" s="1002"/>
      <c r="AI53" s="987" t="s">
        <v>97</v>
      </c>
      <c r="AJ53" s="987"/>
      <c r="AK53" s="987" t="s">
        <v>98</v>
      </c>
      <c r="AL53" s="987"/>
      <c r="AM53" s="987" t="s">
        <v>99</v>
      </c>
      <c r="AN53" s="987"/>
      <c r="AO53" s="1079"/>
      <c r="AP53" s="1079"/>
      <c r="AQ53" s="313"/>
      <c r="AR53" s="314"/>
    </row>
    <row r="54" spans="15:44" ht="15" customHeight="1">
      <c r="O54" s="997"/>
      <c r="P54" s="997"/>
      <c r="Q54" s="997"/>
      <c r="R54" s="997"/>
      <c r="S54" s="997"/>
      <c r="T54" s="997"/>
      <c r="X54" s="153" t="s">
        <v>105</v>
      </c>
      <c r="Y54" s="154">
        <f>'31'!AS7</f>
        <v>1.345</v>
      </c>
      <c r="Z54" s="153" t="s">
        <v>105</v>
      </c>
      <c r="AA54" s="155">
        <f>'31'!Y54</f>
        <v>1.345</v>
      </c>
      <c r="AB54" s="153" t="s">
        <v>105</v>
      </c>
      <c r="AC54" s="155">
        <f>'31'!Y54</f>
        <v>1.345</v>
      </c>
      <c r="AD54" s="153" t="s">
        <v>105</v>
      </c>
      <c r="AE54" s="156">
        <f>'31'!Y54</f>
        <v>1.345</v>
      </c>
      <c r="AF54" s="995" t="s">
        <v>106</v>
      </c>
      <c r="AG54" s="996">
        <f>SUM('31'!Y55,'31'!AA55,'31'!AC55,'31'!AE55)</f>
        <v>0</v>
      </c>
      <c r="AI54" s="144" t="s">
        <v>101</v>
      </c>
      <c r="AJ54" s="166">
        <v>0</v>
      </c>
      <c r="AK54" s="144" t="s">
        <v>101</v>
      </c>
      <c r="AL54" s="164"/>
      <c r="AM54" s="144" t="s">
        <v>101</v>
      </c>
      <c r="AN54" s="164"/>
      <c r="AO54" s="1079"/>
      <c r="AP54" s="1079"/>
      <c r="AQ54" s="989" t="s">
        <v>102</v>
      </c>
      <c r="AR54" s="1002">
        <f>'10'!AJ55+'10'!AL55+'10'!AN55+'10'!AP55</f>
        <v>0</v>
      </c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9" t="s">
        <v>108</v>
      </c>
      <c r="Y55" s="150">
        <f>'31'!Y53*'31'!Y54</f>
        <v>0</v>
      </c>
      <c r="Z55" s="149" t="s">
        <v>108</v>
      </c>
      <c r="AA55" s="150">
        <f>'31'!AA53*'31'!AA54</f>
        <v>0</v>
      </c>
      <c r="AB55" s="149" t="s">
        <v>108</v>
      </c>
      <c r="AC55" s="150">
        <f>'31'!AC53*'31'!AC54</f>
        <v>0</v>
      </c>
      <c r="AD55" s="149" t="s">
        <v>108</v>
      </c>
      <c r="AE55" s="150">
        <f>'31'!AE53*'31'!AE54</f>
        <v>0</v>
      </c>
      <c r="AF55" s="995"/>
      <c r="AG55" s="996"/>
      <c r="AI55" s="149" t="s">
        <v>104</v>
      </c>
      <c r="AJ55" s="150">
        <f>AJ54*275.3</f>
        <v>0</v>
      </c>
      <c r="AK55" s="149" t="s">
        <v>104</v>
      </c>
      <c r="AL55" s="150">
        <f>262.4*AL54</f>
        <v>0</v>
      </c>
      <c r="AM55" s="149" t="s">
        <v>104</v>
      </c>
      <c r="AN55" s="167">
        <f>AN54*277.7</f>
        <v>0</v>
      </c>
      <c r="AO55" s="1079"/>
      <c r="AP55" s="1079"/>
      <c r="AQ55" s="989"/>
      <c r="AR55" s="1002"/>
    </row>
    <row r="56" spans="15:44" ht="13.9" customHeight="1">
      <c r="O56" s="998"/>
      <c r="P56" s="998"/>
      <c r="R56" s="999"/>
      <c r="S56" s="999"/>
      <c r="T56" s="999"/>
      <c r="AI56" s="153" t="s">
        <v>105</v>
      </c>
      <c r="AJ56" s="154">
        <f>Y54</f>
        <v>1.345</v>
      </c>
      <c r="AK56" s="153" t="s">
        <v>105</v>
      </c>
      <c r="AL56" s="154">
        <f>AJ56</f>
        <v>1.345</v>
      </c>
      <c r="AM56" s="153" t="s">
        <v>105</v>
      </c>
      <c r="AN56" s="154">
        <f>AJ56</f>
        <v>1.345</v>
      </c>
      <c r="AO56" s="1079"/>
      <c r="AP56" s="1079"/>
      <c r="AQ56" s="995" t="s">
        <v>106</v>
      </c>
      <c r="AR56" s="996">
        <f>SUM('10'!AJ57,'10'!AL57,'10'!AN57,'10'!AP57)</f>
        <v>0</v>
      </c>
    </row>
    <row r="57" spans="15:44" ht="15.75" customHeight="1">
      <c r="O57" s="1003">
        <f>COUNTA('31'!N7:N18)</f>
        <v>12</v>
      </c>
      <c r="P57" s="1003"/>
      <c r="R57" s="1004">
        <f>COUNTIF('31'!N7:N18,"&gt;=6")</f>
        <v>12</v>
      </c>
      <c r="S57" s="1004"/>
      <c r="T57" s="1004"/>
      <c r="AI57" s="149" t="s">
        <v>108</v>
      </c>
      <c r="AJ57" s="150">
        <f>AJ55*AJ56</f>
        <v>0</v>
      </c>
      <c r="AK57" s="149" t="s">
        <v>108</v>
      </c>
      <c r="AL57" s="150">
        <f>AL55*AL56</f>
        <v>0</v>
      </c>
      <c r="AM57" s="149" t="s">
        <v>108</v>
      </c>
      <c r="AN57" s="150">
        <f>AN55*AN56</f>
        <v>0</v>
      </c>
      <c r="AO57" s="1079"/>
      <c r="AP57" s="1079"/>
      <c r="AQ57" s="995"/>
      <c r="AR57" s="996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8"/>
      <c r="AE60" s="168"/>
      <c r="AI60" s="1006" t="s">
        <v>117</v>
      </c>
      <c r="AJ60" s="1006"/>
      <c r="AK60" s="1006"/>
      <c r="AL60" s="1006"/>
      <c r="AM60" s="1006"/>
      <c r="AN60" s="1006"/>
      <c r="AO60" s="1006"/>
      <c r="AP60" s="1006"/>
      <c r="AQ60" s="1006"/>
      <c r="AR60" s="1006"/>
    </row>
    <row r="61" spans="15:44" ht="15.75" customHeight="1">
      <c r="X61" s="1009"/>
      <c r="Y61" s="1009"/>
      <c r="Z61" s="1009"/>
      <c r="AA61" s="1009"/>
      <c r="AB61" s="1009"/>
      <c r="AC61" s="1009"/>
      <c r="AD61" s="136"/>
      <c r="AE61" s="136"/>
      <c r="AI61" s="1004" t="s">
        <v>120</v>
      </c>
      <c r="AJ61" s="1004"/>
      <c r="AK61" s="1004"/>
      <c r="AL61" s="1004"/>
      <c r="AM61" s="1004"/>
      <c r="AN61" s="1004" t="s">
        <v>93</v>
      </c>
      <c r="AO61" s="1004"/>
      <c r="AP61" s="1004"/>
      <c r="AQ61" s="1004"/>
      <c r="AR61" s="1004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6"/>
      <c r="AE62" s="136"/>
      <c r="AI62" s="1010" t="s">
        <v>121</v>
      </c>
      <c r="AJ62" s="1010"/>
      <c r="AK62" s="1010"/>
      <c r="AL62" s="1011">
        <f>AJ57+AL57+AN57</f>
        <v>0</v>
      </c>
      <c r="AM62" s="1011"/>
      <c r="AN62" s="1010" t="s">
        <v>121</v>
      </c>
      <c r="AO62" s="1010"/>
      <c r="AP62" s="1010"/>
      <c r="AQ62" s="1011" t="e">
        <f>#NAME?</f>
        <v>#NAME?</v>
      </c>
      <c r="AR62" s="1011"/>
    </row>
    <row r="63" spans="15:44" ht="15" customHeight="1">
      <c r="X63" s="170" t="s">
        <v>124</v>
      </c>
      <c r="Y63" s="171">
        <v>0</v>
      </c>
      <c r="Z63" s="1013"/>
      <c r="AA63" s="1013"/>
      <c r="AB63" s="172" t="s">
        <v>159</v>
      </c>
      <c r="AC63" s="173">
        <v>0</v>
      </c>
      <c r="AI63" s="1010" t="s">
        <v>123</v>
      </c>
      <c r="AJ63" s="1010"/>
      <c r="AK63" s="1010"/>
      <c r="AL63" s="1015">
        <f>AA34</f>
        <v>0</v>
      </c>
      <c r="AM63" s="1015"/>
      <c r="AN63" s="1010" t="s">
        <v>123</v>
      </c>
      <c r="AO63" s="1010"/>
      <c r="AP63" s="1010"/>
      <c r="AQ63" s="1016">
        <f>'10'!AA33</f>
        <v>0</v>
      </c>
      <c r="AR63" s="1016"/>
    </row>
    <row r="64" spans="15:44" ht="15" customHeight="1">
      <c r="X64" s="170"/>
      <c r="Y64" s="171"/>
      <c r="Z64" s="1013"/>
      <c r="AA64" s="1013"/>
      <c r="AB64" s="172" t="s">
        <v>160</v>
      </c>
      <c r="AC64" s="173">
        <v>0</v>
      </c>
      <c r="AI64" s="1010" t="s">
        <v>125</v>
      </c>
      <c r="AJ64" s="1010"/>
      <c r="AK64" s="1010"/>
      <c r="AL64" s="1011">
        <f>AL62-AL63</f>
        <v>0</v>
      </c>
      <c r="AM64" s="1011"/>
      <c r="AN64" s="1010" t="s">
        <v>125</v>
      </c>
      <c r="AO64" s="1010"/>
      <c r="AP64" s="1010"/>
      <c r="AQ64" s="1117">
        <f>'10'!AQ62-'10'!AQ63</f>
        <v>60009.600000000006</v>
      </c>
      <c r="AR64" s="1117"/>
    </row>
    <row r="65" spans="24:29" ht="39" customHeight="1">
      <c r="X65" s="174" t="s">
        <v>126</v>
      </c>
      <c r="Y65" s="217">
        <f>'30'!$Y$68</f>
        <v>-8009.3166666666675</v>
      </c>
      <c r="Z65" s="1013"/>
      <c r="AA65" s="1013"/>
      <c r="AB65" s="176" t="s">
        <v>126</v>
      </c>
      <c r="AC65" s="241">
        <f>'30'!$AC$68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70" t="s">
        <v>124</v>
      </c>
      <c r="Y67" s="280">
        <f>SUM('31'!AK38,'31'!AP38)</f>
        <v>3221.508333333335</v>
      </c>
      <c r="Z67" s="1013"/>
      <c r="AA67" s="1013"/>
      <c r="AB67" s="172" t="s">
        <v>124</v>
      </c>
      <c r="AC67" s="169">
        <f>SUM('31'!AM38,'31'!AR38)</f>
        <v>0</v>
      </c>
    </row>
    <row r="68" spans="24:29" ht="15.75" customHeight="1">
      <c r="X68" s="170" t="s">
        <v>128</v>
      </c>
      <c r="Y68" s="179">
        <f>SUM('31'!Y63,'31'!Y65)-'31'!Y67</f>
        <v>-11230.825000000003</v>
      </c>
      <c r="Z68" s="1013"/>
      <c r="AA68" s="1013"/>
      <c r="AB68" s="172" t="s">
        <v>128</v>
      </c>
      <c r="AC68" s="180">
        <f>'31'!AC65</f>
        <v>0</v>
      </c>
    </row>
    <row r="70" spans="24:29" ht="15.75" customHeight="1">
      <c r="Z70" s="339" t="s">
        <v>157</v>
      </c>
      <c r="AA70" s="340">
        <f>'31'!AC68+'31'!Y68</f>
        <v>-11230.825000000003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zoomScale="140" zoomScaleNormal="140" workbookViewId="0">
      <selection activeCell="C7" sqref="C7"/>
    </sheetView>
  </sheetViews>
  <sheetFormatPr defaultRowHeight="15"/>
  <cols>
    <col min="1" max="1" width="18.85546875" customWidth="1"/>
    <col min="2" max="2" width="15.42578125" customWidth="1"/>
    <col min="3" max="3" width="20.5703125" customWidth="1"/>
    <col min="4" max="1025" width="8.7109375" customWidth="1"/>
  </cols>
  <sheetData>
    <row r="1" spans="1:3" ht="15" customHeight="1">
      <c r="A1" s="1122" t="s">
        <v>161</v>
      </c>
      <c r="B1" s="1122"/>
      <c r="C1" s="1122"/>
    </row>
    <row r="2" spans="1:3">
      <c r="B2" s="346"/>
    </row>
    <row r="3" spans="1:3">
      <c r="A3" s="347" t="s">
        <v>0</v>
      </c>
      <c r="B3" s="347" t="s">
        <v>162</v>
      </c>
      <c r="C3" s="347" t="s">
        <v>163</v>
      </c>
    </row>
    <row r="4" spans="1:3">
      <c r="A4" s="348">
        <v>43892</v>
      </c>
      <c r="B4" s="34">
        <v>3270220</v>
      </c>
      <c r="C4" s="34" t="s">
        <v>164</v>
      </c>
    </row>
    <row r="5" spans="1:3">
      <c r="A5" s="348">
        <v>43904</v>
      </c>
      <c r="B5" s="34">
        <v>3070320</v>
      </c>
      <c r="C5" s="34" t="s">
        <v>164</v>
      </c>
    </row>
    <row r="6" spans="1:3">
      <c r="A6" s="348">
        <v>43910</v>
      </c>
      <c r="B6" s="34">
        <v>3170320</v>
      </c>
      <c r="C6" s="34" t="s">
        <v>164</v>
      </c>
    </row>
    <row r="7" spans="1:3">
      <c r="A7" s="348"/>
      <c r="B7" s="34"/>
      <c r="C7" s="34"/>
    </row>
    <row r="8" spans="1:3">
      <c r="A8" s="348"/>
      <c r="B8" s="34"/>
      <c r="C8" s="34"/>
    </row>
    <row r="9" spans="1:3">
      <c r="A9" s="348"/>
      <c r="B9" s="34"/>
      <c r="C9" s="34"/>
    </row>
    <row r="10" spans="1:3">
      <c r="A10" s="348"/>
      <c r="B10" s="34"/>
      <c r="C10" s="34"/>
    </row>
    <row r="11" spans="1:3">
      <c r="A11" s="348"/>
      <c r="B11" s="34"/>
      <c r="C11" s="34"/>
    </row>
    <row r="12" spans="1:3">
      <c r="A12" s="348"/>
      <c r="B12" s="34"/>
      <c r="C12" s="34"/>
    </row>
    <row r="13" spans="1:3">
      <c r="A13" s="348"/>
      <c r="B13" s="34"/>
      <c r="C13" s="34"/>
    </row>
    <row r="14" spans="1:3">
      <c r="A14" s="34"/>
      <c r="B14" s="34"/>
      <c r="C14" s="34"/>
    </row>
    <row r="15" spans="1:3">
      <c r="A15" s="34"/>
      <c r="B15" s="34"/>
      <c r="C15" s="34"/>
    </row>
    <row r="16" spans="1:3">
      <c r="A16" s="34"/>
      <c r="B16" s="34"/>
      <c r="C16" s="34"/>
    </row>
    <row r="17" spans="1:3">
      <c r="A17" s="34"/>
      <c r="B17" s="34"/>
      <c r="C17" s="34"/>
    </row>
    <row r="18" spans="1:3">
      <c r="A18" s="34"/>
      <c r="B18" s="34"/>
      <c r="C18" s="34"/>
    </row>
    <row r="19" spans="1:3">
      <c r="A19" s="34"/>
      <c r="B19" s="34"/>
      <c r="C19" s="34"/>
    </row>
    <row r="20" spans="1:3">
      <c r="A20" s="34"/>
      <c r="B20" s="34"/>
      <c r="C20" s="34"/>
    </row>
    <row r="21" spans="1:3">
      <c r="A21" s="34"/>
      <c r="B21" s="34"/>
      <c r="C21" s="34"/>
    </row>
    <row r="22" spans="1:3">
      <c r="A22" s="34"/>
      <c r="B22" s="34"/>
      <c r="C22" s="34"/>
    </row>
    <row r="23" spans="1:3">
      <c r="A23" s="34"/>
      <c r="B23" s="34"/>
      <c r="C23" s="34"/>
    </row>
    <row r="24" spans="1:3">
      <c r="A24" s="34"/>
      <c r="B24" s="34"/>
      <c r="C24" s="34"/>
    </row>
    <row r="25" spans="1:3">
      <c r="A25" s="34"/>
      <c r="B25" s="34"/>
      <c r="C25" s="34"/>
    </row>
    <row r="26" spans="1:3">
      <c r="A26" s="34"/>
      <c r="B26" s="34"/>
      <c r="C26" s="34"/>
    </row>
    <row r="27" spans="1:3">
      <c r="A27" s="34"/>
      <c r="B27" s="34"/>
      <c r="C27" s="34"/>
    </row>
    <row r="28" spans="1:3">
      <c r="A28" s="34"/>
      <c r="B28" s="34"/>
      <c r="C28" s="34"/>
    </row>
    <row r="29" spans="1:3">
      <c r="A29" s="34"/>
      <c r="B29" s="34"/>
      <c r="C29" s="34"/>
    </row>
    <row r="30" spans="1:3">
      <c r="A30" s="34"/>
      <c r="B30" s="34"/>
      <c r="C30" s="34"/>
    </row>
    <row r="31" spans="1:3">
      <c r="A31" s="34"/>
      <c r="B31" s="34"/>
      <c r="C31" s="34"/>
    </row>
    <row r="32" spans="1:3">
      <c r="A32" s="34"/>
      <c r="B32" s="34"/>
      <c r="C32" s="34"/>
    </row>
    <row r="33" spans="1:3">
      <c r="A33" s="34"/>
      <c r="B33" s="34"/>
      <c r="C33" s="34"/>
    </row>
    <row r="34" spans="1:3">
      <c r="A34" s="34"/>
      <c r="B34" s="34"/>
      <c r="C34" s="34"/>
    </row>
    <row r="35" spans="1:3">
      <c r="A35" s="34"/>
      <c r="B35" s="34"/>
      <c r="C35" s="34"/>
    </row>
    <row r="36" spans="1:3">
      <c r="A36" s="34"/>
      <c r="B36" s="34"/>
      <c r="C36" s="34"/>
    </row>
    <row r="37" spans="1:3">
      <c r="A37" s="34"/>
      <c r="B37" s="34"/>
      <c r="C37" s="34"/>
    </row>
    <row r="38" spans="1:3">
      <c r="A38" s="34"/>
      <c r="B38" s="34"/>
      <c r="C38" s="34"/>
    </row>
    <row r="39" spans="1:3">
      <c r="A39" s="34"/>
      <c r="B39" s="34"/>
      <c r="C39" s="34"/>
    </row>
    <row r="40" spans="1:3">
      <c r="A40" s="34"/>
      <c r="B40" s="34"/>
      <c r="C40" s="34"/>
    </row>
  </sheetData>
  <mergeCells count="1">
    <mergeCell ref="A1:C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0"/>
  <sheetViews>
    <sheetView showGridLines="0" tabSelected="1" zoomScaleNormal="100" workbookViewId="0">
      <pane xSplit="1" ySplit="4" topLeftCell="B92" activePane="bottomRight" state="frozen"/>
      <selection pane="topRight" activeCell="B1" sqref="B1"/>
      <selection pane="bottomLeft" activeCell="A68" sqref="A68"/>
      <selection pane="bottomRight" activeCell="B121" sqref="B121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18" width="8.42578125" customWidth="1"/>
    <col min="19" max="19" width="6.140625" customWidth="1"/>
    <col min="20" max="20" width="8.7109375" customWidth="1"/>
    <col min="21" max="21" width="8.42578125" customWidth="1"/>
    <col min="22" max="22" width="6.140625" customWidth="1"/>
    <col min="23" max="23" width="8.7109375" customWidth="1"/>
    <col min="24" max="1025" width="8.42578125" customWidth="1"/>
  </cols>
  <sheetData>
    <row r="1" spans="1:23" ht="15" customHeight="1">
      <c r="A1" s="219"/>
      <c r="B1" s="955" t="s">
        <v>165</v>
      </c>
      <c r="C1" s="955"/>
      <c r="D1" s="955"/>
      <c r="E1" s="955"/>
      <c r="F1" s="955"/>
      <c r="G1" s="955"/>
      <c r="H1" s="955"/>
      <c r="I1" s="955"/>
      <c r="J1" s="955"/>
      <c r="K1" s="955"/>
      <c r="L1" s="955"/>
      <c r="M1" s="955"/>
      <c r="N1" s="955"/>
    </row>
    <row r="2" spans="1:23" ht="24" customHeight="1">
      <c r="A2" s="1123" t="s">
        <v>166</v>
      </c>
      <c r="B2" s="955"/>
      <c r="C2" s="955"/>
      <c r="D2" s="955"/>
      <c r="E2" s="955"/>
      <c r="F2" s="955"/>
      <c r="G2" s="955"/>
      <c r="H2" s="955"/>
      <c r="I2" s="955"/>
      <c r="J2" s="955"/>
      <c r="K2" s="955"/>
      <c r="L2" s="955"/>
      <c r="M2" s="955"/>
      <c r="N2" s="955"/>
    </row>
    <row r="3" spans="1:23" ht="68.650000000000006" customHeight="1">
      <c r="A3" s="1123"/>
      <c r="B3" s="1124" t="s">
        <v>167</v>
      </c>
      <c r="C3" s="1124"/>
      <c r="D3" s="1124"/>
      <c r="E3" s="1124"/>
      <c r="F3" s="1124"/>
      <c r="G3" s="1125" t="s">
        <v>49</v>
      </c>
      <c r="H3" s="1125"/>
      <c r="I3" s="349"/>
      <c r="J3" s="1126" t="s">
        <v>166</v>
      </c>
      <c r="K3" s="1127" t="s">
        <v>168</v>
      </c>
      <c r="L3" s="1127"/>
      <c r="M3" s="1128" t="s">
        <v>169</v>
      </c>
      <c r="N3" s="1128"/>
      <c r="P3" s="1129" t="s">
        <v>170</v>
      </c>
      <c r="Q3" s="1129"/>
      <c r="R3" s="1129"/>
      <c r="S3" s="1129"/>
      <c r="T3" s="1129"/>
      <c r="U3" s="1129"/>
      <c r="V3" s="1129"/>
      <c r="W3" s="1129"/>
    </row>
    <row r="4" spans="1:23" s="353" customFormat="1" ht="29.85" customHeight="1">
      <c r="A4" s="1123"/>
      <c r="B4" s="350" t="s">
        <v>171</v>
      </c>
      <c r="C4" s="350" t="s">
        <v>172</v>
      </c>
      <c r="D4" s="350" t="s">
        <v>173</v>
      </c>
      <c r="E4" s="350" t="s">
        <v>174</v>
      </c>
      <c r="F4" s="350" t="s">
        <v>175</v>
      </c>
      <c r="G4" s="350" t="s">
        <v>171</v>
      </c>
      <c r="H4" s="350" t="s">
        <v>176</v>
      </c>
      <c r="I4" s="351"/>
      <c r="J4" s="1126"/>
      <c r="K4" s="352" t="s">
        <v>171</v>
      </c>
      <c r="L4" s="352" t="s">
        <v>176</v>
      </c>
      <c r="M4" s="352" t="s">
        <v>171</v>
      </c>
      <c r="N4" s="352" t="s">
        <v>176</v>
      </c>
      <c r="P4" s="354" t="s">
        <v>0</v>
      </c>
      <c r="R4" s="350" t="s">
        <v>172</v>
      </c>
      <c r="S4" s="350" t="s">
        <v>174</v>
      </c>
      <c r="T4" s="350" t="s">
        <v>175</v>
      </c>
      <c r="U4" s="350" t="s">
        <v>173</v>
      </c>
      <c r="V4" s="350" t="s">
        <v>174</v>
      </c>
      <c r="W4" s="350" t="s">
        <v>175</v>
      </c>
    </row>
    <row r="5" spans="1:23" ht="48.75">
      <c r="A5" s="1130">
        <f>ESCALA!A3</f>
        <v>43891</v>
      </c>
      <c r="B5" s="239"/>
      <c r="C5" s="239"/>
      <c r="D5" s="239"/>
      <c r="E5" s="239"/>
      <c r="F5" s="239"/>
      <c r="G5" s="355"/>
      <c r="H5" s="356"/>
      <c r="I5" s="219"/>
      <c r="J5" s="357"/>
      <c r="K5" s="358"/>
      <c r="L5" s="358"/>
      <c r="M5" s="358"/>
      <c r="N5" s="358"/>
      <c r="P5" s="1130">
        <f>A5</f>
        <v>43891</v>
      </c>
      <c r="Q5" s="359" t="s">
        <v>177</v>
      </c>
      <c r="R5" s="239">
        <v>69000</v>
      </c>
      <c r="S5" s="239"/>
      <c r="T5" s="239"/>
      <c r="U5" s="239">
        <v>57000</v>
      </c>
      <c r="V5" s="239"/>
      <c r="W5" s="239"/>
    </row>
    <row r="6" spans="1:23">
      <c r="A6" s="1130"/>
      <c r="B6" s="239"/>
      <c r="C6" s="239"/>
      <c r="D6" s="239"/>
      <c r="E6" s="239"/>
      <c r="F6" s="239"/>
      <c r="G6" s="54"/>
      <c r="H6" s="356"/>
      <c r="I6" s="219"/>
      <c r="J6" s="357">
        <v>43892</v>
      </c>
      <c r="K6" s="358">
        <v>153536</v>
      </c>
      <c r="L6" s="358">
        <v>19870</v>
      </c>
      <c r="M6" s="358"/>
      <c r="N6" s="358"/>
      <c r="P6" s="1130"/>
      <c r="Q6" s="360"/>
      <c r="R6" s="239"/>
      <c r="S6" s="239"/>
      <c r="T6" s="239"/>
      <c r="U6" s="239"/>
      <c r="V6" s="239"/>
      <c r="W6" s="239"/>
    </row>
    <row r="7" spans="1:23">
      <c r="A7" s="1130"/>
      <c r="B7" s="239"/>
      <c r="C7" s="239"/>
      <c r="D7" s="239"/>
      <c r="E7" s="239"/>
      <c r="F7" s="239"/>
      <c r="G7" s="183"/>
      <c r="H7" s="356"/>
      <c r="I7" s="219"/>
      <c r="J7" s="357">
        <v>43900</v>
      </c>
      <c r="K7" s="358">
        <v>154092</v>
      </c>
      <c r="L7" s="358">
        <v>19660</v>
      </c>
      <c r="M7" s="361"/>
      <c r="N7" s="358"/>
      <c r="P7" s="1130"/>
      <c r="Q7" s="239"/>
      <c r="R7" s="239"/>
      <c r="S7" s="239"/>
      <c r="T7" s="239"/>
      <c r="U7" s="239"/>
      <c r="V7" s="239"/>
      <c r="W7" s="239"/>
    </row>
    <row r="8" spans="1:23">
      <c r="A8" s="1130"/>
      <c r="B8" s="239"/>
      <c r="C8" s="239"/>
      <c r="D8" s="239"/>
      <c r="E8" s="239"/>
      <c r="F8" s="239"/>
      <c r="G8" s="183"/>
      <c r="H8" s="356"/>
      <c r="I8" s="362"/>
      <c r="J8" s="357">
        <v>43910</v>
      </c>
      <c r="K8" s="358">
        <v>154756</v>
      </c>
      <c r="L8" s="358">
        <v>18860</v>
      </c>
      <c r="M8" s="358"/>
      <c r="N8" s="358"/>
      <c r="P8" s="1130"/>
      <c r="Q8" s="363" t="s">
        <v>129</v>
      </c>
      <c r="R8" s="364">
        <f>C9</f>
        <v>0</v>
      </c>
      <c r="S8" s="364">
        <f>S5+S6+S7</f>
        <v>0</v>
      </c>
      <c r="T8" s="364">
        <f>T5+T6+T7</f>
        <v>0</v>
      </c>
      <c r="U8" s="364">
        <f>D9</f>
        <v>0</v>
      </c>
      <c r="V8" s="364">
        <f>V5+V6+V7</f>
        <v>0</v>
      </c>
      <c r="W8" s="364">
        <f>W5+W6+W7</f>
        <v>0</v>
      </c>
    </row>
    <row r="9" spans="1:23">
      <c r="A9" s="1130"/>
      <c r="B9" s="363" t="s">
        <v>129</v>
      </c>
      <c r="C9" s="364">
        <f>C5+C6+C7+C8</f>
        <v>0</v>
      </c>
      <c r="D9" s="364">
        <f>D5+D6+D7+D8</f>
        <v>0</v>
      </c>
      <c r="E9" s="364">
        <f>E5+E6+E7+E8</f>
        <v>0</v>
      </c>
      <c r="F9" s="364">
        <f>F5+F6+F7+F8</f>
        <v>0</v>
      </c>
      <c r="G9" s="365"/>
      <c r="H9" s="364">
        <f>H5+H6+H7+H8</f>
        <v>0</v>
      </c>
      <c r="I9" s="362"/>
      <c r="J9" s="357">
        <v>43917</v>
      </c>
      <c r="K9" s="358"/>
      <c r="L9" s="358"/>
      <c r="M9" s="358">
        <v>155232</v>
      </c>
      <c r="N9" s="358">
        <v>1800</v>
      </c>
      <c r="P9" s="1130"/>
      <c r="Q9" s="366" t="s">
        <v>178</v>
      </c>
      <c r="R9" s="367">
        <f>R8+R5+R6+R7-S8-T8</f>
        <v>69000</v>
      </c>
      <c r="S9" s="367"/>
      <c r="T9" s="367"/>
      <c r="U9" s="367">
        <f>U8+U5+U6+U7-V8-W8</f>
        <v>57000</v>
      </c>
      <c r="V9" s="367"/>
      <c r="W9" s="367"/>
    </row>
    <row r="10" spans="1:23">
      <c r="A10" s="1130">
        <f>A5+1</f>
        <v>43892</v>
      </c>
      <c r="B10" s="239">
        <v>18254</v>
      </c>
      <c r="C10" s="239">
        <v>33080</v>
      </c>
      <c r="D10" s="239"/>
      <c r="E10" s="239"/>
      <c r="F10" s="239"/>
      <c r="G10" s="355"/>
      <c r="H10" s="356"/>
      <c r="I10" s="368"/>
      <c r="J10" s="357"/>
      <c r="K10" s="358"/>
      <c r="L10" s="358"/>
      <c r="M10" s="358"/>
      <c r="N10" s="358"/>
      <c r="P10" s="1130">
        <f>P5+1</f>
        <v>43892</v>
      </c>
      <c r="Q10" s="149"/>
      <c r="R10" s="239"/>
      <c r="S10" s="239"/>
      <c r="T10" s="239"/>
      <c r="U10" s="239"/>
      <c r="V10" s="239">
        <v>30024</v>
      </c>
      <c r="W10" s="239"/>
    </row>
    <row r="11" spans="1:23">
      <c r="A11" s="1130"/>
      <c r="B11" s="239"/>
      <c r="C11" s="239"/>
      <c r="D11" s="239"/>
      <c r="E11" s="239"/>
      <c r="F11" s="239"/>
      <c r="G11" s="355"/>
      <c r="H11" s="356"/>
      <c r="I11" s="368"/>
      <c r="J11" s="357"/>
      <c r="K11" s="358"/>
      <c r="L11" s="358"/>
      <c r="M11" s="358"/>
      <c r="N11" s="358"/>
      <c r="P11" s="1130"/>
      <c r="Q11" s="149"/>
      <c r="R11" s="239"/>
      <c r="S11" s="239"/>
      <c r="T11" s="239"/>
      <c r="U11" s="239"/>
      <c r="V11" s="239"/>
      <c r="W11" s="239"/>
    </row>
    <row r="12" spans="1:23">
      <c r="A12" s="1130"/>
      <c r="B12" s="239"/>
      <c r="C12" s="239"/>
      <c r="D12" s="239"/>
      <c r="E12" s="239"/>
      <c r="F12" s="239"/>
      <c r="G12" s="355"/>
      <c r="H12" s="356"/>
      <c r="I12" s="362"/>
      <c r="J12" s="357"/>
      <c r="K12" s="358"/>
      <c r="L12" s="358"/>
      <c r="M12" s="358"/>
      <c r="N12" s="358"/>
      <c r="P12" s="1130"/>
      <c r="Q12" s="149"/>
      <c r="R12" s="239"/>
      <c r="S12" s="239"/>
      <c r="T12" s="239"/>
      <c r="U12" s="239"/>
      <c r="V12" s="239"/>
      <c r="W12" s="239"/>
    </row>
    <row r="13" spans="1:23">
      <c r="A13" s="1130"/>
      <c r="B13" s="369"/>
      <c r="C13" s="239"/>
      <c r="D13" s="239"/>
      <c r="E13" s="239"/>
      <c r="F13" s="239"/>
      <c r="G13" s="355"/>
      <c r="H13" s="356"/>
      <c r="I13" s="368"/>
      <c r="J13" s="357"/>
      <c r="K13" s="358"/>
      <c r="L13" s="358"/>
      <c r="M13" s="358"/>
      <c r="N13" s="358"/>
      <c r="P13" s="1130"/>
      <c r="Q13" s="363" t="s">
        <v>129</v>
      </c>
      <c r="R13" s="364">
        <f>C14</f>
        <v>33080</v>
      </c>
      <c r="S13" s="364">
        <f>S9+S10+S11+S12</f>
        <v>0</v>
      </c>
      <c r="T13" s="364">
        <f>T9+T10+T11+T12</f>
        <v>0</v>
      </c>
      <c r="U13" s="364">
        <f>D14</f>
        <v>0</v>
      </c>
      <c r="V13" s="364">
        <f>V9+V10+V11+V12</f>
        <v>30024</v>
      </c>
      <c r="W13" s="364">
        <f>W9+W10+W11+W12</f>
        <v>0</v>
      </c>
    </row>
    <row r="14" spans="1:23">
      <c r="A14" s="1130"/>
      <c r="B14" s="363" t="s">
        <v>129</v>
      </c>
      <c r="C14" s="364">
        <f>C10+C11+C12+C13</f>
        <v>33080</v>
      </c>
      <c r="D14" s="364">
        <f>D10+D11+D12+D13</f>
        <v>0</v>
      </c>
      <c r="E14" s="364">
        <f>E10+E11+E12+E13</f>
        <v>0</v>
      </c>
      <c r="F14" s="364">
        <f>F10+F11+F12+F13</f>
        <v>0</v>
      </c>
      <c r="G14" s="370"/>
      <c r="H14" s="364">
        <f>H10+H11+H12+H13</f>
        <v>0</v>
      </c>
      <c r="I14" s="371"/>
      <c r="J14" s="357"/>
      <c r="K14" s="358"/>
      <c r="L14" s="358"/>
      <c r="M14" s="358"/>
      <c r="N14" s="358"/>
      <c r="P14" s="1130"/>
      <c r="Q14" s="366" t="s">
        <v>178</v>
      </c>
      <c r="R14" s="367">
        <f>R9+R13-S13-T13</f>
        <v>102080</v>
      </c>
      <c r="S14" s="367"/>
      <c r="T14" s="367"/>
      <c r="U14" s="367">
        <f>U9+U13-V13-W13</f>
        <v>26976</v>
      </c>
      <c r="V14" s="367"/>
      <c r="W14" s="367"/>
    </row>
    <row r="15" spans="1:23">
      <c r="A15" s="1130">
        <f>A10+1</f>
        <v>43893</v>
      </c>
      <c r="B15" s="369" t="s">
        <v>179</v>
      </c>
      <c r="C15" s="239">
        <v>27380</v>
      </c>
      <c r="D15" s="239"/>
      <c r="E15" s="239"/>
      <c r="F15" s="239"/>
      <c r="G15" s="372"/>
      <c r="H15" s="356"/>
      <c r="I15" s="362"/>
      <c r="J15" s="357"/>
      <c r="K15" s="358"/>
      <c r="L15" s="358"/>
      <c r="M15" s="358"/>
      <c r="N15" s="358"/>
      <c r="P15" s="1130">
        <f>P10+1</f>
        <v>43893</v>
      </c>
      <c r="Q15" s="373"/>
      <c r="R15" s="239"/>
      <c r="S15" s="239"/>
      <c r="T15" s="239"/>
      <c r="U15" s="239"/>
      <c r="V15" s="239"/>
      <c r="W15" s="239"/>
    </row>
    <row r="16" spans="1:23">
      <c r="A16" s="1130"/>
      <c r="B16" s="374">
        <v>18257</v>
      </c>
      <c r="C16" s="239">
        <v>34200</v>
      </c>
      <c r="D16" s="239"/>
      <c r="E16" s="239"/>
      <c r="F16" s="239"/>
      <c r="G16" s="372"/>
      <c r="H16" s="356"/>
      <c r="I16" s="362"/>
      <c r="J16" s="357"/>
      <c r="K16" s="358"/>
      <c r="L16" s="358"/>
      <c r="M16" s="358"/>
      <c r="N16" s="358"/>
      <c r="O16" t="s">
        <v>155</v>
      </c>
      <c r="P16" s="1130"/>
      <c r="Q16" s="375"/>
      <c r="R16" s="239"/>
      <c r="S16" s="239"/>
      <c r="T16" s="239"/>
      <c r="U16" s="239"/>
      <c r="V16" s="239"/>
      <c r="W16" s="239"/>
    </row>
    <row r="17" spans="1:23">
      <c r="A17" s="1130"/>
      <c r="B17" s="239">
        <v>18267</v>
      </c>
      <c r="C17" s="239">
        <v>35810</v>
      </c>
      <c r="D17" s="239"/>
      <c r="E17" s="239"/>
      <c r="F17" s="239"/>
      <c r="G17" s="355"/>
      <c r="H17" s="356"/>
      <c r="I17" s="362"/>
      <c r="J17" s="357"/>
      <c r="K17" s="358"/>
      <c r="L17" s="358"/>
      <c r="M17" s="358"/>
      <c r="N17" s="358"/>
      <c r="P17" s="1130"/>
      <c r="Q17" s="149"/>
      <c r="R17" s="239"/>
      <c r="S17" s="239"/>
      <c r="T17" s="239"/>
      <c r="U17" s="239"/>
      <c r="V17" s="239"/>
      <c r="W17" s="239"/>
    </row>
    <row r="18" spans="1:23">
      <c r="A18" s="1130"/>
      <c r="B18" s="239"/>
      <c r="C18" s="239"/>
      <c r="D18" s="239"/>
      <c r="E18" s="239"/>
      <c r="F18" s="239"/>
      <c r="G18" s="355"/>
      <c r="H18" s="356"/>
      <c r="I18" s="368"/>
      <c r="J18" s="376"/>
      <c r="K18" s="358"/>
      <c r="L18" s="358"/>
      <c r="M18" s="358"/>
      <c r="N18" s="358"/>
      <c r="P18" s="1130"/>
      <c r="Q18" s="363" t="s">
        <v>129</v>
      </c>
      <c r="R18" s="364">
        <f>C19</f>
        <v>97390</v>
      </c>
      <c r="S18" s="364">
        <f>S14+S15+S16+S17</f>
        <v>0</v>
      </c>
      <c r="T18" s="364">
        <f>T14+T15+T16+T17</f>
        <v>0</v>
      </c>
      <c r="U18" s="364">
        <f>D19</f>
        <v>0</v>
      </c>
      <c r="V18" s="364">
        <f>V14+V15+V16+V17</f>
        <v>0</v>
      </c>
      <c r="W18" s="364">
        <f>W14+W15+W16+W17</f>
        <v>0</v>
      </c>
    </row>
    <row r="19" spans="1:23">
      <c r="A19" s="1130"/>
      <c r="B19" s="363" t="s">
        <v>129</v>
      </c>
      <c r="C19" s="364">
        <f>C15+C16+C17+C18</f>
        <v>97390</v>
      </c>
      <c r="D19" s="364">
        <f>D15+D16+D17+D18</f>
        <v>0</v>
      </c>
      <c r="E19" s="364">
        <f>E15+E16+E17+E18</f>
        <v>0</v>
      </c>
      <c r="F19" s="364">
        <f>F15+F16+F17+F18</f>
        <v>0</v>
      </c>
      <c r="G19" s="365"/>
      <c r="H19" s="364">
        <f>H15+H16+H17+H18</f>
        <v>0</v>
      </c>
      <c r="I19" s="368"/>
      <c r="J19" s="376"/>
      <c r="K19" s="358"/>
      <c r="L19" s="358"/>
      <c r="M19" s="358"/>
      <c r="N19" s="358"/>
      <c r="P19" s="1130"/>
      <c r="Q19" s="366" t="s">
        <v>178</v>
      </c>
      <c r="R19" s="367">
        <f>R14+R18-S18-T18</f>
        <v>199470</v>
      </c>
      <c r="S19" s="367"/>
      <c r="T19" s="367"/>
      <c r="U19" s="367">
        <f>U14+U18-V18-W18</f>
        <v>26976</v>
      </c>
      <c r="V19" s="367"/>
      <c r="W19" s="367"/>
    </row>
    <row r="20" spans="1:23">
      <c r="A20" s="1130">
        <f>A15+1</f>
        <v>43894</v>
      </c>
      <c r="B20" s="239">
        <v>18274</v>
      </c>
      <c r="C20" s="239"/>
      <c r="D20" s="239">
        <v>27080</v>
      </c>
      <c r="E20" s="239"/>
      <c r="F20" s="239"/>
      <c r="G20" s="54"/>
      <c r="H20" s="356"/>
      <c r="I20" s="368"/>
      <c r="J20" s="376"/>
      <c r="K20" s="358"/>
      <c r="L20" s="358"/>
      <c r="M20" s="358"/>
      <c r="N20" s="358"/>
      <c r="P20" s="1130">
        <f>P15+1</f>
        <v>43894</v>
      </c>
      <c r="Q20" s="149"/>
      <c r="R20" s="239"/>
      <c r="S20" s="239"/>
      <c r="T20" s="239"/>
      <c r="U20" s="239"/>
      <c r="V20" s="239"/>
      <c r="W20" s="239"/>
    </row>
    <row r="21" spans="1:23">
      <c r="A21" s="1130"/>
      <c r="B21" s="239">
        <v>18277</v>
      </c>
      <c r="C21" s="239"/>
      <c r="D21" s="239">
        <v>27140</v>
      </c>
      <c r="E21" s="239"/>
      <c r="F21" s="239"/>
      <c r="G21" s="54"/>
      <c r="H21" s="356"/>
      <c r="I21" s="219"/>
      <c r="J21" s="376"/>
      <c r="K21" s="358"/>
      <c r="L21" s="358"/>
      <c r="M21" s="358"/>
      <c r="N21" s="358"/>
      <c r="P21" s="1130"/>
      <c r="Q21" s="149"/>
      <c r="R21" s="239"/>
      <c r="S21" s="239"/>
      <c r="T21" s="239"/>
      <c r="U21" s="239"/>
      <c r="V21" s="239"/>
      <c r="W21" s="239"/>
    </row>
    <row r="22" spans="1:23">
      <c r="A22" s="1130"/>
      <c r="B22" s="239"/>
      <c r="C22" s="239"/>
      <c r="D22" s="239"/>
      <c r="E22" s="239"/>
      <c r="F22" s="239"/>
      <c r="G22" s="183"/>
      <c r="H22" s="356"/>
      <c r="I22" s="219"/>
      <c r="J22" s="376" t="s">
        <v>180</v>
      </c>
      <c r="K22" s="358"/>
      <c r="L22" s="358"/>
      <c r="M22" s="358"/>
      <c r="N22" s="358"/>
      <c r="P22" s="1130"/>
      <c r="Q22" s="149"/>
      <c r="R22" s="239"/>
      <c r="S22" s="239"/>
      <c r="T22" s="239"/>
      <c r="U22" s="239"/>
      <c r="V22" s="239"/>
      <c r="W22" s="239"/>
    </row>
    <row r="23" spans="1:23">
      <c r="A23" s="1130"/>
      <c r="B23" s="239"/>
      <c r="C23" s="239"/>
      <c r="D23" s="239"/>
      <c r="E23" s="239"/>
      <c r="F23" s="239"/>
      <c r="G23" s="183"/>
      <c r="H23" s="356"/>
      <c r="I23" s="219"/>
      <c r="J23" s="376"/>
      <c r="K23" s="358"/>
      <c r="L23" s="358"/>
      <c r="M23" s="358"/>
      <c r="N23" s="358"/>
      <c r="P23" s="1130"/>
      <c r="Q23" s="363" t="s">
        <v>129</v>
      </c>
      <c r="R23" s="364">
        <f>C24</f>
        <v>0</v>
      </c>
      <c r="S23" s="364">
        <f>S19+S20+S21+S22</f>
        <v>0</v>
      </c>
      <c r="T23" s="364">
        <f>T19+T20+T21+T22</f>
        <v>0</v>
      </c>
      <c r="U23" s="364">
        <f>D24</f>
        <v>54220</v>
      </c>
      <c r="V23" s="364">
        <f>V19+V20+V21+V22</f>
        <v>0</v>
      </c>
      <c r="W23" s="364">
        <f>W19+W20+W21+W22</f>
        <v>0</v>
      </c>
    </row>
    <row r="24" spans="1:23">
      <c r="A24" s="1130"/>
      <c r="B24" s="363" t="s">
        <v>129</v>
      </c>
      <c r="C24" s="364">
        <f>C20+C21+C22+C23</f>
        <v>0</v>
      </c>
      <c r="D24" s="364">
        <f>D20+D21+D22+D23</f>
        <v>54220</v>
      </c>
      <c r="E24" s="364">
        <f>E20+E21+E22+E23</f>
        <v>0</v>
      </c>
      <c r="F24" s="364">
        <f>F20+F21+F22+F23</f>
        <v>0</v>
      </c>
      <c r="G24" s="364"/>
      <c r="H24" s="364">
        <f>H20+H21+H22+H23</f>
        <v>0</v>
      </c>
      <c r="I24" s="219"/>
      <c r="J24" s="376"/>
      <c r="K24" s="358"/>
      <c r="L24" s="358"/>
      <c r="M24" s="358"/>
      <c r="N24" s="358"/>
      <c r="P24" s="1130"/>
      <c r="Q24" s="366" t="s">
        <v>178</v>
      </c>
      <c r="R24" s="367">
        <f>R19+R23-S23-T23</f>
        <v>199470</v>
      </c>
      <c r="S24" s="367"/>
      <c r="T24" s="367"/>
      <c r="U24" s="367">
        <f>U19+U23-V23-W23</f>
        <v>81196</v>
      </c>
      <c r="V24" s="367"/>
      <c r="W24" s="367"/>
    </row>
    <row r="25" spans="1:23">
      <c r="A25" s="1130">
        <f>A20+1</f>
        <v>43895</v>
      </c>
      <c r="B25" s="239">
        <v>18827</v>
      </c>
      <c r="C25" s="239"/>
      <c r="D25" s="239"/>
      <c r="E25" s="239"/>
      <c r="F25" s="239">
        <v>27260</v>
      </c>
      <c r="G25" s="239"/>
      <c r="H25" s="356"/>
      <c r="I25" s="219"/>
      <c r="J25" s="376"/>
      <c r="K25" s="358"/>
      <c r="L25" s="358"/>
      <c r="M25" s="358"/>
      <c r="N25" s="358"/>
      <c r="P25" s="1130">
        <f>P20+1</f>
        <v>43895</v>
      </c>
      <c r="Q25" s="149"/>
      <c r="R25" s="239"/>
      <c r="S25" s="239"/>
      <c r="T25" s="239"/>
      <c r="U25" s="239"/>
      <c r="V25" s="239"/>
      <c r="W25" s="239"/>
    </row>
    <row r="26" spans="1:23">
      <c r="A26" s="1130"/>
      <c r="B26" s="239"/>
      <c r="C26" s="239"/>
      <c r="D26" s="239"/>
      <c r="E26" s="239"/>
      <c r="F26" s="239"/>
      <c r="G26" s="239"/>
      <c r="H26" s="356"/>
      <c r="I26" s="219"/>
      <c r="J26" s="377"/>
      <c r="K26" s="239"/>
      <c r="L26" s="239"/>
      <c r="M26" s="239"/>
      <c r="N26" s="239"/>
      <c r="P26" s="1130"/>
      <c r="Q26" s="149"/>
      <c r="R26" s="239"/>
      <c r="S26" s="239"/>
      <c r="T26" s="239"/>
      <c r="U26" s="239"/>
      <c r="V26" s="239"/>
      <c r="W26" s="239"/>
    </row>
    <row r="27" spans="1:23">
      <c r="A27" s="1130"/>
      <c r="B27" s="239"/>
      <c r="C27" s="239"/>
      <c r="D27" s="239"/>
      <c r="E27" s="239"/>
      <c r="F27" s="239"/>
      <c r="G27" s="239"/>
      <c r="H27" s="356"/>
      <c r="I27" s="219"/>
      <c r="J27" s="377"/>
      <c r="K27" s="239"/>
      <c r="L27" s="239"/>
      <c r="M27" s="239"/>
      <c r="N27" s="239"/>
      <c r="P27" s="1130"/>
      <c r="Q27" s="149"/>
      <c r="R27" s="239"/>
      <c r="S27" s="239"/>
      <c r="T27" s="239"/>
      <c r="U27" s="239"/>
      <c r="V27" s="239"/>
      <c r="W27" s="239"/>
    </row>
    <row r="28" spans="1:23">
      <c r="A28" s="1130"/>
      <c r="B28" s="239"/>
      <c r="C28" s="239"/>
      <c r="D28" s="239"/>
      <c r="E28" s="239"/>
      <c r="F28" s="239"/>
      <c r="G28" s="239"/>
      <c r="H28" s="356"/>
      <c r="I28" s="219"/>
      <c r="J28" s="377"/>
      <c r="K28" s="239"/>
      <c r="L28" s="239"/>
      <c r="M28" s="239"/>
      <c r="N28" s="239"/>
      <c r="P28" s="1130"/>
      <c r="Q28" s="363" t="s">
        <v>129</v>
      </c>
      <c r="R28" s="364">
        <f>C29</f>
        <v>0</v>
      </c>
      <c r="S28" s="364">
        <f>S24+S25+S26+S27</f>
        <v>0</v>
      </c>
      <c r="T28" s="364">
        <f>T24+T25+T26+T27</f>
        <v>0</v>
      </c>
      <c r="U28" s="364">
        <f>D29</f>
        <v>0</v>
      </c>
      <c r="V28" s="364">
        <f>V24+V25+V26+V27</f>
        <v>0</v>
      </c>
      <c r="W28" s="364">
        <f>W24+W25+W26+W27</f>
        <v>0</v>
      </c>
    </row>
    <row r="29" spans="1:23">
      <c r="A29" s="1130"/>
      <c r="B29" s="363" t="s">
        <v>129</v>
      </c>
      <c r="C29" s="364">
        <f>C25+C26+C27+C28</f>
        <v>0</v>
      </c>
      <c r="D29" s="364">
        <f>D25+D26+D27+D28</f>
        <v>0</v>
      </c>
      <c r="E29" s="364">
        <f>E25+E26+E27+E28</f>
        <v>0</v>
      </c>
      <c r="F29" s="364">
        <f>F25+F26+F27+F28</f>
        <v>27260</v>
      </c>
      <c r="G29" s="364"/>
      <c r="H29" s="364">
        <f>H25+H26+H27+H28</f>
        <v>0</v>
      </c>
      <c r="I29" s="219"/>
      <c r="J29" s="377"/>
      <c r="K29" s="239"/>
      <c r="L29" s="239"/>
      <c r="M29" s="239"/>
      <c r="N29" s="239"/>
      <c r="P29" s="1130"/>
      <c r="Q29" s="366" t="s">
        <v>178</v>
      </c>
      <c r="R29" s="367">
        <f>R24+R28-S28-T28</f>
        <v>199470</v>
      </c>
      <c r="S29" s="367"/>
      <c r="T29" s="367"/>
      <c r="U29" s="367">
        <f>U24+U28-V28-W28</f>
        <v>81196</v>
      </c>
      <c r="V29" s="367"/>
      <c r="W29" s="367"/>
    </row>
    <row r="30" spans="1:23">
      <c r="A30" s="1130">
        <f>A25+1</f>
        <v>43896</v>
      </c>
      <c r="B30" s="239"/>
      <c r="C30" s="239"/>
      <c r="D30" s="239"/>
      <c r="E30" s="239"/>
      <c r="F30" s="239"/>
      <c r="G30" s="239"/>
      <c r="H30" s="356"/>
      <c r="I30" s="219"/>
      <c r="J30" s="377"/>
      <c r="K30" s="239"/>
      <c r="L30" s="239"/>
      <c r="M30" s="239"/>
      <c r="N30" s="239"/>
      <c r="P30" s="1130">
        <f>P25+1</f>
        <v>43896</v>
      </c>
      <c r="Q30" s="149"/>
      <c r="R30" s="239"/>
      <c r="S30" s="239"/>
      <c r="T30" s="239"/>
      <c r="U30" s="239"/>
      <c r="V30" s="239">
        <v>27827</v>
      </c>
      <c r="W30" s="239"/>
    </row>
    <row r="31" spans="1:23">
      <c r="A31" s="1130"/>
      <c r="B31" s="239"/>
      <c r="C31" s="239"/>
      <c r="D31" s="239"/>
      <c r="E31" s="239"/>
      <c r="F31" s="239"/>
      <c r="G31" s="239"/>
      <c r="H31" s="356"/>
      <c r="I31" s="219"/>
      <c r="J31" s="377"/>
      <c r="K31" s="239"/>
      <c r="L31" s="239"/>
      <c r="M31" s="239"/>
      <c r="N31" s="239"/>
      <c r="P31" s="1130"/>
      <c r="Q31" s="149"/>
      <c r="R31" s="239"/>
      <c r="S31" s="239"/>
      <c r="T31" s="239"/>
      <c r="U31" s="239"/>
      <c r="V31" s="239"/>
      <c r="W31" s="239"/>
    </row>
    <row r="32" spans="1:23">
      <c r="A32" s="1130"/>
      <c r="B32" s="239"/>
      <c r="C32" s="239"/>
      <c r="D32" s="239"/>
      <c r="E32" s="239"/>
      <c r="F32" s="239"/>
      <c r="G32" s="239"/>
      <c r="H32" s="356"/>
      <c r="I32" s="219"/>
      <c r="J32" s="377"/>
      <c r="K32" s="239"/>
      <c r="L32" s="239"/>
      <c r="M32" s="239"/>
      <c r="N32" s="239"/>
      <c r="P32" s="1130"/>
      <c r="Q32" s="149"/>
      <c r="R32" s="239"/>
      <c r="S32" s="239"/>
      <c r="T32" s="239"/>
      <c r="U32" s="239"/>
      <c r="V32" s="239"/>
      <c r="W32" s="239"/>
    </row>
    <row r="33" spans="1:23">
      <c r="A33" s="1130"/>
      <c r="B33" s="239"/>
      <c r="C33" s="239"/>
      <c r="D33" s="239"/>
      <c r="E33" s="239"/>
      <c r="F33" s="239"/>
      <c r="G33" s="239"/>
      <c r="H33" s="356"/>
      <c r="I33" s="219"/>
      <c r="J33" s="377"/>
      <c r="K33" s="239"/>
      <c r="L33" s="239"/>
      <c r="M33" s="239"/>
      <c r="N33" s="239"/>
      <c r="P33" s="1130"/>
      <c r="Q33" s="363" t="s">
        <v>129</v>
      </c>
      <c r="R33" s="364">
        <f>C34</f>
        <v>0</v>
      </c>
      <c r="S33" s="364">
        <f>S29+S30+S31+S32</f>
        <v>0</v>
      </c>
      <c r="T33" s="364">
        <f>T29+T30+T31+T32</f>
        <v>0</v>
      </c>
      <c r="U33" s="364">
        <f>D34</f>
        <v>0</v>
      </c>
      <c r="V33" s="364">
        <f>V29+V30+V31+V32</f>
        <v>27827</v>
      </c>
      <c r="W33" s="364">
        <f>W29+W30+W31+W32</f>
        <v>0</v>
      </c>
    </row>
    <row r="34" spans="1:23">
      <c r="A34" s="1130"/>
      <c r="B34" s="363" t="s">
        <v>129</v>
      </c>
      <c r="C34" s="364">
        <f>C30+C31+C32+C33</f>
        <v>0</v>
      </c>
      <c r="D34" s="364">
        <f>D30+D31+D32+D33</f>
        <v>0</v>
      </c>
      <c r="E34" s="364">
        <f>E30+E31+E32+E33</f>
        <v>0</v>
      </c>
      <c r="F34" s="364">
        <f>F30+F31+F32+F33</f>
        <v>0</v>
      </c>
      <c r="G34" s="364"/>
      <c r="H34" s="364">
        <f>H30+H31+H32+H33</f>
        <v>0</v>
      </c>
      <c r="I34" s="219"/>
      <c r="J34" s="377"/>
      <c r="K34" s="239"/>
      <c r="L34" s="239"/>
      <c r="M34" s="239"/>
      <c r="N34" s="239"/>
      <c r="P34" s="1130"/>
      <c r="Q34" s="366" t="s">
        <v>178</v>
      </c>
      <c r="R34" s="367">
        <f>R29+R33-S33-T33</f>
        <v>199470</v>
      </c>
      <c r="S34" s="367"/>
      <c r="T34" s="367"/>
      <c r="U34" s="367">
        <f>U29+U33-V33-W33</f>
        <v>53369</v>
      </c>
      <c r="V34" s="367"/>
      <c r="W34" s="367"/>
    </row>
    <row r="35" spans="1:23">
      <c r="A35" s="1130">
        <f>A30+1</f>
        <v>43897</v>
      </c>
      <c r="B35" s="239"/>
      <c r="C35" s="239"/>
      <c r="D35" s="239"/>
      <c r="E35" s="239"/>
      <c r="F35" s="239"/>
      <c r="G35" s="355"/>
      <c r="H35" s="356"/>
      <c r="I35" s="219"/>
      <c r="J35" s="377"/>
      <c r="K35" s="239"/>
      <c r="L35" s="239"/>
      <c r="M35" s="239"/>
      <c r="N35" s="239"/>
      <c r="P35" s="1130">
        <f>P30+1</f>
        <v>43897</v>
      </c>
      <c r="Q35" s="149"/>
      <c r="R35" s="239"/>
      <c r="S35" s="239"/>
      <c r="T35" s="239"/>
      <c r="U35" s="239"/>
      <c r="V35" s="239"/>
      <c r="W35" s="239"/>
    </row>
    <row r="36" spans="1:23">
      <c r="A36" s="1130"/>
      <c r="B36" s="239"/>
      <c r="C36" s="239"/>
      <c r="D36" s="239"/>
      <c r="E36" s="239"/>
      <c r="F36" s="239"/>
      <c r="G36" s="355"/>
      <c r="H36" s="356"/>
      <c r="I36" s="219"/>
      <c r="J36" s="377"/>
      <c r="K36" s="239"/>
      <c r="L36" s="239"/>
      <c r="M36" s="239"/>
      <c r="N36" s="239"/>
      <c r="P36" s="1130"/>
      <c r="Q36" s="149"/>
      <c r="R36" s="239"/>
      <c r="S36" s="239"/>
      <c r="T36" s="239"/>
      <c r="U36" s="239"/>
      <c r="V36" s="239"/>
      <c r="W36" s="239"/>
    </row>
    <row r="37" spans="1:23">
      <c r="A37" s="1130"/>
      <c r="B37" s="239"/>
      <c r="C37" s="239"/>
      <c r="D37" s="239"/>
      <c r="E37" s="239"/>
      <c r="F37" s="239"/>
      <c r="G37" s="355"/>
      <c r="H37" s="356"/>
      <c r="I37" s="219"/>
      <c r="J37" s="377"/>
      <c r="K37" s="239"/>
      <c r="L37" s="239"/>
      <c r="M37" s="239"/>
      <c r="N37" s="239"/>
      <c r="P37" s="1130"/>
      <c r="Q37" s="149"/>
      <c r="R37" s="239"/>
      <c r="S37" s="239"/>
      <c r="T37" s="239"/>
      <c r="U37" s="239"/>
      <c r="V37" s="239"/>
      <c r="W37" s="239"/>
    </row>
    <row r="38" spans="1:23">
      <c r="A38" s="1130"/>
      <c r="B38" s="239"/>
      <c r="C38" s="239"/>
      <c r="D38" s="239"/>
      <c r="E38" s="239"/>
      <c r="F38" s="239"/>
      <c r="G38" s="54"/>
      <c r="H38" s="356"/>
      <c r="I38" s="219"/>
      <c r="J38" s="377"/>
      <c r="K38" s="239"/>
      <c r="L38" s="239"/>
      <c r="M38" s="239"/>
      <c r="N38" s="239"/>
      <c r="P38" s="1130"/>
      <c r="Q38" s="363" t="s">
        <v>129</v>
      </c>
      <c r="R38" s="364">
        <f>C39</f>
        <v>0</v>
      </c>
      <c r="S38" s="364">
        <f>S34+S35+S36+S37</f>
        <v>0</v>
      </c>
      <c r="T38" s="364">
        <f>T34+T35+T36+T37</f>
        <v>0</v>
      </c>
      <c r="U38" s="364">
        <f>D39</f>
        <v>0</v>
      </c>
      <c r="V38" s="364">
        <f>V34+V35+V36+V37</f>
        <v>0</v>
      </c>
      <c r="W38" s="364">
        <f>W34+W35+W36+W37</f>
        <v>0</v>
      </c>
    </row>
    <row r="39" spans="1:23">
      <c r="A39" s="1130"/>
      <c r="B39" s="363" t="s">
        <v>129</v>
      </c>
      <c r="C39" s="364">
        <f>C35+C36+C37+C38</f>
        <v>0</v>
      </c>
      <c r="D39" s="364">
        <f>D35+D36+D37+D38</f>
        <v>0</v>
      </c>
      <c r="E39" s="364">
        <f>E35+E36+E37+E38</f>
        <v>0</v>
      </c>
      <c r="F39" s="364">
        <f>F35+F36+F37+F38</f>
        <v>0</v>
      </c>
      <c r="G39" s="378"/>
      <c r="H39" s="364">
        <f>H35+H36+H37+H38</f>
        <v>0</v>
      </c>
      <c r="I39" s="219"/>
      <c r="J39" s="377"/>
      <c r="K39" s="239"/>
      <c r="L39" s="239"/>
      <c r="M39" s="239"/>
      <c r="N39" s="239"/>
      <c r="P39" s="1130"/>
      <c r="Q39" s="366" t="s">
        <v>178</v>
      </c>
      <c r="R39" s="367">
        <f>R34+R38-S38-T38</f>
        <v>199470</v>
      </c>
      <c r="S39" s="367"/>
      <c r="T39" s="367"/>
      <c r="U39" s="367">
        <f>U34+U38-V38-W38</f>
        <v>53369</v>
      </c>
      <c r="V39" s="367"/>
      <c r="W39" s="367"/>
    </row>
    <row r="40" spans="1:23">
      <c r="A40" s="1130">
        <f>A35+1</f>
        <v>43898</v>
      </c>
      <c r="B40" s="239"/>
      <c r="C40" s="239"/>
      <c r="D40" s="239"/>
      <c r="E40" s="239"/>
      <c r="F40" s="239"/>
      <c r="G40" s="183"/>
      <c r="H40" s="356"/>
      <c r="I40" s="219"/>
      <c r="J40" s="377"/>
      <c r="K40" s="239"/>
      <c r="L40" s="239"/>
      <c r="M40" s="239"/>
      <c r="N40" s="239"/>
      <c r="P40" s="1130">
        <f>P35+1</f>
        <v>43898</v>
      </c>
      <c r="Q40" s="149"/>
      <c r="R40" s="239"/>
      <c r="S40" s="239"/>
      <c r="T40" s="239"/>
      <c r="U40" s="239"/>
      <c r="V40" s="239"/>
      <c r="W40" s="239"/>
    </row>
    <row r="41" spans="1:23">
      <c r="A41" s="1130"/>
      <c r="B41" s="239"/>
      <c r="C41" s="239"/>
      <c r="D41" s="239"/>
      <c r="E41" s="239"/>
      <c r="F41" s="239"/>
      <c r="G41" s="183"/>
      <c r="H41" s="356"/>
      <c r="I41" s="219"/>
      <c r="J41" s="377"/>
      <c r="K41" s="239"/>
      <c r="L41" s="239"/>
      <c r="M41" s="239"/>
      <c r="N41" s="239"/>
      <c r="P41" s="1130"/>
      <c r="Q41" s="149"/>
      <c r="R41" s="239"/>
      <c r="S41" s="239"/>
      <c r="T41" s="239"/>
      <c r="U41" s="239"/>
      <c r="V41" s="239"/>
      <c r="W41" s="239"/>
    </row>
    <row r="42" spans="1:23">
      <c r="A42" s="1130"/>
      <c r="B42" s="239"/>
      <c r="C42" s="239"/>
      <c r="D42" s="239"/>
      <c r="E42" s="239"/>
      <c r="F42" s="239"/>
      <c r="G42" s="239"/>
      <c r="H42" s="356"/>
      <c r="I42" s="219"/>
      <c r="J42" s="337"/>
      <c r="K42" s="337"/>
      <c r="L42" s="337"/>
      <c r="M42" s="337"/>
      <c r="N42" s="337"/>
      <c r="P42" s="1130"/>
      <c r="Q42" s="149"/>
      <c r="R42" s="239"/>
      <c r="S42" s="239"/>
      <c r="T42" s="239"/>
      <c r="U42" s="239"/>
      <c r="V42" s="239"/>
      <c r="W42" s="239"/>
    </row>
    <row r="43" spans="1:23">
      <c r="A43" s="1130"/>
      <c r="B43" s="239"/>
      <c r="C43" s="239"/>
      <c r="D43" s="239"/>
      <c r="E43" s="239"/>
      <c r="F43" s="239"/>
      <c r="G43" s="239"/>
      <c r="H43" s="356"/>
      <c r="I43" s="219"/>
      <c r="J43" s="992" t="s">
        <v>181</v>
      </c>
      <c r="K43" s="992"/>
      <c r="L43" s="379">
        <f>SUM(RECEBIMENTO!L5:L40)</f>
        <v>58390</v>
      </c>
      <c r="M43" s="219"/>
      <c r="N43" s="379">
        <f>SUM(RECEBIMENTO!N5:N40)</f>
        <v>1800</v>
      </c>
      <c r="P43" s="1130"/>
      <c r="Q43" s="363" t="s">
        <v>129</v>
      </c>
      <c r="R43" s="364">
        <f>C44</f>
        <v>0</v>
      </c>
      <c r="S43" s="364">
        <f>S39+S40+S41+S42</f>
        <v>0</v>
      </c>
      <c r="T43" s="364">
        <f>T39+T40+T41+T42</f>
        <v>0</v>
      </c>
      <c r="U43" s="364">
        <f>D44</f>
        <v>0</v>
      </c>
      <c r="V43" s="364">
        <f>V39+V40+V41+V42</f>
        <v>0</v>
      </c>
      <c r="W43" s="364">
        <f>W39+W40+W41+W42</f>
        <v>0</v>
      </c>
    </row>
    <row r="44" spans="1:23">
      <c r="A44" s="1130" t="s">
        <v>182</v>
      </c>
      <c r="B44" s="363" t="s">
        <v>129</v>
      </c>
      <c r="C44" s="364">
        <f>C40+C41+C42+C43</f>
        <v>0</v>
      </c>
      <c r="D44" s="364">
        <f>D40+D41+D42+D43</f>
        <v>0</v>
      </c>
      <c r="E44" s="364">
        <f>E40+E41+E42+E43</f>
        <v>0</v>
      </c>
      <c r="F44" s="364">
        <f>F40+F41+F42+F43</f>
        <v>0</v>
      </c>
      <c r="G44" s="364"/>
      <c r="H44" s="364">
        <f>H40+H41+H42+H43</f>
        <v>0</v>
      </c>
      <c r="I44" s="380"/>
      <c r="J44" s="992" t="s">
        <v>182</v>
      </c>
      <c r="K44" s="992"/>
      <c r="L44" s="963">
        <f>SUM(RECEBIMENTO!L43,RECEBIMENTO!N43)</f>
        <v>60190</v>
      </c>
      <c r="M44" s="963"/>
      <c r="N44" s="219"/>
      <c r="P44" s="1130" t="s">
        <v>182</v>
      </c>
      <c r="Q44" s="366" t="s">
        <v>178</v>
      </c>
      <c r="R44" s="367">
        <f>R39+R43-S43-T43</f>
        <v>199470</v>
      </c>
      <c r="S44" s="367"/>
      <c r="T44" s="367"/>
      <c r="U44" s="367">
        <f>U39+U43-V43-W43</f>
        <v>53369</v>
      </c>
      <c r="V44" s="367"/>
      <c r="W44" s="367"/>
    </row>
    <row r="45" spans="1:23">
      <c r="A45" s="1130">
        <f>A40+1</f>
        <v>43899</v>
      </c>
      <c r="B45" s="239">
        <v>18308</v>
      </c>
      <c r="C45" s="239"/>
      <c r="D45" s="239">
        <v>27130</v>
      </c>
      <c r="E45" s="239"/>
      <c r="F45" s="239"/>
      <c r="G45" s="239"/>
      <c r="H45" s="356"/>
      <c r="P45" s="1130">
        <f>P40+1</f>
        <v>43899</v>
      </c>
      <c r="Q45" s="149"/>
      <c r="R45" s="239"/>
      <c r="S45" s="239"/>
      <c r="T45" s="239"/>
      <c r="U45" s="239"/>
      <c r="V45" s="239"/>
      <c r="W45" s="239"/>
    </row>
    <row r="46" spans="1:23">
      <c r="A46" s="1130"/>
      <c r="B46" s="239">
        <v>18296</v>
      </c>
      <c r="C46" s="239"/>
      <c r="D46" s="239">
        <v>35550</v>
      </c>
      <c r="E46" s="239"/>
      <c r="F46" s="239"/>
      <c r="G46" s="239"/>
      <c r="H46" s="356"/>
      <c r="P46" s="1130"/>
      <c r="Q46" s="149"/>
      <c r="R46" s="239"/>
      <c r="S46" s="239"/>
      <c r="T46" s="239"/>
      <c r="U46" s="239"/>
      <c r="V46" s="239"/>
      <c r="W46" s="239"/>
    </row>
    <row r="47" spans="1:23">
      <c r="A47" s="1130"/>
      <c r="B47" s="239"/>
      <c r="C47" s="239"/>
      <c r="D47" s="239"/>
      <c r="E47" s="239"/>
      <c r="F47" s="239"/>
      <c r="G47" s="239"/>
      <c r="H47" s="356"/>
      <c r="P47" s="1130"/>
      <c r="Q47" s="149"/>
      <c r="R47" s="239"/>
      <c r="S47" s="239"/>
      <c r="T47" s="239"/>
      <c r="U47" s="239"/>
      <c r="V47" s="239"/>
      <c r="W47" s="239"/>
    </row>
    <row r="48" spans="1:23">
      <c r="A48" s="1130"/>
      <c r="B48" s="239"/>
      <c r="C48" s="239"/>
      <c r="D48" s="239"/>
      <c r="E48" s="239"/>
      <c r="F48" s="239"/>
      <c r="G48" s="239"/>
      <c r="H48" s="356"/>
      <c r="P48" s="1130"/>
      <c r="Q48" s="363" t="s">
        <v>129</v>
      </c>
      <c r="R48" s="364">
        <f>C49</f>
        <v>0</v>
      </c>
      <c r="S48" s="364">
        <f>S44+S45+S46+S47</f>
        <v>0</v>
      </c>
      <c r="T48" s="364">
        <f>T44+T45+T46+T47</f>
        <v>0</v>
      </c>
      <c r="U48" s="364">
        <f>D49</f>
        <v>62680</v>
      </c>
      <c r="V48" s="364">
        <f>V44+V45+V46+V47</f>
        <v>0</v>
      </c>
      <c r="W48" s="364">
        <f>W44+W45+W46+W47</f>
        <v>0</v>
      </c>
    </row>
    <row r="49" spans="1:23">
      <c r="A49" s="1130"/>
      <c r="B49" s="363" t="s">
        <v>129</v>
      </c>
      <c r="C49" s="364">
        <f>C45+C46+C47+C48</f>
        <v>0</v>
      </c>
      <c r="D49" s="364">
        <f>D45+D46+D47+D48</f>
        <v>62680</v>
      </c>
      <c r="E49" s="364">
        <f>E45+E46+E47+E48</f>
        <v>0</v>
      </c>
      <c r="F49" s="364">
        <f>F45+F46+F47+F48</f>
        <v>0</v>
      </c>
      <c r="G49" s="364"/>
      <c r="H49" s="364">
        <f>H45+H46+H47+H48</f>
        <v>0</v>
      </c>
      <c r="P49" s="1130"/>
      <c r="Q49" s="366" t="s">
        <v>178</v>
      </c>
      <c r="R49" s="367">
        <f>R44+R48-S48-T48</f>
        <v>199470</v>
      </c>
      <c r="S49" s="367"/>
      <c r="T49" s="367"/>
      <c r="U49" s="367">
        <f>U44+U48-V48-W48</f>
        <v>116049</v>
      </c>
      <c r="V49" s="367"/>
      <c r="W49" s="367"/>
    </row>
    <row r="50" spans="1:23">
      <c r="A50" s="1130">
        <f>A45+1</f>
        <v>43900</v>
      </c>
      <c r="B50" s="239">
        <v>18314</v>
      </c>
      <c r="C50" s="239"/>
      <c r="D50" s="239">
        <v>32860</v>
      </c>
      <c r="E50" s="239"/>
      <c r="F50" s="239"/>
      <c r="G50" s="239"/>
      <c r="H50" s="356"/>
      <c r="P50" s="1130">
        <f>P45+1</f>
        <v>43900</v>
      </c>
      <c r="Q50" s="149"/>
      <c r="R50" s="239"/>
      <c r="S50" s="239"/>
      <c r="T50" s="239"/>
      <c r="U50" s="239"/>
      <c r="V50" s="239">
        <v>33320</v>
      </c>
      <c r="W50" s="239"/>
    </row>
    <row r="51" spans="1:23">
      <c r="A51" s="1130"/>
      <c r="B51" s="239"/>
      <c r="C51" s="239"/>
      <c r="D51" s="239"/>
      <c r="E51" s="239"/>
      <c r="F51" s="239"/>
      <c r="G51" s="239"/>
      <c r="H51" s="356"/>
      <c r="P51" s="1130"/>
      <c r="Q51" s="149"/>
      <c r="R51" s="239"/>
      <c r="S51" s="239"/>
      <c r="T51" s="239"/>
      <c r="U51" s="239"/>
      <c r="V51" s="239"/>
      <c r="W51" s="239"/>
    </row>
    <row r="52" spans="1:23">
      <c r="A52" s="1130"/>
      <c r="B52" s="239"/>
      <c r="C52" s="239"/>
      <c r="D52" s="239"/>
      <c r="E52" s="239"/>
      <c r="F52" s="239"/>
      <c r="G52" s="239"/>
      <c r="H52" s="356"/>
      <c r="P52" s="1130"/>
      <c r="Q52" s="149"/>
      <c r="R52" s="239"/>
      <c r="S52" s="239"/>
      <c r="T52" s="239"/>
      <c r="U52" s="239"/>
      <c r="V52" s="239"/>
      <c r="W52" s="239"/>
    </row>
    <row r="53" spans="1:23">
      <c r="A53" s="1130"/>
      <c r="B53" s="239"/>
      <c r="C53" s="239"/>
      <c r="D53" s="239"/>
      <c r="E53" s="239"/>
      <c r="F53" s="239"/>
      <c r="G53" s="355"/>
      <c r="H53" s="356"/>
      <c r="P53" s="1130"/>
      <c r="Q53" s="363" t="s">
        <v>129</v>
      </c>
      <c r="R53" s="364">
        <f>C54</f>
        <v>0</v>
      </c>
      <c r="S53" s="364">
        <f>S49+S50+S51+S52</f>
        <v>0</v>
      </c>
      <c r="T53" s="364">
        <f>T49+T50+T51+T52</f>
        <v>0</v>
      </c>
      <c r="U53" s="364">
        <f>D54</f>
        <v>32860</v>
      </c>
      <c r="V53" s="364">
        <f>V49+V50+V51+V52</f>
        <v>33320</v>
      </c>
      <c r="W53" s="364">
        <f>W49+W50+W51+W52</f>
        <v>0</v>
      </c>
    </row>
    <row r="54" spans="1:23">
      <c r="A54" s="1130"/>
      <c r="B54" s="363" t="s">
        <v>129</v>
      </c>
      <c r="C54" s="364">
        <f>C50+C51+C52+C53</f>
        <v>0</v>
      </c>
      <c r="D54" s="364">
        <f>D50+D51+D52+D53</f>
        <v>32860</v>
      </c>
      <c r="E54" s="364">
        <f>E50+E51+E52+E53</f>
        <v>0</v>
      </c>
      <c r="F54" s="364">
        <f>F50+F51+F52+F53</f>
        <v>0</v>
      </c>
      <c r="G54" s="365"/>
      <c r="H54" s="364">
        <f>H50+H51+H52+H53</f>
        <v>0</v>
      </c>
      <c r="P54" s="1130"/>
      <c r="Q54" s="366" t="s">
        <v>178</v>
      </c>
      <c r="R54" s="367">
        <f>R49+R53-S53-T53</f>
        <v>199470</v>
      </c>
      <c r="S54" s="367"/>
      <c r="T54" s="367"/>
      <c r="U54" s="367">
        <f>U49+U53-V53-W53</f>
        <v>115589</v>
      </c>
      <c r="V54" s="367"/>
      <c r="W54" s="367"/>
    </row>
    <row r="55" spans="1:23">
      <c r="A55" s="1130">
        <f>A50+1</f>
        <v>43901</v>
      </c>
      <c r="B55" s="239"/>
      <c r="C55" s="239"/>
      <c r="D55" s="239"/>
      <c r="E55" s="239"/>
      <c r="F55" s="239"/>
      <c r="G55" s="355"/>
      <c r="H55" s="356"/>
      <c r="P55" s="1130">
        <f>P50+1</f>
        <v>43901</v>
      </c>
      <c r="Q55" s="149"/>
      <c r="R55" s="239"/>
      <c r="S55" s="239"/>
      <c r="T55" s="239"/>
      <c r="U55" s="239"/>
      <c r="V55" s="239"/>
      <c r="W55" s="239"/>
    </row>
    <row r="56" spans="1:23">
      <c r="A56" s="1130"/>
      <c r="B56" s="239">
        <v>18330</v>
      </c>
      <c r="C56" s="239">
        <v>35790</v>
      </c>
      <c r="D56" s="239"/>
      <c r="E56" s="239"/>
      <c r="F56" s="239"/>
      <c r="G56" s="54"/>
      <c r="H56" s="356"/>
      <c r="P56" s="1130"/>
      <c r="Q56" s="149"/>
      <c r="R56" s="239"/>
      <c r="S56" s="239"/>
      <c r="T56" s="239"/>
      <c r="U56" s="239"/>
      <c r="V56" s="239"/>
      <c r="W56" s="239"/>
    </row>
    <row r="57" spans="1:23">
      <c r="A57" s="1130"/>
      <c r="B57" s="239">
        <v>18334</v>
      </c>
      <c r="C57" s="239">
        <v>26950</v>
      </c>
      <c r="D57" s="239"/>
      <c r="E57" s="239"/>
      <c r="F57" s="239"/>
      <c r="G57" s="54"/>
      <c r="H57" s="356"/>
      <c r="P57" s="1130"/>
      <c r="Q57" s="149"/>
      <c r="R57" s="239"/>
      <c r="S57" s="239"/>
      <c r="T57" s="239"/>
      <c r="U57" s="239"/>
      <c r="V57" s="239"/>
      <c r="W57" s="239"/>
    </row>
    <row r="58" spans="1:23">
      <c r="A58" s="1130"/>
      <c r="B58" s="239"/>
      <c r="C58" s="239"/>
      <c r="D58" s="239"/>
      <c r="E58" s="239"/>
      <c r="F58" s="239"/>
      <c r="G58" s="183"/>
      <c r="H58" s="356"/>
      <c r="P58" s="1130"/>
      <c r="Q58" s="363" t="s">
        <v>129</v>
      </c>
      <c r="R58" s="364">
        <f>C59</f>
        <v>62740</v>
      </c>
      <c r="S58" s="364">
        <f>S54+S55+S56+S57</f>
        <v>0</v>
      </c>
      <c r="T58" s="364">
        <f>T54+T55+T56+T57</f>
        <v>0</v>
      </c>
      <c r="U58" s="364">
        <f>D59</f>
        <v>0</v>
      </c>
      <c r="V58" s="364">
        <f>V54+V55+V56+V57</f>
        <v>0</v>
      </c>
      <c r="W58" s="364">
        <f>W54+W55+W56+W57</f>
        <v>0</v>
      </c>
    </row>
    <row r="59" spans="1:23">
      <c r="A59" s="1130"/>
      <c r="B59" s="363" t="s">
        <v>129</v>
      </c>
      <c r="C59" s="364">
        <f>C55+C56+C57+C58</f>
        <v>62740</v>
      </c>
      <c r="D59" s="364">
        <f>D55+D56+D57+D58</f>
        <v>0</v>
      </c>
      <c r="E59" s="364">
        <f>E55+E56+E57+E58</f>
        <v>0</v>
      </c>
      <c r="F59" s="364">
        <f>F55+F56+F57+F58</f>
        <v>0</v>
      </c>
      <c r="G59" s="381"/>
      <c r="H59" s="364">
        <f>H55+H56+H57+H58</f>
        <v>0</v>
      </c>
      <c r="P59" s="1130"/>
      <c r="Q59" s="366" t="s">
        <v>178</v>
      </c>
      <c r="R59" s="367">
        <f>R54+R58-S58-T58</f>
        <v>262210</v>
      </c>
      <c r="S59" s="367"/>
      <c r="T59" s="367"/>
      <c r="U59" s="367">
        <f>U54+U58-V58-W58</f>
        <v>115589</v>
      </c>
      <c r="V59" s="367"/>
      <c r="W59" s="367"/>
    </row>
    <row r="60" spans="1:23">
      <c r="A60" s="1130">
        <f>A55+1</f>
        <v>43902</v>
      </c>
      <c r="B60" s="239">
        <v>18338</v>
      </c>
      <c r="C60" s="239">
        <v>43910</v>
      </c>
      <c r="D60" s="239"/>
      <c r="E60" s="239"/>
      <c r="F60" s="239"/>
      <c r="G60" s="239"/>
      <c r="H60" s="356"/>
      <c r="P60" s="1130">
        <f>P55+1</f>
        <v>43902</v>
      </c>
      <c r="Q60" s="149"/>
      <c r="R60" s="239"/>
      <c r="S60" s="239"/>
      <c r="T60" s="239"/>
      <c r="U60" s="239"/>
      <c r="V60" s="239"/>
      <c r="W60" s="239"/>
    </row>
    <row r="61" spans="1:23">
      <c r="A61" s="1130"/>
      <c r="B61" s="239"/>
      <c r="C61" s="239"/>
      <c r="D61" s="239"/>
      <c r="E61" s="239"/>
      <c r="F61" s="239"/>
      <c r="G61" s="239"/>
      <c r="H61" s="356"/>
      <c r="P61" s="1130"/>
      <c r="Q61" s="149"/>
      <c r="R61" s="239"/>
      <c r="S61" s="239"/>
      <c r="T61" s="239"/>
      <c r="U61" s="239"/>
      <c r="V61" s="239"/>
      <c r="W61" s="239"/>
    </row>
    <row r="62" spans="1:23">
      <c r="A62" s="1130"/>
      <c r="B62" s="239"/>
      <c r="C62" s="239"/>
      <c r="D62" s="239"/>
      <c r="E62" s="239"/>
      <c r="F62" s="239"/>
      <c r="G62" s="239"/>
      <c r="H62" s="356"/>
      <c r="P62" s="1130"/>
      <c r="Q62" s="149"/>
      <c r="R62" s="239"/>
      <c r="S62" s="239"/>
      <c r="T62" s="239"/>
      <c r="U62" s="239"/>
      <c r="V62" s="239"/>
      <c r="W62" s="239"/>
    </row>
    <row r="63" spans="1:23">
      <c r="A63" s="1130"/>
      <c r="B63" s="239"/>
      <c r="C63" s="239"/>
      <c r="D63" s="239"/>
      <c r="E63" s="239"/>
      <c r="F63" s="239"/>
      <c r="G63" s="239"/>
      <c r="H63" s="356"/>
      <c r="P63" s="1130"/>
      <c r="Q63" s="363" t="s">
        <v>129</v>
      </c>
      <c r="R63" s="364">
        <f>C64</f>
        <v>43910</v>
      </c>
      <c r="S63" s="364">
        <f>S59+S60+S61+S62</f>
        <v>0</v>
      </c>
      <c r="T63" s="364">
        <f>T59+T60+T61+T62</f>
        <v>0</v>
      </c>
      <c r="U63" s="364">
        <f>D64</f>
        <v>0</v>
      </c>
      <c r="V63" s="364">
        <f>V59+V60+V61+V62</f>
        <v>0</v>
      </c>
      <c r="W63" s="364">
        <f>W59+W60+W61+W62</f>
        <v>0</v>
      </c>
    </row>
    <row r="64" spans="1:23">
      <c r="A64" s="1130"/>
      <c r="B64" s="363" t="s">
        <v>129</v>
      </c>
      <c r="C64" s="364">
        <f>C60+C61+C62+C63</f>
        <v>43910</v>
      </c>
      <c r="D64" s="364">
        <f>D60+D61+D62+D63</f>
        <v>0</v>
      </c>
      <c r="E64" s="364">
        <f>E60+E61+E62+E63</f>
        <v>0</v>
      </c>
      <c r="F64" s="364">
        <f>F60+F61+F62+F63</f>
        <v>0</v>
      </c>
      <c r="G64" s="364"/>
      <c r="H64" s="364">
        <f>H60+H61+H62+H63</f>
        <v>0</v>
      </c>
      <c r="P64" s="1130"/>
      <c r="Q64" s="366" t="s">
        <v>178</v>
      </c>
      <c r="R64" s="367">
        <f>R59+R63-S63-T63</f>
        <v>306120</v>
      </c>
      <c r="S64" s="367"/>
      <c r="T64" s="367"/>
      <c r="U64" s="367">
        <f>U59+U63-V63-W63</f>
        <v>115589</v>
      </c>
      <c r="V64" s="367"/>
      <c r="W64" s="367"/>
    </row>
    <row r="65" spans="1:23">
      <c r="A65" s="1130">
        <f>A60+1</f>
        <v>43903</v>
      </c>
      <c r="B65" s="239"/>
      <c r="C65" s="239"/>
      <c r="D65" s="239"/>
      <c r="E65" s="239"/>
      <c r="F65" s="239"/>
      <c r="G65" s="239"/>
      <c r="H65" s="356"/>
      <c r="P65" s="1130">
        <f>P60+1</f>
        <v>43903</v>
      </c>
      <c r="Q65" s="149"/>
      <c r="R65" s="239"/>
      <c r="S65" s="239"/>
      <c r="T65" s="239"/>
      <c r="U65" s="239"/>
      <c r="V65" s="239"/>
      <c r="W65" s="239"/>
    </row>
    <row r="66" spans="1:23">
      <c r="A66" s="1130"/>
      <c r="B66" s="239"/>
      <c r="C66" s="239"/>
      <c r="D66" s="239"/>
      <c r="E66" s="239"/>
      <c r="F66" s="239"/>
      <c r="G66" s="239"/>
      <c r="H66" s="356"/>
      <c r="P66" s="1130"/>
      <c r="Q66" s="149"/>
      <c r="R66" s="239"/>
      <c r="S66" s="239"/>
      <c r="T66" s="239"/>
      <c r="U66" s="239"/>
      <c r="V66" s="239"/>
      <c r="W66" s="239"/>
    </row>
    <row r="67" spans="1:23">
      <c r="A67" s="1130"/>
      <c r="B67" s="239"/>
      <c r="C67" s="239"/>
      <c r="D67" s="239"/>
      <c r="E67" s="239"/>
      <c r="F67" s="239"/>
      <c r="G67" s="239"/>
      <c r="H67" s="356"/>
      <c r="P67" s="1130"/>
      <c r="Q67" s="149"/>
      <c r="R67" s="239"/>
      <c r="S67" s="239"/>
      <c r="T67" s="239"/>
      <c r="U67" s="239"/>
      <c r="V67" s="239"/>
      <c r="W67" s="239"/>
    </row>
    <row r="68" spans="1:23">
      <c r="A68" s="1130"/>
      <c r="B68" s="382"/>
      <c r="C68" s="239"/>
      <c r="D68" s="239"/>
      <c r="E68" s="239"/>
      <c r="F68" s="239"/>
      <c r="G68" s="239"/>
      <c r="H68" s="356"/>
      <c r="P68" s="1130"/>
      <c r="Q68" s="363" t="s">
        <v>129</v>
      </c>
      <c r="R68" s="364">
        <f>C69</f>
        <v>0</v>
      </c>
      <c r="S68" s="364">
        <f>S64+S65+S66+S67</f>
        <v>0</v>
      </c>
      <c r="T68" s="364">
        <f>T64+T65+T66+T67</f>
        <v>0</v>
      </c>
      <c r="U68" s="364">
        <f>D69</f>
        <v>0</v>
      </c>
      <c r="V68" s="364">
        <f>V64+V65+V66+V67</f>
        <v>0</v>
      </c>
      <c r="W68" s="364">
        <f>W64+W65+W66+W67</f>
        <v>0</v>
      </c>
    </row>
    <row r="69" spans="1:23">
      <c r="A69" s="1130"/>
      <c r="B69" s="363" t="s">
        <v>129</v>
      </c>
      <c r="C69" s="364">
        <f>C65+C66+C67+C68</f>
        <v>0</v>
      </c>
      <c r="D69" s="364">
        <f>D65+D66+D67+D68</f>
        <v>0</v>
      </c>
      <c r="E69" s="364">
        <f>E65+E66+E67+E68</f>
        <v>0</v>
      </c>
      <c r="F69" s="364">
        <f>F65+F66+F67+F68</f>
        <v>0</v>
      </c>
      <c r="G69" s="364"/>
      <c r="H69" s="364">
        <f>H65+H66+H67+H68</f>
        <v>0</v>
      </c>
      <c r="P69" s="1130"/>
      <c r="Q69" s="366" t="s">
        <v>178</v>
      </c>
      <c r="R69" s="367">
        <f>R64+R68-S68-T68</f>
        <v>306120</v>
      </c>
      <c r="S69" s="367"/>
      <c r="T69" s="367"/>
      <c r="U69" s="367">
        <f>U64+U68-V68-W68</f>
        <v>115589</v>
      </c>
      <c r="V69" s="367"/>
      <c r="W69" s="367"/>
    </row>
    <row r="70" spans="1:23">
      <c r="A70" s="1130">
        <f>A65+1</f>
        <v>43904</v>
      </c>
      <c r="B70" s="239">
        <v>18366</v>
      </c>
      <c r="C70" s="239"/>
      <c r="D70" s="239">
        <v>27070</v>
      </c>
      <c r="E70" s="239"/>
      <c r="F70" s="239"/>
      <c r="G70" s="239"/>
      <c r="H70" s="356"/>
      <c r="P70" s="1130">
        <f>P65+1</f>
        <v>43904</v>
      </c>
      <c r="Q70" s="149"/>
      <c r="R70" s="239"/>
      <c r="S70" s="239">
        <v>24166</v>
      </c>
      <c r="T70" s="239"/>
      <c r="U70" s="239"/>
      <c r="V70" s="239"/>
      <c r="W70" s="239"/>
    </row>
    <row r="71" spans="1:23">
      <c r="A71" s="1130"/>
      <c r="B71" s="239">
        <v>18367</v>
      </c>
      <c r="C71" s="239"/>
      <c r="D71" s="239">
        <v>35820</v>
      </c>
      <c r="E71" s="239"/>
      <c r="F71" s="239"/>
      <c r="G71" s="355"/>
      <c r="H71" s="356"/>
      <c r="P71" s="1130"/>
      <c r="Q71" s="149"/>
      <c r="R71" s="239"/>
      <c r="S71" s="239"/>
      <c r="T71" s="239"/>
      <c r="U71" s="239"/>
      <c r="V71" s="239"/>
      <c r="W71" s="239"/>
    </row>
    <row r="72" spans="1:23">
      <c r="A72" s="1130"/>
      <c r="B72" s="239"/>
      <c r="C72" s="239"/>
      <c r="D72" s="239"/>
      <c r="E72" s="239"/>
      <c r="F72" s="239"/>
      <c r="G72" s="355"/>
      <c r="H72" s="356"/>
      <c r="P72" s="1130"/>
      <c r="Q72" s="149"/>
      <c r="R72" s="239"/>
      <c r="S72" s="239"/>
      <c r="T72" s="239"/>
      <c r="U72" s="239"/>
      <c r="V72" s="239"/>
      <c r="W72" s="239"/>
    </row>
    <row r="73" spans="1:23">
      <c r="A73" s="1130"/>
      <c r="B73" s="239"/>
      <c r="C73" s="239"/>
      <c r="D73" s="239"/>
      <c r="E73" s="239"/>
      <c r="F73" s="239"/>
      <c r="G73" s="355"/>
      <c r="H73" s="356"/>
      <c r="P73" s="1130"/>
      <c r="Q73" s="363" t="s">
        <v>129</v>
      </c>
      <c r="R73" s="364">
        <f>C74</f>
        <v>0</v>
      </c>
      <c r="S73" s="364">
        <f>S69+S70+S71+S72</f>
        <v>24166</v>
      </c>
      <c r="T73" s="364">
        <f>T69+T70+T71+T72</f>
        <v>0</v>
      </c>
      <c r="U73" s="364">
        <f>D74</f>
        <v>62890</v>
      </c>
      <c r="V73" s="364">
        <f>V69+V70+V71+V72</f>
        <v>0</v>
      </c>
      <c r="W73" s="364">
        <f>W69+W70+W71+W72</f>
        <v>0</v>
      </c>
    </row>
    <row r="74" spans="1:23">
      <c r="A74" s="1130"/>
      <c r="B74" s="363" t="s">
        <v>129</v>
      </c>
      <c r="C74" s="364">
        <f>C70+C71+C72+C73</f>
        <v>0</v>
      </c>
      <c r="D74" s="364">
        <f>D70+D71+D72+D73</f>
        <v>62890</v>
      </c>
      <c r="E74" s="364">
        <f>E70+E71+E72+E73</f>
        <v>0</v>
      </c>
      <c r="F74" s="364">
        <f>F70+F71+F72+F73</f>
        <v>0</v>
      </c>
      <c r="G74" s="378"/>
      <c r="H74" s="364">
        <f>H70+H71+H72+H73</f>
        <v>0</v>
      </c>
      <c r="P74" s="1130"/>
      <c r="Q74" s="366" t="s">
        <v>178</v>
      </c>
      <c r="R74" s="367">
        <f>R69+R73-S73-T73</f>
        <v>281954</v>
      </c>
      <c r="S74" s="367"/>
      <c r="T74" s="367"/>
      <c r="U74" s="367">
        <f>U69+U73-V73-W73</f>
        <v>178479</v>
      </c>
      <c r="V74" s="367"/>
      <c r="W74" s="367"/>
    </row>
    <row r="75" spans="1:23">
      <c r="A75" s="1130">
        <f>A70+1</f>
        <v>43905</v>
      </c>
      <c r="B75" s="239"/>
      <c r="C75" s="239"/>
      <c r="D75" s="239"/>
      <c r="E75" s="239"/>
      <c r="F75" s="239"/>
      <c r="G75" s="54"/>
      <c r="H75" s="356"/>
      <c r="P75" s="1130">
        <f>P70+1</f>
        <v>43905</v>
      </c>
      <c r="Q75" s="149"/>
      <c r="R75" s="239"/>
      <c r="S75" s="239"/>
      <c r="T75" s="239"/>
      <c r="U75" s="239"/>
      <c r="V75" s="239"/>
      <c r="W75" s="239"/>
    </row>
    <row r="76" spans="1:23">
      <c r="A76" s="1130"/>
      <c r="B76" s="239"/>
      <c r="C76" s="239"/>
      <c r="D76" s="239"/>
      <c r="E76" s="239"/>
      <c r="F76" s="239"/>
      <c r="G76" s="183"/>
      <c r="H76" s="356"/>
      <c r="P76" s="1130"/>
      <c r="Q76" s="149"/>
      <c r="R76" s="239"/>
      <c r="S76" s="239"/>
      <c r="T76" s="239"/>
      <c r="U76" s="239"/>
      <c r="V76" s="239"/>
      <c r="W76" s="239"/>
    </row>
    <row r="77" spans="1:23">
      <c r="A77" s="1130"/>
      <c r="B77" s="239"/>
      <c r="C77" s="239"/>
      <c r="D77" s="239"/>
      <c r="E77" s="239"/>
      <c r="F77" s="239"/>
      <c r="G77" s="183"/>
      <c r="H77" s="356"/>
      <c r="P77" s="1130"/>
      <c r="Q77" s="149"/>
      <c r="R77" s="239"/>
      <c r="S77" s="239"/>
      <c r="T77" s="239"/>
      <c r="U77" s="239"/>
      <c r="V77" s="239"/>
      <c r="W77" s="239"/>
    </row>
    <row r="78" spans="1:23">
      <c r="A78" s="1130"/>
      <c r="B78" s="239"/>
      <c r="C78" s="239"/>
      <c r="D78" s="239"/>
      <c r="E78" s="239"/>
      <c r="F78" s="239"/>
      <c r="G78" s="239"/>
      <c r="H78" s="356"/>
      <c r="P78" s="1130"/>
      <c r="Q78" s="363" t="s">
        <v>129</v>
      </c>
      <c r="R78" s="364">
        <f>C79</f>
        <v>0</v>
      </c>
      <c r="S78" s="364">
        <f>S74+S75+S76+S77</f>
        <v>0</v>
      </c>
      <c r="T78" s="364">
        <f>T74+T75+T76+T77</f>
        <v>0</v>
      </c>
      <c r="U78" s="364">
        <f>D79</f>
        <v>0</v>
      </c>
      <c r="V78" s="364">
        <f>V74+V75+V76+V77</f>
        <v>0</v>
      </c>
      <c r="W78" s="364">
        <f>W74+W75+W76+W77</f>
        <v>0</v>
      </c>
    </row>
    <row r="79" spans="1:23">
      <c r="A79" s="1130"/>
      <c r="B79" s="363" t="s">
        <v>129</v>
      </c>
      <c r="C79" s="364">
        <f>C75+C76+C77+C78</f>
        <v>0</v>
      </c>
      <c r="D79" s="364">
        <f>D75+D76+D77+D78</f>
        <v>0</v>
      </c>
      <c r="E79" s="364">
        <f>E75+E76+E77+E78</f>
        <v>0</v>
      </c>
      <c r="F79" s="364">
        <f>F75+F76+F77+F78</f>
        <v>0</v>
      </c>
      <c r="G79" s="364"/>
      <c r="H79" s="364">
        <f>H75+H76+H77+H78</f>
        <v>0</v>
      </c>
      <c r="P79" s="1130"/>
      <c r="Q79" s="366" t="s">
        <v>178</v>
      </c>
      <c r="R79" s="367">
        <f>R74+R78-S78-T78</f>
        <v>281954</v>
      </c>
      <c r="S79" s="367"/>
      <c r="T79" s="367"/>
      <c r="U79" s="367">
        <f>U74+U78-V78-W78</f>
        <v>178479</v>
      </c>
      <c r="V79" s="367"/>
      <c r="W79" s="367"/>
    </row>
    <row r="80" spans="1:23">
      <c r="A80" s="1130">
        <f>A75+1</f>
        <v>43906</v>
      </c>
      <c r="B80" s="239">
        <v>18374</v>
      </c>
      <c r="C80" s="239"/>
      <c r="D80" s="239">
        <v>26950</v>
      </c>
      <c r="E80" s="239"/>
      <c r="F80" s="239"/>
      <c r="G80" s="239"/>
      <c r="H80" s="356"/>
      <c r="P80" s="1130">
        <f>P75+1</f>
        <v>43906</v>
      </c>
      <c r="Q80" s="149"/>
      <c r="R80" s="239"/>
      <c r="S80" s="239"/>
      <c r="T80" s="239"/>
      <c r="U80" s="239"/>
      <c r="V80" s="239"/>
      <c r="W80" s="239"/>
    </row>
    <row r="81" spans="1:23">
      <c r="A81" s="1130"/>
      <c r="B81" s="239"/>
      <c r="C81" s="239"/>
      <c r="D81" s="239"/>
      <c r="E81" s="239"/>
      <c r="F81" s="239"/>
      <c r="G81" s="239"/>
      <c r="H81" s="356"/>
      <c r="P81" s="1130"/>
      <c r="Q81" s="149"/>
      <c r="R81" s="239"/>
      <c r="S81" s="239"/>
      <c r="T81" s="239"/>
      <c r="U81" s="239"/>
      <c r="V81" s="239"/>
      <c r="W81" s="239"/>
    </row>
    <row r="82" spans="1:23">
      <c r="A82" s="1130"/>
      <c r="B82" s="239"/>
      <c r="C82" s="239"/>
      <c r="D82" s="239"/>
      <c r="E82" s="239"/>
      <c r="F82" s="239"/>
      <c r="G82" s="239"/>
      <c r="H82" s="356"/>
      <c r="P82" s="1130"/>
      <c r="Q82" s="149"/>
      <c r="R82" s="239"/>
      <c r="S82" s="239"/>
      <c r="T82" s="239"/>
      <c r="U82" s="239"/>
      <c r="V82" s="239"/>
      <c r="W82" s="239"/>
    </row>
    <row r="83" spans="1:23">
      <c r="A83" s="1130"/>
      <c r="B83" s="239"/>
      <c r="C83" s="239"/>
      <c r="D83" s="239"/>
      <c r="E83" s="239"/>
      <c r="F83" s="239"/>
      <c r="G83" s="239"/>
      <c r="H83" s="356"/>
      <c r="P83" s="1130"/>
      <c r="Q83" s="363" t="s">
        <v>129</v>
      </c>
      <c r="R83" s="364">
        <f>C84</f>
        <v>0</v>
      </c>
      <c r="S83" s="364">
        <f>S79+S80+S81+S82</f>
        <v>0</v>
      </c>
      <c r="T83" s="364">
        <f>T79+T80+T81+T82</f>
        <v>0</v>
      </c>
      <c r="U83" s="364">
        <f>D84</f>
        <v>26950</v>
      </c>
      <c r="V83" s="364">
        <f>V79+V80+V81+V82</f>
        <v>0</v>
      </c>
      <c r="W83" s="364">
        <f>W79+W80+W81+W82</f>
        <v>0</v>
      </c>
    </row>
    <row r="84" spans="1:23">
      <c r="A84" s="1130"/>
      <c r="B84" s="363" t="s">
        <v>129</v>
      </c>
      <c r="C84" s="364">
        <f>C80+C81+C82+C83</f>
        <v>0</v>
      </c>
      <c r="D84" s="364">
        <f>D80+D81+D82+D83</f>
        <v>26950</v>
      </c>
      <c r="E84" s="364">
        <f>E80+E81+E82+E83</f>
        <v>0</v>
      </c>
      <c r="F84" s="364">
        <f>F80+F81+F82+F83</f>
        <v>0</v>
      </c>
      <c r="G84" s="364"/>
      <c r="H84" s="364">
        <f>H80+H81+H82+H83</f>
        <v>0</v>
      </c>
      <c r="P84" s="1130"/>
      <c r="Q84" s="366" t="s">
        <v>178</v>
      </c>
      <c r="R84" s="367">
        <f>R79+R83-S83-T83</f>
        <v>281954</v>
      </c>
      <c r="S84" s="367"/>
      <c r="T84" s="367"/>
      <c r="U84" s="367">
        <f>U79+U83-V83-W83</f>
        <v>205429</v>
      </c>
      <c r="V84" s="367"/>
      <c r="W84" s="367"/>
    </row>
    <row r="85" spans="1:23">
      <c r="A85" s="1130">
        <f>A80+1</f>
        <v>43907</v>
      </c>
      <c r="B85" s="239"/>
      <c r="C85" s="239"/>
      <c r="D85" s="239"/>
      <c r="E85" s="239"/>
      <c r="F85" s="239"/>
      <c r="G85" s="239"/>
      <c r="H85" s="356"/>
      <c r="P85" s="1130">
        <f>P80+1</f>
        <v>43907</v>
      </c>
      <c r="Q85" s="149"/>
      <c r="R85" s="239"/>
      <c r="S85" s="239"/>
      <c r="T85" s="239"/>
      <c r="U85" s="239"/>
      <c r="V85" s="239"/>
      <c r="W85" s="239"/>
    </row>
    <row r="86" spans="1:23">
      <c r="A86" s="1130"/>
      <c r="B86" s="239"/>
      <c r="C86" s="239"/>
      <c r="D86" s="239"/>
      <c r="E86" s="239"/>
      <c r="F86" s="239"/>
      <c r="G86" s="239"/>
      <c r="H86" s="356"/>
      <c r="P86" s="1130"/>
      <c r="Q86" s="149"/>
      <c r="R86" s="239"/>
      <c r="S86" s="239"/>
      <c r="T86" s="239"/>
      <c r="U86" s="239"/>
      <c r="V86" s="239"/>
      <c r="W86" s="239"/>
    </row>
    <row r="87" spans="1:23">
      <c r="A87" s="1130"/>
      <c r="B87" s="239"/>
      <c r="C87" s="239"/>
      <c r="D87" s="239"/>
      <c r="E87" s="239"/>
      <c r="F87" s="239"/>
      <c r="G87" s="239"/>
      <c r="H87" s="356"/>
      <c r="P87" s="1130"/>
      <c r="Q87" s="149"/>
      <c r="R87" s="239"/>
      <c r="S87" s="239"/>
      <c r="T87" s="239"/>
      <c r="U87" s="239"/>
      <c r="V87" s="239"/>
      <c r="W87" s="239"/>
    </row>
    <row r="88" spans="1:23">
      <c r="A88" s="1130"/>
      <c r="B88" s="239"/>
      <c r="C88" s="239"/>
      <c r="D88" s="239"/>
      <c r="E88" s="239"/>
      <c r="F88" s="239"/>
      <c r="G88" s="239"/>
      <c r="H88" s="356"/>
      <c r="P88" s="1130"/>
      <c r="Q88" s="363" t="s">
        <v>129</v>
      </c>
      <c r="R88" s="364">
        <f>C89</f>
        <v>0</v>
      </c>
      <c r="S88" s="364">
        <f>S84+S85+S86+S87</f>
        <v>0</v>
      </c>
      <c r="T88" s="364">
        <f>T84+T85+T86+T87</f>
        <v>0</v>
      </c>
      <c r="U88" s="364">
        <f>D89</f>
        <v>0</v>
      </c>
      <c r="V88" s="364">
        <f>V84+V85+V86+V87</f>
        <v>0</v>
      </c>
      <c r="W88" s="364">
        <f>W84+W85+W86+W87</f>
        <v>0</v>
      </c>
    </row>
    <row r="89" spans="1:23">
      <c r="A89" s="1130"/>
      <c r="B89" s="363" t="s">
        <v>129</v>
      </c>
      <c r="C89" s="364">
        <f>C85+C86+C87+C88</f>
        <v>0</v>
      </c>
      <c r="D89" s="364">
        <f>D85+D86+D87+D88</f>
        <v>0</v>
      </c>
      <c r="E89" s="364">
        <f>E85+E86+E87+E88</f>
        <v>0</v>
      </c>
      <c r="F89" s="364">
        <f>F85+F86+F87+F88</f>
        <v>0</v>
      </c>
      <c r="G89" s="365"/>
      <c r="H89" s="364">
        <f>H85+H86+H87+H88</f>
        <v>0</v>
      </c>
      <c r="P89" s="1130"/>
      <c r="Q89" s="366" t="s">
        <v>178</v>
      </c>
      <c r="R89" s="367">
        <f>R84+R88-S88-T88</f>
        <v>281954</v>
      </c>
      <c r="S89" s="367"/>
      <c r="T89" s="367"/>
      <c r="U89" s="367">
        <f>U84+U88-V88-W88</f>
        <v>205429</v>
      </c>
      <c r="V89" s="367"/>
      <c r="W89" s="367"/>
    </row>
    <row r="90" spans="1:23">
      <c r="A90" s="1130">
        <f>A85+1</f>
        <v>43908</v>
      </c>
      <c r="B90" s="239">
        <v>18394</v>
      </c>
      <c r="C90" s="239">
        <v>33890</v>
      </c>
      <c r="D90" s="239"/>
      <c r="E90" s="239"/>
      <c r="F90" s="239"/>
      <c r="G90" s="355"/>
      <c r="H90" s="356"/>
      <c r="P90" s="1130">
        <f>P85+1</f>
        <v>43908</v>
      </c>
      <c r="Q90" s="149"/>
      <c r="R90" s="239"/>
      <c r="S90" s="239"/>
      <c r="T90" s="239"/>
      <c r="U90" s="239"/>
      <c r="V90" s="239">
        <v>25631</v>
      </c>
      <c r="W90" s="239"/>
    </row>
    <row r="91" spans="1:23">
      <c r="A91" s="1130"/>
      <c r="B91" s="239">
        <v>18396</v>
      </c>
      <c r="C91" s="239">
        <v>26850</v>
      </c>
      <c r="D91" s="239"/>
      <c r="E91" s="239"/>
      <c r="F91" s="239"/>
      <c r="G91" s="355"/>
      <c r="H91" s="356"/>
      <c r="P91" s="1130"/>
      <c r="Q91" s="149"/>
      <c r="R91" s="239"/>
      <c r="S91" s="239"/>
      <c r="T91" s="239"/>
      <c r="U91" s="239"/>
      <c r="V91" s="239"/>
      <c r="W91" s="239"/>
    </row>
    <row r="92" spans="1:23">
      <c r="A92" s="1130"/>
      <c r="B92" s="239">
        <v>18404</v>
      </c>
      <c r="C92" s="239"/>
      <c r="D92" s="239">
        <v>44300</v>
      </c>
      <c r="E92" s="239"/>
      <c r="F92" s="239"/>
      <c r="G92" s="355"/>
      <c r="H92" s="356"/>
      <c r="P92" s="1130"/>
      <c r="Q92" s="149"/>
      <c r="R92" s="239"/>
      <c r="S92" s="239"/>
      <c r="T92" s="239"/>
      <c r="U92" s="239"/>
      <c r="V92" s="239"/>
      <c r="W92" s="239"/>
    </row>
    <row r="93" spans="1:23">
      <c r="A93" s="1130"/>
      <c r="B93" s="239"/>
      <c r="C93" s="239"/>
      <c r="D93" s="239"/>
      <c r="E93" s="239"/>
      <c r="F93" s="239"/>
      <c r="G93" s="355"/>
      <c r="H93" s="356"/>
      <c r="P93" s="1130"/>
      <c r="Q93" s="363" t="s">
        <v>129</v>
      </c>
      <c r="R93" s="364">
        <f>C94</f>
        <v>60740</v>
      </c>
      <c r="S93" s="364">
        <f>S89+S90+S91+S92</f>
        <v>0</v>
      </c>
      <c r="T93" s="364">
        <f>T89+T90+T91+T92</f>
        <v>0</v>
      </c>
      <c r="U93" s="364">
        <f>D94</f>
        <v>44300</v>
      </c>
      <c r="V93" s="364">
        <f>V89+V90+V91+V92</f>
        <v>25631</v>
      </c>
      <c r="W93" s="364">
        <f>W89+W90+W91+W92</f>
        <v>0</v>
      </c>
    </row>
    <row r="94" spans="1:23">
      <c r="A94" s="1130"/>
      <c r="B94" s="381" t="s">
        <v>129</v>
      </c>
      <c r="C94" s="364">
        <f>C90+C91+C92+C93</f>
        <v>60740</v>
      </c>
      <c r="D94" s="364">
        <f>D90+D91+D92+D93</f>
        <v>44300</v>
      </c>
      <c r="E94" s="364">
        <f>E90+E91+E92+E93</f>
        <v>0</v>
      </c>
      <c r="F94" s="364">
        <f>F90+F91+F92+F93</f>
        <v>0</v>
      </c>
      <c r="G94" s="378"/>
      <c r="H94" s="364">
        <f>H90+H91+H92+H93</f>
        <v>0</v>
      </c>
      <c r="P94" s="1130"/>
      <c r="Q94" s="366" t="s">
        <v>178</v>
      </c>
      <c r="R94" s="367">
        <f>R89+R93-S93-T93</f>
        <v>342694</v>
      </c>
      <c r="S94" s="367"/>
      <c r="T94" s="367"/>
      <c r="U94" s="367">
        <f>U89+U93-V93-W93</f>
        <v>224098</v>
      </c>
      <c r="V94" s="367"/>
      <c r="W94" s="367"/>
    </row>
    <row r="95" spans="1:23">
      <c r="A95" s="1130">
        <f>A90+1</f>
        <v>43909</v>
      </c>
      <c r="B95" s="239"/>
      <c r="C95" s="239"/>
      <c r="D95" s="239"/>
      <c r="E95" s="239"/>
      <c r="F95" s="239"/>
      <c r="G95" s="239"/>
      <c r="H95" s="356"/>
      <c r="P95" s="1130">
        <f>P90+1</f>
        <v>43909</v>
      </c>
      <c r="Q95" s="149"/>
      <c r="R95" s="239"/>
      <c r="S95" s="239"/>
      <c r="T95" s="239"/>
      <c r="U95" s="239"/>
      <c r="V95" s="239"/>
      <c r="W95" s="239"/>
    </row>
    <row r="96" spans="1:23">
      <c r="A96" s="1130"/>
      <c r="B96" s="239"/>
      <c r="C96" s="239"/>
      <c r="D96" s="239"/>
      <c r="E96" s="239"/>
      <c r="F96" s="239"/>
      <c r="G96" s="239"/>
      <c r="H96" s="356"/>
      <c r="P96" s="1130"/>
      <c r="Q96" s="149"/>
      <c r="R96" s="239"/>
      <c r="S96" s="239"/>
      <c r="T96" s="239"/>
      <c r="U96" s="239"/>
      <c r="V96" s="239"/>
      <c r="W96" s="239"/>
    </row>
    <row r="97" spans="1:23">
      <c r="A97" s="1130"/>
      <c r="B97" s="239"/>
      <c r="C97" s="239"/>
      <c r="D97" s="239"/>
      <c r="E97" s="239"/>
      <c r="F97" s="239"/>
      <c r="G97" s="239"/>
      <c r="H97" s="356"/>
      <c r="P97" s="1130"/>
      <c r="Q97" s="149"/>
      <c r="R97" s="239"/>
      <c r="S97" s="239"/>
      <c r="T97" s="239"/>
      <c r="U97" s="239"/>
      <c r="V97" s="239"/>
      <c r="W97" s="239"/>
    </row>
    <row r="98" spans="1:23">
      <c r="A98" s="1130"/>
      <c r="B98" s="239"/>
      <c r="C98" s="239"/>
      <c r="D98" s="239"/>
      <c r="E98" s="239"/>
      <c r="F98" s="239"/>
      <c r="G98" s="239"/>
      <c r="H98" s="356"/>
      <c r="P98" s="1130"/>
      <c r="Q98" s="363" t="s">
        <v>129</v>
      </c>
      <c r="R98" s="364">
        <f>C99</f>
        <v>0</v>
      </c>
      <c r="S98" s="364">
        <f>S94+S95+S96+S97</f>
        <v>0</v>
      </c>
      <c r="T98" s="364">
        <f>T94+T95+T96+T97</f>
        <v>0</v>
      </c>
      <c r="U98" s="364">
        <f>D99</f>
        <v>0</v>
      </c>
      <c r="V98" s="364">
        <f>V94+V95+V96+V97</f>
        <v>0</v>
      </c>
      <c r="W98" s="364">
        <f>W94+W95+W96+W97</f>
        <v>0</v>
      </c>
    </row>
    <row r="99" spans="1:23">
      <c r="A99" s="1130"/>
      <c r="B99" s="363" t="s">
        <v>129</v>
      </c>
      <c r="C99" s="364">
        <f>C95+C96+C97+C98</f>
        <v>0</v>
      </c>
      <c r="D99" s="364">
        <f>D95+D96+D97+D98</f>
        <v>0</v>
      </c>
      <c r="E99" s="364">
        <f>E95+E96+E97+E98</f>
        <v>0</v>
      </c>
      <c r="F99" s="364">
        <f>F95+F96+F97+F98</f>
        <v>0</v>
      </c>
      <c r="G99" s="364"/>
      <c r="H99" s="364">
        <f>H95+H96+H97+H98</f>
        <v>0</v>
      </c>
      <c r="P99" s="1130"/>
      <c r="Q99" s="366" t="s">
        <v>178</v>
      </c>
      <c r="R99" s="367">
        <f>R94+R98-S98-T98</f>
        <v>342694</v>
      </c>
      <c r="S99" s="367"/>
      <c r="T99" s="367"/>
      <c r="U99" s="367">
        <f>U94+U98-V98-W98</f>
        <v>224098</v>
      </c>
      <c r="V99" s="367"/>
      <c r="W99" s="367"/>
    </row>
    <row r="100" spans="1:23">
      <c r="A100" s="1130">
        <f>A95+1</f>
        <v>43910</v>
      </c>
      <c r="B100" s="239">
        <v>18419</v>
      </c>
      <c r="C100" s="239"/>
      <c r="D100" s="239">
        <v>44380</v>
      </c>
      <c r="E100" s="239"/>
      <c r="F100" s="239"/>
      <c r="G100" s="239"/>
      <c r="H100" s="356"/>
      <c r="P100" s="1130">
        <f>P95+1</f>
        <v>43910</v>
      </c>
      <c r="Q100" s="149"/>
      <c r="R100" s="239"/>
      <c r="S100" s="239"/>
      <c r="T100" s="239"/>
      <c r="U100" s="239"/>
      <c r="V100" s="239"/>
      <c r="W100" s="239"/>
    </row>
    <row r="101" spans="1:23">
      <c r="A101" s="1130"/>
      <c r="B101" s="239">
        <v>18432</v>
      </c>
      <c r="C101" s="239">
        <v>27010</v>
      </c>
      <c r="D101" s="239"/>
      <c r="E101" s="239"/>
      <c r="F101" s="239"/>
      <c r="G101" s="239"/>
      <c r="H101" s="356"/>
      <c r="P101" s="1130"/>
      <c r="Q101" s="149"/>
      <c r="R101" s="239"/>
      <c r="S101" s="239"/>
      <c r="T101" s="239"/>
      <c r="U101" s="239"/>
      <c r="V101" s="239"/>
      <c r="W101" s="239"/>
    </row>
    <row r="102" spans="1:23">
      <c r="A102" s="1130"/>
      <c r="B102" s="239"/>
      <c r="C102" s="239"/>
      <c r="D102" s="239"/>
      <c r="E102" s="239"/>
      <c r="F102" s="239"/>
      <c r="G102" s="355"/>
      <c r="H102" s="356"/>
      <c r="P102" s="1130"/>
      <c r="Q102" s="149"/>
      <c r="R102" s="239"/>
      <c r="S102" s="239"/>
      <c r="T102" s="239"/>
      <c r="U102" s="239"/>
      <c r="V102" s="239"/>
      <c r="W102" s="239"/>
    </row>
    <row r="103" spans="1:23">
      <c r="A103" s="1130"/>
      <c r="B103" s="239"/>
      <c r="C103" s="239"/>
      <c r="D103" s="239"/>
      <c r="E103" s="239"/>
      <c r="F103" s="239"/>
      <c r="G103" s="355"/>
      <c r="H103" s="356"/>
      <c r="P103" s="1130"/>
      <c r="Q103" s="363" t="s">
        <v>129</v>
      </c>
      <c r="R103" s="364">
        <f>C105</f>
        <v>0</v>
      </c>
      <c r="S103" s="364">
        <f>S99+S100+S101+S102</f>
        <v>0</v>
      </c>
      <c r="T103" s="364">
        <f>T99+T100+T101+T102</f>
        <v>0</v>
      </c>
      <c r="U103" s="364">
        <f>D105</f>
        <v>0</v>
      </c>
      <c r="V103" s="364">
        <f>V99+V100+V101+V102</f>
        <v>0</v>
      </c>
      <c r="W103" s="364">
        <f>W99+W100+W101+W102</f>
        <v>0</v>
      </c>
    </row>
    <row r="104" spans="1:23">
      <c r="A104" s="1130"/>
      <c r="B104" s="363" t="s">
        <v>129</v>
      </c>
      <c r="C104" s="364">
        <f>C100+C101+C102+C103</f>
        <v>27010</v>
      </c>
      <c r="D104" s="364">
        <f>D100+D101+D102+D103</f>
        <v>44380</v>
      </c>
      <c r="E104" s="364">
        <f>E100+E101+E102+E103</f>
        <v>0</v>
      </c>
      <c r="F104" s="364">
        <f>F100+F101+F102+F103</f>
        <v>0</v>
      </c>
      <c r="G104" s="365"/>
      <c r="H104" s="364">
        <f>H100+H101+H102+H103</f>
        <v>0</v>
      </c>
      <c r="P104" s="1130"/>
      <c r="Q104" s="366" t="s">
        <v>178</v>
      </c>
      <c r="R104" s="367">
        <f>R99+R103-S103-T103</f>
        <v>342694</v>
      </c>
      <c r="S104" s="367"/>
      <c r="T104" s="367"/>
      <c r="U104" s="367">
        <f>U99+U103-V103-W103</f>
        <v>224098</v>
      </c>
      <c r="V104" s="367"/>
      <c r="W104" s="367"/>
    </row>
    <row r="105" spans="1:23">
      <c r="A105" s="1130">
        <f>A100+1</f>
        <v>43911</v>
      </c>
      <c r="B105" s="239"/>
      <c r="C105" s="239"/>
      <c r="D105" s="239"/>
      <c r="E105" s="239"/>
      <c r="F105" s="239"/>
      <c r="G105" s="54"/>
      <c r="H105" s="356"/>
      <c r="P105" s="1130">
        <f>P100+1</f>
        <v>43911</v>
      </c>
      <c r="Q105" s="149"/>
      <c r="R105" s="239"/>
      <c r="S105" s="239"/>
      <c r="T105" s="239"/>
      <c r="U105" s="239"/>
      <c r="V105" s="239"/>
      <c r="W105" s="239"/>
    </row>
    <row r="106" spans="1:23">
      <c r="A106" s="1130"/>
      <c r="B106" s="239"/>
      <c r="C106" s="239"/>
      <c r="D106" s="239"/>
      <c r="E106" s="239"/>
      <c r="F106" s="239"/>
      <c r="G106" s="54"/>
      <c r="H106" s="356"/>
      <c r="P106" s="1130"/>
      <c r="Q106" s="149"/>
      <c r="R106" s="239"/>
      <c r="S106" s="239"/>
      <c r="T106" s="239"/>
      <c r="U106" s="239"/>
      <c r="V106" s="239"/>
      <c r="W106" s="239"/>
    </row>
    <row r="107" spans="1:23">
      <c r="A107" s="1130"/>
      <c r="B107" s="239"/>
      <c r="C107" s="239"/>
      <c r="D107" s="239"/>
      <c r="E107" s="239"/>
      <c r="F107" s="239"/>
      <c r="G107" s="183"/>
      <c r="H107" s="356"/>
      <c r="P107" s="1130"/>
      <c r="Q107" s="149"/>
      <c r="R107" s="239"/>
      <c r="S107" s="239"/>
      <c r="T107" s="239"/>
      <c r="U107" s="239"/>
      <c r="V107" s="239"/>
      <c r="W107" s="239"/>
    </row>
    <row r="108" spans="1:23">
      <c r="A108" s="1130"/>
      <c r="B108" s="239"/>
      <c r="C108" s="239"/>
      <c r="D108" s="239"/>
      <c r="E108" s="239"/>
      <c r="F108" s="239"/>
      <c r="G108" s="183"/>
      <c r="H108" s="356"/>
      <c r="P108" s="1130"/>
      <c r="Q108" s="363" t="s">
        <v>129</v>
      </c>
      <c r="R108" s="364">
        <f>C110</f>
        <v>0</v>
      </c>
      <c r="S108" s="364">
        <f>S104+S105+S106+S107</f>
        <v>0</v>
      </c>
      <c r="T108" s="364">
        <f>T104+T105+T106+T107</f>
        <v>0</v>
      </c>
      <c r="U108" s="364">
        <f>D110</f>
        <v>0</v>
      </c>
      <c r="V108" s="364">
        <f>V104+V105+V106+V107</f>
        <v>0</v>
      </c>
      <c r="W108" s="364">
        <f>W104+W105+W106+W107</f>
        <v>0</v>
      </c>
    </row>
    <row r="109" spans="1:23">
      <c r="A109" s="1130"/>
      <c r="B109" s="363" t="s">
        <v>129</v>
      </c>
      <c r="C109" s="364">
        <f>C105+C106+C107+C108</f>
        <v>0</v>
      </c>
      <c r="D109" s="364">
        <f>D105+D106+D107+D108</f>
        <v>0</v>
      </c>
      <c r="E109" s="364">
        <f>E105+E106+E107+E108</f>
        <v>0</v>
      </c>
      <c r="F109" s="364">
        <f>F105+F106+F107+F108</f>
        <v>0</v>
      </c>
      <c r="G109" s="364"/>
      <c r="H109" s="364">
        <f>H105+H106+H107+H108</f>
        <v>0</v>
      </c>
      <c r="P109" s="1130"/>
      <c r="Q109" s="366" t="s">
        <v>178</v>
      </c>
      <c r="R109" s="367">
        <f>R104+R108-S108-T108</f>
        <v>342694</v>
      </c>
      <c r="S109" s="367"/>
      <c r="T109" s="367"/>
      <c r="U109" s="367">
        <f>U104+U108-V108-W108</f>
        <v>224098</v>
      </c>
      <c r="V109" s="367"/>
      <c r="W109" s="367"/>
    </row>
    <row r="110" spans="1:23">
      <c r="A110" s="1130">
        <f>A105+1</f>
        <v>43912</v>
      </c>
      <c r="B110" s="239"/>
      <c r="C110" s="239"/>
      <c r="D110" s="239"/>
      <c r="E110" s="239"/>
      <c r="F110" s="239"/>
      <c r="G110" s="239"/>
      <c r="H110" s="356"/>
      <c r="P110" s="1130">
        <f>P105+1</f>
        <v>43912</v>
      </c>
      <c r="Q110" s="149"/>
      <c r="R110" s="239"/>
      <c r="S110" s="239"/>
      <c r="T110" s="239"/>
      <c r="U110" s="239"/>
      <c r="V110" s="239"/>
      <c r="W110" s="239"/>
    </row>
    <row r="111" spans="1:23">
      <c r="A111" s="1130"/>
      <c r="B111" s="239"/>
      <c r="C111" s="239"/>
      <c r="D111" s="239"/>
      <c r="E111" s="239"/>
      <c r="F111" s="239"/>
      <c r="G111" s="239"/>
      <c r="H111" s="356"/>
      <c r="P111" s="1130"/>
      <c r="Q111" s="149"/>
      <c r="R111" s="239"/>
      <c r="S111" s="239"/>
      <c r="T111" s="239"/>
      <c r="U111" s="239"/>
      <c r="V111" s="239"/>
      <c r="W111" s="239"/>
    </row>
    <row r="112" spans="1:23">
      <c r="A112" s="1130"/>
      <c r="B112" s="239"/>
      <c r="C112" s="239"/>
      <c r="D112" s="239"/>
      <c r="E112" s="239"/>
      <c r="F112" s="239"/>
      <c r="G112" s="239"/>
      <c r="H112" s="356"/>
      <c r="P112" s="1130"/>
      <c r="Q112" s="149"/>
      <c r="R112" s="239"/>
      <c r="S112" s="239"/>
      <c r="T112" s="239"/>
      <c r="U112" s="239"/>
      <c r="V112" s="239"/>
      <c r="W112" s="239"/>
    </row>
    <row r="113" spans="1:23">
      <c r="A113" s="1130"/>
      <c r="B113" s="239"/>
      <c r="C113" s="239"/>
      <c r="D113" s="239"/>
      <c r="E113" s="239"/>
      <c r="F113" s="239"/>
      <c r="G113" s="239"/>
      <c r="H113" s="356"/>
      <c r="P113" s="1130"/>
      <c r="Q113" s="363" t="s">
        <v>129</v>
      </c>
      <c r="R113" s="364">
        <f>C115</f>
        <v>32940</v>
      </c>
      <c r="S113" s="364">
        <f>S109+S110+S111+S112</f>
        <v>0</v>
      </c>
      <c r="T113" s="364">
        <f>T109+T110+T111+T112</f>
        <v>0</v>
      </c>
      <c r="U113" s="364">
        <f>D115</f>
        <v>0</v>
      </c>
      <c r="V113" s="364">
        <f>V109+V110+V111+V112</f>
        <v>0</v>
      </c>
      <c r="W113" s="364">
        <f>W109+W110+W111+W112</f>
        <v>0</v>
      </c>
    </row>
    <row r="114" spans="1:23">
      <c r="A114" s="1130"/>
      <c r="B114" s="363" t="s">
        <v>129</v>
      </c>
      <c r="C114" s="364">
        <f>C110+C111+C112+C113</f>
        <v>0</v>
      </c>
      <c r="D114" s="364">
        <f>D110+D111+D112+D113</f>
        <v>0</v>
      </c>
      <c r="E114" s="364">
        <f>E110+E111+E112+E113</f>
        <v>0</v>
      </c>
      <c r="F114" s="364">
        <f>F110+F111+F112+F113</f>
        <v>0</v>
      </c>
      <c r="G114" s="364"/>
      <c r="H114" s="364">
        <f>H110+H111+H112+H113</f>
        <v>0</v>
      </c>
      <c r="P114" s="1130"/>
      <c r="Q114" s="366" t="s">
        <v>178</v>
      </c>
      <c r="R114" s="367">
        <f>R109+R113-S113-T113</f>
        <v>375634</v>
      </c>
      <c r="S114" s="367"/>
      <c r="T114" s="367"/>
      <c r="U114" s="367">
        <f>U109+U113-V113-W113</f>
        <v>224098</v>
      </c>
      <c r="V114" s="367"/>
      <c r="W114" s="367"/>
    </row>
    <row r="115" spans="1:23">
      <c r="A115" s="1130">
        <f>A110+1</f>
        <v>43913</v>
      </c>
      <c r="B115" s="239">
        <v>18444</v>
      </c>
      <c r="C115" s="239">
        <v>32940</v>
      </c>
      <c r="D115" s="239"/>
      <c r="E115" s="239"/>
      <c r="F115" s="239"/>
      <c r="G115" s="239"/>
      <c r="H115" s="356"/>
      <c r="P115" s="1130">
        <f>P110+1</f>
        <v>43913</v>
      </c>
      <c r="Q115" s="149"/>
      <c r="R115" s="239"/>
      <c r="S115" s="239"/>
      <c r="T115" s="239"/>
      <c r="U115" s="239"/>
      <c r="V115" s="239"/>
      <c r="W115" s="239"/>
    </row>
    <row r="116" spans="1:23">
      <c r="A116" s="1130"/>
      <c r="B116" s="239"/>
      <c r="C116" s="239"/>
      <c r="D116" s="239"/>
      <c r="E116" s="239"/>
      <c r="F116" s="239"/>
      <c r="G116" s="239"/>
      <c r="H116" s="356"/>
      <c r="P116" s="1130"/>
      <c r="Q116" s="149"/>
      <c r="R116" s="239"/>
      <c r="S116" s="239"/>
      <c r="T116" s="239"/>
      <c r="U116" s="239"/>
      <c r="V116" s="239"/>
      <c r="W116" s="239"/>
    </row>
    <row r="117" spans="1:23">
      <c r="A117" s="1130"/>
      <c r="B117" s="239"/>
      <c r="C117" s="239"/>
      <c r="D117" s="239"/>
      <c r="E117" s="239"/>
      <c r="F117" s="239"/>
      <c r="G117" s="239"/>
      <c r="H117" s="356"/>
      <c r="P117" s="1130"/>
      <c r="Q117" s="149"/>
      <c r="R117" s="239"/>
      <c r="S117" s="239"/>
      <c r="T117" s="239"/>
      <c r="U117" s="239"/>
      <c r="V117" s="239"/>
      <c r="W117" s="239"/>
    </row>
    <row r="118" spans="1:23">
      <c r="A118" s="1130"/>
      <c r="B118" s="239"/>
      <c r="C118" s="239"/>
      <c r="D118" s="239"/>
      <c r="E118" s="239"/>
      <c r="F118" s="239"/>
      <c r="G118" s="239"/>
      <c r="H118" s="356"/>
      <c r="P118" s="1130"/>
      <c r="Q118" s="363" t="s">
        <v>129</v>
      </c>
      <c r="R118" s="364">
        <f>C120</f>
        <v>0</v>
      </c>
      <c r="S118" s="364">
        <f>S114+S115+S116+S117</f>
        <v>0</v>
      </c>
      <c r="T118" s="364">
        <f>T114+T115+T116+T117</f>
        <v>0</v>
      </c>
      <c r="U118" s="364">
        <f>D120</f>
        <v>35790</v>
      </c>
      <c r="V118" s="364">
        <f>V114+V115+V116+V117</f>
        <v>0</v>
      </c>
      <c r="W118" s="364">
        <f>W114+W115+W116+W117</f>
        <v>0</v>
      </c>
    </row>
    <row r="119" spans="1:23">
      <c r="A119" s="1130"/>
      <c r="B119" s="363" t="s">
        <v>129</v>
      </c>
      <c r="C119" s="364">
        <f>C115+C116+C117+C118</f>
        <v>32940</v>
      </c>
      <c r="D119" s="364">
        <f>D115+D116+D117+D118</f>
        <v>0</v>
      </c>
      <c r="E119" s="364">
        <f>E115+E116+E117+E118</f>
        <v>0</v>
      </c>
      <c r="F119" s="364">
        <f>F115+F116+F117+F118</f>
        <v>0</v>
      </c>
      <c r="G119" s="364"/>
      <c r="H119" s="364">
        <f>H115+H116+H117+H118</f>
        <v>0</v>
      </c>
      <c r="P119" s="1130"/>
      <c r="Q119" s="366" t="s">
        <v>178</v>
      </c>
      <c r="R119" s="367">
        <f>R114+R118-S118-T118</f>
        <v>375634</v>
      </c>
      <c r="S119" s="367"/>
      <c r="T119" s="367"/>
      <c r="U119" s="367">
        <f>U114+U118-V118-W118</f>
        <v>259888</v>
      </c>
      <c r="V119" s="367"/>
      <c r="W119" s="367"/>
    </row>
    <row r="120" spans="1:23">
      <c r="A120" s="1130">
        <f>A115+1</f>
        <v>43914</v>
      </c>
      <c r="B120" s="239">
        <v>18459</v>
      </c>
      <c r="C120" s="239"/>
      <c r="D120" s="239">
        <v>35790</v>
      </c>
      <c r="E120" s="239"/>
      <c r="F120" s="239"/>
      <c r="G120" s="355"/>
      <c r="H120" s="356"/>
      <c r="P120" s="1130">
        <f>P115+1</f>
        <v>43914</v>
      </c>
      <c r="Q120" s="239"/>
      <c r="R120" s="239"/>
      <c r="S120" s="239"/>
      <c r="T120" s="239"/>
      <c r="U120" s="239"/>
      <c r="V120" s="239"/>
      <c r="W120" s="239"/>
    </row>
    <row r="121" spans="1:23">
      <c r="A121" s="1130"/>
      <c r="B121" s="239"/>
      <c r="C121" s="239"/>
      <c r="D121" s="239"/>
      <c r="E121" s="239"/>
      <c r="F121" s="239"/>
      <c r="G121" s="355"/>
      <c r="H121" s="356"/>
      <c r="P121" s="1130"/>
      <c r="Q121" s="239"/>
      <c r="R121" s="239"/>
      <c r="S121" s="239"/>
      <c r="T121" s="239"/>
      <c r="U121" s="239"/>
      <c r="V121" s="239"/>
      <c r="W121" s="239"/>
    </row>
    <row r="122" spans="1:23">
      <c r="A122" s="1130"/>
      <c r="B122" s="239"/>
      <c r="C122" s="239"/>
      <c r="D122" s="239"/>
      <c r="E122" s="239"/>
      <c r="F122" s="239"/>
      <c r="G122" s="355"/>
      <c r="H122" s="356"/>
      <c r="P122" s="1130"/>
      <c r="Q122" s="239"/>
      <c r="R122" s="239"/>
      <c r="S122" s="239"/>
      <c r="T122" s="239"/>
      <c r="U122" s="239"/>
      <c r="V122" s="239"/>
      <c r="W122" s="239"/>
    </row>
    <row r="123" spans="1:23">
      <c r="A123" s="1130"/>
      <c r="B123" s="239"/>
      <c r="C123" s="239"/>
      <c r="D123" s="239"/>
      <c r="E123" s="239"/>
      <c r="F123" s="239"/>
      <c r="G123" s="54"/>
      <c r="H123" s="356"/>
      <c r="P123" s="1130"/>
      <c r="Q123" s="363" t="s">
        <v>129</v>
      </c>
      <c r="R123" s="364">
        <f>C125</f>
        <v>0</v>
      </c>
      <c r="S123" s="364">
        <f>S119+S120+S121+S122</f>
        <v>0</v>
      </c>
      <c r="T123" s="364">
        <f>T119+T120+T121+T122</f>
        <v>0</v>
      </c>
      <c r="U123" s="364">
        <f>D125</f>
        <v>33920</v>
      </c>
      <c r="V123" s="364">
        <f>V119+V120+V121+V122</f>
        <v>0</v>
      </c>
      <c r="W123" s="364">
        <f>W119+W120+W121+W122</f>
        <v>0</v>
      </c>
    </row>
    <row r="124" spans="1:23">
      <c r="A124" s="1130"/>
      <c r="B124" s="363" t="s">
        <v>129</v>
      </c>
      <c r="C124" s="364">
        <f>C120+C121+C122+C123</f>
        <v>0</v>
      </c>
      <c r="D124" s="364">
        <f>D120+D121+D122+D123</f>
        <v>35790</v>
      </c>
      <c r="E124" s="364">
        <f>E120+E121+E122+E123</f>
        <v>0</v>
      </c>
      <c r="F124" s="364">
        <f>F120+F121+F122+F123</f>
        <v>0</v>
      </c>
      <c r="G124" s="364"/>
      <c r="H124" s="364">
        <f>H120+H121+H122+H123</f>
        <v>0</v>
      </c>
      <c r="P124" s="1130"/>
      <c r="Q124" s="366" t="s">
        <v>178</v>
      </c>
      <c r="R124" s="367">
        <f>R119+R123-S123-T123</f>
        <v>375634</v>
      </c>
      <c r="S124" s="367"/>
      <c r="T124" s="367"/>
      <c r="U124" s="367">
        <f>U123+U119-V123-W123</f>
        <v>293808</v>
      </c>
      <c r="V124" s="367"/>
      <c r="W124" s="367"/>
    </row>
    <row r="125" spans="1:23">
      <c r="A125" s="1130">
        <f>A120+1</f>
        <v>43915</v>
      </c>
      <c r="B125" s="239">
        <v>18469</v>
      </c>
      <c r="C125" s="239"/>
      <c r="D125" s="239">
        <v>33920</v>
      </c>
      <c r="E125" s="239"/>
      <c r="F125" s="239"/>
      <c r="G125" s="183"/>
      <c r="H125" s="356"/>
      <c r="P125" s="1130">
        <f>P120+1</f>
        <v>43915</v>
      </c>
      <c r="Q125" s="239"/>
      <c r="R125" s="239"/>
      <c r="S125" s="239"/>
      <c r="T125" s="239"/>
      <c r="U125" s="239"/>
      <c r="V125" s="239"/>
      <c r="W125" s="239"/>
    </row>
    <row r="126" spans="1:23">
      <c r="A126" s="1130"/>
      <c r="B126" s="239"/>
      <c r="C126" s="239"/>
      <c r="D126" s="239"/>
      <c r="E126" s="239"/>
      <c r="F126" s="239"/>
      <c r="G126" s="183"/>
      <c r="H126" s="356"/>
      <c r="P126" s="1130"/>
      <c r="Q126" s="239"/>
      <c r="R126" s="239"/>
      <c r="S126" s="239"/>
      <c r="T126" s="239"/>
      <c r="U126" s="239"/>
      <c r="V126" s="239"/>
      <c r="W126" s="239"/>
    </row>
    <row r="127" spans="1:23">
      <c r="A127" s="1130"/>
      <c r="B127" s="239"/>
      <c r="C127" s="239"/>
      <c r="D127" s="239"/>
      <c r="E127" s="239"/>
      <c r="F127" s="239"/>
      <c r="G127" s="239"/>
      <c r="H127" s="356"/>
      <c r="P127" s="1130"/>
      <c r="Q127" s="239"/>
      <c r="R127" s="239"/>
      <c r="S127" s="239"/>
      <c r="T127" s="239"/>
      <c r="U127" s="239"/>
      <c r="V127" s="239"/>
      <c r="W127" s="239"/>
    </row>
    <row r="128" spans="1:23">
      <c r="A128" s="1130"/>
      <c r="B128" s="239"/>
      <c r="C128" s="239"/>
      <c r="D128" s="239"/>
      <c r="E128" s="239"/>
      <c r="F128" s="239"/>
      <c r="G128" s="239"/>
      <c r="H128" s="356"/>
      <c r="P128" s="1130"/>
      <c r="Q128" s="363" t="s">
        <v>129</v>
      </c>
      <c r="R128" s="364">
        <f>C130</f>
        <v>27080</v>
      </c>
      <c r="S128" s="364">
        <f>S124+S125+S126+S127</f>
        <v>0</v>
      </c>
      <c r="T128" s="364">
        <f>T124+T125+T126+T127</f>
        <v>0</v>
      </c>
      <c r="U128" s="364">
        <f>D130</f>
        <v>0</v>
      </c>
      <c r="V128" s="364">
        <f>V124+V125+V126+V127</f>
        <v>0</v>
      </c>
      <c r="W128" s="364">
        <f>W124+W125+W126+W127</f>
        <v>0</v>
      </c>
    </row>
    <row r="129" spans="1:23">
      <c r="A129" s="1130"/>
      <c r="B129" s="363" t="s">
        <v>129</v>
      </c>
      <c r="C129" s="364">
        <f>C125+C126+C127+C128</f>
        <v>0</v>
      </c>
      <c r="D129" s="364">
        <f>D125+D126+D127+D128</f>
        <v>33920</v>
      </c>
      <c r="E129" s="364">
        <f>E125+E126+E127+E128</f>
        <v>0</v>
      </c>
      <c r="F129" s="364">
        <f>F125+F126+F127+F128</f>
        <v>0</v>
      </c>
      <c r="G129" s="364"/>
      <c r="H129" s="364">
        <f>H125+H126+H127+H128</f>
        <v>0</v>
      </c>
      <c r="P129" s="1130"/>
      <c r="Q129" s="366" t="s">
        <v>178</v>
      </c>
      <c r="R129" s="367">
        <f>R124+R128-S128-T128</f>
        <v>402714</v>
      </c>
      <c r="S129" s="367"/>
      <c r="T129" s="367"/>
      <c r="U129" s="367">
        <f>U124+U128-V128-W128</f>
        <v>293808</v>
      </c>
      <c r="V129" s="367"/>
      <c r="W129" s="367"/>
    </row>
    <row r="130" spans="1:23">
      <c r="A130" s="1130">
        <f>A125+1</f>
        <v>43916</v>
      </c>
      <c r="B130" s="239">
        <v>18479</v>
      </c>
      <c r="C130" s="239">
        <v>27080</v>
      </c>
      <c r="D130" s="239"/>
      <c r="E130" s="239"/>
      <c r="F130" s="239"/>
      <c r="G130" s="239"/>
      <c r="H130" s="356"/>
      <c r="P130" s="1130">
        <f>P125+1</f>
        <v>43916</v>
      </c>
      <c r="Q130" s="239"/>
      <c r="R130" s="239"/>
      <c r="S130" s="239"/>
      <c r="T130" s="239"/>
      <c r="U130" s="239"/>
      <c r="V130" s="239"/>
      <c r="W130" s="239"/>
    </row>
    <row r="131" spans="1:23">
      <c r="A131" s="1130"/>
      <c r="B131" s="239"/>
      <c r="C131" s="239"/>
      <c r="D131" s="239"/>
      <c r="E131" s="239"/>
      <c r="F131" s="239"/>
      <c r="G131" s="239"/>
      <c r="H131" s="356"/>
      <c r="P131" s="1130"/>
      <c r="Q131" s="239"/>
      <c r="R131" s="239"/>
      <c r="S131" s="239"/>
      <c r="T131" s="239"/>
      <c r="U131" s="239"/>
      <c r="V131" s="239"/>
      <c r="W131" s="239"/>
    </row>
    <row r="132" spans="1:23">
      <c r="A132" s="1130"/>
      <c r="B132" s="239"/>
      <c r="C132" s="239"/>
      <c r="D132" s="239"/>
      <c r="E132" s="239"/>
      <c r="F132" s="239"/>
      <c r="G132" s="239"/>
      <c r="H132" s="356"/>
      <c r="P132" s="1130"/>
      <c r="Q132" s="239"/>
      <c r="R132" s="239"/>
      <c r="S132" s="239"/>
      <c r="T132" s="239"/>
      <c r="U132" s="239"/>
      <c r="V132" s="239"/>
      <c r="W132" s="239"/>
    </row>
    <row r="133" spans="1:23">
      <c r="A133" s="1130"/>
      <c r="B133" s="239"/>
      <c r="C133" s="239"/>
      <c r="D133" s="239"/>
      <c r="E133" s="239"/>
      <c r="F133" s="239"/>
      <c r="G133" s="239"/>
      <c r="H133" s="356"/>
      <c r="P133" s="1130"/>
      <c r="Q133" s="363" t="s">
        <v>129</v>
      </c>
      <c r="R133" s="364">
        <f>C135</f>
        <v>0</v>
      </c>
      <c r="S133" s="364">
        <f>S129+S130+S131+S132</f>
        <v>0</v>
      </c>
      <c r="T133" s="364">
        <f>T129+T130+T131+T132</f>
        <v>0</v>
      </c>
      <c r="U133" s="364">
        <f>D135</f>
        <v>34200</v>
      </c>
      <c r="V133" s="364">
        <f>V129+V130+V131+V132</f>
        <v>0</v>
      </c>
      <c r="W133" s="364">
        <f>W129+W130+W131+W132</f>
        <v>0</v>
      </c>
    </row>
    <row r="134" spans="1:23">
      <c r="A134" s="1130"/>
      <c r="B134" s="363" t="s">
        <v>129</v>
      </c>
      <c r="C134" s="364">
        <f>C130+C131+C132+C133</f>
        <v>27080</v>
      </c>
      <c r="D134" s="364">
        <f>D130+D131+D132+D133</f>
        <v>0</v>
      </c>
      <c r="E134" s="364">
        <f>E130+E131+E132+E133</f>
        <v>0</v>
      </c>
      <c r="F134" s="364">
        <f>F130+F131+F132+F133</f>
        <v>0</v>
      </c>
      <c r="G134" s="364"/>
      <c r="H134" s="364">
        <f>H130+H131+H132+H133</f>
        <v>0</v>
      </c>
      <c r="P134" s="1130"/>
      <c r="Q134" s="366" t="s">
        <v>178</v>
      </c>
      <c r="R134" s="367">
        <f>R129+R133-S133-T133</f>
        <v>402714</v>
      </c>
      <c r="S134" s="367"/>
      <c r="T134" s="367"/>
      <c r="U134" s="367">
        <f>U129+U133-V133-W133</f>
        <v>328008</v>
      </c>
      <c r="V134" s="367"/>
      <c r="W134" s="367"/>
    </row>
    <row r="135" spans="1:23">
      <c r="A135" s="1130">
        <f>A130+1</f>
        <v>43917</v>
      </c>
      <c r="B135" s="239">
        <v>18495</v>
      </c>
      <c r="C135" s="239"/>
      <c r="D135" s="239">
        <v>34200</v>
      </c>
      <c r="E135" s="239"/>
      <c r="F135" s="239"/>
      <c r="G135" s="239"/>
      <c r="H135" s="356"/>
      <c r="P135" s="1130">
        <f>P130+1</f>
        <v>43917</v>
      </c>
      <c r="Q135" s="239"/>
      <c r="R135" s="239"/>
      <c r="S135" s="239"/>
      <c r="T135" s="239"/>
      <c r="U135" s="239"/>
      <c r="V135" s="239"/>
      <c r="W135" s="239"/>
    </row>
    <row r="136" spans="1:23">
      <c r="A136" s="1130"/>
      <c r="B136" s="239"/>
      <c r="C136" s="239"/>
      <c r="D136" s="239"/>
      <c r="E136" s="239"/>
      <c r="F136" s="239"/>
      <c r="G136" s="239"/>
      <c r="H136" s="356"/>
      <c r="P136" s="1130"/>
      <c r="Q136" s="239"/>
      <c r="R136" s="239"/>
      <c r="S136" s="239"/>
      <c r="T136" s="239"/>
      <c r="U136" s="239"/>
      <c r="V136" s="239"/>
      <c r="W136" s="239"/>
    </row>
    <row r="137" spans="1:23">
      <c r="A137" s="1130"/>
      <c r="B137" s="239"/>
      <c r="C137" s="239"/>
      <c r="D137" s="239"/>
      <c r="E137" s="239"/>
      <c r="F137" s="239"/>
      <c r="G137" s="239"/>
      <c r="H137" s="356"/>
      <c r="P137" s="1130"/>
      <c r="Q137" s="239"/>
      <c r="R137" s="239"/>
      <c r="S137" s="239"/>
      <c r="T137" s="239"/>
      <c r="U137" s="239"/>
      <c r="V137" s="239"/>
      <c r="W137" s="239"/>
    </row>
    <row r="138" spans="1:23">
      <c r="A138" s="1130"/>
      <c r="B138" s="239"/>
      <c r="C138" s="239"/>
      <c r="D138" s="239"/>
      <c r="E138" s="239"/>
      <c r="F138" s="239"/>
      <c r="G138" s="355"/>
      <c r="H138" s="356"/>
      <c r="P138" s="1130"/>
      <c r="Q138" s="363" t="s">
        <v>129</v>
      </c>
      <c r="R138" s="364">
        <f>C140</f>
        <v>0</v>
      </c>
      <c r="S138" s="364">
        <f>S134+S135+S136+S137</f>
        <v>0</v>
      </c>
      <c r="T138" s="364">
        <f>T134+T135+T136+T137</f>
        <v>0</v>
      </c>
      <c r="U138" s="364">
        <f>D140</f>
        <v>26960</v>
      </c>
      <c r="V138" s="364">
        <f>V134+V135+V136+V137</f>
        <v>0</v>
      </c>
      <c r="W138" s="364">
        <f>W134+W135+W136+W137</f>
        <v>0</v>
      </c>
    </row>
    <row r="139" spans="1:23">
      <c r="A139" s="1130"/>
      <c r="B139" s="363" t="s">
        <v>129</v>
      </c>
      <c r="C139" s="364">
        <f>C135+C136+C137+C138</f>
        <v>0</v>
      </c>
      <c r="D139" s="364">
        <f>D135+D136+D137+D138</f>
        <v>34200</v>
      </c>
      <c r="E139" s="364">
        <f>E135+E136+E137+E138</f>
        <v>0</v>
      </c>
      <c r="F139" s="364">
        <f>F135+F136+F137+F138</f>
        <v>0</v>
      </c>
      <c r="G139" s="364"/>
      <c r="H139" s="364">
        <f>H135+H136+H137+H138</f>
        <v>0</v>
      </c>
      <c r="P139" s="1130"/>
      <c r="Q139" s="366" t="s">
        <v>178</v>
      </c>
      <c r="R139" s="367">
        <f>R134+R138-S138-T138</f>
        <v>402714</v>
      </c>
      <c r="S139" s="367"/>
      <c r="T139" s="367"/>
      <c r="U139" s="367">
        <f>U134+U138-V138-W138</f>
        <v>354968</v>
      </c>
      <c r="V139" s="367"/>
      <c r="W139" s="367"/>
    </row>
    <row r="140" spans="1:23">
      <c r="A140" s="1130">
        <f>A135+1</f>
        <v>43918</v>
      </c>
      <c r="B140" s="239">
        <v>18505</v>
      </c>
      <c r="C140" s="239"/>
      <c r="D140" s="239">
        <v>26960</v>
      </c>
      <c r="E140" s="239"/>
      <c r="F140" s="239"/>
      <c r="G140" s="239"/>
      <c r="H140" s="356"/>
      <c r="P140" s="1130">
        <f>P135+1</f>
        <v>43918</v>
      </c>
      <c r="Q140" s="239"/>
      <c r="R140" s="239"/>
      <c r="S140" s="239"/>
      <c r="T140" s="239"/>
      <c r="U140" s="239"/>
      <c r="V140" s="239"/>
      <c r="W140" s="239"/>
    </row>
    <row r="141" spans="1:23">
      <c r="A141" s="1130"/>
      <c r="B141" s="239">
        <v>18515</v>
      </c>
      <c r="C141" s="239"/>
      <c r="D141" s="239">
        <v>35620</v>
      </c>
      <c r="E141" s="239"/>
      <c r="F141" s="239"/>
      <c r="G141" s="239"/>
      <c r="H141" s="356"/>
      <c r="P141" s="1130"/>
      <c r="Q141" s="239"/>
      <c r="R141" s="239"/>
      <c r="S141" s="239"/>
      <c r="T141" s="239"/>
      <c r="U141" s="239"/>
      <c r="V141" s="239"/>
      <c r="W141" s="239"/>
    </row>
    <row r="142" spans="1:23">
      <c r="A142" s="1130"/>
      <c r="B142" s="239"/>
      <c r="C142" s="239"/>
      <c r="D142" s="239"/>
      <c r="E142" s="239"/>
      <c r="F142" s="239"/>
      <c r="G142" s="239"/>
      <c r="H142" s="356"/>
      <c r="P142" s="1130"/>
      <c r="Q142" s="239"/>
      <c r="R142" s="239"/>
      <c r="S142" s="239"/>
      <c r="T142" s="239"/>
      <c r="U142" s="239"/>
      <c r="V142" s="239"/>
      <c r="W142" s="239"/>
    </row>
    <row r="143" spans="1:23">
      <c r="A143" s="1130"/>
      <c r="B143" s="239"/>
      <c r="C143" s="239"/>
      <c r="D143" s="239"/>
      <c r="E143" s="239"/>
      <c r="F143" s="239"/>
      <c r="G143" s="355"/>
      <c r="H143" s="356"/>
      <c r="P143" s="1130"/>
      <c r="Q143" s="363" t="s">
        <v>129</v>
      </c>
      <c r="R143" s="364">
        <f>C145</f>
        <v>0</v>
      </c>
      <c r="S143" s="364">
        <f>S139+S140+S141+S142</f>
        <v>0</v>
      </c>
      <c r="T143" s="364">
        <f>T139+T140+T141+T142</f>
        <v>0</v>
      </c>
      <c r="U143" s="364">
        <f>D145</f>
        <v>0</v>
      </c>
      <c r="V143" s="364">
        <f>V139+V140+V141+V142</f>
        <v>0</v>
      </c>
      <c r="W143" s="364">
        <f>W139+W140+W141+W142</f>
        <v>0</v>
      </c>
    </row>
    <row r="144" spans="1:23">
      <c r="A144" s="1130"/>
      <c r="B144" s="363" t="s">
        <v>129</v>
      </c>
      <c r="C144" s="364">
        <f>C140+C141+C142+C143</f>
        <v>0</v>
      </c>
      <c r="D144" s="364">
        <f>D140+D141+D142+D143</f>
        <v>62580</v>
      </c>
      <c r="E144" s="364">
        <f>E140+E141+E142+E143</f>
        <v>0</v>
      </c>
      <c r="F144" s="364">
        <f>F140+F141+F142+F143</f>
        <v>0</v>
      </c>
      <c r="G144" s="364"/>
      <c r="H144" s="364">
        <f>H140+H141+H142+H143</f>
        <v>0</v>
      </c>
      <c r="P144" s="1130"/>
      <c r="Q144" s="366" t="s">
        <v>178</v>
      </c>
      <c r="R144" s="367">
        <f>R139+R143-S143-T143</f>
        <v>402714</v>
      </c>
      <c r="S144" s="367"/>
      <c r="T144" s="367"/>
      <c r="U144" s="367">
        <f>U139+U143-V143-W143</f>
        <v>354968</v>
      </c>
      <c r="V144" s="367"/>
      <c r="W144" s="367"/>
    </row>
    <row r="145" spans="1:23">
      <c r="A145" s="1130">
        <f>A140+1</f>
        <v>43919</v>
      </c>
      <c r="B145" s="239"/>
      <c r="C145" s="239"/>
      <c r="D145" s="239"/>
      <c r="E145" s="239"/>
      <c r="F145" s="239"/>
      <c r="G145" s="239"/>
      <c r="H145" s="356"/>
      <c r="P145" s="1130">
        <f>P140+1</f>
        <v>43919</v>
      </c>
      <c r="Q145" s="239"/>
      <c r="R145" s="239"/>
      <c r="S145" s="239"/>
      <c r="T145" s="239"/>
      <c r="U145" s="239"/>
      <c r="V145" s="239"/>
      <c r="W145" s="239"/>
    </row>
    <row r="146" spans="1:23">
      <c r="A146" s="1130"/>
      <c r="B146" s="239"/>
      <c r="C146" s="239"/>
      <c r="D146" s="239"/>
      <c r="E146" s="239"/>
      <c r="F146" s="239"/>
      <c r="G146" s="239"/>
      <c r="H146" s="356"/>
      <c r="P146" s="1130"/>
      <c r="Q146" s="239"/>
      <c r="R146" s="239"/>
      <c r="S146" s="239"/>
      <c r="T146" s="239"/>
      <c r="U146" s="239"/>
      <c r="V146" s="239"/>
      <c r="W146" s="239"/>
    </row>
    <row r="147" spans="1:23">
      <c r="A147" s="1130"/>
      <c r="B147" s="239"/>
      <c r="C147" s="239"/>
      <c r="D147" s="239"/>
      <c r="E147" s="239"/>
      <c r="F147" s="239"/>
      <c r="G147" s="239"/>
      <c r="H147" s="356"/>
      <c r="P147" s="1130"/>
      <c r="Q147" s="239"/>
      <c r="R147" s="239"/>
      <c r="S147" s="239"/>
      <c r="T147" s="239"/>
      <c r="U147" s="239"/>
      <c r="V147" s="239"/>
      <c r="W147" s="239"/>
    </row>
    <row r="148" spans="1:23">
      <c r="A148" s="1130"/>
      <c r="B148" s="239"/>
      <c r="C148" s="239"/>
      <c r="D148" s="239"/>
      <c r="E148" s="239"/>
      <c r="F148" s="239"/>
      <c r="G148" s="239"/>
      <c r="H148" s="356"/>
      <c r="P148" s="1130"/>
      <c r="Q148" s="363" t="s">
        <v>129</v>
      </c>
      <c r="R148" s="364">
        <f>C150</f>
        <v>0</v>
      </c>
      <c r="S148" s="364">
        <f>S144+S145+S146+S147</f>
        <v>0</v>
      </c>
      <c r="T148" s="364">
        <f>T144+T145+T146+T147</f>
        <v>0</v>
      </c>
      <c r="U148" s="364">
        <f>D150</f>
        <v>26800</v>
      </c>
      <c r="V148" s="364">
        <f>V144+V145+V146+V147</f>
        <v>0</v>
      </c>
      <c r="W148" s="364">
        <f>W144+W145+W146+W147</f>
        <v>0</v>
      </c>
    </row>
    <row r="149" spans="1:23">
      <c r="A149" s="1130"/>
      <c r="B149" s="363" t="s">
        <v>129</v>
      </c>
      <c r="C149" s="364">
        <f>C145+C146+C147+C148</f>
        <v>0</v>
      </c>
      <c r="D149" s="364">
        <f>D145+D146+D147+D148</f>
        <v>0</v>
      </c>
      <c r="E149" s="364">
        <f>E145+E146+E147+E148</f>
        <v>0</v>
      </c>
      <c r="F149" s="364">
        <f>F145+F146+F147+F148</f>
        <v>0</v>
      </c>
      <c r="G149" s="364"/>
      <c r="H149" s="364">
        <f>H145+H146+H147+H148</f>
        <v>0</v>
      </c>
      <c r="P149" s="1130"/>
      <c r="Q149" s="366" t="s">
        <v>178</v>
      </c>
      <c r="R149" s="367">
        <f>R144+R148-S148-T148</f>
        <v>402714</v>
      </c>
      <c r="S149" s="367"/>
      <c r="T149" s="367"/>
      <c r="U149" s="367">
        <f>U144+U148-V148-W148</f>
        <v>381768</v>
      </c>
      <c r="V149" s="367"/>
      <c r="W149" s="367"/>
    </row>
    <row r="150" spans="1:23">
      <c r="A150" s="1130">
        <f>A145+1</f>
        <v>43920</v>
      </c>
      <c r="B150" s="239">
        <v>18524</v>
      </c>
      <c r="C150" s="239"/>
      <c r="D150" s="239">
        <v>26800</v>
      </c>
      <c r="E150" s="239"/>
      <c r="F150" s="239"/>
      <c r="G150" s="239"/>
      <c r="H150" s="356"/>
      <c r="P150" s="1130">
        <f>P145+1</f>
        <v>43920</v>
      </c>
      <c r="Q150" s="239"/>
      <c r="R150" s="239"/>
      <c r="S150" s="239"/>
      <c r="T150" s="239"/>
      <c r="U150" s="239"/>
      <c r="V150" s="239"/>
      <c r="W150" s="239"/>
    </row>
    <row r="151" spans="1:23">
      <c r="A151" s="1130"/>
      <c r="B151" s="239"/>
      <c r="C151" s="239"/>
      <c r="D151" s="239"/>
      <c r="E151" s="239"/>
      <c r="F151" s="239"/>
      <c r="G151" s="239"/>
      <c r="H151" s="356"/>
      <c r="P151" s="1130"/>
      <c r="Q151" s="239"/>
      <c r="R151" s="239"/>
      <c r="S151" s="239"/>
      <c r="T151" s="239"/>
      <c r="U151" s="239"/>
      <c r="V151" s="239"/>
      <c r="W151" s="239"/>
    </row>
    <row r="152" spans="1:23">
      <c r="A152" s="1130"/>
      <c r="B152" s="239"/>
      <c r="C152" s="239"/>
      <c r="D152" s="239"/>
      <c r="E152" s="239"/>
      <c r="F152" s="239"/>
      <c r="G152" s="239"/>
      <c r="H152" s="356"/>
      <c r="P152" s="1130"/>
      <c r="Q152" s="239"/>
      <c r="R152" s="239"/>
      <c r="S152" s="239"/>
      <c r="T152" s="239"/>
      <c r="U152" s="239"/>
      <c r="V152" s="239"/>
      <c r="W152" s="239"/>
    </row>
    <row r="153" spans="1:23">
      <c r="A153" s="1130"/>
      <c r="B153" s="239"/>
      <c r="C153" s="239"/>
      <c r="D153" s="239"/>
      <c r="E153" s="239"/>
      <c r="F153" s="239"/>
      <c r="G153" s="239"/>
      <c r="H153" s="356"/>
      <c r="P153" s="1130"/>
      <c r="Q153" s="363" t="s">
        <v>129</v>
      </c>
      <c r="R153" s="364">
        <f>C155</f>
        <v>32800</v>
      </c>
      <c r="S153" s="364">
        <f>S149+S150+S151+S152</f>
        <v>0</v>
      </c>
      <c r="T153" s="364">
        <f>T149+T150+T151+T152</f>
        <v>0</v>
      </c>
      <c r="U153" s="364">
        <f>D155</f>
        <v>0</v>
      </c>
      <c r="V153" s="364">
        <f>V149+V150+V151+V152</f>
        <v>0</v>
      </c>
      <c r="W153" s="364">
        <f>W149+W150+W151+W152</f>
        <v>0</v>
      </c>
    </row>
    <row r="154" spans="1:23">
      <c r="A154" s="1130"/>
      <c r="B154" s="363" t="s">
        <v>129</v>
      </c>
      <c r="C154" s="364">
        <f>C150+C151+C152+C153</f>
        <v>0</v>
      </c>
      <c r="D154" s="364">
        <f>D150+D151+D152+D153</f>
        <v>26800</v>
      </c>
      <c r="E154" s="364">
        <f>E150+E151+E152+E153</f>
        <v>0</v>
      </c>
      <c r="F154" s="364">
        <f>F150+F151+F152+F153</f>
        <v>0</v>
      </c>
      <c r="G154" s="364"/>
      <c r="H154" s="364">
        <f>H150+H151+H152+H153</f>
        <v>0</v>
      </c>
      <c r="P154" s="1130"/>
      <c r="Q154" s="366" t="s">
        <v>178</v>
      </c>
      <c r="R154" s="367">
        <f>R149+R153-S153-T153</f>
        <v>435514</v>
      </c>
      <c r="S154" s="367"/>
      <c r="T154" s="367"/>
      <c r="U154" s="367">
        <f>U149+U153-V153-W153</f>
        <v>381768</v>
      </c>
      <c r="V154" s="367"/>
      <c r="W154" s="367"/>
    </row>
    <row r="155" spans="1:23">
      <c r="A155" s="1130">
        <f>A150+1</f>
        <v>43921</v>
      </c>
      <c r="B155" s="239">
        <v>18539</v>
      </c>
      <c r="C155" s="239">
        <v>32800</v>
      </c>
      <c r="D155" s="239"/>
      <c r="E155" s="239"/>
      <c r="F155" s="239"/>
      <c r="G155" s="239"/>
      <c r="H155" s="356"/>
      <c r="P155" s="1130">
        <f>P150+1</f>
        <v>43921</v>
      </c>
      <c r="Q155" s="239"/>
      <c r="R155" s="239"/>
      <c r="S155" s="239"/>
      <c r="T155" s="239"/>
      <c r="U155" s="239"/>
      <c r="V155" s="239"/>
      <c r="W155" s="239"/>
    </row>
    <row r="156" spans="1:23">
      <c r="A156" s="1130"/>
      <c r="B156" s="239">
        <v>18530</v>
      </c>
      <c r="C156" s="239"/>
      <c r="D156" s="239">
        <v>26950</v>
      </c>
      <c r="E156" s="239"/>
      <c r="F156" s="239"/>
      <c r="G156" s="239"/>
      <c r="H156" s="356"/>
      <c r="P156" s="1130"/>
      <c r="Q156" s="239"/>
      <c r="R156" s="239"/>
      <c r="S156" s="239"/>
      <c r="T156" s="239"/>
      <c r="U156" s="239"/>
      <c r="V156" s="239"/>
      <c r="W156" s="239"/>
    </row>
    <row r="157" spans="1:23">
      <c r="A157" s="1130"/>
      <c r="B157" s="239"/>
      <c r="C157" s="239"/>
      <c r="D157" s="239"/>
      <c r="E157" s="239"/>
      <c r="F157" s="239"/>
      <c r="G157" s="239"/>
      <c r="H157" s="356"/>
      <c r="P157" s="1130"/>
      <c r="Q157" s="239"/>
      <c r="R157" s="239"/>
      <c r="S157" s="239"/>
      <c r="T157" s="239"/>
      <c r="U157" s="239"/>
      <c r="V157" s="239"/>
      <c r="W157" s="239"/>
    </row>
    <row r="158" spans="1:23">
      <c r="A158" s="1130"/>
      <c r="B158" s="239"/>
      <c r="C158" s="239"/>
      <c r="D158" s="239"/>
      <c r="E158" s="239"/>
      <c r="F158" s="239"/>
      <c r="G158" s="239"/>
      <c r="H158" s="356"/>
      <c r="P158" s="1130"/>
      <c r="Q158" s="363" t="s">
        <v>129</v>
      </c>
      <c r="R158" s="364">
        <f>C160</f>
        <v>417690</v>
      </c>
      <c r="S158" s="364">
        <f>S154+S155+S156+S157</f>
        <v>0</v>
      </c>
      <c r="T158" s="364">
        <f>T154+T155+T156+T157</f>
        <v>0</v>
      </c>
      <c r="U158" s="364">
        <f>D160</f>
        <v>548520</v>
      </c>
      <c r="V158" s="364">
        <f>V154+V155+V156+V157</f>
        <v>0</v>
      </c>
      <c r="W158" s="364">
        <f>W154+W155+W156+W157</f>
        <v>0</v>
      </c>
    </row>
    <row r="159" spans="1:23">
      <c r="A159" s="1130"/>
      <c r="B159" s="363" t="s">
        <v>129</v>
      </c>
      <c r="C159" s="364">
        <f>C155+C156+C157+C158</f>
        <v>32800</v>
      </c>
      <c r="D159" s="364">
        <f>D155+D156+D157+D158</f>
        <v>26950</v>
      </c>
      <c r="E159" s="364">
        <f>E155+E156+E157+E158</f>
        <v>0</v>
      </c>
      <c r="F159" s="364">
        <f>F155+F156+F157+F158</f>
        <v>0</v>
      </c>
      <c r="G159" s="364"/>
      <c r="H159" s="364">
        <f>H155+H156+H157+H158</f>
        <v>0</v>
      </c>
      <c r="P159" s="1130"/>
      <c r="Q159" s="366" t="s">
        <v>178</v>
      </c>
      <c r="R159" s="367">
        <f>R154+R158-S158-T158</f>
        <v>853204</v>
      </c>
      <c r="S159" s="367"/>
      <c r="T159" s="367"/>
      <c r="U159" s="367">
        <f>U154+U158-V158-W158</f>
        <v>930288</v>
      </c>
      <c r="V159" s="367"/>
      <c r="W159" s="367"/>
    </row>
    <row r="160" spans="1:23" ht="31.15" customHeight="1">
      <c r="A160" s="1131" t="s">
        <v>183</v>
      </c>
      <c r="B160" s="1131"/>
      <c r="C160" s="383">
        <f>C9+C14+C19+C24+C29+C34+C39+C44+C49+C54+C59+C64+C69+C74+C79+C84+C89+C94+C99+C104+C109+C114+C119+C124+C129+C134+C139+C144+C149+C154+C159</f>
        <v>417690</v>
      </c>
      <c r="D160" s="383">
        <f>D9+D14+D19+D24+D29+D34+D39+D44+D49+D54+D59+D64+D69+D74+D79+D84+D89+D94+D99+D104+D109+D114+D119+D124+D129+D134+D139+D144+D149+D154+D159</f>
        <v>548520</v>
      </c>
      <c r="E160" s="383">
        <f>E9+E14+E19+E24+E29+E34+E39+E44+E49+E54+E59+E64+E69+E74+E79+E84+E89+E94+E99+E104+E109+E114+E119+E124+E129+E134+E139+E144+E149+E154+E159</f>
        <v>0</v>
      </c>
      <c r="F160" s="383">
        <f>F9+F14+F19+F24+F29+F34+F39+F44+F49+F54+F59+F64+F69+F74+F79+F84+F89+F94+F99+F104+F109+F114+F119+F124+F129+F134+F139+F144+F149+F154+F159</f>
        <v>27260</v>
      </c>
      <c r="G160" s="1132">
        <f>H9+H14+H19+H24+H29+H34+H39+H44+H49+H54+H59+H64+H69+H74+H79+H84+H89+H94+H94+H99+H104+H109+H114+H119+H124+H129+H134+H139+H129+H134+H139+H144+H149+H154+H159</f>
        <v>0</v>
      </c>
      <c r="H160" s="1132">
        <f>H9+H14+H19+H24+H29+H34+H39+H44+H49+H54+H59+H64+H69+H74+H79+H84+H89+H94+H94+H99+H104+H109+H114+H119+H124+H129+H134+H139+H129+H134+H139</f>
        <v>0</v>
      </c>
      <c r="P160" s="1131" t="s">
        <v>184</v>
      </c>
      <c r="Q160" s="1131"/>
      <c r="R160" s="383">
        <f>R138</f>
        <v>0</v>
      </c>
      <c r="S160" s="383">
        <f>S137</f>
        <v>0</v>
      </c>
      <c r="T160" s="383">
        <f>T137</f>
        <v>0</v>
      </c>
      <c r="U160" s="383">
        <f>U138</f>
        <v>26960</v>
      </c>
      <c r="V160" s="383">
        <f>V137</f>
        <v>0</v>
      </c>
      <c r="W160" s="383">
        <f>W137</f>
        <v>0</v>
      </c>
    </row>
  </sheetData>
  <sheetProtection password="E1DF" sheet="1" objects="1" scenarios="1" selectLockedCells="1"/>
  <mergeCells count="76">
    <mergeCell ref="A150:A154"/>
    <mergeCell ref="P150:P154"/>
    <mergeCell ref="A155:A159"/>
    <mergeCell ref="P155:P159"/>
    <mergeCell ref="A160:B160"/>
    <mergeCell ref="G160:H160"/>
    <mergeCell ref="P160:Q160"/>
    <mergeCell ref="A135:A139"/>
    <mergeCell ref="P135:P139"/>
    <mergeCell ref="A140:A144"/>
    <mergeCell ref="P140:P144"/>
    <mergeCell ref="A145:A149"/>
    <mergeCell ref="P145:P149"/>
    <mergeCell ref="A120:A124"/>
    <mergeCell ref="P120:P124"/>
    <mergeCell ref="A125:A129"/>
    <mergeCell ref="P125:P129"/>
    <mergeCell ref="A130:A134"/>
    <mergeCell ref="P130:P134"/>
    <mergeCell ref="A105:A109"/>
    <mergeCell ref="P105:P109"/>
    <mergeCell ref="A110:A114"/>
    <mergeCell ref="P110:P114"/>
    <mergeCell ref="A115:A119"/>
    <mergeCell ref="P115:P119"/>
    <mergeCell ref="A90:A94"/>
    <mergeCell ref="P90:P94"/>
    <mergeCell ref="A95:A99"/>
    <mergeCell ref="P95:P99"/>
    <mergeCell ref="A100:A104"/>
    <mergeCell ref="P100:P104"/>
    <mergeCell ref="A75:A79"/>
    <mergeCell ref="P75:P79"/>
    <mergeCell ref="A80:A84"/>
    <mergeCell ref="P80:P84"/>
    <mergeCell ref="A85:A89"/>
    <mergeCell ref="P85:P89"/>
    <mergeCell ref="A60:A64"/>
    <mergeCell ref="P60:P64"/>
    <mergeCell ref="A65:A69"/>
    <mergeCell ref="P65:P69"/>
    <mergeCell ref="A70:A74"/>
    <mergeCell ref="P70:P74"/>
    <mergeCell ref="A45:A49"/>
    <mergeCell ref="P45:P49"/>
    <mergeCell ref="A50:A54"/>
    <mergeCell ref="P50:P54"/>
    <mergeCell ref="A55:A59"/>
    <mergeCell ref="P55:P59"/>
    <mergeCell ref="A30:A34"/>
    <mergeCell ref="P30:P34"/>
    <mergeCell ref="A35:A39"/>
    <mergeCell ref="P35:P39"/>
    <mergeCell ref="A40:A44"/>
    <mergeCell ref="P40:P44"/>
    <mergeCell ref="J43:K43"/>
    <mergeCell ref="J44:K44"/>
    <mergeCell ref="L44:M44"/>
    <mergeCell ref="A15:A19"/>
    <mergeCell ref="P15:P19"/>
    <mergeCell ref="A20:A24"/>
    <mergeCell ref="P20:P24"/>
    <mergeCell ref="A25:A29"/>
    <mergeCell ref="P25:P29"/>
    <mergeCell ref="P3:W3"/>
    <mergeCell ref="A5:A9"/>
    <mergeCell ref="P5:P9"/>
    <mergeCell ref="A10:A14"/>
    <mergeCell ref="P10:P14"/>
    <mergeCell ref="B1:N2"/>
    <mergeCell ref="A2:A4"/>
    <mergeCell ref="B3:F3"/>
    <mergeCell ref="G3:H3"/>
    <mergeCell ref="J3:J4"/>
    <mergeCell ref="K3:L3"/>
    <mergeCell ref="M3:N3"/>
  </mergeCells>
  <dataValidations count="1">
    <dataValidation type="whole" operator="notEqual" showInputMessage="1" showErrorMessage="1" sqref="B16 Q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38" sqref="O38"/>
    </sheetView>
  </sheetViews>
  <sheetFormatPr defaultRowHeight="15"/>
  <cols>
    <col min="1" max="1" width="8.85546875" style="406" customWidth="1"/>
    <col min="2" max="14" width="6.140625" style="406" customWidth="1"/>
    <col min="15" max="15" width="6.28515625" style="406" customWidth="1"/>
    <col min="16" max="19" width="6.140625" style="406" customWidth="1"/>
    <col min="20" max="20" width="34.85546875" style="406" customWidth="1"/>
    <col min="21" max="1023" width="6.28515625" style="406" customWidth="1"/>
    <col min="1024" max="1025" width="6.140625" customWidth="1"/>
  </cols>
  <sheetData>
    <row r="1" spans="1:20">
      <c r="A1" s="1133" t="s">
        <v>208</v>
      </c>
      <c r="B1" s="1134" t="s">
        <v>78</v>
      </c>
      <c r="C1" s="1134"/>
      <c r="D1" s="1134"/>
      <c r="E1" s="1134"/>
      <c r="F1" s="1134"/>
      <c r="G1" s="1134"/>
      <c r="H1" s="1134"/>
      <c r="I1" s="1134"/>
      <c r="J1" s="1135" t="s">
        <v>209</v>
      </c>
      <c r="K1" s="1135"/>
      <c r="L1" s="1135"/>
      <c r="M1" s="1135"/>
      <c r="N1" s="1135"/>
      <c r="O1" s="1135"/>
      <c r="P1" s="1135"/>
      <c r="Q1" s="1135"/>
      <c r="R1" s="1135"/>
      <c r="S1" s="1135"/>
      <c r="T1" s="1136">
        <f>ESCALA!A3</f>
        <v>43891</v>
      </c>
    </row>
    <row r="2" spans="1:20">
      <c r="A2" s="1133"/>
      <c r="B2" s="1134" t="s">
        <v>210</v>
      </c>
      <c r="C2" s="1134"/>
      <c r="D2" s="1134"/>
      <c r="E2" s="1134"/>
      <c r="F2" s="1133" t="s">
        <v>211</v>
      </c>
      <c r="G2" s="1133"/>
      <c r="H2" s="1133"/>
      <c r="I2" s="1133"/>
      <c r="J2" s="1135" t="s">
        <v>210</v>
      </c>
      <c r="K2" s="1135"/>
      <c r="L2" s="1135"/>
      <c r="M2" s="1135"/>
      <c r="N2" s="1135"/>
      <c r="O2" s="1133" t="s">
        <v>211</v>
      </c>
      <c r="P2" s="1133"/>
      <c r="Q2" s="1133"/>
      <c r="R2" s="1133"/>
      <c r="S2" s="1133"/>
      <c r="T2" s="1136"/>
    </row>
    <row r="3" spans="1:20" ht="13.9" customHeight="1">
      <c r="A3" s="1133"/>
      <c r="B3" s="1134" t="s">
        <v>212</v>
      </c>
      <c r="C3" s="1134"/>
      <c r="D3" s="1134" t="s">
        <v>213</v>
      </c>
      <c r="E3" s="1134"/>
      <c r="F3" s="1133" t="s">
        <v>212</v>
      </c>
      <c r="G3" s="1133"/>
      <c r="H3" s="1133" t="s">
        <v>213</v>
      </c>
      <c r="I3" s="1133"/>
      <c r="J3" s="1137" t="s">
        <v>214</v>
      </c>
      <c r="K3" s="1135" t="s">
        <v>212</v>
      </c>
      <c r="L3" s="1135"/>
      <c r="M3" s="1135" t="s">
        <v>213</v>
      </c>
      <c r="N3" s="1135"/>
      <c r="O3" s="1138" t="s">
        <v>214</v>
      </c>
      <c r="P3" s="1133" t="s">
        <v>212</v>
      </c>
      <c r="Q3" s="1133"/>
      <c r="R3" s="1133" t="s">
        <v>213</v>
      </c>
      <c r="S3" s="1133"/>
      <c r="T3" s="1136"/>
    </row>
    <row r="4" spans="1:20" ht="45">
      <c r="A4" s="1133"/>
      <c r="B4" s="408" t="s">
        <v>7</v>
      </c>
      <c r="C4" s="411" t="s">
        <v>215</v>
      </c>
      <c r="D4" s="411" t="s">
        <v>7</v>
      </c>
      <c r="E4" s="411" t="s">
        <v>215</v>
      </c>
      <c r="F4" s="407" t="s">
        <v>7</v>
      </c>
      <c r="G4" s="410" t="s">
        <v>215</v>
      </c>
      <c r="H4" s="407" t="s">
        <v>7</v>
      </c>
      <c r="I4" s="410" t="s">
        <v>215</v>
      </c>
      <c r="J4" s="1137"/>
      <c r="K4" s="409" t="s">
        <v>7</v>
      </c>
      <c r="L4" s="409" t="s">
        <v>215</v>
      </c>
      <c r="M4" s="409" t="s">
        <v>7</v>
      </c>
      <c r="N4" s="409" t="s">
        <v>215</v>
      </c>
      <c r="O4" s="1138"/>
      <c r="P4" s="407" t="s">
        <v>7</v>
      </c>
      <c r="Q4" s="410" t="s">
        <v>215</v>
      </c>
      <c r="R4" s="407" t="s">
        <v>7</v>
      </c>
      <c r="S4" s="410" t="s">
        <v>215</v>
      </c>
      <c r="T4" s="407" t="s">
        <v>216</v>
      </c>
    </row>
    <row r="5" spans="1:20">
      <c r="A5" s="412">
        <v>1</v>
      </c>
      <c r="B5" s="413"/>
      <c r="C5" s="414"/>
      <c r="D5" s="413"/>
      <c r="E5" s="414"/>
      <c r="F5" s="415"/>
      <c r="G5" s="416"/>
      <c r="H5" s="415"/>
      <c r="I5" s="416"/>
      <c r="J5" s="417"/>
      <c r="K5" s="418"/>
      <c r="L5" s="419"/>
      <c r="M5" s="418"/>
      <c r="N5" s="419"/>
      <c r="O5" s="416"/>
      <c r="P5" s="415"/>
      <c r="Q5" s="416"/>
      <c r="R5" s="415"/>
      <c r="S5" s="416"/>
      <c r="T5" s="420"/>
    </row>
    <row r="6" spans="1:20">
      <c r="A6" s="412">
        <v>2</v>
      </c>
      <c r="B6" s="413"/>
      <c r="C6" s="414"/>
      <c r="D6" s="413">
        <v>0.61805555555555602</v>
      </c>
      <c r="E6" s="414">
        <v>55</v>
      </c>
      <c r="F6" s="415">
        <v>0.61805555555555602</v>
      </c>
      <c r="G6" s="416">
        <v>140</v>
      </c>
      <c r="H6" s="415"/>
      <c r="I6" s="416"/>
      <c r="J6" s="417" t="s">
        <v>217</v>
      </c>
      <c r="K6" s="418">
        <v>0.61805555555555602</v>
      </c>
      <c r="L6" s="419">
        <v>55</v>
      </c>
      <c r="M6" s="418">
        <v>0.6875</v>
      </c>
      <c r="N6" s="419">
        <v>137</v>
      </c>
      <c r="O6" s="416"/>
      <c r="P6" s="415"/>
      <c r="Q6" s="416"/>
      <c r="R6" s="415"/>
      <c r="S6" s="416"/>
      <c r="T6" s="420"/>
    </row>
    <row r="7" spans="1:20">
      <c r="A7" s="412">
        <v>3</v>
      </c>
      <c r="B7" s="413"/>
      <c r="C7" s="414"/>
      <c r="D7" s="413"/>
      <c r="E7" s="414"/>
      <c r="F7" s="415"/>
      <c r="G7" s="416"/>
      <c r="H7" s="415"/>
      <c r="I7" s="416"/>
      <c r="J7" s="417"/>
      <c r="K7" s="418"/>
      <c r="L7" s="419"/>
      <c r="M7" s="418"/>
      <c r="N7" s="419"/>
      <c r="O7" s="416"/>
      <c r="P7" s="415"/>
      <c r="Q7" s="416"/>
      <c r="R7" s="415"/>
      <c r="S7" s="416"/>
      <c r="T7" s="420"/>
    </row>
    <row r="8" spans="1:20">
      <c r="A8" s="412">
        <v>4</v>
      </c>
      <c r="B8" s="413"/>
      <c r="C8" s="414"/>
      <c r="D8" s="413"/>
      <c r="E8" s="414"/>
      <c r="F8" s="415"/>
      <c r="G8" s="416"/>
      <c r="H8" s="415"/>
      <c r="I8" s="416"/>
      <c r="J8" s="417"/>
      <c r="K8" s="418"/>
      <c r="L8" s="419"/>
      <c r="M8" s="418"/>
      <c r="N8" s="419"/>
      <c r="O8" s="416"/>
      <c r="P8" s="415"/>
      <c r="Q8" s="416"/>
      <c r="R8" s="415"/>
      <c r="S8" s="416"/>
      <c r="T8" s="420"/>
    </row>
    <row r="9" spans="1:20">
      <c r="A9" s="412">
        <v>5</v>
      </c>
      <c r="B9" s="413"/>
      <c r="C9" s="414"/>
      <c r="D9" s="413"/>
      <c r="E9" s="414"/>
      <c r="F9" s="415"/>
      <c r="G9" s="416"/>
      <c r="H9" s="415"/>
      <c r="I9" s="416"/>
      <c r="J9" s="417"/>
      <c r="K9" s="418"/>
      <c r="L9" s="419"/>
      <c r="M9" s="418"/>
      <c r="N9" s="419"/>
      <c r="O9" s="416"/>
      <c r="P9" s="415"/>
      <c r="Q9" s="416"/>
      <c r="R9" s="415"/>
      <c r="S9" s="416"/>
      <c r="T9" s="420"/>
    </row>
    <row r="10" spans="1:20">
      <c r="A10" s="412">
        <v>6</v>
      </c>
      <c r="B10" s="413"/>
      <c r="C10" s="414"/>
      <c r="D10" s="413">
        <v>0.58333333333333304</v>
      </c>
      <c r="E10" s="414">
        <v>62</v>
      </c>
      <c r="F10" s="415">
        <v>0.58333333333333304</v>
      </c>
      <c r="G10" s="416">
        <v>136</v>
      </c>
      <c r="H10" s="415"/>
      <c r="I10" s="416"/>
      <c r="J10" s="417" t="s">
        <v>217</v>
      </c>
      <c r="K10" s="418">
        <v>0.58333333333333304</v>
      </c>
      <c r="L10" s="419">
        <v>62</v>
      </c>
      <c r="M10" s="418">
        <v>0.65277777777777801</v>
      </c>
      <c r="N10" s="419">
        <v>138</v>
      </c>
      <c r="O10" s="416"/>
      <c r="P10" s="415"/>
      <c r="Q10" s="416"/>
      <c r="R10" s="415"/>
      <c r="S10" s="416"/>
      <c r="T10" s="420"/>
    </row>
    <row r="11" spans="1:20">
      <c r="A11" s="412">
        <v>7</v>
      </c>
      <c r="B11" s="413"/>
      <c r="C11" s="414"/>
      <c r="D11" s="413"/>
      <c r="E11" s="414"/>
      <c r="F11" s="415"/>
      <c r="G11" s="416"/>
      <c r="H11" s="415"/>
      <c r="I11" s="416"/>
      <c r="J11" s="417"/>
      <c r="K11" s="418"/>
      <c r="L11" s="419"/>
      <c r="M11" s="418"/>
      <c r="N11" s="419"/>
      <c r="O11" s="416"/>
      <c r="P11" s="415"/>
      <c r="Q11" s="416"/>
      <c r="R11" s="415"/>
      <c r="S11" s="416"/>
      <c r="T11" s="420"/>
    </row>
    <row r="12" spans="1:20">
      <c r="A12" s="412">
        <v>8</v>
      </c>
      <c r="B12" s="413"/>
      <c r="C12" s="414"/>
      <c r="D12" s="413"/>
      <c r="E12" s="414"/>
      <c r="F12" s="415"/>
      <c r="G12" s="416"/>
      <c r="H12" s="415"/>
      <c r="I12" s="416"/>
      <c r="J12" s="417"/>
      <c r="K12" s="418"/>
      <c r="L12" s="419"/>
      <c r="M12" s="418"/>
      <c r="N12" s="419"/>
      <c r="O12" s="416"/>
      <c r="P12" s="415"/>
      <c r="Q12" s="416"/>
      <c r="R12" s="415"/>
      <c r="S12" s="416"/>
      <c r="T12" s="420"/>
    </row>
    <row r="13" spans="1:20">
      <c r="A13" s="412">
        <v>9</v>
      </c>
      <c r="B13" s="413"/>
      <c r="C13" s="414"/>
      <c r="D13" s="413"/>
      <c r="E13" s="414"/>
      <c r="F13" s="415"/>
      <c r="G13" s="416"/>
      <c r="H13" s="415"/>
      <c r="I13" s="416"/>
      <c r="J13" s="417"/>
      <c r="K13" s="418"/>
      <c r="L13" s="419"/>
      <c r="M13" s="418"/>
      <c r="N13" s="419"/>
      <c r="O13" s="416"/>
      <c r="P13" s="415"/>
      <c r="Q13" s="416"/>
      <c r="R13" s="415"/>
      <c r="S13" s="416"/>
      <c r="T13" s="420"/>
    </row>
    <row r="14" spans="1:20">
      <c r="A14" s="412">
        <v>10</v>
      </c>
      <c r="B14" s="413"/>
      <c r="C14" s="414"/>
      <c r="D14" s="413">
        <v>0.52083333333333304</v>
      </c>
      <c r="E14" s="414">
        <v>56</v>
      </c>
      <c r="F14" s="415">
        <v>0.52083333333333304</v>
      </c>
      <c r="G14" s="416">
        <v>139</v>
      </c>
      <c r="H14" s="415"/>
      <c r="I14" s="416"/>
      <c r="J14" s="417" t="s">
        <v>217</v>
      </c>
      <c r="K14" s="418">
        <v>0.52083333333333304</v>
      </c>
      <c r="L14" s="419">
        <v>56</v>
      </c>
      <c r="M14" s="418">
        <v>0.60416666666666696</v>
      </c>
      <c r="N14" s="419">
        <v>147</v>
      </c>
      <c r="O14" s="416"/>
      <c r="P14" s="415"/>
      <c r="Q14" s="416"/>
      <c r="R14" s="415"/>
      <c r="S14" s="416"/>
      <c r="T14" s="420"/>
    </row>
    <row r="15" spans="1:20">
      <c r="A15" s="412">
        <v>11</v>
      </c>
      <c r="B15" s="413"/>
      <c r="C15" s="414"/>
      <c r="D15" s="413"/>
      <c r="E15" s="414"/>
      <c r="F15" s="415"/>
      <c r="G15" s="416"/>
      <c r="H15" s="415"/>
      <c r="I15" s="416"/>
      <c r="J15" s="417"/>
      <c r="K15" s="418"/>
      <c r="L15" s="419"/>
      <c r="M15" s="418"/>
      <c r="N15" s="419"/>
      <c r="O15" s="416"/>
      <c r="P15" s="415"/>
      <c r="Q15" s="416"/>
      <c r="R15" s="415"/>
      <c r="S15" s="416"/>
      <c r="T15" s="420"/>
    </row>
    <row r="16" spans="1:20">
      <c r="A16" s="412">
        <v>12</v>
      </c>
      <c r="B16" s="413"/>
      <c r="C16" s="414"/>
      <c r="D16" s="413"/>
      <c r="E16" s="414"/>
      <c r="F16" s="415"/>
      <c r="G16" s="416"/>
      <c r="H16" s="415"/>
      <c r="I16" s="416"/>
      <c r="J16" s="417"/>
      <c r="K16" s="418"/>
      <c r="L16" s="419"/>
      <c r="M16" s="418"/>
      <c r="N16" s="419"/>
      <c r="O16" s="416"/>
      <c r="P16" s="415"/>
      <c r="Q16" s="416"/>
      <c r="R16" s="415"/>
      <c r="S16" s="416"/>
      <c r="T16" s="420"/>
    </row>
    <row r="17" spans="1:20">
      <c r="A17" s="412">
        <v>13</v>
      </c>
      <c r="B17" s="413"/>
      <c r="C17" s="414"/>
      <c r="D17" s="413"/>
      <c r="E17" s="414"/>
      <c r="F17" s="415"/>
      <c r="G17" s="416"/>
      <c r="H17" s="415"/>
      <c r="I17" s="416"/>
      <c r="J17" s="417"/>
      <c r="K17" s="418"/>
      <c r="L17" s="419"/>
      <c r="M17" s="418"/>
      <c r="N17" s="419"/>
      <c r="O17" s="416"/>
      <c r="P17" s="415"/>
      <c r="Q17" s="416"/>
      <c r="R17" s="415"/>
      <c r="S17" s="416"/>
      <c r="T17" s="420"/>
    </row>
    <row r="18" spans="1:20">
      <c r="A18" s="412">
        <v>14</v>
      </c>
      <c r="B18" s="413"/>
      <c r="C18" s="414"/>
      <c r="D18" s="413">
        <v>0.56944444444444398</v>
      </c>
      <c r="E18" s="414">
        <v>73</v>
      </c>
      <c r="F18" s="415">
        <v>0.56944444444444398</v>
      </c>
      <c r="G18" s="416">
        <v>140</v>
      </c>
      <c r="H18" s="415"/>
      <c r="I18" s="416"/>
      <c r="J18" s="417" t="s">
        <v>218</v>
      </c>
      <c r="K18" s="418">
        <v>0.56944444444444398</v>
      </c>
      <c r="L18" s="419">
        <v>73</v>
      </c>
      <c r="M18" s="418">
        <v>0.625</v>
      </c>
      <c r="N18" s="419">
        <v>139</v>
      </c>
      <c r="O18" s="416"/>
      <c r="P18" s="415"/>
      <c r="Q18" s="416"/>
      <c r="R18" s="415"/>
      <c r="S18" s="416"/>
      <c r="T18" s="420"/>
    </row>
    <row r="19" spans="1:20">
      <c r="A19" s="412">
        <v>15</v>
      </c>
      <c r="B19" s="413"/>
      <c r="C19" s="414"/>
      <c r="D19" s="413"/>
      <c r="E19" s="414"/>
      <c r="F19" s="415"/>
      <c r="G19" s="416"/>
      <c r="H19" s="415"/>
      <c r="I19" s="416"/>
      <c r="J19" s="417"/>
      <c r="K19" s="418"/>
      <c r="L19" s="419"/>
      <c r="M19" s="418"/>
      <c r="N19" s="419"/>
      <c r="O19" s="416"/>
      <c r="P19" s="415"/>
      <c r="Q19" s="416"/>
      <c r="R19" s="415"/>
      <c r="S19" s="416"/>
      <c r="T19" s="420"/>
    </row>
    <row r="20" spans="1:20">
      <c r="A20" s="412">
        <v>16</v>
      </c>
      <c r="B20" s="413"/>
      <c r="C20" s="414"/>
      <c r="D20" s="413"/>
      <c r="E20" s="414"/>
      <c r="F20" s="415"/>
      <c r="G20" s="416"/>
      <c r="H20" s="415"/>
      <c r="I20" s="416"/>
      <c r="J20" s="417"/>
      <c r="K20" s="418"/>
      <c r="L20" s="419"/>
      <c r="M20" s="418"/>
      <c r="N20" s="419"/>
      <c r="O20" s="416"/>
      <c r="P20" s="415"/>
      <c r="Q20" s="416"/>
      <c r="R20" s="415"/>
      <c r="S20" s="416"/>
      <c r="T20" s="420"/>
    </row>
    <row r="21" spans="1:20">
      <c r="A21" s="412">
        <v>17</v>
      </c>
      <c r="B21" s="413"/>
      <c r="C21" s="414"/>
      <c r="D21" s="413"/>
      <c r="E21" s="414"/>
      <c r="F21" s="415"/>
      <c r="G21" s="416"/>
      <c r="H21" s="415"/>
      <c r="I21" s="416"/>
      <c r="J21" s="417"/>
      <c r="K21" s="418"/>
      <c r="L21" s="419"/>
      <c r="M21" s="418"/>
      <c r="N21" s="419"/>
      <c r="O21" s="416"/>
      <c r="P21" s="415"/>
      <c r="Q21" s="416"/>
      <c r="R21" s="415"/>
      <c r="S21" s="416"/>
      <c r="T21" s="420"/>
    </row>
    <row r="22" spans="1:20">
      <c r="A22" s="412">
        <v>18</v>
      </c>
      <c r="B22" s="413"/>
      <c r="C22" s="414"/>
      <c r="D22" s="413">
        <v>0.54166666666666696</v>
      </c>
      <c r="E22" s="414">
        <v>73</v>
      </c>
      <c r="F22" s="415">
        <v>0.54166666666666696</v>
      </c>
      <c r="G22" s="416">
        <v>136</v>
      </c>
      <c r="H22" s="415"/>
      <c r="I22" s="416"/>
      <c r="J22" s="417" t="s">
        <v>217</v>
      </c>
      <c r="K22" s="418">
        <v>0.54166666666666696</v>
      </c>
      <c r="L22" s="419">
        <v>73</v>
      </c>
      <c r="M22" s="418">
        <v>0.625</v>
      </c>
      <c r="N22" s="419">
        <v>143</v>
      </c>
      <c r="O22" s="416"/>
      <c r="P22" s="415"/>
      <c r="Q22" s="416"/>
      <c r="R22" s="415"/>
      <c r="S22" s="416"/>
      <c r="T22" s="420"/>
    </row>
    <row r="23" spans="1:20">
      <c r="A23" s="412">
        <v>19</v>
      </c>
      <c r="B23" s="413"/>
      <c r="C23" s="414"/>
      <c r="D23" s="413"/>
      <c r="E23" s="414"/>
      <c r="F23" s="415"/>
      <c r="G23" s="416"/>
      <c r="H23" s="415"/>
      <c r="I23" s="416"/>
      <c r="J23" s="417"/>
      <c r="K23" s="418"/>
      <c r="L23" s="419"/>
      <c r="M23" s="418"/>
      <c r="N23" s="419"/>
      <c r="O23" s="416"/>
      <c r="P23" s="415"/>
      <c r="Q23" s="416"/>
      <c r="R23" s="415"/>
      <c r="S23" s="416"/>
      <c r="T23" s="420"/>
    </row>
    <row r="24" spans="1:20">
      <c r="A24" s="412">
        <v>20</v>
      </c>
      <c r="B24" s="413"/>
      <c r="C24" s="414"/>
      <c r="D24" s="413"/>
      <c r="E24" s="414"/>
      <c r="F24" s="415"/>
      <c r="G24" s="416"/>
      <c r="H24" s="415"/>
      <c r="I24" s="416"/>
      <c r="J24" s="417"/>
      <c r="K24" s="418"/>
      <c r="L24" s="419"/>
      <c r="M24" s="418"/>
      <c r="N24" s="419"/>
      <c r="O24" s="416"/>
      <c r="P24" s="415"/>
      <c r="Q24" s="416"/>
      <c r="R24" s="415"/>
      <c r="S24" s="416"/>
      <c r="T24" s="420"/>
    </row>
    <row r="25" spans="1:20">
      <c r="A25" s="412">
        <v>21</v>
      </c>
      <c r="B25" s="413"/>
      <c r="C25" s="414"/>
      <c r="D25" s="413"/>
      <c r="E25" s="414"/>
      <c r="F25" s="415"/>
      <c r="G25" s="416"/>
      <c r="H25" s="415"/>
      <c r="I25" s="416"/>
      <c r="J25" s="417"/>
      <c r="K25" s="418"/>
      <c r="L25" s="419"/>
      <c r="M25" s="418"/>
      <c r="N25" s="419"/>
      <c r="O25" s="416"/>
      <c r="P25" s="415"/>
      <c r="Q25" s="416"/>
      <c r="R25" s="415"/>
      <c r="S25" s="416"/>
      <c r="T25" s="420"/>
    </row>
    <row r="26" spans="1:20">
      <c r="A26" s="412">
        <v>22</v>
      </c>
      <c r="B26" s="413"/>
      <c r="C26" s="414"/>
      <c r="D26" s="413">
        <v>0.66666666666666663</v>
      </c>
      <c r="E26" s="414">
        <v>49</v>
      </c>
      <c r="F26" s="415">
        <v>0.66666666666666663</v>
      </c>
      <c r="G26" s="416">
        <v>147</v>
      </c>
      <c r="H26" s="415"/>
      <c r="I26" s="416"/>
      <c r="J26" s="417" t="s">
        <v>217</v>
      </c>
      <c r="K26" s="418">
        <v>0.66666666666666663</v>
      </c>
      <c r="L26" s="419">
        <v>49</v>
      </c>
      <c r="M26" s="418">
        <v>0.7319444444444444</v>
      </c>
      <c r="N26" s="419">
        <v>138</v>
      </c>
      <c r="O26" s="416"/>
      <c r="P26" s="415"/>
      <c r="Q26" s="416"/>
      <c r="R26" s="415"/>
      <c r="S26" s="416"/>
      <c r="T26" s="420"/>
    </row>
    <row r="27" spans="1:20">
      <c r="A27" s="412">
        <v>23</v>
      </c>
      <c r="B27" s="413">
        <v>0.59027777777777779</v>
      </c>
      <c r="C27" s="414">
        <v>138</v>
      </c>
      <c r="D27" s="413"/>
      <c r="E27" s="414"/>
      <c r="F27" s="415"/>
      <c r="G27" s="416"/>
      <c r="H27" s="415">
        <v>0.59027777777777779</v>
      </c>
      <c r="I27" s="416">
        <v>70</v>
      </c>
      <c r="J27" s="417"/>
      <c r="K27" s="418"/>
      <c r="L27" s="419"/>
      <c r="M27" s="418"/>
      <c r="N27" s="419"/>
      <c r="O27" s="416" t="s">
        <v>217</v>
      </c>
      <c r="P27" s="415">
        <v>0.59027777777777779</v>
      </c>
      <c r="Q27" s="416">
        <v>70</v>
      </c>
      <c r="R27" s="415">
        <v>0.66666666666666663</v>
      </c>
      <c r="S27" s="416">
        <v>137</v>
      </c>
      <c r="T27" s="420"/>
    </row>
    <row r="28" spans="1:20">
      <c r="A28" s="412">
        <v>24</v>
      </c>
      <c r="B28" s="413"/>
      <c r="C28" s="414"/>
      <c r="D28" s="413"/>
      <c r="E28" s="414"/>
      <c r="F28" s="415"/>
      <c r="G28" s="416"/>
      <c r="H28" s="415"/>
      <c r="I28" s="416"/>
      <c r="J28" s="417"/>
      <c r="K28" s="418"/>
      <c r="L28" s="419"/>
      <c r="M28" s="418"/>
      <c r="N28" s="419"/>
      <c r="O28" s="416"/>
      <c r="P28" s="415"/>
      <c r="Q28" s="416"/>
      <c r="R28" s="415"/>
      <c r="S28" s="416"/>
      <c r="T28" s="420"/>
    </row>
    <row r="29" spans="1:20">
      <c r="A29" s="412">
        <v>25</v>
      </c>
      <c r="B29" s="413"/>
      <c r="C29" s="414"/>
      <c r="D29" s="413"/>
      <c r="E29" s="414"/>
      <c r="F29" s="415"/>
      <c r="G29" s="416"/>
      <c r="H29" s="415"/>
      <c r="I29" s="416"/>
      <c r="J29" s="417"/>
      <c r="K29" s="418"/>
      <c r="L29" s="419"/>
      <c r="M29" s="418"/>
      <c r="N29" s="419"/>
      <c r="O29" s="416"/>
      <c r="P29" s="415"/>
      <c r="Q29" s="416"/>
      <c r="R29" s="415"/>
      <c r="S29" s="416"/>
      <c r="T29" s="420"/>
    </row>
    <row r="30" spans="1:20">
      <c r="A30" s="412">
        <v>26</v>
      </c>
      <c r="B30" s="413"/>
      <c r="C30" s="414"/>
      <c r="D30" s="413">
        <v>0.625</v>
      </c>
      <c r="E30" s="414">
        <v>66</v>
      </c>
      <c r="F30" s="415">
        <v>0.625</v>
      </c>
      <c r="G30" s="416">
        <v>144</v>
      </c>
      <c r="H30" s="415"/>
      <c r="I30" s="416"/>
      <c r="J30" s="417" t="s">
        <v>217</v>
      </c>
      <c r="K30" s="418">
        <v>0.625</v>
      </c>
      <c r="L30" s="419">
        <v>66</v>
      </c>
      <c r="M30" s="418">
        <v>0.6875</v>
      </c>
      <c r="N30" s="419">
        <v>142</v>
      </c>
      <c r="O30" s="416"/>
      <c r="P30" s="415"/>
      <c r="Q30" s="416"/>
      <c r="R30" s="415"/>
      <c r="S30" s="416"/>
      <c r="T30" s="420"/>
    </row>
    <row r="31" spans="1:20">
      <c r="A31" s="412">
        <v>27</v>
      </c>
      <c r="B31" s="413"/>
      <c r="C31" s="414"/>
      <c r="D31" s="413"/>
      <c r="E31" s="414"/>
      <c r="F31" s="415"/>
      <c r="G31" s="416"/>
      <c r="H31" s="415"/>
      <c r="I31" s="416"/>
      <c r="J31" s="417"/>
      <c r="K31" s="418"/>
      <c r="L31" s="419"/>
      <c r="M31" s="418"/>
      <c r="N31" s="419"/>
      <c r="O31" s="416"/>
      <c r="P31" s="415"/>
      <c r="Q31" s="416"/>
      <c r="R31" s="415"/>
      <c r="S31" s="416"/>
      <c r="T31" s="420"/>
    </row>
    <row r="32" spans="1:20">
      <c r="A32" s="412">
        <v>28</v>
      </c>
      <c r="B32" s="413"/>
      <c r="C32" s="414"/>
      <c r="D32" s="413"/>
      <c r="E32" s="414"/>
      <c r="F32" s="415"/>
      <c r="G32" s="416"/>
      <c r="H32" s="415"/>
      <c r="I32" s="416"/>
      <c r="J32" s="421"/>
      <c r="K32" s="418"/>
      <c r="L32" s="419"/>
      <c r="M32" s="418"/>
      <c r="N32" s="419"/>
      <c r="O32" s="416"/>
      <c r="P32" s="415"/>
      <c r="Q32" s="416"/>
      <c r="R32" s="415"/>
      <c r="S32" s="416"/>
      <c r="T32" s="420"/>
    </row>
    <row r="33" spans="1:20">
      <c r="A33" s="412">
        <v>29</v>
      </c>
      <c r="B33" s="413">
        <v>0.58333333333333337</v>
      </c>
      <c r="C33" s="414">
        <v>132</v>
      </c>
      <c r="D33" s="413"/>
      <c r="E33" s="414"/>
      <c r="F33" s="415"/>
      <c r="G33" s="416"/>
      <c r="H33" s="415">
        <v>0.58333333333333337</v>
      </c>
      <c r="I33" s="416">
        <v>49</v>
      </c>
      <c r="J33" s="421"/>
      <c r="K33" s="418"/>
      <c r="L33" s="419"/>
      <c r="M33" s="418"/>
      <c r="N33" s="419"/>
      <c r="O33" s="416" t="s">
        <v>217</v>
      </c>
      <c r="P33" s="415">
        <v>0.58333333333333337</v>
      </c>
      <c r="Q33" s="416">
        <v>49</v>
      </c>
      <c r="R33" s="415">
        <v>0.65277777777777779</v>
      </c>
      <c r="S33" s="416">
        <v>140</v>
      </c>
      <c r="T33" s="420"/>
    </row>
    <row r="34" spans="1:20">
      <c r="A34" s="412">
        <v>30</v>
      </c>
      <c r="B34" s="413"/>
      <c r="C34" s="414"/>
      <c r="D34" s="413">
        <v>0.59722222222222221</v>
      </c>
      <c r="E34" s="414">
        <v>40</v>
      </c>
      <c r="F34" s="415">
        <v>0.59722222222222221</v>
      </c>
      <c r="G34" s="416">
        <v>140</v>
      </c>
      <c r="H34" s="415"/>
      <c r="I34" s="416"/>
      <c r="J34" s="421" t="s">
        <v>218</v>
      </c>
      <c r="K34" s="418">
        <v>0.59722222222222221</v>
      </c>
      <c r="L34" s="419">
        <v>40</v>
      </c>
      <c r="M34" s="418">
        <v>0.69444444444444453</v>
      </c>
      <c r="N34" s="419">
        <v>140</v>
      </c>
      <c r="O34" s="416"/>
      <c r="P34" s="415"/>
      <c r="Q34" s="416"/>
      <c r="R34" s="415"/>
      <c r="S34" s="416"/>
      <c r="T34" s="420"/>
    </row>
    <row r="35" spans="1:20">
      <c r="A35" s="412">
        <v>31</v>
      </c>
      <c r="B35" s="413">
        <v>0.64583333333333337</v>
      </c>
      <c r="C35" s="414">
        <v>140</v>
      </c>
      <c r="D35" s="413"/>
      <c r="E35" s="414"/>
      <c r="F35" s="415"/>
      <c r="G35" s="416"/>
      <c r="H35" s="415">
        <v>0.64583333333333337</v>
      </c>
      <c r="I35" s="416">
        <v>50</v>
      </c>
      <c r="J35" s="421"/>
      <c r="K35" s="418"/>
      <c r="L35" s="419"/>
      <c r="M35" s="418"/>
      <c r="N35" s="419"/>
      <c r="O35" s="416" t="s">
        <v>218</v>
      </c>
      <c r="P35" s="415">
        <v>0.64583333333333337</v>
      </c>
      <c r="Q35" s="416">
        <v>50</v>
      </c>
      <c r="R35" s="415">
        <v>0.70833333333333337</v>
      </c>
      <c r="S35" s="416">
        <v>134</v>
      </c>
      <c r="T35" s="420"/>
    </row>
  </sheetData>
  <mergeCells count="18"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  <mergeCell ref="A1:A4"/>
    <mergeCell ref="B1:I1"/>
    <mergeCell ref="J1:S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topLeftCell="A16" zoomScaleNormal="100" workbookViewId="0">
      <selection activeCell="C52" sqref="C52"/>
    </sheetView>
  </sheetViews>
  <sheetFormatPr defaultRowHeight="15"/>
  <cols>
    <col min="1" max="1" width="9.7109375" customWidth="1"/>
    <col min="2" max="2" width="8" customWidth="1"/>
    <col min="3" max="11" width="9" customWidth="1"/>
    <col min="12" max="1025" width="8.7109375" customWidth="1"/>
  </cols>
  <sheetData>
    <row r="1" spans="1:11" ht="15.75">
      <c r="A1" s="1139" t="s">
        <v>185</v>
      </c>
      <c r="B1" s="1139"/>
      <c r="C1" s="1139"/>
      <c r="D1" s="1139"/>
      <c r="E1" s="1139"/>
      <c r="F1" s="1139"/>
      <c r="G1" s="1139"/>
      <c r="H1" s="1139"/>
      <c r="I1" s="1139"/>
      <c r="J1" s="1139"/>
      <c r="K1" s="1139"/>
    </row>
    <row r="2" spans="1:11">
      <c r="A2" s="1140" t="s">
        <v>186</v>
      </c>
      <c r="B2" s="1140"/>
      <c r="C2" s="1140"/>
      <c r="D2" s="1140"/>
      <c r="E2" s="1140"/>
      <c r="F2" s="1140"/>
      <c r="G2" s="1140"/>
      <c r="H2" s="1140"/>
      <c r="I2" s="1140"/>
      <c r="J2" s="1140"/>
      <c r="K2" s="1140"/>
    </row>
    <row r="3" spans="1:11">
      <c r="A3" s="219"/>
      <c r="B3" s="219"/>
      <c r="C3" s="219"/>
      <c r="D3" s="219"/>
      <c r="E3" s="219"/>
      <c r="F3" s="219"/>
      <c r="G3" s="219"/>
      <c r="H3" s="219"/>
      <c r="I3" s="219"/>
      <c r="J3" s="219"/>
      <c r="K3" s="219"/>
    </row>
    <row r="4" spans="1:11">
      <c r="A4" s="1141" t="s">
        <v>166</v>
      </c>
      <c r="B4" s="1141" t="s">
        <v>187</v>
      </c>
      <c r="C4" s="1142" t="s">
        <v>40</v>
      </c>
      <c r="D4" s="1142"/>
      <c r="E4" s="1142"/>
      <c r="F4" s="1142"/>
      <c r="G4" s="1141" t="s">
        <v>188</v>
      </c>
      <c r="H4" s="1141"/>
      <c r="I4" s="1141"/>
      <c r="J4" s="1141"/>
      <c r="K4" s="1141"/>
    </row>
    <row r="5" spans="1:11">
      <c r="A5" s="1141"/>
      <c r="B5" s="1141"/>
      <c r="C5" s="384" t="s">
        <v>189</v>
      </c>
      <c r="D5" s="384" t="s">
        <v>190</v>
      </c>
      <c r="E5" s="384" t="s">
        <v>191</v>
      </c>
      <c r="F5" s="384" t="s">
        <v>192</v>
      </c>
      <c r="G5" s="384" t="s">
        <v>189</v>
      </c>
      <c r="H5" s="384" t="s">
        <v>190</v>
      </c>
      <c r="I5" s="384" t="s">
        <v>193</v>
      </c>
      <c r="J5" s="384" t="s">
        <v>191</v>
      </c>
      <c r="K5" s="384" t="s">
        <v>192</v>
      </c>
    </row>
    <row r="6" spans="1:11">
      <c r="A6" s="1141"/>
      <c r="B6" s="1141"/>
      <c r="C6" s="385" t="s">
        <v>194</v>
      </c>
      <c r="D6" s="385" t="s">
        <v>195</v>
      </c>
      <c r="E6" s="385" t="s">
        <v>196</v>
      </c>
      <c r="F6" s="385" t="s">
        <v>196</v>
      </c>
      <c r="G6" s="385" t="s">
        <v>194</v>
      </c>
      <c r="H6" s="385" t="s">
        <v>195</v>
      </c>
      <c r="I6" s="385" t="s">
        <v>196</v>
      </c>
      <c r="J6" s="385" t="s">
        <v>196</v>
      </c>
      <c r="K6" s="385" t="s">
        <v>196</v>
      </c>
    </row>
    <row r="7" spans="1:11">
      <c r="A7" s="386"/>
      <c r="B7" s="387"/>
      <c r="C7" s="387"/>
      <c r="D7" s="387"/>
      <c r="E7" s="387"/>
      <c r="F7" s="387"/>
      <c r="G7" s="387"/>
      <c r="H7" s="387"/>
      <c r="I7" s="387"/>
      <c r="J7" s="387"/>
      <c r="K7" s="387"/>
    </row>
    <row r="8" spans="1:11">
      <c r="A8" s="1143">
        <v>43900</v>
      </c>
      <c r="B8" s="388" t="s">
        <v>197</v>
      </c>
      <c r="C8" s="389">
        <f>'10'!B7</f>
        <v>60</v>
      </c>
      <c r="D8" s="390">
        <f>'10'!F7</f>
        <v>8.8000000000000007</v>
      </c>
      <c r="E8" s="391" t="s">
        <v>198</v>
      </c>
      <c r="F8" s="391" t="s">
        <v>198</v>
      </c>
      <c r="G8" s="389">
        <f>'10'!E7</f>
        <v>2.5</v>
      </c>
      <c r="H8" s="390">
        <f>'10'!I7</f>
        <v>0.4</v>
      </c>
      <c r="I8" s="390">
        <f>'10'!O7</f>
        <v>3.3</v>
      </c>
      <c r="J8" s="391" t="s">
        <v>198</v>
      </c>
      <c r="K8" s="392" t="s">
        <v>198</v>
      </c>
    </row>
    <row r="9" spans="1:11">
      <c r="A9" s="1143"/>
      <c r="B9" s="388" t="s">
        <v>199</v>
      </c>
      <c r="C9" s="389">
        <f>'10'!B11</f>
        <v>60</v>
      </c>
      <c r="D9" s="390">
        <f>'10'!F11</f>
        <v>8.4</v>
      </c>
      <c r="E9" s="390">
        <f>'10'!F37</f>
        <v>1</v>
      </c>
      <c r="F9" s="390">
        <f>'10'!I37</f>
        <v>0.12</v>
      </c>
      <c r="G9" s="389">
        <f>'10'!E11</f>
        <v>2.5</v>
      </c>
      <c r="H9" s="390">
        <f>'10'!I11</f>
        <v>0.4</v>
      </c>
      <c r="I9" s="390">
        <f>'10'!O11</f>
        <v>3.5</v>
      </c>
      <c r="J9" s="390">
        <f>'10'!H37</f>
        <v>0.1</v>
      </c>
      <c r="K9" s="389">
        <f>'10'!K37</f>
        <v>0.03</v>
      </c>
    </row>
    <row r="10" spans="1:11">
      <c r="A10" s="1143"/>
      <c r="B10" s="393" t="s">
        <v>200</v>
      </c>
      <c r="C10" s="389">
        <f>'10'!B15</f>
        <v>60</v>
      </c>
      <c r="D10" s="390">
        <f>'10'!F15</f>
        <v>8.4</v>
      </c>
      <c r="E10" s="391" t="s">
        <v>198</v>
      </c>
      <c r="F10" s="391" t="s">
        <v>198</v>
      </c>
      <c r="G10" s="389">
        <f>'10'!E15</f>
        <v>2.5</v>
      </c>
      <c r="H10" s="390">
        <f>'10'!I15</f>
        <v>0.4</v>
      </c>
      <c r="I10" s="390">
        <f>'10'!O15</f>
        <v>3.7</v>
      </c>
      <c r="J10" s="391" t="s">
        <v>198</v>
      </c>
      <c r="K10" s="392" t="s">
        <v>198</v>
      </c>
    </row>
    <row r="11" spans="1:11">
      <c r="A11" s="386"/>
      <c r="B11" s="387"/>
      <c r="C11" s="387"/>
      <c r="D11" s="387"/>
      <c r="E11" s="387"/>
      <c r="F11" s="387"/>
      <c r="G11" s="387"/>
      <c r="H11" s="387"/>
      <c r="I11" s="387"/>
      <c r="J11" s="387"/>
      <c r="K11" s="387"/>
    </row>
    <row r="12" spans="1:11">
      <c r="A12" s="1143">
        <f>A8+1</f>
        <v>43901</v>
      </c>
      <c r="B12" s="394" t="s">
        <v>197</v>
      </c>
      <c r="C12" s="389">
        <f>'11'!B7</f>
        <v>60</v>
      </c>
      <c r="D12" s="390">
        <f>'11'!F7</f>
        <v>8.1999999999999993</v>
      </c>
      <c r="E12" s="391" t="s">
        <v>198</v>
      </c>
      <c r="F12" s="391" t="s">
        <v>198</v>
      </c>
      <c r="G12" s="389">
        <f>'11'!E7</f>
        <v>2.5</v>
      </c>
      <c r="H12" s="390">
        <f>'11'!I7</f>
        <v>0.4</v>
      </c>
      <c r="I12" s="390">
        <f>'11'!O7</f>
        <v>3.5</v>
      </c>
      <c r="J12" s="391" t="s">
        <v>198</v>
      </c>
      <c r="K12" s="392" t="s">
        <v>198</v>
      </c>
    </row>
    <row r="13" spans="1:11">
      <c r="A13" s="1143"/>
      <c r="B13" s="388" t="s">
        <v>199</v>
      </c>
      <c r="C13" s="389">
        <f>'11'!B11</f>
        <v>60</v>
      </c>
      <c r="D13" s="390">
        <f>'11'!F11</f>
        <v>8.4</v>
      </c>
      <c r="E13" s="390">
        <f>'11'!F37</f>
        <v>1</v>
      </c>
      <c r="F13" s="390">
        <f>'11'!I37</f>
        <v>0.1</v>
      </c>
      <c r="G13" s="389">
        <f>'11'!E11</f>
        <v>2.5</v>
      </c>
      <c r="H13" s="390">
        <f>'11'!I11</f>
        <v>0.4</v>
      </c>
      <c r="I13" s="390">
        <f>'11'!O11</f>
        <v>3.5</v>
      </c>
      <c r="J13" s="390">
        <f>'11'!H37</f>
        <v>0</v>
      </c>
      <c r="K13" s="389">
        <f>'11'!K37</f>
        <v>0.03</v>
      </c>
    </row>
    <row r="14" spans="1:11">
      <c r="A14" s="1143"/>
      <c r="B14" s="393" t="s">
        <v>200</v>
      </c>
      <c r="C14" s="389">
        <f>'11'!B15</f>
        <v>60</v>
      </c>
      <c r="D14" s="390">
        <f>'11'!F15</f>
        <v>8.5</v>
      </c>
      <c r="E14" s="391" t="s">
        <v>198</v>
      </c>
      <c r="F14" s="391" t="s">
        <v>198</v>
      </c>
      <c r="G14" s="389">
        <f>'11'!E15</f>
        <v>2.5</v>
      </c>
      <c r="H14" s="390">
        <f>'11'!I15</f>
        <v>0.5</v>
      </c>
      <c r="I14" s="390">
        <f>'11'!O15</f>
        <v>3.5</v>
      </c>
      <c r="J14" s="391" t="s">
        <v>198</v>
      </c>
      <c r="K14" s="392" t="s">
        <v>198</v>
      </c>
    </row>
    <row r="16" spans="1:11">
      <c r="A16" s="1143">
        <f>A12+1</f>
        <v>43902</v>
      </c>
      <c r="B16" s="394" t="s">
        <v>197</v>
      </c>
      <c r="C16" s="389">
        <f>'12'!B7</f>
        <v>60</v>
      </c>
      <c r="D16" s="390">
        <f>'12'!F7</f>
        <v>8.5</v>
      </c>
      <c r="E16" s="391" t="s">
        <v>198</v>
      </c>
      <c r="F16" s="391" t="s">
        <v>198</v>
      </c>
      <c r="G16" s="389">
        <f>'12'!E7</f>
        <v>2.5</v>
      </c>
      <c r="H16" s="390">
        <f>'12'!I7</f>
        <v>0.4</v>
      </c>
      <c r="I16" s="390">
        <f>'12'!O7</f>
        <v>3.7</v>
      </c>
      <c r="J16" s="391" t="s">
        <v>198</v>
      </c>
      <c r="K16" s="392" t="s">
        <v>198</v>
      </c>
    </row>
    <row r="17" spans="1:11">
      <c r="A17" s="1143"/>
      <c r="B17" s="388" t="s">
        <v>199</v>
      </c>
      <c r="C17" s="389">
        <f>'12'!B11</f>
        <v>60</v>
      </c>
      <c r="D17" s="390">
        <f>'12'!F11</f>
        <v>8.6</v>
      </c>
      <c r="E17" s="390">
        <f>'12'!F37</f>
        <v>0.8</v>
      </c>
      <c r="F17" s="390">
        <f>'12'!I37</f>
        <v>0.1</v>
      </c>
      <c r="G17" s="389">
        <f>'12'!E11</f>
        <v>2.5</v>
      </c>
      <c r="H17" s="390">
        <f>'12'!I11</f>
        <v>0.4</v>
      </c>
      <c r="I17" s="390">
        <f>'12'!O11</f>
        <v>3.6</v>
      </c>
      <c r="J17" s="390">
        <f>'12'!H37</f>
        <v>0</v>
      </c>
      <c r="K17" s="389">
        <f>'12'!K37</f>
        <v>0.03</v>
      </c>
    </row>
    <row r="18" spans="1:11">
      <c r="A18" s="1143"/>
      <c r="B18" s="393" t="s">
        <v>200</v>
      </c>
      <c r="C18" s="389">
        <f>'12'!B15</f>
        <v>60</v>
      </c>
      <c r="D18" s="390">
        <f>'12'!F15</f>
        <v>10.199999999999999</v>
      </c>
      <c r="E18" s="391" t="s">
        <v>198</v>
      </c>
      <c r="F18" s="391" t="s">
        <v>198</v>
      </c>
      <c r="G18" s="389">
        <f>'12'!E15</f>
        <v>2.5</v>
      </c>
      <c r="H18" s="390">
        <f>'12'!I15</f>
        <v>0.4</v>
      </c>
      <c r="I18" s="390">
        <f>'12'!O15</f>
        <v>3.6</v>
      </c>
      <c r="J18" s="391" t="s">
        <v>198</v>
      </c>
      <c r="K18" s="392" t="s">
        <v>198</v>
      </c>
    </row>
    <row r="20" spans="1:11">
      <c r="A20" s="1143">
        <f>A16+1</f>
        <v>43903</v>
      </c>
      <c r="B20" s="394" t="s">
        <v>197</v>
      </c>
      <c r="C20" s="389">
        <f>'13'!B7</f>
        <v>60</v>
      </c>
      <c r="D20" s="390">
        <f>'13'!F7</f>
        <v>7.8</v>
      </c>
      <c r="E20" s="391" t="s">
        <v>198</v>
      </c>
      <c r="F20" s="391" t="s">
        <v>198</v>
      </c>
      <c r="G20" s="389">
        <f>'13'!E7</f>
        <v>2.5</v>
      </c>
      <c r="H20" s="390">
        <f>'13'!I7</f>
        <v>0.4</v>
      </c>
      <c r="I20" s="390">
        <f>'13'!O7</f>
        <v>3.7</v>
      </c>
      <c r="J20" s="391" t="s">
        <v>198</v>
      </c>
      <c r="K20" s="392" t="s">
        <v>198</v>
      </c>
    </row>
    <row r="21" spans="1:11">
      <c r="A21" s="1143"/>
      <c r="B21" s="388" t="s">
        <v>199</v>
      </c>
      <c r="C21" s="395">
        <f>'13'!B11</f>
        <v>60</v>
      </c>
      <c r="D21" s="390">
        <f>'13'!F11</f>
        <v>8.5</v>
      </c>
      <c r="E21" s="390">
        <f>'13'!F37</f>
        <v>0.8</v>
      </c>
      <c r="F21" s="390">
        <f>'13'!I37</f>
        <v>0.1</v>
      </c>
      <c r="G21" s="395">
        <f>'13'!E11</f>
        <v>2.5</v>
      </c>
      <c r="H21" s="390">
        <f>'13'!I11</f>
        <v>0.3</v>
      </c>
      <c r="I21" s="390">
        <f>'13'!O11</f>
        <v>3.5</v>
      </c>
      <c r="J21" s="390">
        <f>'13'!H37</f>
        <v>0.1</v>
      </c>
      <c r="K21" s="389">
        <f>'13'!K37</f>
        <v>0.03</v>
      </c>
    </row>
    <row r="22" spans="1:11">
      <c r="A22" s="1143"/>
      <c r="B22" s="393" t="s">
        <v>200</v>
      </c>
      <c r="C22" s="389">
        <f>'13'!B15</f>
        <v>60</v>
      </c>
      <c r="D22" s="390">
        <f>'13'!F15</f>
        <v>8.8000000000000007</v>
      </c>
      <c r="E22" s="391" t="s">
        <v>198</v>
      </c>
      <c r="F22" s="391" t="s">
        <v>198</v>
      </c>
      <c r="G22" s="389">
        <f>'13'!E15</f>
        <v>2.5</v>
      </c>
      <c r="H22" s="390">
        <f>'13'!I15</f>
        <v>0.3</v>
      </c>
      <c r="I22" s="390">
        <f>'13'!O15</f>
        <v>3.2</v>
      </c>
      <c r="J22" s="391" t="s">
        <v>198</v>
      </c>
      <c r="K22" s="392" t="s">
        <v>198</v>
      </c>
    </row>
    <row r="24" spans="1:11">
      <c r="A24" s="1143">
        <f>A20+1</f>
        <v>43904</v>
      </c>
      <c r="B24" s="394" t="s">
        <v>197</v>
      </c>
      <c r="C24" s="396">
        <f>'14'!B7</f>
        <v>70</v>
      </c>
      <c r="D24" s="390">
        <f>'14'!F7</f>
        <v>9.8000000000000007</v>
      </c>
      <c r="E24" s="391" t="s">
        <v>198</v>
      </c>
      <c r="F24" s="391" t="s">
        <v>198</v>
      </c>
      <c r="G24" s="396">
        <f>'14'!E7</f>
        <v>2.5</v>
      </c>
      <c r="H24" s="390">
        <f>'14'!I7</f>
        <v>0.3</v>
      </c>
      <c r="I24" s="390">
        <f>'14'!O7</f>
        <v>3.2</v>
      </c>
      <c r="J24" s="391" t="s">
        <v>198</v>
      </c>
      <c r="K24" s="392" t="s">
        <v>198</v>
      </c>
    </row>
    <row r="25" spans="1:11">
      <c r="A25" s="1143"/>
      <c r="B25" s="388" t="s">
        <v>199</v>
      </c>
      <c r="C25" s="389">
        <f>'14'!B11</f>
        <v>80</v>
      </c>
      <c r="D25" s="390">
        <f>'14'!F11</f>
        <v>11.6</v>
      </c>
      <c r="E25" s="390">
        <f>'14'!F37</f>
        <v>1</v>
      </c>
      <c r="F25" s="390">
        <f>'14'!I37</f>
        <v>0.1</v>
      </c>
      <c r="G25" s="389">
        <f>'14'!E11</f>
        <v>2.5</v>
      </c>
      <c r="H25" s="390">
        <f>'14'!I11</f>
        <v>0.5</v>
      </c>
      <c r="I25" s="390">
        <f>'14'!O11</f>
        <v>3.2</v>
      </c>
      <c r="J25" s="390">
        <f>'14'!H37</f>
        <v>0.1</v>
      </c>
      <c r="K25" s="389">
        <f>'14'!K37</f>
        <v>0.05</v>
      </c>
    </row>
    <row r="26" spans="1:11">
      <c r="A26" s="1143"/>
      <c r="B26" s="393" t="s">
        <v>200</v>
      </c>
      <c r="C26" s="397">
        <f>'14'!B15</f>
        <v>80</v>
      </c>
      <c r="D26" s="390">
        <f>'14'!F15</f>
        <v>14</v>
      </c>
      <c r="E26" s="391" t="s">
        <v>198</v>
      </c>
      <c r="F26" s="391" t="s">
        <v>198</v>
      </c>
      <c r="G26" s="397">
        <f>'14'!E15</f>
        <v>2.5</v>
      </c>
      <c r="H26" s="390">
        <f>'14'!I15</f>
        <v>0.3</v>
      </c>
      <c r="I26" s="390">
        <f>'14'!O15</f>
        <v>3.7</v>
      </c>
      <c r="J26" s="391" t="s">
        <v>198</v>
      </c>
      <c r="K26" s="392" t="s">
        <v>198</v>
      </c>
    </row>
    <row r="28" spans="1:11">
      <c r="A28" s="1143">
        <f>A24+1</f>
        <v>43905</v>
      </c>
      <c r="B28" s="388" t="s">
        <v>197</v>
      </c>
      <c r="C28" s="396">
        <f>'15'!B7</f>
        <v>80</v>
      </c>
      <c r="D28" s="390">
        <f>'15'!F7</f>
        <v>13</v>
      </c>
      <c r="E28" s="391" t="s">
        <v>198</v>
      </c>
      <c r="F28" s="391" t="s">
        <v>198</v>
      </c>
      <c r="G28" s="396">
        <f>'15'!E7</f>
        <v>2.5</v>
      </c>
      <c r="H28" s="390">
        <f>'15'!I7</f>
        <v>0.3</v>
      </c>
      <c r="I28" s="390">
        <f>'15'!O7</f>
        <v>3.2</v>
      </c>
      <c r="J28" s="391" t="s">
        <v>198</v>
      </c>
      <c r="K28" s="392" t="s">
        <v>198</v>
      </c>
    </row>
    <row r="29" spans="1:11">
      <c r="A29" s="1143"/>
      <c r="B29" s="388" t="s">
        <v>199</v>
      </c>
      <c r="C29" s="389">
        <f>'15'!B11</f>
        <v>80</v>
      </c>
      <c r="D29" s="390">
        <f>'15'!F11</f>
        <v>15</v>
      </c>
      <c r="E29" s="390">
        <f>'15'!F37</f>
        <v>1</v>
      </c>
      <c r="F29" s="390">
        <f>'15'!I37</f>
        <v>0.1</v>
      </c>
      <c r="G29" s="389">
        <f>'15'!E11</f>
        <v>2.5</v>
      </c>
      <c r="H29" s="390">
        <f>'15'!I11</f>
        <v>0.3</v>
      </c>
      <c r="I29" s="390">
        <f>'15'!O11</f>
        <v>3</v>
      </c>
      <c r="J29" s="390">
        <f>'15'!H37</f>
        <v>0</v>
      </c>
      <c r="K29" s="389">
        <f>'15'!K37</f>
        <v>0.03</v>
      </c>
    </row>
    <row r="30" spans="1:11">
      <c r="A30" s="1143"/>
      <c r="B30" s="393" t="s">
        <v>200</v>
      </c>
      <c r="C30" s="397">
        <f>'15'!B15</f>
        <v>80</v>
      </c>
      <c r="D30" s="390">
        <f>'15'!F15</f>
        <v>13</v>
      </c>
      <c r="E30" s="391" t="s">
        <v>198</v>
      </c>
      <c r="F30" s="391" t="s">
        <v>198</v>
      </c>
      <c r="G30" s="397">
        <f>'15'!E15</f>
        <v>2.5</v>
      </c>
      <c r="H30" s="390">
        <f>'15'!I15</f>
        <v>0.4</v>
      </c>
      <c r="I30" s="390">
        <f>'15'!O15</f>
        <v>3.2</v>
      </c>
      <c r="J30" s="391" t="s">
        <v>198</v>
      </c>
      <c r="K30" s="392" t="s">
        <v>198</v>
      </c>
    </row>
    <row r="32" spans="1:11">
      <c r="A32" s="1143">
        <f>A28+1</f>
        <v>43906</v>
      </c>
      <c r="B32" s="388" t="s">
        <v>197</v>
      </c>
      <c r="C32" s="396">
        <f>'16'!B7</f>
        <v>80</v>
      </c>
      <c r="D32" s="390">
        <f>'16'!F7</f>
        <v>12.9</v>
      </c>
      <c r="E32" s="391" t="s">
        <v>198</v>
      </c>
      <c r="F32" s="391" t="s">
        <v>198</v>
      </c>
      <c r="G32" s="396">
        <f>'16'!E7</f>
        <v>2.5</v>
      </c>
      <c r="H32" s="390">
        <f>'16'!I7</f>
        <v>0.4</v>
      </c>
      <c r="I32" s="390">
        <f>'16'!O7</f>
        <v>3.5</v>
      </c>
      <c r="J32" s="391" t="s">
        <v>198</v>
      </c>
      <c r="K32" s="392" t="s">
        <v>198</v>
      </c>
    </row>
    <row r="33" spans="1:11">
      <c r="A33" s="1143"/>
      <c r="B33" s="388" t="s">
        <v>199</v>
      </c>
      <c r="C33" s="389">
        <f>'16'!B11</f>
        <v>80</v>
      </c>
      <c r="D33" s="390">
        <f>'16'!F11</f>
        <v>13.3</v>
      </c>
      <c r="E33" s="390">
        <f>'16'!F37</f>
        <v>0.6</v>
      </c>
      <c r="F33" s="390">
        <f>'16'!I37</f>
        <v>0.1</v>
      </c>
      <c r="G33" s="389">
        <f>'16'!E11</f>
        <v>2.5</v>
      </c>
      <c r="H33" s="390">
        <f>'16'!I11</f>
        <v>0.4</v>
      </c>
      <c r="I33" s="390">
        <f>'16'!O11</f>
        <v>3.5</v>
      </c>
      <c r="J33" s="390">
        <f>'16'!H37</f>
        <v>0</v>
      </c>
      <c r="K33" s="389">
        <f>'16'!K37</f>
        <v>0.03</v>
      </c>
    </row>
    <row r="34" spans="1:11">
      <c r="A34" s="1143"/>
      <c r="B34" s="393" t="s">
        <v>200</v>
      </c>
      <c r="C34" s="397">
        <f>'16'!B15</f>
        <v>80</v>
      </c>
      <c r="D34" s="390">
        <f>'16'!F15</f>
        <v>12.2</v>
      </c>
      <c r="E34" s="391" t="s">
        <v>198</v>
      </c>
      <c r="F34" s="391" t="s">
        <v>198</v>
      </c>
      <c r="G34" s="397">
        <f>'16'!E15</f>
        <v>2.5</v>
      </c>
      <c r="H34" s="390">
        <f>'16'!I15</f>
        <v>0.4</v>
      </c>
      <c r="I34" s="390">
        <f>'16'!O15</f>
        <v>3.5</v>
      </c>
      <c r="J34" s="391" t="s">
        <v>198</v>
      </c>
      <c r="K34" s="392" t="s">
        <v>198</v>
      </c>
    </row>
    <row r="36" spans="1:11">
      <c r="A36" s="1143">
        <f>A32+1</f>
        <v>43907</v>
      </c>
      <c r="B36" s="388" t="s">
        <v>197</v>
      </c>
      <c r="C36" s="396">
        <f>'17'!B7</f>
        <v>80</v>
      </c>
      <c r="D36" s="390">
        <f>'17'!F7</f>
        <v>13</v>
      </c>
      <c r="E36" s="391" t="s">
        <v>198</v>
      </c>
      <c r="F36" s="391" t="s">
        <v>198</v>
      </c>
      <c r="G36" s="396">
        <f>'17'!E7</f>
        <v>2.5</v>
      </c>
      <c r="H36" s="390">
        <f>'17'!I7</f>
        <v>0.5</v>
      </c>
      <c r="I36" s="390">
        <f>'17'!O7</f>
        <v>2.5</v>
      </c>
      <c r="J36" s="391" t="s">
        <v>198</v>
      </c>
      <c r="K36" s="392" t="s">
        <v>198</v>
      </c>
    </row>
    <row r="37" spans="1:11">
      <c r="A37" s="1143"/>
      <c r="B37" s="388" t="s">
        <v>199</v>
      </c>
      <c r="C37" s="389">
        <f>'17'!B11</f>
        <v>80</v>
      </c>
      <c r="D37" s="390">
        <f>'17'!F11</f>
        <v>13</v>
      </c>
      <c r="E37" s="390">
        <f>'17'!F37</f>
        <v>0.8</v>
      </c>
      <c r="F37" s="390">
        <f>'17'!I37</f>
        <v>0.1</v>
      </c>
      <c r="G37" s="389">
        <f>'17'!E11</f>
        <v>2.5</v>
      </c>
      <c r="H37" s="390">
        <f>'17'!I11</f>
        <v>0.4</v>
      </c>
      <c r="I37" s="390">
        <f>'17'!O11</f>
        <v>3</v>
      </c>
      <c r="J37" s="390">
        <f>'17'!H37</f>
        <v>0.1</v>
      </c>
      <c r="K37" s="389">
        <f>'17'!K37</f>
        <v>0.03</v>
      </c>
    </row>
    <row r="38" spans="1:11">
      <c r="A38" s="1143"/>
      <c r="B38" s="393" t="s">
        <v>200</v>
      </c>
      <c r="C38" s="397">
        <f>'17'!B15</f>
        <v>80</v>
      </c>
      <c r="D38" s="390">
        <f>'17'!F15</f>
        <v>13</v>
      </c>
      <c r="E38" s="391" t="s">
        <v>198</v>
      </c>
      <c r="F38" s="391" t="s">
        <v>198</v>
      </c>
      <c r="G38" s="397">
        <f>'17'!E15</f>
        <v>2.5</v>
      </c>
      <c r="H38" s="390">
        <f>'17'!I15</f>
        <v>0.3</v>
      </c>
      <c r="I38" s="390">
        <f>'17'!O15</f>
        <v>2.6</v>
      </c>
      <c r="J38" s="391" t="s">
        <v>198</v>
      </c>
      <c r="K38" s="392" t="s">
        <v>198</v>
      </c>
    </row>
    <row r="40" spans="1:11">
      <c r="A40" s="1143">
        <f>A36+1</f>
        <v>43908</v>
      </c>
      <c r="B40" s="388" t="s">
        <v>197</v>
      </c>
      <c r="C40" s="396">
        <f>'18'!B7</f>
        <v>80</v>
      </c>
      <c r="D40" s="390">
        <f>'18'!F7</f>
        <v>11</v>
      </c>
      <c r="E40" s="391" t="s">
        <v>198</v>
      </c>
      <c r="F40" s="391" t="s">
        <v>198</v>
      </c>
      <c r="G40" s="396">
        <f>'18'!E7</f>
        <v>2.5</v>
      </c>
      <c r="H40" s="390">
        <f>'18'!I7</f>
        <v>0.3</v>
      </c>
      <c r="I40" s="390">
        <f>'18'!O7</f>
        <v>3</v>
      </c>
      <c r="J40" s="391" t="s">
        <v>198</v>
      </c>
      <c r="K40" s="392" t="s">
        <v>198</v>
      </c>
    </row>
    <row r="41" spans="1:11">
      <c r="A41" s="1143"/>
      <c r="B41" s="388" t="s">
        <v>199</v>
      </c>
      <c r="C41" s="389">
        <f>'18'!B11</f>
        <v>80</v>
      </c>
      <c r="D41" s="390">
        <f>'18'!F11</f>
        <v>9.9</v>
      </c>
      <c r="E41" s="390">
        <f>'18'!F37</f>
        <v>1</v>
      </c>
      <c r="F41" s="390">
        <f>'18'!I37</f>
        <v>0.12</v>
      </c>
      <c r="G41" s="389">
        <f>'18'!E11</f>
        <v>2.5</v>
      </c>
      <c r="H41" s="390">
        <f>'18'!I11</f>
        <v>0.3</v>
      </c>
      <c r="I41" s="390">
        <f>'18'!O11</f>
        <v>3</v>
      </c>
      <c r="J41" s="390">
        <f>'18'!H37</f>
        <v>0.1</v>
      </c>
      <c r="K41" s="389">
        <f>'18'!K37</f>
        <v>0.03</v>
      </c>
    </row>
    <row r="42" spans="1:11">
      <c r="A42" s="1143"/>
      <c r="B42" s="393" t="s">
        <v>200</v>
      </c>
      <c r="C42" s="397">
        <f>'18'!B15</f>
        <v>80</v>
      </c>
      <c r="D42" s="390">
        <f>'18'!F15</f>
        <v>12</v>
      </c>
      <c r="E42" s="391" t="s">
        <v>198</v>
      </c>
      <c r="F42" s="391" t="s">
        <v>198</v>
      </c>
      <c r="G42" s="397">
        <f>'18'!E15</f>
        <v>2.5</v>
      </c>
      <c r="H42" s="390">
        <f>'18'!I15</f>
        <v>0.3</v>
      </c>
      <c r="I42" s="390">
        <f>'18'!O15</f>
        <v>3</v>
      </c>
      <c r="J42" s="391" t="s">
        <v>198</v>
      </c>
      <c r="K42" s="392" t="s">
        <v>198</v>
      </c>
    </row>
    <row r="44" spans="1:11">
      <c r="A44" s="1143">
        <f>A40+1</f>
        <v>43909</v>
      </c>
      <c r="B44" s="388" t="s">
        <v>197</v>
      </c>
      <c r="C44" s="396">
        <f>'19'!B7</f>
        <v>80</v>
      </c>
      <c r="D44" s="390">
        <f>'19'!F7</f>
        <v>10</v>
      </c>
      <c r="E44" s="391" t="s">
        <v>198</v>
      </c>
      <c r="F44" s="391" t="s">
        <v>198</v>
      </c>
      <c r="G44" s="396">
        <f>'19'!E7</f>
        <v>2.5</v>
      </c>
      <c r="H44" s="390">
        <f>'19'!I7</f>
        <v>0.5</v>
      </c>
      <c r="I44" s="390">
        <f>'19'!O7</f>
        <v>2.8</v>
      </c>
      <c r="J44" s="391" t="s">
        <v>198</v>
      </c>
      <c r="K44" s="392" t="s">
        <v>198</v>
      </c>
    </row>
    <row r="45" spans="1:11">
      <c r="A45" s="1143"/>
      <c r="B45" s="388" t="s">
        <v>199</v>
      </c>
      <c r="C45" s="389">
        <f>'19'!B11</f>
        <v>80</v>
      </c>
      <c r="D45" s="390">
        <f>'19'!F11</f>
        <v>11</v>
      </c>
      <c r="E45" s="390">
        <f>'19'!F37</f>
        <v>1</v>
      </c>
      <c r="F45" s="390">
        <f>'19'!I37</f>
        <v>0.1</v>
      </c>
      <c r="G45" s="389">
        <f>'19'!E11</f>
        <v>2.5</v>
      </c>
      <c r="H45" s="390">
        <f>'19'!I11</f>
        <v>0.5</v>
      </c>
      <c r="I45" s="390">
        <f>'19'!O11</f>
        <v>2.5</v>
      </c>
      <c r="J45" s="390">
        <f>'19'!H37</f>
        <v>0.1</v>
      </c>
      <c r="K45" s="389">
        <f>'19'!K37</f>
        <v>0.03</v>
      </c>
    </row>
    <row r="46" spans="1:11">
      <c r="A46" s="1143"/>
      <c r="B46" s="393" t="s">
        <v>200</v>
      </c>
      <c r="C46" s="397">
        <f>'19'!B15</f>
        <v>80</v>
      </c>
      <c r="D46" s="390">
        <f>'19'!F15</f>
        <v>10</v>
      </c>
      <c r="E46" s="391" t="s">
        <v>198</v>
      </c>
      <c r="F46" s="391" t="s">
        <v>198</v>
      </c>
      <c r="G46" s="397">
        <f>'19'!E15</f>
        <v>2.5</v>
      </c>
      <c r="H46" s="390">
        <f>'19'!I15</f>
        <v>0.5</v>
      </c>
      <c r="I46" s="390">
        <f>'19'!O15</f>
        <v>3.2</v>
      </c>
      <c r="J46" s="391" t="s">
        <v>198</v>
      </c>
      <c r="K46" s="392" t="s">
        <v>198</v>
      </c>
    </row>
    <row r="48" spans="1:11">
      <c r="A48" s="1143">
        <f>A44+1</f>
        <v>43910</v>
      </c>
      <c r="B48" s="388" t="s">
        <v>197</v>
      </c>
      <c r="C48" s="396">
        <f>'20'!B7</f>
        <v>80</v>
      </c>
      <c r="D48" s="390">
        <f>'20'!F7</f>
        <v>11</v>
      </c>
      <c r="E48" s="391" t="s">
        <v>198</v>
      </c>
      <c r="F48" s="391" t="s">
        <v>198</v>
      </c>
      <c r="G48" s="396">
        <f>'20'!E7</f>
        <v>2.5</v>
      </c>
      <c r="H48" s="390">
        <f>'20'!I7</f>
        <v>0.6</v>
      </c>
      <c r="I48" s="390">
        <f>'20'!O7</f>
        <v>3</v>
      </c>
      <c r="J48" s="391" t="s">
        <v>198</v>
      </c>
      <c r="K48" s="392" t="s">
        <v>198</v>
      </c>
    </row>
    <row r="49" spans="1:11">
      <c r="A49" s="1143"/>
      <c r="B49" s="388" t="s">
        <v>199</v>
      </c>
      <c r="C49" s="389">
        <f>'20'!B11</f>
        <v>80</v>
      </c>
      <c r="D49" s="390">
        <f>'20'!F11</f>
        <v>11</v>
      </c>
      <c r="E49" s="390">
        <f>'20'!F37</f>
        <v>1</v>
      </c>
      <c r="F49" s="390">
        <f>'20'!I37</f>
        <v>0.1</v>
      </c>
      <c r="G49" s="389">
        <f>'20'!E11</f>
        <v>2.5</v>
      </c>
      <c r="H49" s="390">
        <f>'20'!I11</f>
        <v>0.4</v>
      </c>
      <c r="I49" s="390">
        <f>'20'!O11</f>
        <v>2.5</v>
      </c>
      <c r="J49" s="390">
        <f>'20'!H37</f>
        <v>0.1</v>
      </c>
      <c r="K49" s="389">
        <f>'20'!K37</f>
        <v>0.03</v>
      </c>
    </row>
    <row r="50" spans="1:11">
      <c r="A50" s="1143"/>
      <c r="B50" s="393" t="s">
        <v>200</v>
      </c>
      <c r="C50" s="397">
        <f>'20'!B15</f>
        <v>80</v>
      </c>
      <c r="D50" s="390">
        <f>'20'!F15</f>
        <v>10</v>
      </c>
      <c r="E50" s="391" t="s">
        <v>198</v>
      </c>
      <c r="F50" s="391" t="s">
        <v>198</v>
      </c>
      <c r="G50" s="397">
        <f>'20'!E15</f>
        <v>2.5</v>
      </c>
      <c r="H50" s="390">
        <f>'20'!I15</f>
        <v>0.4</v>
      </c>
      <c r="I50" s="390">
        <f>'20'!O15</f>
        <v>2.7</v>
      </c>
      <c r="J50" s="391" t="s">
        <v>198</v>
      </c>
      <c r="K50" s="392" t="s">
        <v>198</v>
      </c>
    </row>
    <row r="52" spans="1:11">
      <c r="A52" s="1143">
        <f>A48+1</f>
        <v>43911</v>
      </c>
      <c r="B52" s="388" t="s">
        <v>197</v>
      </c>
      <c r="C52" s="396">
        <f>'21'!B7</f>
        <v>80</v>
      </c>
      <c r="D52" s="390">
        <f>'21'!F7</f>
        <v>9.6999999999999993</v>
      </c>
      <c r="E52" s="391" t="s">
        <v>198</v>
      </c>
      <c r="F52" s="391" t="s">
        <v>198</v>
      </c>
      <c r="G52" s="396">
        <f>'21'!E7</f>
        <v>2.5</v>
      </c>
      <c r="H52" s="390">
        <f>'21'!I7</f>
        <v>0.5</v>
      </c>
      <c r="I52" s="390">
        <f>'21'!O7</f>
        <v>3.2</v>
      </c>
      <c r="J52" s="391" t="s">
        <v>198</v>
      </c>
      <c r="K52" s="392" t="s">
        <v>198</v>
      </c>
    </row>
    <row r="53" spans="1:11">
      <c r="A53" s="1143"/>
      <c r="B53" s="388" t="s">
        <v>199</v>
      </c>
      <c r="C53" s="389">
        <f>'21'!B11</f>
        <v>80</v>
      </c>
      <c r="D53" s="390">
        <f>'21'!F11</f>
        <v>11</v>
      </c>
      <c r="E53" s="390">
        <f>'21'!F37</f>
        <v>1</v>
      </c>
      <c r="F53" s="390">
        <f>'21'!I37</f>
        <v>0.1</v>
      </c>
      <c r="G53" s="389">
        <f>'21'!E11</f>
        <v>2.5</v>
      </c>
      <c r="H53" s="390">
        <f>'21'!I11</f>
        <v>0.6</v>
      </c>
      <c r="I53" s="390">
        <f>'21'!O11</f>
        <v>3.2</v>
      </c>
      <c r="J53" s="390">
        <f>'21'!H37</f>
        <v>0</v>
      </c>
      <c r="K53" s="389">
        <f>'21'!K37</f>
        <v>0.03</v>
      </c>
    </row>
    <row r="54" spans="1:11">
      <c r="A54" s="1143"/>
      <c r="B54" s="393" t="s">
        <v>200</v>
      </c>
      <c r="C54" s="397">
        <f>'21'!B15</f>
        <v>80</v>
      </c>
      <c r="D54" s="390">
        <f>'21'!F15</f>
        <v>11</v>
      </c>
      <c r="E54" s="391" t="s">
        <v>198</v>
      </c>
      <c r="F54" s="391" t="s">
        <v>198</v>
      </c>
      <c r="G54" s="397">
        <f>'21'!E15</f>
        <v>2.5</v>
      </c>
      <c r="H54" s="390">
        <f>'21'!I15</f>
        <v>0.5</v>
      </c>
      <c r="I54" s="390">
        <f>'21'!O15</f>
        <v>3.2</v>
      </c>
      <c r="J54" s="391" t="s">
        <v>198</v>
      </c>
      <c r="K54" s="392" t="s">
        <v>198</v>
      </c>
    </row>
    <row r="56" spans="1:11">
      <c r="A56" s="1143">
        <f>A52+1</f>
        <v>43912</v>
      </c>
      <c r="B56" s="388" t="s">
        <v>197</v>
      </c>
      <c r="C56" s="396">
        <f>'22'!B7</f>
        <v>80</v>
      </c>
      <c r="D56" s="390">
        <f>'22'!F7</f>
        <v>11</v>
      </c>
      <c r="E56" s="391" t="s">
        <v>198</v>
      </c>
      <c r="F56" s="391" t="s">
        <v>198</v>
      </c>
      <c r="G56" s="396">
        <f>'22'!E7</f>
        <v>2.5</v>
      </c>
      <c r="H56" s="390">
        <f>'22'!I7</f>
        <v>0.7</v>
      </c>
      <c r="I56" s="390">
        <f>'22'!O7</f>
        <v>3</v>
      </c>
      <c r="J56" s="391" t="s">
        <v>198</v>
      </c>
      <c r="K56" s="392" t="s">
        <v>198</v>
      </c>
    </row>
    <row r="57" spans="1:11">
      <c r="A57" s="1143"/>
      <c r="B57" s="388" t="s">
        <v>199</v>
      </c>
      <c r="C57" s="389">
        <f>'22'!B11</f>
        <v>80</v>
      </c>
      <c r="D57" s="390">
        <f>'22'!F11</f>
        <v>9.8000000000000007</v>
      </c>
      <c r="E57" s="390">
        <f>'22'!F37</f>
        <v>1</v>
      </c>
      <c r="F57" s="390">
        <f>'22'!I37</f>
        <v>0.1</v>
      </c>
      <c r="G57" s="389">
        <f>'22'!E11</f>
        <v>2.5</v>
      </c>
      <c r="H57" s="390">
        <f>'22'!I11</f>
        <v>0.6</v>
      </c>
      <c r="I57" s="390">
        <f>'22'!O11</f>
        <v>2.6</v>
      </c>
      <c r="J57" s="390">
        <f>'22'!H37</f>
        <v>0.1</v>
      </c>
      <c r="K57" s="389">
        <f>'22'!K37</f>
        <v>0.03</v>
      </c>
    </row>
    <row r="58" spans="1:11">
      <c r="A58" s="1143"/>
      <c r="B58" s="393" t="s">
        <v>200</v>
      </c>
      <c r="C58" s="397">
        <f>'22'!B15</f>
        <v>80</v>
      </c>
      <c r="D58" s="390">
        <f>'22'!F15</f>
        <v>10</v>
      </c>
      <c r="E58" s="391" t="s">
        <v>198</v>
      </c>
      <c r="F58" s="391" t="s">
        <v>198</v>
      </c>
      <c r="G58" s="397">
        <f>'22'!E15</f>
        <v>2.5</v>
      </c>
      <c r="H58" s="390">
        <f>'22'!I15</f>
        <v>0.6</v>
      </c>
      <c r="I58" s="390">
        <f>'22'!O15</f>
        <v>3</v>
      </c>
      <c r="J58" s="391" t="s">
        <v>198</v>
      </c>
      <c r="K58" s="392" t="s">
        <v>198</v>
      </c>
    </row>
    <row r="60" spans="1:11">
      <c r="A60" s="1143">
        <f>A56+1</f>
        <v>43913</v>
      </c>
      <c r="B60" s="388" t="s">
        <v>197</v>
      </c>
      <c r="C60" s="396">
        <f>'23'!B7</f>
        <v>80</v>
      </c>
      <c r="D60" s="390">
        <f>'23'!F7</f>
        <v>9.5</v>
      </c>
      <c r="E60" s="391" t="s">
        <v>198</v>
      </c>
      <c r="F60" s="391" t="s">
        <v>198</v>
      </c>
      <c r="G60" s="396">
        <f>'23'!E7</f>
        <v>2.5</v>
      </c>
      <c r="H60" s="390">
        <f>'23'!I7</f>
        <v>0.7</v>
      </c>
      <c r="I60" s="390">
        <f>'23'!O7</f>
        <v>3.3</v>
      </c>
      <c r="J60" s="391" t="s">
        <v>198</v>
      </c>
      <c r="K60" s="392" t="s">
        <v>198</v>
      </c>
    </row>
    <row r="61" spans="1:11">
      <c r="A61" s="1143"/>
      <c r="B61" s="388" t="s">
        <v>199</v>
      </c>
      <c r="C61" s="389">
        <f>'23'!B11</f>
        <v>80</v>
      </c>
      <c r="D61" s="390">
        <f>'23'!F11</f>
        <v>11</v>
      </c>
      <c r="E61" s="390">
        <f>'23'!F37</f>
        <v>0.8</v>
      </c>
      <c r="F61" s="390">
        <f>'23'!I37</f>
        <v>0.1</v>
      </c>
      <c r="G61" s="389">
        <f>'23'!E11</f>
        <v>2.5</v>
      </c>
      <c r="H61" s="390">
        <f>'23'!I11</f>
        <v>0.6</v>
      </c>
      <c r="I61" s="390">
        <f>'23'!O11</f>
        <v>3</v>
      </c>
      <c r="J61" s="390">
        <f>'23'!H37</f>
        <v>0</v>
      </c>
      <c r="K61" s="389">
        <f>'23'!K37</f>
        <v>0.03</v>
      </c>
    </row>
    <row r="62" spans="1:11">
      <c r="A62" s="1143"/>
      <c r="B62" s="393" t="s">
        <v>200</v>
      </c>
      <c r="C62" s="397">
        <f>'23'!B15</f>
        <v>80</v>
      </c>
      <c r="D62" s="390">
        <f>'23'!F15</f>
        <v>12</v>
      </c>
      <c r="E62" s="391" t="s">
        <v>198</v>
      </c>
      <c r="F62" s="391" t="s">
        <v>198</v>
      </c>
      <c r="G62" s="397">
        <f>'23'!E15</f>
        <v>2.5</v>
      </c>
      <c r="H62" s="390">
        <f>'23'!I15</f>
        <v>0.6</v>
      </c>
      <c r="I62" s="390">
        <f>'23'!O15</f>
        <v>3.5</v>
      </c>
      <c r="J62" s="391" t="s">
        <v>198</v>
      </c>
      <c r="K62" s="392" t="s">
        <v>198</v>
      </c>
    </row>
    <row r="64" spans="1:11">
      <c r="A64" s="1143">
        <f>A60+1</f>
        <v>43914</v>
      </c>
      <c r="B64" s="388" t="s">
        <v>197</v>
      </c>
      <c r="C64" s="396">
        <f>'24'!B7</f>
        <v>80</v>
      </c>
      <c r="D64" s="390">
        <f>'24'!F7</f>
        <v>12</v>
      </c>
      <c r="E64" s="391" t="s">
        <v>198</v>
      </c>
      <c r="F64" s="391" t="s">
        <v>198</v>
      </c>
      <c r="G64" s="396">
        <f>'24'!E7</f>
        <v>2.5</v>
      </c>
      <c r="H64" s="390">
        <f>'24'!I7</f>
        <v>0.6</v>
      </c>
      <c r="I64" s="390">
        <f>'24'!O7</f>
        <v>3.5</v>
      </c>
      <c r="J64" s="391" t="s">
        <v>198</v>
      </c>
      <c r="K64" s="392" t="s">
        <v>198</v>
      </c>
    </row>
    <row r="65" spans="1:11">
      <c r="A65" s="1143"/>
      <c r="B65" s="388" t="s">
        <v>199</v>
      </c>
      <c r="C65" s="389">
        <f>'24'!B11</f>
        <v>80</v>
      </c>
      <c r="D65" s="390">
        <f>'24'!F11</f>
        <v>12.1</v>
      </c>
      <c r="E65" s="390">
        <f>'24'!F37</f>
        <v>1</v>
      </c>
      <c r="F65" s="390">
        <f>'24'!I37</f>
        <v>0.1</v>
      </c>
      <c r="G65" s="389">
        <f>'24'!E11</f>
        <v>2.5</v>
      </c>
      <c r="H65" s="390">
        <f>'24'!I11</f>
        <v>0.5</v>
      </c>
      <c r="I65" s="390">
        <f>'24'!O11</f>
        <v>2.6</v>
      </c>
      <c r="J65" s="390">
        <f>'24'!H37</f>
        <v>0</v>
      </c>
      <c r="K65" s="389">
        <f>'24'!K37</f>
        <v>0.03</v>
      </c>
    </row>
    <row r="66" spans="1:11">
      <c r="A66" s="1143"/>
      <c r="B66" s="393" t="s">
        <v>200</v>
      </c>
      <c r="C66" s="397">
        <f>'24'!B15</f>
        <v>80</v>
      </c>
      <c r="D66" s="390">
        <f>'24'!F15</f>
        <v>12.2</v>
      </c>
      <c r="E66" s="391" t="s">
        <v>198</v>
      </c>
      <c r="F66" s="391" t="s">
        <v>198</v>
      </c>
      <c r="G66" s="397">
        <f>'24'!E15</f>
        <v>2.5</v>
      </c>
      <c r="H66" s="390">
        <f>'24'!I15</f>
        <v>0.6</v>
      </c>
      <c r="I66" s="390">
        <f>'24'!O15</f>
        <v>2.8</v>
      </c>
      <c r="J66" s="391" t="s">
        <v>198</v>
      </c>
      <c r="K66" s="392" t="s">
        <v>198</v>
      </c>
    </row>
    <row r="68" spans="1:11">
      <c r="A68" s="1143">
        <f>A64+1</f>
        <v>43915</v>
      </c>
      <c r="B68" s="388" t="s">
        <v>197</v>
      </c>
      <c r="C68" s="396">
        <f>'25'!B7</f>
        <v>80</v>
      </c>
      <c r="D68" s="390">
        <f>'25'!F7</f>
        <v>9.98</v>
      </c>
      <c r="E68" s="391" t="s">
        <v>198</v>
      </c>
      <c r="F68" s="391" t="s">
        <v>198</v>
      </c>
      <c r="G68" s="396">
        <f>'25'!E7</f>
        <v>2.5</v>
      </c>
      <c r="H68" s="390">
        <f>'25'!I7</f>
        <v>0.64</v>
      </c>
      <c r="I68" s="390">
        <f>'25'!O7</f>
        <v>2.8</v>
      </c>
      <c r="J68" s="391" t="s">
        <v>198</v>
      </c>
      <c r="K68" s="392" t="s">
        <v>198</v>
      </c>
    </row>
    <row r="69" spans="1:11">
      <c r="A69" s="1143"/>
      <c r="B69" s="388" t="s">
        <v>199</v>
      </c>
      <c r="C69" s="389">
        <f>'25'!B11</f>
        <v>80</v>
      </c>
      <c r="D69" s="390">
        <f>'25'!F11</f>
        <v>10</v>
      </c>
      <c r="E69" s="390">
        <f>'25'!F37</f>
        <v>1</v>
      </c>
      <c r="F69" s="390">
        <f>'25'!I37</f>
        <v>0.1</v>
      </c>
      <c r="G69" s="389">
        <f>'25'!E11</f>
        <v>2.5</v>
      </c>
      <c r="H69" s="390">
        <f>'25'!I11</f>
        <v>0.5</v>
      </c>
      <c r="I69" s="390">
        <f>'25'!O11</f>
        <v>3</v>
      </c>
      <c r="J69" s="390">
        <f>'25'!H37</f>
        <v>0.1</v>
      </c>
      <c r="K69" s="389">
        <f>'25'!K37</f>
        <v>0.03</v>
      </c>
    </row>
    <row r="70" spans="1:11">
      <c r="A70" s="1143"/>
      <c r="B70" s="393" t="s">
        <v>200</v>
      </c>
      <c r="C70" s="397">
        <f>'25'!B15</f>
        <v>80</v>
      </c>
      <c r="D70" s="390">
        <f>'25'!F15</f>
        <v>12</v>
      </c>
      <c r="E70" s="391" t="s">
        <v>198</v>
      </c>
      <c r="F70" s="391" t="s">
        <v>198</v>
      </c>
      <c r="G70" s="397">
        <f>'25'!E15</f>
        <v>2.5</v>
      </c>
      <c r="H70" s="390">
        <f>'25'!I15</f>
        <v>0.5</v>
      </c>
      <c r="I70" s="390">
        <f>'25'!O15</f>
        <v>2.6</v>
      </c>
      <c r="J70" s="391" t="s">
        <v>198</v>
      </c>
      <c r="K70" s="392" t="s">
        <v>198</v>
      </c>
    </row>
    <row r="72" spans="1:11">
      <c r="A72" s="1143">
        <f>A68+1</f>
        <v>43916</v>
      </c>
      <c r="B72" s="388" t="s">
        <v>197</v>
      </c>
      <c r="C72" s="396">
        <f>'26'!B7</f>
        <v>80</v>
      </c>
      <c r="D72" s="390">
        <f>'26'!F7</f>
        <v>12</v>
      </c>
      <c r="E72" s="391" t="s">
        <v>198</v>
      </c>
      <c r="F72" s="391" t="s">
        <v>198</v>
      </c>
      <c r="G72" s="396">
        <f>'26'!E7</f>
        <v>2.5</v>
      </c>
      <c r="H72" s="390">
        <f>'26'!I7</f>
        <v>0.5</v>
      </c>
      <c r="I72" s="390">
        <f>'26'!O7</f>
        <v>3.6</v>
      </c>
      <c r="J72" s="391" t="s">
        <v>198</v>
      </c>
      <c r="K72" s="392" t="s">
        <v>198</v>
      </c>
    </row>
    <row r="73" spans="1:11">
      <c r="A73" s="1143"/>
      <c r="B73" s="388" t="s">
        <v>199</v>
      </c>
      <c r="C73" s="389">
        <f>'26'!B11</f>
        <v>80</v>
      </c>
      <c r="D73" s="390">
        <f>'26'!F11</f>
        <v>12</v>
      </c>
      <c r="E73" s="390">
        <f>'26'!F37</f>
        <v>1.4</v>
      </c>
      <c r="F73" s="390">
        <f>'26'!I37</f>
        <v>0.2</v>
      </c>
      <c r="G73" s="389">
        <f>'26'!E11</f>
        <v>2.5</v>
      </c>
      <c r="H73" s="390">
        <f>'26'!I11</f>
        <v>0.5</v>
      </c>
      <c r="I73" s="390">
        <f>'26'!O11</f>
        <v>3.5</v>
      </c>
      <c r="J73" s="390">
        <f>'26'!H37</f>
        <v>0.1</v>
      </c>
      <c r="K73" s="389">
        <f>'26'!K37</f>
        <v>0.03</v>
      </c>
    </row>
    <row r="74" spans="1:11">
      <c r="A74" s="1143"/>
      <c r="B74" s="393" t="s">
        <v>200</v>
      </c>
      <c r="C74" s="397">
        <f>'26'!B15</f>
        <v>80</v>
      </c>
      <c r="D74" s="390">
        <f>'26'!F15</f>
        <v>12</v>
      </c>
      <c r="E74" s="391" t="s">
        <v>198</v>
      </c>
      <c r="F74" s="391" t="s">
        <v>198</v>
      </c>
      <c r="G74" s="397">
        <f>'26'!E15</f>
        <v>2.5</v>
      </c>
      <c r="H74" s="390">
        <f>'26'!I15</f>
        <v>0.4</v>
      </c>
      <c r="I74" s="390">
        <f>'26'!O15</f>
        <v>3.5</v>
      </c>
      <c r="J74" s="391" t="s">
        <v>198</v>
      </c>
      <c r="K74" s="392" t="s">
        <v>198</v>
      </c>
    </row>
    <row r="76" spans="1:11">
      <c r="A76" s="1143">
        <f>A72+1</f>
        <v>43917</v>
      </c>
      <c r="B76" s="388" t="s">
        <v>197</v>
      </c>
      <c r="C76" s="396">
        <f>'27'!B7</f>
        <v>80</v>
      </c>
      <c r="D76" s="390">
        <f>'27'!F7</f>
        <v>13</v>
      </c>
      <c r="E76" s="391" t="s">
        <v>198</v>
      </c>
      <c r="F76" s="391" t="s">
        <v>198</v>
      </c>
      <c r="G76" s="396">
        <f>'27'!E7</f>
        <v>2.5</v>
      </c>
      <c r="H76" s="390">
        <f>'27'!I7</f>
        <v>0.5</v>
      </c>
      <c r="I76" s="390">
        <f>'27'!O7</f>
        <v>3.5</v>
      </c>
      <c r="J76" s="391" t="s">
        <v>198</v>
      </c>
      <c r="K76" s="392" t="s">
        <v>198</v>
      </c>
    </row>
    <row r="77" spans="1:11">
      <c r="A77" s="1143"/>
      <c r="B77" s="388" t="s">
        <v>199</v>
      </c>
      <c r="C77" s="389">
        <f>'27'!B11</f>
        <v>80</v>
      </c>
      <c r="D77" s="390">
        <f>'27'!F11</f>
        <v>13</v>
      </c>
      <c r="E77" s="390">
        <f>'27'!F37</f>
        <v>1</v>
      </c>
      <c r="F77" s="390">
        <f>'27'!I37</f>
        <v>0.2</v>
      </c>
      <c r="G77" s="389">
        <f>'27'!E11</f>
        <v>2.5</v>
      </c>
      <c r="H77" s="390">
        <f>'27'!I11</f>
        <v>0.4</v>
      </c>
      <c r="I77" s="390">
        <f>'27'!O11</f>
        <v>3.2</v>
      </c>
      <c r="J77" s="390">
        <f>'27'!H37</f>
        <v>0</v>
      </c>
      <c r="K77" s="389">
        <f>'27'!K37</f>
        <v>0.03</v>
      </c>
    </row>
    <row r="78" spans="1:11">
      <c r="A78" s="1143"/>
      <c r="B78" s="393" t="s">
        <v>200</v>
      </c>
      <c r="C78" s="397">
        <f>'27'!B15</f>
        <v>80</v>
      </c>
      <c r="D78" s="390">
        <f>'27'!F15</f>
        <v>12</v>
      </c>
      <c r="E78" s="391" t="s">
        <v>198</v>
      </c>
      <c r="F78" s="391" t="s">
        <v>198</v>
      </c>
      <c r="G78" s="397">
        <f>'27'!E15</f>
        <v>2.5</v>
      </c>
      <c r="H78" s="390">
        <f>'27'!I15</f>
        <v>0.5</v>
      </c>
      <c r="I78" s="390">
        <f>'27'!O15</f>
        <v>3.2</v>
      </c>
      <c r="J78" s="391" t="s">
        <v>198</v>
      </c>
      <c r="K78" s="392" t="s">
        <v>198</v>
      </c>
    </row>
    <row r="80" spans="1:11">
      <c r="A80" s="1143">
        <f>A76+1</f>
        <v>43918</v>
      </c>
      <c r="B80" s="388" t="s">
        <v>197</v>
      </c>
      <c r="C80" s="396">
        <f>'28'!B7</f>
        <v>80</v>
      </c>
      <c r="D80" s="390">
        <f>'28'!F7</f>
        <v>13</v>
      </c>
      <c r="E80" s="391" t="s">
        <v>198</v>
      </c>
      <c r="F80" s="391" t="s">
        <v>198</v>
      </c>
      <c r="G80" s="396">
        <f>'28'!E7</f>
        <v>2.5</v>
      </c>
      <c r="H80" s="390">
        <f>'28'!I7</f>
        <v>0.6</v>
      </c>
      <c r="I80" s="390">
        <f>'28'!O7</f>
        <v>3.2</v>
      </c>
      <c r="J80" s="391" t="s">
        <v>198</v>
      </c>
      <c r="K80" s="392" t="s">
        <v>198</v>
      </c>
    </row>
    <row r="81" spans="1:11">
      <c r="A81" s="1143"/>
      <c r="B81" s="388" t="s">
        <v>199</v>
      </c>
      <c r="C81" s="389">
        <f>'28'!B11</f>
        <v>80</v>
      </c>
      <c r="D81" s="390">
        <f>'28'!F11</f>
        <v>13</v>
      </c>
      <c r="E81" s="390">
        <f>'28'!F37</f>
        <v>1.4</v>
      </c>
      <c r="F81" s="390">
        <f>'28'!I37</f>
        <v>0.25</v>
      </c>
      <c r="G81" s="389">
        <f>'28'!E11</f>
        <v>2.5</v>
      </c>
      <c r="H81" s="390">
        <f>'28'!I11</f>
        <v>0.5</v>
      </c>
      <c r="I81" s="390">
        <f>'28'!O11</f>
        <v>3.5</v>
      </c>
      <c r="J81" s="390">
        <f>'28'!H37</f>
        <v>0.2</v>
      </c>
      <c r="K81" s="389">
        <f>'28'!K37</f>
        <v>0.03</v>
      </c>
    </row>
    <row r="82" spans="1:11">
      <c r="A82" s="1143"/>
      <c r="B82" s="393" t="s">
        <v>200</v>
      </c>
      <c r="C82" s="397">
        <f>'28'!B15</f>
        <v>80</v>
      </c>
      <c r="D82" s="390">
        <f>'28'!F15</f>
        <v>13</v>
      </c>
      <c r="E82" s="391" t="s">
        <v>198</v>
      </c>
      <c r="F82" s="391" t="s">
        <v>198</v>
      </c>
      <c r="G82" s="397">
        <f>'28'!E15</f>
        <v>2.5</v>
      </c>
      <c r="H82" s="390">
        <f>'28'!I15</f>
        <v>0.5</v>
      </c>
      <c r="I82" s="390">
        <f>'28'!O15</f>
        <v>3</v>
      </c>
      <c r="J82" s="391" t="s">
        <v>198</v>
      </c>
      <c r="K82" s="392" t="s">
        <v>198</v>
      </c>
    </row>
    <row r="84" spans="1:11">
      <c r="A84" s="1143">
        <f>A80+1</f>
        <v>43919</v>
      </c>
      <c r="B84" s="388" t="s">
        <v>197</v>
      </c>
      <c r="C84" s="396">
        <f>'29'!B7</f>
        <v>80</v>
      </c>
      <c r="D84" s="390">
        <f>'29'!F7</f>
        <v>14</v>
      </c>
      <c r="E84" s="391" t="s">
        <v>198</v>
      </c>
      <c r="F84" s="391" t="s">
        <v>198</v>
      </c>
      <c r="G84" s="396">
        <f>'29'!E7</f>
        <v>2.5</v>
      </c>
      <c r="H84" s="390">
        <f>'29'!I7</f>
        <v>0.5</v>
      </c>
      <c r="I84" s="390">
        <f>'29'!O7</f>
        <v>3.2</v>
      </c>
      <c r="J84" s="391" t="s">
        <v>198</v>
      </c>
      <c r="K84" s="392" t="s">
        <v>198</v>
      </c>
    </row>
    <row r="85" spans="1:11">
      <c r="A85" s="1143"/>
      <c r="B85" s="388" t="s">
        <v>199</v>
      </c>
      <c r="C85" s="389">
        <f>'29'!B11</f>
        <v>80</v>
      </c>
      <c r="D85" s="390">
        <f>'29'!F11</f>
        <v>20</v>
      </c>
      <c r="E85" s="390">
        <f>'29'!F37</f>
        <v>1.8</v>
      </c>
      <c r="F85" s="390">
        <f>'29'!I37</f>
        <v>0.3</v>
      </c>
      <c r="G85" s="389">
        <f>'29'!E11</f>
        <v>2.5</v>
      </c>
      <c r="H85" s="390">
        <f>'29'!I11</f>
        <v>0.4</v>
      </c>
      <c r="I85" s="390">
        <f>'29'!O11</f>
        <v>3</v>
      </c>
      <c r="J85" s="390">
        <f>'29'!H37</f>
        <v>0.1</v>
      </c>
      <c r="K85" s="389">
        <f>'29'!K37</f>
        <v>0.03</v>
      </c>
    </row>
    <row r="86" spans="1:11">
      <c r="A86" s="1143"/>
      <c r="B86" s="393" t="s">
        <v>200</v>
      </c>
      <c r="C86" s="397">
        <f>'29'!B15</f>
        <v>80</v>
      </c>
      <c r="D86" s="390">
        <f>'29'!F15</f>
        <v>21</v>
      </c>
      <c r="E86" s="391" t="s">
        <v>198</v>
      </c>
      <c r="F86" s="391" t="s">
        <v>198</v>
      </c>
      <c r="G86" s="397">
        <f>'29'!E15</f>
        <v>2.5</v>
      </c>
      <c r="H86" s="390">
        <f>'29'!I15</f>
        <v>0.4</v>
      </c>
      <c r="I86" s="390">
        <f>'29'!O15</f>
        <v>3.3</v>
      </c>
      <c r="J86" s="391" t="s">
        <v>198</v>
      </c>
      <c r="K86" s="392" t="s">
        <v>198</v>
      </c>
    </row>
    <row r="88" spans="1:11">
      <c r="A88" s="1143">
        <f>A84+1</f>
        <v>43920</v>
      </c>
      <c r="B88" s="388" t="s">
        <v>197</v>
      </c>
      <c r="C88" s="396">
        <f>'30'!B7</f>
        <v>80</v>
      </c>
      <c r="D88" s="390">
        <f>'30'!F7</f>
        <v>20</v>
      </c>
      <c r="E88" s="391" t="s">
        <v>198</v>
      </c>
      <c r="F88" s="391" t="s">
        <v>198</v>
      </c>
      <c r="G88" s="396">
        <f>'30'!E7</f>
        <v>2.5</v>
      </c>
      <c r="H88" s="390">
        <f>'30'!I7</f>
        <v>0.4</v>
      </c>
      <c r="I88" s="390">
        <f>'30'!O7</f>
        <v>3.5</v>
      </c>
      <c r="J88" s="391" t="s">
        <v>198</v>
      </c>
      <c r="K88" s="392" t="s">
        <v>198</v>
      </c>
    </row>
    <row r="89" spans="1:11">
      <c r="A89" s="1143"/>
      <c r="B89" s="388" t="s">
        <v>199</v>
      </c>
      <c r="C89" s="389">
        <f>'30'!B11</f>
        <v>80</v>
      </c>
      <c r="D89" s="390">
        <f>'30'!F11</f>
        <v>21</v>
      </c>
      <c r="E89" s="390">
        <f>'30'!F37</f>
        <v>1.2</v>
      </c>
      <c r="F89" s="390">
        <f>'30'!I37</f>
        <v>0.3</v>
      </c>
      <c r="G89" s="389">
        <f>'30'!E11</f>
        <v>2.5</v>
      </c>
      <c r="H89" s="390">
        <f>'30'!I11</f>
        <v>0.4</v>
      </c>
      <c r="I89" s="390">
        <f>'30'!O11</f>
        <v>3.5</v>
      </c>
      <c r="J89" s="390">
        <f>'30'!H37</f>
        <v>0</v>
      </c>
      <c r="K89" s="389">
        <f>'30'!K37</f>
        <v>0.03</v>
      </c>
    </row>
    <row r="90" spans="1:11">
      <c r="A90" s="1143"/>
      <c r="B90" s="393" t="s">
        <v>200</v>
      </c>
      <c r="C90" s="397">
        <f>'30'!B15</f>
        <v>80</v>
      </c>
      <c r="D90" s="390">
        <f>'30'!F15</f>
        <v>17</v>
      </c>
      <c r="E90" s="391" t="s">
        <v>198</v>
      </c>
      <c r="F90" s="391" t="s">
        <v>198</v>
      </c>
      <c r="G90" s="397">
        <f>'30'!E15</f>
        <v>2.5</v>
      </c>
      <c r="H90" s="390">
        <f>'30'!I15</f>
        <v>0.5</v>
      </c>
      <c r="I90" s="390">
        <f>'30'!O15</f>
        <v>3.5</v>
      </c>
      <c r="J90" s="391" t="s">
        <v>198</v>
      </c>
      <c r="K90" s="392" t="s">
        <v>198</v>
      </c>
    </row>
    <row r="92" spans="1:11">
      <c r="A92" s="1143">
        <f>A88+1</f>
        <v>43921</v>
      </c>
      <c r="B92" s="388" t="s">
        <v>197</v>
      </c>
      <c r="C92" s="396">
        <f>'31'!B7</f>
        <v>80</v>
      </c>
      <c r="D92" s="390">
        <f>'31'!F7</f>
        <v>14</v>
      </c>
      <c r="E92" s="391" t="s">
        <v>198</v>
      </c>
      <c r="F92" s="391" t="s">
        <v>198</v>
      </c>
      <c r="G92" s="396">
        <f>'31'!E7</f>
        <v>2.5</v>
      </c>
      <c r="H92" s="390">
        <f>'31'!I7</f>
        <v>0.6</v>
      </c>
      <c r="I92" s="390">
        <f>'31'!O7</f>
        <v>3.3</v>
      </c>
      <c r="J92" s="391" t="s">
        <v>198</v>
      </c>
      <c r="K92" s="392" t="s">
        <v>198</v>
      </c>
    </row>
    <row r="93" spans="1:11">
      <c r="A93" s="1143"/>
      <c r="B93" s="388" t="s">
        <v>199</v>
      </c>
      <c r="C93" s="389">
        <f>'31'!B11</f>
        <v>80</v>
      </c>
      <c r="D93" s="390">
        <f>'31'!F11</f>
        <v>14</v>
      </c>
      <c r="E93" s="390">
        <f>'31'!F37</f>
        <v>1.2</v>
      </c>
      <c r="F93" s="390">
        <f>'31'!I37</f>
        <v>0.4</v>
      </c>
      <c r="G93" s="389">
        <f>'31'!E11</f>
        <v>2.5</v>
      </c>
      <c r="H93" s="390">
        <f>'31'!I11</f>
        <v>0.4</v>
      </c>
      <c r="I93" s="390">
        <f>'31'!O11</f>
        <v>3.2</v>
      </c>
      <c r="J93" s="390">
        <f>'31'!H37</f>
        <v>0.2</v>
      </c>
      <c r="K93" s="389">
        <f>'31'!K37</f>
        <v>0.03</v>
      </c>
    </row>
    <row r="94" spans="1:11">
      <c r="A94" s="1143"/>
      <c r="B94" s="393" t="s">
        <v>200</v>
      </c>
      <c r="C94" s="397">
        <f>'31'!B15</f>
        <v>80</v>
      </c>
      <c r="D94" s="390">
        <f>'31'!F15</f>
        <v>14</v>
      </c>
      <c r="E94" s="391" t="s">
        <v>198</v>
      </c>
      <c r="F94" s="391" t="s">
        <v>198</v>
      </c>
      <c r="G94" s="397">
        <f>'31'!E15</f>
        <v>2.5</v>
      </c>
      <c r="H94" s="390">
        <f>'31'!I15</f>
        <v>0.4</v>
      </c>
      <c r="I94" s="390">
        <f>'31'!O15</f>
        <v>3.2</v>
      </c>
      <c r="J94" s="391" t="s">
        <v>198</v>
      </c>
      <c r="K94" s="392" t="s">
        <v>198</v>
      </c>
    </row>
  </sheetData>
  <sheetProtection password="9E1E" sheet="1" objects="1" scenarios="1"/>
  <mergeCells count="28">
    <mergeCell ref="A88:A90"/>
    <mergeCell ref="A92:A94"/>
    <mergeCell ref="A68:A70"/>
    <mergeCell ref="A72:A74"/>
    <mergeCell ref="A76:A78"/>
    <mergeCell ref="A80:A82"/>
    <mergeCell ref="A84:A86"/>
    <mergeCell ref="A48:A50"/>
    <mergeCell ref="A52:A54"/>
    <mergeCell ref="A56:A58"/>
    <mergeCell ref="A60:A62"/>
    <mergeCell ref="A64:A66"/>
    <mergeCell ref="A28:A30"/>
    <mergeCell ref="A32:A34"/>
    <mergeCell ref="A36:A38"/>
    <mergeCell ref="A40:A42"/>
    <mergeCell ref="A44:A46"/>
    <mergeCell ref="A8:A10"/>
    <mergeCell ref="A12:A14"/>
    <mergeCell ref="A16:A18"/>
    <mergeCell ref="A20:A22"/>
    <mergeCell ref="A24:A26"/>
    <mergeCell ref="A1:K1"/>
    <mergeCell ref="A2:K2"/>
    <mergeCell ref="A4:A6"/>
    <mergeCell ref="B4:B6"/>
    <mergeCell ref="C4:F4"/>
    <mergeCell ref="G4:K4"/>
  </mergeCells>
  <printOptions horizontalCentered="1"/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A4" sqref="A4"/>
    </sheetView>
  </sheetViews>
  <sheetFormatPr defaultRowHeight="15"/>
  <cols>
    <col min="1" max="1025" width="8.7109375" customWidth="1"/>
  </cols>
  <sheetData>
    <row r="1" spans="1:7">
      <c r="A1" s="1144">
        <f>ESCALA!A3</f>
        <v>43891</v>
      </c>
      <c r="B1" s="1145" t="s">
        <v>201</v>
      </c>
      <c r="C1" s="1145"/>
      <c r="D1" s="1145"/>
      <c r="E1" s="1145"/>
      <c r="F1" s="1145"/>
      <c r="G1" s="1145"/>
    </row>
    <row r="2" spans="1:7" ht="23.25" customHeight="1">
      <c r="A2" s="1144"/>
      <c r="B2" s="1146" t="s">
        <v>202</v>
      </c>
      <c r="C2" s="1146"/>
      <c r="D2" s="1146"/>
      <c r="E2" s="1147" t="s">
        <v>203</v>
      </c>
      <c r="F2" s="1147"/>
      <c r="G2" s="1147"/>
    </row>
    <row r="3" spans="1:7">
      <c r="A3" s="1144"/>
      <c r="B3" s="399" t="s">
        <v>40</v>
      </c>
      <c r="C3" s="399" t="s">
        <v>204</v>
      </c>
      <c r="D3" s="399" t="s">
        <v>188</v>
      </c>
      <c r="E3" s="398" t="s">
        <v>40</v>
      </c>
      <c r="F3" s="398" t="s">
        <v>204</v>
      </c>
      <c r="G3" s="398" t="s">
        <v>188</v>
      </c>
    </row>
    <row r="4" spans="1:7">
      <c r="A4" s="400">
        <v>1</v>
      </c>
      <c r="B4" s="401">
        <f>'1'!F37</f>
        <v>0.8</v>
      </c>
      <c r="C4" s="401">
        <f>'1'!G37</f>
        <v>0.1</v>
      </c>
      <c r="D4" s="401">
        <f>'1'!H37</f>
        <v>0.1</v>
      </c>
      <c r="E4" s="402">
        <f>'1'!I37</f>
        <v>0.06</v>
      </c>
      <c r="F4" s="402">
        <f>'1'!J37</f>
        <v>0.06</v>
      </c>
      <c r="G4" s="402">
        <f>'1'!K37</f>
        <v>0.03</v>
      </c>
    </row>
    <row r="5" spans="1:7">
      <c r="A5" s="400">
        <v>2</v>
      </c>
      <c r="B5" s="401">
        <f>'2'!F37</f>
        <v>1</v>
      </c>
      <c r="C5" s="401">
        <f>'2'!G37</f>
        <v>0.1</v>
      </c>
      <c r="D5" s="401">
        <f>'2'!H37</f>
        <v>0.1</v>
      </c>
      <c r="E5" s="402">
        <f>'2'!I37</f>
        <v>0.1</v>
      </c>
      <c r="F5" s="402">
        <f>'2'!J37</f>
        <v>0.06</v>
      </c>
      <c r="G5" s="402">
        <f>'2'!K37</f>
        <v>0.03</v>
      </c>
    </row>
    <row r="6" spans="1:7">
      <c r="A6" s="400">
        <v>3</v>
      </c>
      <c r="B6" s="401">
        <f>'3'!F37</f>
        <v>0</v>
      </c>
      <c r="C6" s="401">
        <f>'3'!G37</f>
        <v>0</v>
      </c>
      <c r="D6" s="401">
        <f>'3'!H37</f>
        <v>0</v>
      </c>
      <c r="E6" s="402">
        <f>'3'!I37</f>
        <v>0.1</v>
      </c>
      <c r="F6" s="402">
        <f>'3'!J37</f>
        <v>0.06</v>
      </c>
      <c r="G6" s="402">
        <f>'3'!K37</f>
        <v>0.03</v>
      </c>
    </row>
    <row r="7" spans="1:7">
      <c r="A7" s="400">
        <v>4</v>
      </c>
      <c r="B7" s="401">
        <f>'4'!F37</f>
        <v>0.6</v>
      </c>
      <c r="C7" s="401">
        <f>'4'!G37</f>
        <v>0</v>
      </c>
      <c r="D7" s="401">
        <f>'4'!H37</f>
        <v>0</v>
      </c>
      <c r="E7" s="402">
        <f>'4'!I37</f>
        <v>0.1</v>
      </c>
      <c r="F7" s="402">
        <f>'4'!J37</f>
        <v>0.08</v>
      </c>
      <c r="G7" s="402">
        <f>'4'!K37</f>
        <v>0.03</v>
      </c>
    </row>
    <row r="8" spans="1:7">
      <c r="A8" s="400">
        <v>5</v>
      </c>
      <c r="B8" s="401">
        <f>'5'!F37</f>
        <v>0.8</v>
      </c>
      <c r="C8" s="401">
        <f>'5'!G37</f>
        <v>0.1</v>
      </c>
      <c r="D8" s="401">
        <f>'5'!H37</f>
        <v>0.1</v>
      </c>
      <c r="E8" s="402">
        <f>'5'!I37</f>
        <v>0.1</v>
      </c>
      <c r="F8" s="402">
        <f>'5'!J37</f>
        <v>0.06</v>
      </c>
      <c r="G8" s="402">
        <f>'5'!K37</f>
        <v>0.03</v>
      </c>
    </row>
    <row r="9" spans="1:7">
      <c r="A9" s="400">
        <v>6</v>
      </c>
      <c r="B9" s="401">
        <f>'6'!F37</f>
        <v>1.2</v>
      </c>
      <c r="C9" s="401">
        <f>'6'!G37</f>
        <v>0.1</v>
      </c>
      <c r="D9" s="401">
        <f>'6'!H37</f>
        <v>0.1</v>
      </c>
      <c r="E9" s="402">
        <f>'6'!I37</f>
        <v>0.15</v>
      </c>
      <c r="F9" s="402">
        <f>'6'!J37</f>
        <v>0.1</v>
      </c>
      <c r="G9" s="402">
        <f>'6'!K37</f>
        <v>0.03</v>
      </c>
    </row>
    <row r="10" spans="1:7">
      <c r="A10" s="400">
        <v>7</v>
      </c>
      <c r="B10" s="401">
        <f>'7'!F37</f>
        <v>0.8</v>
      </c>
      <c r="C10" s="401">
        <f>'7'!G37</f>
        <v>0.2</v>
      </c>
      <c r="D10" s="401">
        <f>'7'!H37</f>
        <v>0</v>
      </c>
      <c r="E10" s="402">
        <f>'7'!I37</f>
        <v>0.1</v>
      </c>
      <c r="F10" s="402">
        <f>'7'!J37</f>
        <v>0.06</v>
      </c>
      <c r="G10" s="402">
        <f>'7'!K37</f>
        <v>0.03</v>
      </c>
    </row>
    <row r="11" spans="1:7">
      <c r="A11" s="400">
        <v>8</v>
      </c>
      <c r="B11" s="401">
        <f>'8'!F37</f>
        <v>0.6</v>
      </c>
      <c r="C11" s="401">
        <f>'8'!G37</f>
        <v>0</v>
      </c>
      <c r="D11" s="401">
        <f>'8'!H37</f>
        <v>0</v>
      </c>
      <c r="E11" s="402">
        <f>'8'!I37</f>
        <v>0.1</v>
      </c>
      <c r="F11" s="402">
        <f>'8'!J37</f>
        <v>0.08</v>
      </c>
      <c r="G11" s="402">
        <f>'8'!K37</f>
        <v>0.03</v>
      </c>
    </row>
    <row r="12" spans="1:7">
      <c r="A12" s="400">
        <v>9</v>
      </c>
      <c r="B12" s="401">
        <f>'9'!F37</f>
        <v>0.8</v>
      </c>
      <c r="C12" s="401">
        <f>'9'!G37</f>
        <v>0.1</v>
      </c>
      <c r="D12" s="401">
        <f>'9'!H37</f>
        <v>0.1</v>
      </c>
      <c r="E12" s="402">
        <f>'9'!I37</f>
        <v>0.1</v>
      </c>
      <c r="F12" s="402">
        <f>'9'!J37</f>
        <v>0.06</v>
      </c>
      <c r="G12" s="402">
        <f>'9'!K37</f>
        <v>0.03</v>
      </c>
    </row>
    <row r="13" spans="1:7">
      <c r="A13" s="400">
        <v>10</v>
      </c>
      <c r="B13" s="401">
        <f>'10'!F37</f>
        <v>1</v>
      </c>
      <c r="C13" s="401">
        <f>'10'!G37</f>
        <v>0.1</v>
      </c>
      <c r="D13" s="401">
        <f>'10'!H37</f>
        <v>0.1</v>
      </c>
      <c r="E13" s="402">
        <f>'10'!I37</f>
        <v>0.12</v>
      </c>
      <c r="F13" s="402">
        <f>'10'!J37</f>
        <v>0.1</v>
      </c>
      <c r="G13" s="402">
        <f>'10'!K37</f>
        <v>0.03</v>
      </c>
    </row>
    <row r="14" spans="1:7">
      <c r="A14" s="400">
        <v>11</v>
      </c>
      <c r="B14" s="401">
        <f>'11'!F37</f>
        <v>1</v>
      </c>
      <c r="C14" s="401">
        <f>'11'!G37</f>
        <v>0.1</v>
      </c>
      <c r="D14" s="401">
        <f>'11'!H37</f>
        <v>0</v>
      </c>
      <c r="E14" s="402">
        <f>'11'!I37</f>
        <v>0.1</v>
      </c>
      <c r="F14" s="402">
        <f>'11'!J37</f>
        <v>0.06</v>
      </c>
      <c r="G14" s="402">
        <f>'11'!K37</f>
        <v>0.03</v>
      </c>
    </row>
    <row r="15" spans="1:7">
      <c r="A15" s="400">
        <v>12</v>
      </c>
      <c r="B15" s="401">
        <f>'12'!F37</f>
        <v>0.8</v>
      </c>
      <c r="C15" s="401">
        <f>'12'!G37</f>
        <v>0</v>
      </c>
      <c r="D15" s="401">
        <f>'12'!H37</f>
        <v>0</v>
      </c>
      <c r="E15" s="402">
        <f>'12'!I37</f>
        <v>0.1</v>
      </c>
      <c r="F15" s="402">
        <f>'12'!J37</f>
        <v>0.08</v>
      </c>
      <c r="G15" s="402">
        <f>'12'!K37</f>
        <v>0.03</v>
      </c>
    </row>
    <row r="16" spans="1:7">
      <c r="A16" s="400">
        <v>13</v>
      </c>
      <c r="B16" s="401">
        <f>'13'!F37</f>
        <v>0.8</v>
      </c>
      <c r="C16" s="401">
        <f>'13'!G37</f>
        <v>0.1</v>
      </c>
      <c r="D16" s="401">
        <f>'13'!H37</f>
        <v>0.1</v>
      </c>
      <c r="E16" s="402">
        <f>'13'!I37</f>
        <v>0.1</v>
      </c>
      <c r="F16" s="402">
        <f>'13'!J37</f>
        <v>0.06</v>
      </c>
      <c r="G16" s="402">
        <f>'13'!K37</f>
        <v>0.03</v>
      </c>
    </row>
    <row r="17" spans="1:7">
      <c r="A17" s="400">
        <v>14</v>
      </c>
      <c r="B17" s="401">
        <f>'14'!F37</f>
        <v>1</v>
      </c>
      <c r="C17" s="401">
        <f>'14'!G37</f>
        <v>0.1</v>
      </c>
      <c r="D17" s="401">
        <f>'14'!H37</f>
        <v>0.1</v>
      </c>
      <c r="E17" s="402">
        <f>'14'!I37</f>
        <v>0.1</v>
      </c>
      <c r="F17" s="402">
        <f>'14'!J37</f>
        <v>0.06</v>
      </c>
      <c r="G17" s="402">
        <f>'14'!K37</f>
        <v>0.05</v>
      </c>
    </row>
    <row r="18" spans="1:7">
      <c r="A18" s="400">
        <v>15</v>
      </c>
      <c r="B18" s="401">
        <f>'15'!F37</f>
        <v>1</v>
      </c>
      <c r="C18" s="401">
        <f>'15'!G37</f>
        <v>0.1</v>
      </c>
      <c r="D18" s="401">
        <f>'15'!H37</f>
        <v>0</v>
      </c>
      <c r="E18" s="402">
        <f>'15'!I37</f>
        <v>0.1</v>
      </c>
      <c r="F18" s="402">
        <f>'15'!J37</f>
        <v>0.06</v>
      </c>
      <c r="G18" s="402">
        <f>'15'!K37</f>
        <v>0.03</v>
      </c>
    </row>
    <row r="19" spans="1:7">
      <c r="A19" s="400">
        <v>16</v>
      </c>
      <c r="B19" s="401">
        <f>'16'!F37</f>
        <v>0.6</v>
      </c>
      <c r="C19" s="401">
        <f>'16'!G37</f>
        <v>0</v>
      </c>
      <c r="D19" s="401">
        <f>'16'!H37</f>
        <v>0</v>
      </c>
      <c r="E19" s="402">
        <f>'16'!I37</f>
        <v>0.1</v>
      </c>
      <c r="F19" s="402">
        <f>'16'!J37</f>
        <v>0.08</v>
      </c>
      <c r="G19" s="402">
        <f>'16'!K37</f>
        <v>0.03</v>
      </c>
    </row>
    <row r="20" spans="1:7">
      <c r="A20" s="400">
        <v>17</v>
      </c>
      <c r="B20" s="401">
        <f>'17'!F37</f>
        <v>0.8</v>
      </c>
      <c r="C20" s="401">
        <f>'17'!G37</f>
        <v>0.1</v>
      </c>
      <c r="D20" s="401">
        <f>'17'!H37</f>
        <v>0.1</v>
      </c>
      <c r="E20" s="402">
        <f>'17'!I37</f>
        <v>0.1</v>
      </c>
      <c r="F20" s="402">
        <f>'17'!J37</f>
        <v>0.06</v>
      </c>
      <c r="G20" s="402">
        <f>'17'!K37</f>
        <v>0.03</v>
      </c>
    </row>
    <row r="21" spans="1:7">
      <c r="A21" s="400">
        <v>18</v>
      </c>
      <c r="B21" s="401">
        <f>'18'!F37</f>
        <v>1</v>
      </c>
      <c r="C21" s="401">
        <f>'18'!G37</f>
        <v>0.1</v>
      </c>
      <c r="D21" s="401">
        <f>'18'!H37</f>
        <v>0.1</v>
      </c>
      <c r="E21" s="402">
        <f>'18'!I37</f>
        <v>0.12</v>
      </c>
      <c r="F21" s="402">
        <f>'18'!J37</f>
        <v>0.1</v>
      </c>
      <c r="G21" s="402">
        <f>'18'!K37</f>
        <v>0.03</v>
      </c>
    </row>
    <row r="22" spans="1:7">
      <c r="A22" s="400">
        <v>19</v>
      </c>
      <c r="B22" s="401">
        <f>'19'!F37</f>
        <v>1</v>
      </c>
      <c r="C22" s="401">
        <f>'19'!G37</f>
        <v>0.1</v>
      </c>
      <c r="D22" s="401">
        <f>'19'!H37</f>
        <v>0.1</v>
      </c>
      <c r="E22" s="402">
        <f>'19'!I37</f>
        <v>0.1</v>
      </c>
      <c r="F22" s="402">
        <f>'19'!J37</f>
        <v>0.06</v>
      </c>
      <c r="G22" s="402">
        <f>'19'!K37</f>
        <v>0.03</v>
      </c>
    </row>
    <row r="23" spans="1:7">
      <c r="A23" s="400">
        <v>20</v>
      </c>
      <c r="B23" s="401">
        <f>'20'!F37</f>
        <v>1</v>
      </c>
      <c r="C23" s="401">
        <f>'20'!G37</f>
        <v>0.1</v>
      </c>
      <c r="D23" s="401">
        <f>'20'!H37</f>
        <v>0.1</v>
      </c>
      <c r="E23" s="402">
        <f>'20'!I37</f>
        <v>0.1</v>
      </c>
      <c r="F23" s="402">
        <f>'20'!J37</f>
        <v>0.06</v>
      </c>
      <c r="G23" s="402">
        <f>'20'!K37</f>
        <v>0.03</v>
      </c>
    </row>
    <row r="24" spans="1:7">
      <c r="A24" s="400">
        <v>21</v>
      </c>
      <c r="B24" s="401">
        <f>'21'!F37</f>
        <v>1</v>
      </c>
      <c r="C24" s="401">
        <f>'21'!G37</f>
        <v>0.1</v>
      </c>
      <c r="D24" s="401">
        <f>'21'!H37</f>
        <v>0</v>
      </c>
      <c r="E24" s="402">
        <f>'21'!I37</f>
        <v>0.1</v>
      </c>
      <c r="F24" s="402">
        <f>'21'!J37</f>
        <v>0.06</v>
      </c>
      <c r="G24" s="402">
        <f>'21'!K37</f>
        <v>0.03</v>
      </c>
    </row>
    <row r="25" spans="1:7">
      <c r="A25" s="400">
        <v>22</v>
      </c>
      <c r="B25" s="401">
        <f>'22'!F37</f>
        <v>1</v>
      </c>
      <c r="C25" s="401">
        <f>'22'!G37</f>
        <v>0.1</v>
      </c>
      <c r="D25" s="401">
        <f>'22'!H37</f>
        <v>0.1</v>
      </c>
      <c r="E25" s="402">
        <f>'22'!I37</f>
        <v>0.1</v>
      </c>
      <c r="F25" s="402">
        <f>'22'!J37</f>
        <v>0.06</v>
      </c>
      <c r="G25" s="402">
        <f>'22'!K37</f>
        <v>0.03</v>
      </c>
    </row>
    <row r="26" spans="1:7">
      <c r="A26" s="400">
        <v>23</v>
      </c>
      <c r="B26" s="401">
        <f>'23'!F37</f>
        <v>0.8</v>
      </c>
      <c r="C26" s="401">
        <f>'23'!G37</f>
        <v>0</v>
      </c>
      <c r="D26" s="401">
        <f>'23'!H37</f>
        <v>0</v>
      </c>
      <c r="E26" s="402">
        <f>'23'!I37</f>
        <v>0.1</v>
      </c>
      <c r="F26" s="402">
        <f>'23'!J37</f>
        <v>0.06</v>
      </c>
      <c r="G26" s="402">
        <f>'23'!K37</f>
        <v>0.03</v>
      </c>
    </row>
    <row r="27" spans="1:7">
      <c r="A27" s="400">
        <v>24</v>
      </c>
      <c r="B27" s="401">
        <f>'24'!F37</f>
        <v>1</v>
      </c>
      <c r="C27" s="401">
        <f>'24'!G37</f>
        <v>0</v>
      </c>
      <c r="D27" s="401">
        <f>'24'!H37</f>
        <v>0</v>
      </c>
      <c r="E27" s="402">
        <f>'24'!I37</f>
        <v>0.1</v>
      </c>
      <c r="F27" s="402">
        <f>'24'!J37</f>
        <v>0.06</v>
      </c>
      <c r="G27" s="402">
        <f>'24'!K37</f>
        <v>0.03</v>
      </c>
    </row>
    <row r="28" spans="1:7">
      <c r="A28" s="400">
        <v>25</v>
      </c>
      <c r="B28" s="401">
        <f>'25'!F37</f>
        <v>1</v>
      </c>
      <c r="C28" s="401">
        <f>'25'!G37</f>
        <v>0.1</v>
      </c>
      <c r="D28" s="401">
        <f>'25'!H37</f>
        <v>0.1</v>
      </c>
      <c r="E28" s="402">
        <f>'25'!I37</f>
        <v>0.1</v>
      </c>
      <c r="F28" s="402">
        <f>'25'!J37</f>
        <v>0.06</v>
      </c>
      <c r="G28" s="402">
        <f>'25'!K37</f>
        <v>0.03</v>
      </c>
    </row>
    <row r="29" spans="1:7">
      <c r="A29" s="400">
        <v>26</v>
      </c>
      <c r="B29" s="401">
        <f>'26'!F37</f>
        <v>1.4</v>
      </c>
      <c r="C29" s="401">
        <f>'26'!G37</f>
        <v>0.1</v>
      </c>
      <c r="D29" s="401">
        <f>'26'!H37</f>
        <v>0.1</v>
      </c>
      <c r="E29" s="402">
        <f>'26'!I37</f>
        <v>0.2</v>
      </c>
      <c r="F29" s="402">
        <f>'26'!J37</f>
        <v>0.15</v>
      </c>
      <c r="G29" s="402">
        <f>'26'!K37</f>
        <v>0.03</v>
      </c>
    </row>
    <row r="30" spans="1:7">
      <c r="A30" s="400">
        <v>27</v>
      </c>
      <c r="B30" s="401">
        <f>'27'!F37</f>
        <v>1</v>
      </c>
      <c r="C30" s="401">
        <f>'27'!G37</f>
        <v>0</v>
      </c>
      <c r="D30" s="401">
        <f>'27'!H37</f>
        <v>0</v>
      </c>
      <c r="E30" s="402">
        <f>'27'!I37</f>
        <v>0.2</v>
      </c>
      <c r="F30" s="402">
        <f>'27'!J37</f>
        <v>0.15</v>
      </c>
      <c r="G30" s="402">
        <f>'27'!K37</f>
        <v>0.03</v>
      </c>
    </row>
    <row r="31" spans="1:7">
      <c r="A31" s="400">
        <v>28</v>
      </c>
      <c r="B31" s="401">
        <f>'28'!F37</f>
        <v>1.4</v>
      </c>
      <c r="C31" s="401">
        <f>'28'!G37</f>
        <v>0.2</v>
      </c>
      <c r="D31" s="401">
        <f>'28'!H37</f>
        <v>0.2</v>
      </c>
      <c r="E31" s="402">
        <f>'28'!I37</f>
        <v>0.25</v>
      </c>
      <c r="F31" s="402">
        <f>'28'!J37</f>
        <v>0.15</v>
      </c>
      <c r="G31" s="402">
        <f>'28'!K37</f>
        <v>0.03</v>
      </c>
    </row>
    <row r="32" spans="1:7">
      <c r="A32" s="400">
        <v>29</v>
      </c>
      <c r="B32" s="401">
        <f>'29'!F37</f>
        <v>1.8</v>
      </c>
      <c r="C32" s="401">
        <f>'29'!G37</f>
        <v>0.1</v>
      </c>
      <c r="D32" s="401">
        <f>'29'!H37</f>
        <v>0.1</v>
      </c>
      <c r="E32" s="402">
        <f>'29'!I37</f>
        <v>0.3</v>
      </c>
      <c r="F32" s="402">
        <f>'29'!J37</f>
        <v>0.08</v>
      </c>
      <c r="G32" s="402">
        <f>'29'!K37</f>
        <v>0.03</v>
      </c>
    </row>
    <row r="33" spans="1:7">
      <c r="A33" s="400">
        <v>30</v>
      </c>
      <c r="B33" s="401">
        <f>'30'!F37</f>
        <v>1.2</v>
      </c>
      <c r="C33" s="401">
        <f>'30'!G37</f>
        <v>0.2</v>
      </c>
      <c r="D33" s="401">
        <f>'30'!H37</f>
        <v>0</v>
      </c>
      <c r="E33" s="402">
        <f>'30'!I37</f>
        <v>0.3</v>
      </c>
      <c r="F33" s="402">
        <f>'30'!J37</f>
        <v>0</v>
      </c>
      <c r="G33" s="402">
        <f>'30'!K37</f>
        <v>0.03</v>
      </c>
    </row>
    <row r="34" spans="1:7">
      <c r="A34" s="400">
        <v>31</v>
      </c>
      <c r="B34" s="401">
        <f>'31'!F37</f>
        <v>1.2</v>
      </c>
      <c r="C34" s="401">
        <f>'31'!G37</f>
        <v>0.2</v>
      </c>
      <c r="D34" s="401">
        <f>'31'!H37</f>
        <v>0.2</v>
      </c>
      <c r="E34" s="402">
        <f>'31'!I37</f>
        <v>0.4</v>
      </c>
      <c r="F34" s="402">
        <f>'31'!J37</f>
        <v>0.25</v>
      </c>
      <c r="G34" s="402">
        <f>'31'!K37</f>
        <v>0.03</v>
      </c>
    </row>
    <row r="35" spans="1:7">
      <c r="A35" s="403"/>
      <c r="B35" s="403"/>
      <c r="C35" s="403"/>
      <c r="D35" s="403"/>
      <c r="E35" s="403"/>
      <c r="F35" s="403"/>
      <c r="G35" s="403"/>
    </row>
    <row r="36" spans="1:7">
      <c r="A36" s="404" t="s">
        <v>205</v>
      </c>
      <c r="B36" s="402">
        <f t="shared" ref="B36:G36" si="0">MAX(B4:B34)</f>
        <v>1.8</v>
      </c>
      <c r="C36" s="402">
        <f t="shared" si="0"/>
        <v>0.2</v>
      </c>
      <c r="D36" s="402">
        <f t="shared" si="0"/>
        <v>0.2</v>
      </c>
      <c r="E36" s="405">
        <f t="shared" si="0"/>
        <v>0.4</v>
      </c>
      <c r="F36" s="405">
        <f t="shared" si="0"/>
        <v>0.25</v>
      </c>
      <c r="G36" s="405">
        <f t="shared" si="0"/>
        <v>0.05</v>
      </c>
    </row>
    <row r="37" spans="1:7">
      <c r="A37" s="404" t="s">
        <v>206</v>
      </c>
      <c r="B37" s="402">
        <f t="shared" ref="B37:G37" si="1">MIN(B4:B34)</f>
        <v>0</v>
      </c>
      <c r="C37" s="402">
        <f t="shared" si="1"/>
        <v>0</v>
      </c>
      <c r="D37" s="402">
        <f t="shared" si="1"/>
        <v>0</v>
      </c>
      <c r="E37" s="405">
        <f t="shared" si="1"/>
        <v>0.06</v>
      </c>
      <c r="F37" s="405">
        <f t="shared" si="1"/>
        <v>0</v>
      </c>
      <c r="G37" s="405">
        <f t="shared" si="1"/>
        <v>0.03</v>
      </c>
    </row>
    <row r="38" spans="1:7">
      <c r="A38" s="404" t="s">
        <v>207</v>
      </c>
      <c r="B38" s="402">
        <f t="shared" ref="B38:G38" si="2">AVERAGE(B4:B34)</f>
        <v>0.94838709677419353</v>
      </c>
      <c r="C38" s="402">
        <f t="shared" si="2"/>
        <v>8.7096774193548429E-2</v>
      </c>
      <c r="D38" s="402">
        <f t="shared" si="2"/>
        <v>6.4516129032258077E-2</v>
      </c>
      <c r="E38" s="405">
        <f t="shared" si="2"/>
        <v>0.13548387096774198</v>
      </c>
      <c r="F38" s="405">
        <f t="shared" si="2"/>
        <v>8.0000000000000016E-2</v>
      </c>
      <c r="G38" s="405">
        <f t="shared" si="2"/>
        <v>3.0645161290322596E-2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22" activePane="bottomRight" state="frozen"/>
      <selection pane="topRight" activeCell="B1" sqref="B1"/>
      <selection pane="bottomLeft" activeCell="A22" sqref="A22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22"/>
      <c r="B1" s="423"/>
      <c r="C1" s="423"/>
      <c r="D1" s="423"/>
      <c r="E1" s="423"/>
      <c r="F1" s="424"/>
      <c r="G1" s="1148" t="s">
        <v>219</v>
      </c>
      <c r="H1" s="1148"/>
      <c r="I1" s="1148"/>
      <c r="J1" s="1148"/>
      <c r="K1" s="1148"/>
      <c r="L1" s="1148"/>
      <c r="M1" s="1148"/>
      <c r="N1" s="1148"/>
      <c r="O1" s="1148"/>
      <c r="P1" s="1148"/>
      <c r="Q1" s="1148"/>
      <c r="R1" s="1148"/>
      <c r="S1" s="1148"/>
      <c r="T1" s="1148"/>
      <c r="U1" s="1148"/>
      <c r="V1" s="1148"/>
      <c r="W1" s="1149" t="s">
        <v>220</v>
      </c>
      <c r="X1" s="1149"/>
      <c r="Y1" s="1149"/>
      <c r="Z1" s="1149"/>
      <c r="AA1" s="1149"/>
      <c r="AB1" s="1149"/>
      <c r="AC1" s="1149"/>
      <c r="AD1" s="1149"/>
      <c r="AE1" s="1149"/>
    </row>
    <row r="2" spans="1:31" ht="18" customHeight="1">
      <c r="A2" s="425"/>
      <c r="B2" s="426"/>
      <c r="C2" s="426"/>
      <c r="D2" s="426"/>
      <c r="E2" s="426"/>
      <c r="F2" s="427"/>
      <c r="G2" s="1148"/>
      <c r="H2" s="1148"/>
      <c r="I2" s="1148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 s="1149">
        <f>'1'!$U$25</f>
        <v>43891</v>
      </c>
      <c r="X2" s="1149">
        <f>'1'!$B$20</f>
        <v>80</v>
      </c>
      <c r="Y2" s="1149">
        <f>'1'!$B$20</f>
        <v>80</v>
      </c>
      <c r="Z2" s="1149"/>
      <c r="AA2" s="1149"/>
      <c r="AB2" s="1149"/>
      <c r="AC2" s="1149">
        <f>'1'!$B$20</f>
        <v>80</v>
      </c>
      <c r="AD2" s="1149">
        <f>'1'!$B$20</f>
        <v>80</v>
      </c>
      <c r="AE2" s="1149">
        <f>'1'!$B$20</f>
        <v>80</v>
      </c>
    </row>
    <row r="3" spans="1:31" ht="2.25" customHeight="1">
      <c r="A3" s="428"/>
      <c r="B3" s="428"/>
      <c r="C3" s="428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  <c r="Z3" s="428"/>
      <c r="AA3" s="428"/>
      <c r="AB3" s="428"/>
      <c r="AC3" s="428"/>
      <c r="AD3" s="428"/>
      <c r="AE3" s="428"/>
    </row>
    <row r="4" spans="1:31" s="429" customFormat="1" ht="27.75" customHeight="1">
      <c r="A4" s="1150" t="s">
        <v>221</v>
      </c>
      <c r="B4" s="1151" t="s">
        <v>222</v>
      </c>
      <c r="C4" s="1151"/>
      <c r="D4" s="1151"/>
      <c r="E4" s="1151"/>
      <c r="F4" s="1151"/>
      <c r="G4" s="1151"/>
      <c r="H4" s="1151"/>
      <c r="I4" s="1151"/>
      <c r="J4" s="1151"/>
      <c r="K4" s="1152" t="s">
        <v>223</v>
      </c>
      <c r="L4" s="1152"/>
      <c r="M4" s="1152"/>
      <c r="N4" s="1152"/>
      <c r="O4" s="1152"/>
      <c r="P4" s="1152"/>
      <c r="Q4" s="1152"/>
      <c r="R4" s="1152"/>
      <c r="S4" s="1152"/>
      <c r="T4" s="1152"/>
      <c r="U4" s="1152"/>
      <c r="V4" s="1152"/>
      <c r="W4" s="1153" t="s">
        <v>224</v>
      </c>
      <c r="X4" s="1153"/>
      <c r="Y4" s="1153"/>
      <c r="Z4" s="1153"/>
      <c r="AA4" s="1153"/>
      <c r="AB4" s="1153"/>
      <c r="AC4" s="1153"/>
      <c r="AD4" s="1153"/>
      <c r="AE4" s="1153"/>
    </row>
    <row r="5" spans="1:31" ht="30" customHeight="1">
      <c r="A5" s="1150"/>
      <c r="B5" s="1154" t="s">
        <v>225</v>
      </c>
      <c r="C5" s="1154"/>
      <c r="D5" s="1154"/>
      <c r="E5" s="1155" t="s">
        <v>226</v>
      </c>
      <c r="F5" s="1155"/>
      <c r="G5" s="1155"/>
      <c r="H5" s="1156" t="s">
        <v>227</v>
      </c>
      <c r="I5" s="1156"/>
      <c r="J5" s="1156"/>
      <c r="K5" s="1157" t="s">
        <v>225</v>
      </c>
      <c r="L5" s="1157"/>
      <c r="M5" s="1157"/>
      <c r="N5" s="1155" t="s">
        <v>226</v>
      </c>
      <c r="O5" s="1155"/>
      <c r="P5" s="1155"/>
      <c r="Q5" s="1155" t="s">
        <v>227</v>
      </c>
      <c r="R5" s="1155"/>
      <c r="S5" s="1155"/>
      <c r="T5" s="1158" t="s">
        <v>228</v>
      </c>
      <c r="U5" s="1158"/>
      <c r="V5" s="1158"/>
      <c r="W5" s="1154" t="s">
        <v>225</v>
      </c>
      <c r="X5" s="1154"/>
      <c r="Y5" s="1154"/>
      <c r="Z5" s="1155" t="s">
        <v>226</v>
      </c>
      <c r="AA5" s="1155"/>
      <c r="AB5" s="1155"/>
      <c r="AC5" s="1158" t="s">
        <v>227</v>
      </c>
      <c r="AD5" s="1158"/>
      <c r="AE5" s="1158"/>
    </row>
    <row r="6" spans="1:31" ht="17.25" customHeight="1">
      <c r="A6" s="1150"/>
      <c r="B6" s="431" t="s">
        <v>229</v>
      </c>
      <c r="C6" s="432" t="s">
        <v>230</v>
      </c>
      <c r="D6" s="432" t="s">
        <v>231</v>
      </c>
      <c r="E6" s="432" t="s">
        <v>229</v>
      </c>
      <c r="F6" s="432" t="s">
        <v>230</v>
      </c>
      <c r="G6" s="432" t="s">
        <v>231</v>
      </c>
      <c r="H6" s="432" t="s">
        <v>229</v>
      </c>
      <c r="I6" s="432" t="s">
        <v>230</v>
      </c>
      <c r="J6" s="433" t="s">
        <v>231</v>
      </c>
      <c r="K6" s="434" t="s">
        <v>229</v>
      </c>
      <c r="L6" s="432" t="s">
        <v>230</v>
      </c>
      <c r="M6" s="432" t="s">
        <v>231</v>
      </c>
      <c r="N6" s="435" t="s">
        <v>229</v>
      </c>
      <c r="O6" s="435" t="s">
        <v>230</v>
      </c>
      <c r="P6" s="435" t="s">
        <v>231</v>
      </c>
      <c r="Q6" s="435" t="s">
        <v>229</v>
      </c>
      <c r="R6" s="435" t="s">
        <v>230</v>
      </c>
      <c r="S6" s="435" t="s">
        <v>231</v>
      </c>
      <c r="T6" s="432" t="s">
        <v>229</v>
      </c>
      <c r="U6" s="432" t="s">
        <v>230</v>
      </c>
      <c r="V6" s="436" t="s">
        <v>231</v>
      </c>
      <c r="W6" s="431" t="s">
        <v>229</v>
      </c>
      <c r="X6" s="432" t="s">
        <v>230</v>
      </c>
      <c r="Y6" s="432" t="s">
        <v>231</v>
      </c>
      <c r="Z6" s="435" t="s">
        <v>229</v>
      </c>
      <c r="AA6" s="435" t="s">
        <v>230</v>
      </c>
      <c r="AB6" s="435" t="s">
        <v>231</v>
      </c>
      <c r="AC6" s="432" t="s">
        <v>229</v>
      </c>
      <c r="AD6" s="432" t="s">
        <v>230</v>
      </c>
      <c r="AE6" s="436" t="s">
        <v>231</v>
      </c>
    </row>
    <row r="7" spans="1:31" ht="18.75" customHeight="1">
      <c r="A7" s="437">
        <v>1</v>
      </c>
      <c r="B7" s="438">
        <f>'1'!$B$20</f>
        <v>80</v>
      </c>
      <c r="C7" s="439">
        <f>'1'!$B$21</f>
        <v>70</v>
      </c>
      <c r="D7" s="439">
        <f>'1'!$B$19</f>
        <v>78.333333333333329</v>
      </c>
      <c r="E7" s="440">
        <f>AVERAGE('1'!$C$20,'1'!$D$20)</f>
        <v>12.5</v>
      </c>
      <c r="F7" s="440">
        <f>AVERAGE('1'!$C$21,'1'!$D$21)</f>
        <v>12.5</v>
      </c>
      <c r="G7" s="440">
        <f>AVERAGE('1'!$C$19,'1'!$D$19)</f>
        <v>12.5</v>
      </c>
      <c r="H7" s="441">
        <f>'1'!$E$20</f>
        <v>2.5</v>
      </c>
      <c r="I7" s="441">
        <f>'1'!$E$21</f>
        <v>2.5</v>
      </c>
      <c r="J7" s="442">
        <f>'1'!$E$19</f>
        <v>2.5</v>
      </c>
      <c r="K7" s="443">
        <f>'1'!$F$20</f>
        <v>9.6</v>
      </c>
      <c r="L7" s="441">
        <f>'1'!$F$21</f>
        <v>8.6999999999999993</v>
      </c>
      <c r="M7" s="441">
        <f>'1'!$F$19</f>
        <v>9.1666666666666661</v>
      </c>
      <c r="N7" s="440">
        <f>AVERAGE('1'!$G$20,'1'!$H$20)</f>
        <v>1.5</v>
      </c>
      <c r="O7" s="440">
        <f>AVERAGE('1'!$G$21,'1'!$H$21)</f>
        <v>1.2999999999999998</v>
      </c>
      <c r="P7" s="440">
        <f>AVERAGE('1'!$G$19,'1'!$H$19)</f>
        <v>1.3875</v>
      </c>
      <c r="Q7" s="444">
        <f>'1'!$I$20</f>
        <v>0.4</v>
      </c>
      <c r="R7" s="444">
        <f>'1'!$I$21</f>
        <v>0.4</v>
      </c>
      <c r="S7" s="444">
        <f>'1'!$I$19</f>
        <v>0.39999999999999997</v>
      </c>
      <c r="T7" s="444">
        <f>'1'!$J$20</f>
        <v>0.4</v>
      </c>
      <c r="U7" s="444">
        <f>'1'!$J$21</f>
        <v>0.4</v>
      </c>
      <c r="V7" s="445">
        <f>'1'!$J$19</f>
        <v>0.39999999999999997</v>
      </c>
      <c r="W7" s="446">
        <f>'1'!$K$20</f>
        <v>7.3</v>
      </c>
      <c r="X7" s="444">
        <f>'1'!$K$21</f>
        <v>7.3</v>
      </c>
      <c r="Y7" s="444">
        <f>'1'!$K$19</f>
        <v>7.299999999999998</v>
      </c>
      <c r="Z7" s="444">
        <f>AVERAGE('1'!$L$20,'1'!$M$20)</f>
        <v>6.7</v>
      </c>
      <c r="AA7" s="444">
        <f>AVERAGE('1'!$L$21,'1'!$M$21)</f>
        <v>6.7</v>
      </c>
      <c r="AB7" s="444">
        <f>AVERAGE('1'!$L$19,'1'!$M$19)</f>
        <v>6.700000000000002</v>
      </c>
      <c r="AC7" s="444">
        <f>'1'!$N$20</f>
        <v>6.4</v>
      </c>
      <c r="AD7" s="444">
        <f>'1'!$N$21</f>
        <v>6.4</v>
      </c>
      <c r="AE7" s="445">
        <f>'1'!$N$19</f>
        <v>6.3999999999999995</v>
      </c>
    </row>
    <row r="8" spans="1:31" ht="18.75" customHeight="1">
      <c r="A8" s="447">
        <v>2</v>
      </c>
      <c r="B8" s="448">
        <f>'2'!$B$20</f>
        <v>80</v>
      </c>
      <c r="C8" s="449">
        <f>'2'!$B$21</f>
        <v>50</v>
      </c>
      <c r="D8" s="449">
        <f>'2'!$B$19</f>
        <v>63.333333333333336</v>
      </c>
      <c r="E8" s="440">
        <f>AVERAGE('2'!$C$20,'2'!$D$20)</f>
        <v>12.5</v>
      </c>
      <c r="F8" s="440">
        <f>AVERAGE('2'!$C$21,'2'!$D$21)</f>
        <v>7.5</v>
      </c>
      <c r="G8" s="440">
        <f>AVERAGE('2'!$C$19,'2'!$D$19)</f>
        <v>10.833333333333334</v>
      </c>
      <c r="H8" s="440">
        <f>'2'!$E$20</f>
        <v>2.5</v>
      </c>
      <c r="I8" s="440">
        <f>'2'!$E$21</f>
        <v>2.5</v>
      </c>
      <c r="J8" s="450">
        <f>'2'!$E$19</f>
        <v>2.5</v>
      </c>
      <c r="K8" s="451">
        <f>'2'!$F$20</f>
        <v>9.1999999999999993</v>
      </c>
      <c r="L8" s="440">
        <f>'2'!$F$21</f>
        <v>7.8</v>
      </c>
      <c r="M8" s="440">
        <f>'2'!$F$19</f>
        <v>8.5083333333333329</v>
      </c>
      <c r="N8" s="440">
        <f>AVERAGE('2'!$G$20,'2'!$H$20)</f>
        <v>1.6</v>
      </c>
      <c r="O8" s="440">
        <f>AVERAGE('2'!$G$21,'2'!$H$21)</f>
        <v>1.2</v>
      </c>
      <c r="P8" s="440">
        <f>AVERAGE('2'!$G$19,'2'!$H$19)</f>
        <v>1.375</v>
      </c>
      <c r="Q8" s="452">
        <f>'2'!$I$20</f>
        <v>0.4</v>
      </c>
      <c r="R8" s="452">
        <f>'2'!$I$21</f>
        <v>0.3</v>
      </c>
      <c r="S8" s="452">
        <f>'2'!$I$19</f>
        <v>0.3166666666666666</v>
      </c>
      <c r="T8" s="452">
        <f>'2'!$J$20</f>
        <v>0.4</v>
      </c>
      <c r="U8" s="452">
        <f>'2'!$J$21</f>
        <v>0.3</v>
      </c>
      <c r="V8" s="453">
        <f>'2'!$J$19</f>
        <v>0.32499999999999996</v>
      </c>
      <c r="W8" s="454">
        <f>'2'!$K$20</f>
        <v>7.3</v>
      </c>
      <c r="X8" s="452">
        <f>'2'!$K$21</f>
        <v>7.3</v>
      </c>
      <c r="Y8" s="452">
        <f>'2'!$K$19</f>
        <v>7.299999999999998</v>
      </c>
      <c r="Z8" s="444">
        <f>AVERAGE('2'!$L$20,'2'!$M$20)</f>
        <v>6.7</v>
      </c>
      <c r="AA8" s="444">
        <f>AVERAGE('2'!$L$21,'2'!$M$21)</f>
        <v>6.6</v>
      </c>
      <c r="AB8" s="444">
        <f>AVERAGE('2'!$L$19,'2'!$M$19)</f>
        <v>6.6500000000000012</v>
      </c>
      <c r="AC8" s="452">
        <f>'2'!$N$20</f>
        <v>6.4</v>
      </c>
      <c r="AD8" s="452">
        <f>'2'!$N$21</f>
        <v>6.4</v>
      </c>
      <c r="AE8" s="453">
        <f>'2'!$N$19</f>
        <v>6.3999999999999995</v>
      </c>
    </row>
    <row r="9" spans="1:31" ht="18.75" customHeight="1">
      <c r="A9" s="447">
        <v>3</v>
      </c>
      <c r="B9" s="448">
        <f>'3'!$B$20</f>
        <v>70</v>
      </c>
      <c r="C9" s="449">
        <f>'3'!$B$21</f>
        <v>50</v>
      </c>
      <c r="D9" s="449">
        <f>'3'!$B$19</f>
        <v>61.666666666666664</v>
      </c>
      <c r="E9" s="440">
        <f>AVERAGE('3'!$C$20,'3'!$D$20)</f>
        <v>12.5</v>
      </c>
      <c r="F9" s="440">
        <f>AVERAGE('3'!$C$21,'3'!$D$21)</f>
        <v>11.25</v>
      </c>
      <c r="G9" s="440">
        <f>AVERAGE('3'!$C$19,'3'!$D$19)</f>
        <v>12.291666666666668</v>
      </c>
      <c r="H9" s="440">
        <f>'3'!$E$20</f>
        <v>2.5</v>
      </c>
      <c r="I9" s="440">
        <f>'3'!$E$21</f>
        <v>2.5</v>
      </c>
      <c r="J9" s="450">
        <f>'3'!$E$19</f>
        <v>2.5</v>
      </c>
      <c r="K9" s="451">
        <f>'3'!$F$20</f>
        <v>8.4</v>
      </c>
      <c r="L9" s="440">
        <f>'3'!$F$21</f>
        <v>7.7</v>
      </c>
      <c r="M9" s="440">
        <f>'3'!$F$19</f>
        <v>8.1416666666666693</v>
      </c>
      <c r="N9" s="440">
        <f>AVERAGE('3'!$G$20,'3'!$H$20)</f>
        <v>5</v>
      </c>
      <c r="O9" s="440">
        <f>AVERAGE('3'!$G$21,'3'!$H$21)</f>
        <v>1.35</v>
      </c>
      <c r="P9" s="440">
        <f>AVERAGE('3'!$G$19,'3'!$H$19)</f>
        <v>1.8749999999999996</v>
      </c>
      <c r="Q9" s="452">
        <f>'3'!$I$20</f>
        <v>0.5</v>
      </c>
      <c r="R9" s="452">
        <f>'3'!$I$21</f>
        <v>0.3</v>
      </c>
      <c r="S9" s="452">
        <f>'3'!$I$19</f>
        <v>0.43333333333333329</v>
      </c>
      <c r="T9" s="452">
        <f>'3'!$J$20</f>
        <v>0.6</v>
      </c>
      <c r="U9" s="452">
        <f>'3'!$J$21</f>
        <v>0.3</v>
      </c>
      <c r="V9" s="453">
        <f>'3'!$J$19</f>
        <v>0.45833333333333343</v>
      </c>
      <c r="W9" s="454">
        <f>'3'!$K$20</f>
        <v>7.3</v>
      </c>
      <c r="X9" s="452">
        <f>'3'!$K$21</f>
        <v>7.3</v>
      </c>
      <c r="Y9" s="452">
        <f>'3'!$K$19</f>
        <v>7.299999999999998</v>
      </c>
      <c r="Z9" s="444">
        <f>AVERAGE('3'!$L$20,'3'!$M$20)</f>
        <v>6.7</v>
      </c>
      <c r="AA9" s="444">
        <f>AVERAGE('3'!$L$21,'3'!$M$21)</f>
        <v>6.7</v>
      </c>
      <c r="AB9" s="444">
        <f>AVERAGE('3'!$L$19,'3'!$M$19)</f>
        <v>6.700000000000002</v>
      </c>
      <c r="AC9" s="452">
        <f>'3'!$N$20</f>
        <v>6.4</v>
      </c>
      <c r="AD9" s="452">
        <f>'3'!$N$21</f>
        <v>6.4</v>
      </c>
      <c r="AE9" s="453">
        <f>'3'!$N$19</f>
        <v>6.3999999999999995</v>
      </c>
    </row>
    <row r="10" spans="1:31" ht="18.75" customHeight="1">
      <c r="A10" s="447">
        <v>4</v>
      </c>
      <c r="B10" s="448">
        <f>'4'!$B$20</f>
        <v>60</v>
      </c>
      <c r="C10" s="449">
        <f>'4'!$B$21</f>
        <v>50</v>
      </c>
      <c r="D10" s="449">
        <f>'4'!$B$19</f>
        <v>61.666666666666664</v>
      </c>
      <c r="E10" s="440">
        <f>AVERAGE('4'!$C$20,'4'!$D$20)</f>
        <v>11.25</v>
      </c>
      <c r="F10" s="440">
        <f>AVERAGE('4'!$C$21,'4'!$D$21)</f>
        <v>11.25</v>
      </c>
      <c r="G10" s="440">
        <f>AVERAGE('4'!$C$19,'4'!$D$19)</f>
        <v>12.291666666666668</v>
      </c>
      <c r="H10" s="440">
        <f>'4'!$E$20</f>
        <v>2.5</v>
      </c>
      <c r="I10" s="440">
        <f>'4'!$E$21</f>
        <v>2.5</v>
      </c>
      <c r="J10" s="450">
        <f>'4'!$E$19</f>
        <v>2.5</v>
      </c>
      <c r="K10" s="451">
        <f>'4'!$F$20</f>
        <v>11</v>
      </c>
      <c r="L10" s="440">
        <f>'4'!$F$21</f>
        <v>8.3000000000000007</v>
      </c>
      <c r="M10" s="440">
        <f>'4'!$F$19</f>
        <v>8.1416666666666693</v>
      </c>
      <c r="N10" s="440">
        <f>AVERAGE('4'!$G$20,'4'!$H$20)</f>
        <v>1.7149999999999999</v>
      </c>
      <c r="O10" s="440">
        <f>AVERAGE('4'!$G$21,'4'!$H$21)</f>
        <v>1.4500000000000002</v>
      </c>
      <c r="P10" s="440">
        <f>AVERAGE('4'!$G$19,'4'!$H$19)</f>
        <v>1.8749999999999996</v>
      </c>
      <c r="Q10" s="452">
        <f>'4'!$I$20</f>
        <v>0.5</v>
      </c>
      <c r="R10" s="452">
        <f>'4'!$I$21</f>
        <v>0.4</v>
      </c>
      <c r="S10" s="452">
        <f>'4'!$I$19</f>
        <v>0.43333333333333329</v>
      </c>
      <c r="T10" s="452">
        <f>'4'!$J$20</f>
        <v>0.5</v>
      </c>
      <c r="U10" s="452">
        <f>'4'!$J$21</f>
        <v>0.4</v>
      </c>
      <c r="V10" s="453">
        <f>'4'!$J$19</f>
        <v>0.45833333333333343</v>
      </c>
      <c r="W10" s="454">
        <f>'4'!$K$20</f>
        <v>7.3</v>
      </c>
      <c r="X10" s="452">
        <f>'4'!$K$21</f>
        <v>7.3</v>
      </c>
      <c r="Y10" s="452">
        <f>'4'!$K$19</f>
        <v>7.299999999999998</v>
      </c>
      <c r="Z10" s="444">
        <f>AVERAGE('4'!$L$20,'4'!$M$20)</f>
        <v>6.7</v>
      </c>
      <c r="AA10" s="444">
        <f>AVERAGE('4'!$L$21,'4'!$M$21)</f>
        <v>6.7</v>
      </c>
      <c r="AB10" s="444">
        <f>AVERAGE('4'!$L$19,'4'!$M$19)</f>
        <v>6.700000000000002</v>
      </c>
      <c r="AC10" s="452">
        <f>'4'!$N$20</f>
        <v>6.4</v>
      </c>
      <c r="AD10" s="452">
        <f>'4'!$N$21</f>
        <v>6.4</v>
      </c>
      <c r="AE10" s="453">
        <f>'4'!$N$19</f>
        <v>6.3999999999999995</v>
      </c>
    </row>
    <row r="11" spans="1:31" ht="18.75" customHeight="1">
      <c r="A11" s="447">
        <v>5</v>
      </c>
      <c r="B11" s="448">
        <f>'5'!$B$20</f>
        <v>60</v>
      </c>
      <c r="C11" s="449">
        <f>'5'!$B$21</f>
        <v>60</v>
      </c>
      <c r="D11" s="449">
        <f>'5'!$B$19</f>
        <v>60</v>
      </c>
      <c r="E11" s="440">
        <f>AVERAGE('5'!$C$20,'5'!$D$20)</f>
        <v>11.25</v>
      </c>
      <c r="F11" s="440">
        <f>AVERAGE('5'!$C$21,'5'!$D$21)</f>
        <v>11.25</v>
      </c>
      <c r="G11" s="440">
        <f>AVERAGE('5'!$C$19,'5'!$D$19)</f>
        <v>11.25</v>
      </c>
      <c r="H11" s="440">
        <f>'5'!$E$20</f>
        <v>2.5</v>
      </c>
      <c r="I11" s="440">
        <f>'5'!$E$21</f>
        <v>2.5</v>
      </c>
      <c r="J11" s="450">
        <f>'5'!$E$19</f>
        <v>2.5</v>
      </c>
      <c r="K11" s="451">
        <f>'5'!$F$20</f>
        <v>11</v>
      </c>
      <c r="L11" s="440">
        <f>'5'!$F$21</f>
        <v>8.6999999999999993</v>
      </c>
      <c r="M11" s="440">
        <f>'5'!$F$19</f>
        <v>9.2833333333333332</v>
      </c>
      <c r="N11" s="440">
        <f>AVERAGE('5'!$G$20,'5'!$H$20)</f>
        <v>1.7149999999999999</v>
      </c>
      <c r="O11" s="440">
        <f>AVERAGE('5'!$G$21,'5'!$H$21)</f>
        <v>1.4500000000000002</v>
      </c>
      <c r="P11" s="440">
        <f>AVERAGE('5'!$G$19,'5'!$H$19)</f>
        <v>1.5720833333333335</v>
      </c>
      <c r="Q11" s="452">
        <f>'5'!$I$20</f>
        <v>0.5</v>
      </c>
      <c r="R11" s="452">
        <f>'5'!$I$21</f>
        <v>0.4</v>
      </c>
      <c r="S11" s="452">
        <f>'5'!$I$19</f>
        <v>0.43333333333333335</v>
      </c>
      <c r="T11" s="452">
        <f>'5'!$J$20</f>
        <v>0.5</v>
      </c>
      <c r="U11" s="452">
        <f>'5'!$J$21</f>
        <v>0.4</v>
      </c>
      <c r="V11" s="453">
        <f>'5'!$J$19</f>
        <v>0.40833333333333338</v>
      </c>
      <c r="W11" s="454">
        <f>'5'!$K$20</f>
        <v>7.3</v>
      </c>
      <c r="X11" s="452">
        <f>'5'!$K$21</f>
        <v>7.3</v>
      </c>
      <c r="Y11" s="452">
        <f>'5'!$K$19</f>
        <v>7.299999999999998</v>
      </c>
      <c r="Z11" s="444">
        <f>AVERAGE('5'!$L$20,'5'!$M$20)</f>
        <v>6.7</v>
      </c>
      <c r="AA11" s="444">
        <f>AVERAGE('5'!$L$21,'5'!$M$21)</f>
        <v>6.7</v>
      </c>
      <c r="AB11" s="444">
        <f>AVERAGE('5'!$L$19,'5'!$M$19)</f>
        <v>6.700000000000002</v>
      </c>
      <c r="AC11" s="452">
        <f>'5'!$N$20</f>
        <v>6.4</v>
      </c>
      <c r="AD11" s="452">
        <f>'5'!$N$21</f>
        <v>6.4</v>
      </c>
      <c r="AE11" s="453">
        <f>'5'!$N$19</f>
        <v>6.3999999999999995</v>
      </c>
    </row>
    <row r="12" spans="1:31" ht="18.75" customHeight="1">
      <c r="A12" s="447">
        <v>6</v>
      </c>
      <c r="B12" s="448">
        <f>'6'!$B$20</f>
        <v>60</v>
      </c>
      <c r="C12" s="449">
        <f>'6'!$B$21</f>
        <v>60</v>
      </c>
      <c r="D12" s="449">
        <f>'6'!$B$19</f>
        <v>60</v>
      </c>
      <c r="E12" s="440">
        <f>AVERAGE('6'!$C$20,'6'!$D$20)</f>
        <v>11.25</v>
      </c>
      <c r="F12" s="440">
        <f>AVERAGE('6'!$C$21,'6'!$D$21)</f>
        <v>8.75</v>
      </c>
      <c r="G12" s="440">
        <f>AVERAGE('6'!$C$19,'6'!$D$19)</f>
        <v>10.3125</v>
      </c>
      <c r="H12" s="440">
        <f>'6'!$E$20</f>
        <v>2.5</v>
      </c>
      <c r="I12" s="440">
        <f>'6'!$E$21</f>
        <v>2.5</v>
      </c>
      <c r="J12" s="450">
        <f>'6'!$E$19</f>
        <v>2.5</v>
      </c>
      <c r="K12" s="451">
        <f>'6'!$F$20</f>
        <v>9.1999999999999993</v>
      </c>
      <c r="L12" s="440">
        <f>'6'!$F$21</f>
        <v>6.5</v>
      </c>
      <c r="M12" s="440">
        <f>'6'!$F$19</f>
        <v>8.4666666666666668</v>
      </c>
      <c r="N12" s="440">
        <f>AVERAGE('6'!$G$20,'6'!$H$20)</f>
        <v>1.65</v>
      </c>
      <c r="O12" s="440">
        <f>AVERAGE('6'!$G$21,'6'!$H$21)</f>
        <v>1.2999999999999998</v>
      </c>
      <c r="P12" s="440">
        <f>AVERAGE('6'!$G$19,'6'!$H$19)</f>
        <v>1.4458333333333333</v>
      </c>
      <c r="Q12" s="452">
        <f>'6'!$I$20</f>
        <v>0.4</v>
      </c>
      <c r="R12" s="452">
        <f>'6'!$I$21</f>
        <v>0.3</v>
      </c>
      <c r="S12" s="452">
        <f>'6'!$I$19</f>
        <v>0.35833333333333334</v>
      </c>
      <c r="T12" s="452">
        <f>'6'!$J$20</f>
        <v>0.4</v>
      </c>
      <c r="U12" s="452">
        <f>'6'!$J$21</f>
        <v>0.3</v>
      </c>
      <c r="V12" s="453">
        <f>'6'!$J$19</f>
        <v>0.35833333333333323</v>
      </c>
      <c r="W12" s="454">
        <f>'6'!$K$20</f>
        <v>7.3</v>
      </c>
      <c r="X12" s="452">
        <f>'6'!$K$21</f>
        <v>7.3</v>
      </c>
      <c r="Y12" s="452">
        <f>'6'!$K$19</f>
        <v>7.299999999999998</v>
      </c>
      <c r="Z12" s="444">
        <f>AVERAGE('6'!$L$20,'6'!$M$20)</f>
        <v>6.7</v>
      </c>
      <c r="AA12" s="444">
        <f>AVERAGE('6'!$L$21,'6'!$M$21)</f>
        <v>6.6</v>
      </c>
      <c r="AB12" s="444">
        <f>AVERAGE('6'!$L$19,'6'!$M$19)</f>
        <v>6.6541666666666677</v>
      </c>
      <c r="AC12" s="452">
        <f>'6'!$N$20</f>
        <v>6.5</v>
      </c>
      <c r="AD12" s="452">
        <f>'6'!$N$21</f>
        <v>6.4</v>
      </c>
      <c r="AE12" s="453">
        <f>'6'!$N$19</f>
        <v>6.4666666666666659</v>
      </c>
    </row>
    <row r="13" spans="1:31" ht="18.75" customHeight="1">
      <c r="A13" s="447">
        <v>7</v>
      </c>
      <c r="B13" s="448">
        <f>'7'!$B$20</f>
        <v>60</v>
      </c>
      <c r="C13" s="449">
        <f>'7'!$B$21</f>
        <v>60</v>
      </c>
      <c r="D13" s="449">
        <f>'7'!$B$19</f>
        <v>60</v>
      </c>
      <c r="E13" s="440">
        <f>AVERAGE('7'!$C$20,'7'!$D$20)</f>
        <v>11.25</v>
      </c>
      <c r="F13" s="440">
        <f>AVERAGE('7'!$C$21,'7'!$D$21)</f>
        <v>10</v>
      </c>
      <c r="G13" s="440">
        <f>AVERAGE('7'!$C$19,'7'!$D$19)</f>
        <v>11.041666666666668</v>
      </c>
      <c r="H13" s="440">
        <f>'7'!$E$20</f>
        <v>2.5</v>
      </c>
      <c r="I13" s="440">
        <f>'7'!$E$21</f>
        <v>2.5</v>
      </c>
      <c r="J13" s="450">
        <f>'7'!$E$19</f>
        <v>2.5</v>
      </c>
      <c r="K13" s="451">
        <f>'6'!$F$20</f>
        <v>9.1999999999999993</v>
      </c>
      <c r="L13" s="440">
        <f>'6'!$F$21</f>
        <v>6.5</v>
      </c>
      <c r="M13" s="440">
        <f>'7'!$F$19</f>
        <v>8.5250000000000004</v>
      </c>
      <c r="N13" s="440">
        <f>AVERAGE('7'!$G$20,'7'!$H$20)</f>
        <v>1.7000000000000002</v>
      </c>
      <c r="O13" s="440">
        <f>AVERAGE('7'!$G$21,'7'!$H$21)</f>
        <v>1.3</v>
      </c>
      <c r="P13" s="440">
        <f>AVERAGE('7'!$G$19,'7'!$H$19)</f>
        <v>1.5291666666666668</v>
      </c>
      <c r="Q13" s="452">
        <f>'7'!$I$20</f>
        <v>0.4</v>
      </c>
      <c r="R13" s="452">
        <f>'7'!$I$21</f>
        <v>0.4</v>
      </c>
      <c r="S13" s="452">
        <f>'7'!$I$19</f>
        <v>0.39999999999999997</v>
      </c>
      <c r="T13" s="452">
        <f>'7'!$J$20</f>
        <v>0.5</v>
      </c>
      <c r="U13" s="452">
        <f>'7'!$J$21</f>
        <v>0.4</v>
      </c>
      <c r="V13" s="453">
        <f>'7'!$J$19</f>
        <v>0.46666666666666673</v>
      </c>
      <c r="W13" s="454">
        <f>'7'!$K$20</f>
        <v>7.3</v>
      </c>
      <c r="X13" s="452">
        <f>'7'!$K$21</f>
        <v>7.3</v>
      </c>
      <c r="Y13" s="452">
        <f>'7'!$K$19</f>
        <v>7.299999999999998</v>
      </c>
      <c r="Z13" s="444">
        <f>AVERAGE('7'!$L$20,'7'!$M$20)</f>
        <v>6.7200000000000006</v>
      </c>
      <c r="AA13" s="444">
        <f>AVERAGE('7'!$L$21,'7'!$M$21)</f>
        <v>6.6</v>
      </c>
      <c r="AB13" s="444">
        <f>AVERAGE('7'!$L$19,'7'!$M$19)</f>
        <v>6.6850000000000005</v>
      </c>
      <c r="AC13" s="452">
        <f>'7'!$N$20</f>
        <v>6.5</v>
      </c>
      <c r="AD13" s="452">
        <f>'7'!$N$21</f>
        <v>6.3</v>
      </c>
      <c r="AE13" s="453">
        <f>'7'!$N$19</f>
        <v>6.4666666666666659</v>
      </c>
    </row>
    <row r="14" spans="1:31" ht="18.75" customHeight="1">
      <c r="A14" s="447">
        <v>8</v>
      </c>
      <c r="B14" s="448">
        <f>'8'!$B$20</f>
        <v>60</v>
      </c>
      <c r="C14" s="449">
        <f>'8'!$B$21</f>
        <v>60</v>
      </c>
      <c r="D14" s="449">
        <f>'8'!$B$19</f>
        <v>60</v>
      </c>
      <c r="E14" s="440">
        <f>AVERAGE('8'!$C$20,'8'!$D$20)</f>
        <v>11.25</v>
      </c>
      <c r="F14" s="440">
        <f>AVERAGE('8'!$C$21,'8'!$D$21)</f>
        <v>10</v>
      </c>
      <c r="G14" s="440">
        <f>AVERAGE('8'!$C$19,'8'!$D$19)</f>
        <v>10.416666666666668</v>
      </c>
      <c r="H14" s="440">
        <f>'8'!$E$20</f>
        <v>2.5</v>
      </c>
      <c r="I14" s="440">
        <f>'8'!$E$21</f>
        <v>2.5</v>
      </c>
      <c r="J14" s="450">
        <f>'8'!$E$19</f>
        <v>2.5</v>
      </c>
      <c r="K14" s="451">
        <f>'8'!$F$20</f>
        <v>8.8000000000000007</v>
      </c>
      <c r="L14" s="440">
        <f>'8'!$F$21</f>
        <v>7.5</v>
      </c>
      <c r="M14" s="440">
        <f>'8'!$F$19</f>
        <v>8.2249999999999996</v>
      </c>
      <c r="N14" s="440">
        <f>AVERAGE('8'!$G$20,'8'!$H$20)</f>
        <v>1.55</v>
      </c>
      <c r="O14" s="440">
        <f>AVERAGE('8'!$G$21,'8'!$H$21)</f>
        <v>1.1000000000000001</v>
      </c>
      <c r="P14" s="440">
        <f>AVERAGE('8'!$G$19,'8'!$H$19)</f>
        <v>1.3458333333333334</v>
      </c>
      <c r="Q14" s="452">
        <f>'8'!$I$20</f>
        <v>0.4</v>
      </c>
      <c r="R14" s="452">
        <f>'8'!$I$21</f>
        <v>0.3</v>
      </c>
      <c r="S14" s="452">
        <f>'8'!$I$19</f>
        <v>0.34999999999999992</v>
      </c>
      <c r="T14" s="452">
        <f>'8'!$J$20</f>
        <v>0.5</v>
      </c>
      <c r="U14" s="452">
        <f>'8'!$J$21</f>
        <v>0.3</v>
      </c>
      <c r="V14" s="453">
        <f>'8'!$J$19</f>
        <v>0.39999999999999997</v>
      </c>
      <c r="W14" s="454">
        <f>'8'!$K$20</f>
        <v>7.3</v>
      </c>
      <c r="X14" s="452">
        <f>'8'!$K$21</f>
        <v>7</v>
      </c>
      <c r="Y14" s="452">
        <f>'8'!$K$19</f>
        <v>7.2416666666666645</v>
      </c>
      <c r="Z14" s="444">
        <f>AVERAGE('8'!$L$20,'8'!$M$20)</f>
        <v>6.7</v>
      </c>
      <c r="AA14" s="444">
        <f>AVERAGE('8'!$L$21,'8'!$M$21)</f>
        <v>6.5</v>
      </c>
      <c r="AB14" s="444">
        <f>AVERAGE('8'!$L$19,'8'!$M$19)</f>
        <v>6.6333333333333355</v>
      </c>
      <c r="AC14" s="452">
        <f>'8'!$N$20</f>
        <v>6.4</v>
      </c>
      <c r="AD14" s="452">
        <f>'8'!$N$21</f>
        <v>6.3</v>
      </c>
      <c r="AE14" s="453">
        <f>'8'!$N$19</f>
        <v>6.3166666666666664</v>
      </c>
    </row>
    <row r="15" spans="1:31" ht="18.75" customHeight="1">
      <c r="A15" s="447">
        <v>9</v>
      </c>
      <c r="B15" s="448">
        <f>'9'!$B$20</f>
        <v>60</v>
      </c>
      <c r="C15" s="449">
        <f>'9'!$B$21</f>
        <v>60</v>
      </c>
      <c r="D15" s="449">
        <f>'9'!$B$19</f>
        <v>60</v>
      </c>
      <c r="E15" s="440">
        <f>AVERAGE('9'!$C$20,'9'!$D$20)</f>
        <v>11.25</v>
      </c>
      <c r="F15" s="440">
        <f>AVERAGE('9'!$C$21,'9'!$D$21)</f>
        <v>11.25</v>
      </c>
      <c r="G15" s="440">
        <f>AVERAGE('9'!$C$19,'9'!$D$19)</f>
        <v>11.25</v>
      </c>
      <c r="H15" s="440">
        <f>'9'!$E$20</f>
        <v>2.5</v>
      </c>
      <c r="I15" s="440">
        <f>'9'!$E$21</f>
        <v>2.5</v>
      </c>
      <c r="J15" s="450">
        <f>'9'!$E$19</f>
        <v>2.5</v>
      </c>
      <c r="K15" s="451">
        <f>'9'!$F$20</f>
        <v>9.1999999999999993</v>
      </c>
      <c r="L15" s="440">
        <f>'9'!$F$21</f>
        <v>8.1999999999999993</v>
      </c>
      <c r="M15" s="440">
        <f>'9'!$F$19</f>
        <v>8.6333333333333346</v>
      </c>
      <c r="N15" s="440">
        <f>AVERAGE('9'!$G$20,'9'!$H$20)</f>
        <v>1.75</v>
      </c>
      <c r="O15" s="440">
        <f>AVERAGE('9'!$G$21,'9'!$H$21)</f>
        <v>1.2</v>
      </c>
      <c r="P15" s="440">
        <f>AVERAGE('9'!$G$19,'9'!$H$19)</f>
        <v>1.4666666666666666</v>
      </c>
      <c r="Q15" s="452">
        <f>'9'!$I$20</f>
        <v>0.4</v>
      </c>
      <c r="R15" s="452">
        <f>'9'!$I$21</f>
        <v>0.4</v>
      </c>
      <c r="S15" s="452">
        <f>'9'!$I$19</f>
        <v>0.39999999999999997</v>
      </c>
      <c r="T15" s="452">
        <f>'9'!$J$20</f>
        <v>0.6</v>
      </c>
      <c r="U15" s="452">
        <f>'9'!$J$21</f>
        <v>0.4</v>
      </c>
      <c r="V15" s="453">
        <f>'9'!$J$19</f>
        <v>0.46666666666666679</v>
      </c>
      <c r="W15" s="454">
        <f>'9'!$K$20</f>
        <v>7.3</v>
      </c>
      <c r="X15" s="452">
        <f>'9'!$K$21</f>
        <v>7.3</v>
      </c>
      <c r="Y15" s="452">
        <f>'9'!$K$19</f>
        <v>7.299999999999998</v>
      </c>
      <c r="Z15" s="444">
        <f>AVERAGE('9'!$L$20,'9'!$M$20)</f>
        <v>6.7</v>
      </c>
      <c r="AA15" s="444">
        <f>AVERAGE('9'!$L$21,'9'!$M$21)</f>
        <v>6.7</v>
      </c>
      <c r="AB15" s="444">
        <f>AVERAGE('9'!$L$19,'9'!$M$19)</f>
        <v>6.700000000000002</v>
      </c>
      <c r="AC15" s="452">
        <f>'9'!$N$20</f>
        <v>6.5</v>
      </c>
      <c r="AD15" s="452">
        <f>'9'!$N$21</f>
        <v>6.4</v>
      </c>
      <c r="AE15" s="453">
        <f>'9'!$N$19</f>
        <v>6.4666666666666659</v>
      </c>
    </row>
    <row r="16" spans="1:31" ht="18.75" customHeight="1">
      <c r="A16" s="447">
        <v>10</v>
      </c>
      <c r="B16" s="448">
        <f>'10'!$B$20</f>
        <v>60</v>
      </c>
      <c r="C16" s="449">
        <f>'10'!$B$21</f>
        <v>60</v>
      </c>
      <c r="D16" s="449">
        <f>'10'!$B$19</f>
        <v>60</v>
      </c>
      <c r="E16" s="440">
        <f>AVERAGE('10'!$C$20,'10'!$D$20)</f>
        <v>12.5</v>
      </c>
      <c r="F16" s="440">
        <f>AVERAGE('10'!$C$21,'10'!$D$21)</f>
        <v>10</v>
      </c>
      <c r="G16" s="440">
        <f>AVERAGE('10'!$C$19,'10'!$D$19)</f>
        <v>11.458333333333332</v>
      </c>
      <c r="H16" s="440">
        <f>'10'!$E$20</f>
        <v>2.5</v>
      </c>
      <c r="I16" s="440">
        <f>'10'!$E$21</f>
        <v>2.5</v>
      </c>
      <c r="J16" s="450">
        <f>'10'!$E$19</f>
        <v>2.5</v>
      </c>
      <c r="K16" s="451">
        <f>'10'!$F$20</f>
        <v>9</v>
      </c>
      <c r="L16" s="440">
        <f>'10'!$F$21</f>
        <v>7.4</v>
      </c>
      <c r="M16" s="440">
        <f>'10'!$F$19</f>
        <v>8.3083333333333336</v>
      </c>
      <c r="N16" s="440">
        <f>AVERAGE('10'!$G$20,'10'!$H$20)</f>
        <v>1.85</v>
      </c>
      <c r="O16" s="440">
        <f>AVERAGE('10'!$G$21,'10'!$H$21)</f>
        <v>1.35</v>
      </c>
      <c r="P16" s="440">
        <f>AVERAGE('10'!$G$19,'10'!$H$19)</f>
        <v>1.4749999999999999</v>
      </c>
      <c r="Q16" s="452">
        <f>'10'!$I$20</f>
        <v>0.4</v>
      </c>
      <c r="R16" s="452">
        <f>'10'!$I$21</f>
        <v>0.4</v>
      </c>
      <c r="S16" s="452">
        <f>'10'!$I$19</f>
        <v>0.39999999999999997</v>
      </c>
      <c r="T16" s="452">
        <f>'10'!$J$20</f>
        <v>0.5</v>
      </c>
      <c r="U16" s="452">
        <f>'10'!$J$21</f>
        <v>0.4</v>
      </c>
      <c r="V16" s="453">
        <f>'10'!$J$19</f>
        <v>0.43333333333333335</v>
      </c>
      <c r="W16" s="454">
        <f>'10'!$K$20</f>
        <v>7.3</v>
      </c>
      <c r="X16" s="452">
        <f>'10'!$K$21</f>
        <v>7.3</v>
      </c>
      <c r="Y16" s="452">
        <f>'10'!$K$19</f>
        <v>7.299999999999998</v>
      </c>
      <c r="Z16" s="444">
        <f>AVERAGE('10'!$L$20,'10'!$M$20)</f>
        <v>6.7</v>
      </c>
      <c r="AA16" s="444">
        <f>AVERAGE('10'!$L$21,'10'!$M$21)</f>
        <v>6.6</v>
      </c>
      <c r="AB16" s="444">
        <f>AVERAGE('10'!$L$19,'10'!$M$19)</f>
        <v>6.6708333333333343</v>
      </c>
      <c r="AC16" s="452">
        <f>'10'!$N$20</f>
        <v>6.5</v>
      </c>
      <c r="AD16" s="452">
        <f>'10'!$N$21</f>
        <v>6.5</v>
      </c>
      <c r="AE16" s="453">
        <f>'10'!$N$19</f>
        <v>6.5</v>
      </c>
    </row>
    <row r="17" spans="1:31" ht="18.75" customHeight="1">
      <c r="A17" s="447">
        <v>11</v>
      </c>
      <c r="B17" s="448">
        <f>'11'!$B$20</f>
        <v>60</v>
      </c>
      <c r="C17" s="449">
        <f>'11'!$B$21</f>
        <v>60</v>
      </c>
      <c r="D17" s="449">
        <f>'11'!$B$19</f>
        <v>60</v>
      </c>
      <c r="E17" s="440">
        <f>AVERAGE('11'!$C$20,'11'!$D$20)</f>
        <v>12.5</v>
      </c>
      <c r="F17" s="440">
        <f>AVERAGE('11'!$C$21,'11'!$D$21)</f>
        <v>11.25</v>
      </c>
      <c r="G17" s="440">
        <f>AVERAGE('11'!$C$19,'11'!$D$19)</f>
        <v>11.666666666666668</v>
      </c>
      <c r="H17" s="440">
        <f>'11'!$E$20</f>
        <v>2.5</v>
      </c>
      <c r="I17" s="440">
        <f>'11'!$E$21</f>
        <v>2.5</v>
      </c>
      <c r="J17" s="450">
        <f>'11'!$E$19</f>
        <v>2.5</v>
      </c>
      <c r="K17" s="451">
        <f>'11'!$F$20</f>
        <v>8.8000000000000007</v>
      </c>
      <c r="L17" s="440">
        <f>'11'!$F$21</f>
        <v>8.1999999999999993</v>
      </c>
      <c r="M17" s="440">
        <f>'11'!$F$19</f>
        <v>8.4249999999999989</v>
      </c>
      <c r="N17" s="440">
        <f>AVERAGE('11'!$G$20,'11'!$H$20)</f>
        <v>1.6</v>
      </c>
      <c r="O17" s="440">
        <f>AVERAGE('11'!$G$21,'11'!$H$21)</f>
        <v>1.2</v>
      </c>
      <c r="P17" s="440">
        <f>AVERAGE('11'!$G$19,'11'!$H$19)</f>
        <v>1.3833333333333333</v>
      </c>
      <c r="Q17" s="452">
        <f>'11'!$I$20</f>
        <v>0.5</v>
      </c>
      <c r="R17" s="452">
        <f>'11'!$I$21</f>
        <v>0.3</v>
      </c>
      <c r="S17" s="452">
        <f>'11'!$I$19</f>
        <v>0.40833333333333338</v>
      </c>
      <c r="T17" s="452">
        <f>'11'!$J$20</f>
        <v>0.5</v>
      </c>
      <c r="U17" s="452">
        <f>'11'!$J$21</f>
        <v>0.4</v>
      </c>
      <c r="V17" s="453">
        <f>'11'!$J$19</f>
        <v>0.43333333333333329</v>
      </c>
      <c r="W17" s="454">
        <f>'11'!$K$20</f>
        <v>7.3</v>
      </c>
      <c r="X17" s="452">
        <f>'11'!$K$21</f>
        <v>7.3</v>
      </c>
      <c r="Y17" s="452">
        <f>'11'!$K$19</f>
        <v>7.299999999999998</v>
      </c>
      <c r="Z17" s="444">
        <f>AVERAGE('11'!$L$20,'11'!$M$20)</f>
        <v>6.7</v>
      </c>
      <c r="AA17" s="444">
        <f>AVERAGE('11'!$L$21,'11'!$M$21)</f>
        <v>6.65</v>
      </c>
      <c r="AB17" s="444">
        <f>AVERAGE('11'!$L$19,'11'!$M$19)</f>
        <v>6.6916666666666682</v>
      </c>
      <c r="AC17" s="452">
        <f>'11'!$N$20</f>
        <v>6.5</v>
      </c>
      <c r="AD17" s="452">
        <f>'11'!$N$21</f>
        <v>6.5</v>
      </c>
      <c r="AE17" s="453">
        <f>'11'!$N$19</f>
        <v>6.5</v>
      </c>
    </row>
    <row r="18" spans="1:31" ht="18.75" customHeight="1">
      <c r="A18" s="447">
        <v>12</v>
      </c>
      <c r="B18" s="448">
        <f>'12'!$B$20</f>
        <v>60</v>
      </c>
      <c r="C18" s="449">
        <f>'12'!$B$21</f>
        <v>60</v>
      </c>
      <c r="D18" s="449">
        <f>'12'!$B$19</f>
        <v>60</v>
      </c>
      <c r="E18" s="440">
        <f>AVERAGE('12'!$C$20,'12'!$D$20)</f>
        <v>12.5</v>
      </c>
      <c r="F18" s="440">
        <f>AVERAGE('12'!$C$21,'12'!$D$21)</f>
        <v>10</v>
      </c>
      <c r="G18" s="440">
        <f>AVERAGE('12'!$C$19,'12'!$D$19)</f>
        <v>10.833333333333334</v>
      </c>
      <c r="H18" s="440">
        <f>'12'!$E$20</f>
        <v>2.5</v>
      </c>
      <c r="I18" s="440">
        <f>'12'!$E$21</f>
        <v>2.5</v>
      </c>
      <c r="J18" s="450">
        <f>'12'!$E$19</f>
        <v>2.5</v>
      </c>
      <c r="K18" s="451">
        <f>'12'!$F$20</f>
        <v>10.6</v>
      </c>
      <c r="L18" s="440">
        <f>'12'!$F$21</f>
        <v>7</v>
      </c>
      <c r="M18" s="440">
        <f>'12'!$F$19</f>
        <v>8.7000000000000011</v>
      </c>
      <c r="N18" s="440">
        <f>AVERAGE('12'!$G$20,'12'!$H$20)</f>
        <v>1.5</v>
      </c>
      <c r="O18" s="440">
        <f>AVERAGE('12'!$G$21,'12'!$H$21)</f>
        <v>1.1000000000000001</v>
      </c>
      <c r="P18" s="440">
        <f>AVERAGE('12'!$G$19,'12'!$H$19)</f>
        <v>1.2916666666666665</v>
      </c>
      <c r="Q18" s="452">
        <f>'12'!$I$20</f>
        <v>0.5</v>
      </c>
      <c r="R18" s="452">
        <f>'12'!$I$21</f>
        <v>0.4</v>
      </c>
      <c r="S18" s="452">
        <f>'12'!$I$19</f>
        <v>0.41666666666666674</v>
      </c>
      <c r="T18" s="452">
        <f>'12'!$J$20</f>
        <v>0.5</v>
      </c>
      <c r="U18" s="452">
        <f>'12'!$J$21</f>
        <v>0.4</v>
      </c>
      <c r="V18" s="455">
        <f>'12'!$J$19</f>
        <v>0.45000000000000012</v>
      </c>
      <c r="W18" s="456">
        <f>'12'!$K$20</f>
        <v>7.3</v>
      </c>
      <c r="X18" s="452">
        <f>'12'!$K$21</f>
        <v>7.3</v>
      </c>
      <c r="Y18" s="452">
        <f>'12'!$K$19</f>
        <v>7.299999999999998</v>
      </c>
      <c r="Z18" s="444">
        <f>AVERAGE('12'!$L$20,'12'!$M$20)</f>
        <v>6.7</v>
      </c>
      <c r="AA18" s="444">
        <f>AVERAGE('12'!$L$21,'12'!$M$21)</f>
        <v>6.65</v>
      </c>
      <c r="AB18" s="444">
        <f>AVERAGE('12'!$L$19,'12'!$M$19)</f>
        <v>6.658333333333335</v>
      </c>
      <c r="AC18" s="452">
        <f>'12'!$N$20</f>
        <v>6.3</v>
      </c>
      <c r="AD18" s="452">
        <f>'12'!$N$21</f>
        <v>6.3</v>
      </c>
      <c r="AE18" s="453">
        <f>'12'!$N$19</f>
        <v>6.299999999999998</v>
      </c>
    </row>
    <row r="19" spans="1:31" ht="18.75" customHeight="1">
      <c r="A19" s="447">
        <v>13</v>
      </c>
      <c r="B19" s="448">
        <f>'13'!$B$20</f>
        <v>60</v>
      </c>
      <c r="C19" s="449">
        <f>'13'!$B$21</f>
        <v>60</v>
      </c>
      <c r="D19" s="449">
        <f>'13'!$B$19</f>
        <v>60</v>
      </c>
      <c r="E19" s="440">
        <f>AVERAGE('13'!$C$20,'13'!$D$20)</f>
        <v>10</v>
      </c>
      <c r="F19" s="440">
        <f>AVERAGE('13'!$C$21,'13'!$D$21)</f>
        <v>10</v>
      </c>
      <c r="G19" s="440">
        <f>AVERAGE('13'!$C$19,'13'!$D$19)</f>
        <v>10</v>
      </c>
      <c r="H19" s="440">
        <f>'13'!$E$20</f>
        <v>2.5</v>
      </c>
      <c r="I19" s="440">
        <f>'13'!$E$21</f>
        <v>2.5</v>
      </c>
      <c r="J19" s="450">
        <f>'13'!$E$19</f>
        <v>2.5</v>
      </c>
      <c r="K19" s="451">
        <f>'13'!$F$20</f>
        <v>9</v>
      </c>
      <c r="L19" s="440">
        <f>'13'!$F$21</f>
        <v>7.8</v>
      </c>
      <c r="M19" s="440">
        <f>'13'!$F$19</f>
        <v>8.5666666666666647</v>
      </c>
      <c r="N19" s="440">
        <f>AVERAGE('13'!$G$20,'13'!$H$20)</f>
        <v>1.4</v>
      </c>
      <c r="O19" s="440">
        <f>AVERAGE('13'!$G$21,'13'!$H$21)</f>
        <v>0.95</v>
      </c>
      <c r="P19" s="440">
        <f>AVERAGE('13'!$G$19,'13'!$H$19)</f>
        <v>1.1583333333333334</v>
      </c>
      <c r="Q19" s="452">
        <f>'13'!$I$20</f>
        <v>0.4</v>
      </c>
      <c r="R19" s="452">
        <f>'13'!$I$21</f>
        <v>0.3</v>
      </c>
      <c r="S19" s="452">
        <f>'13'!$I$18</f>
        <v>0.3</v>
      </c>
      <c r="T19" s="452">
        <f>'13'!$J$20</f>
        <v>0.5</v>
      </c>
      <c r="U19" s="452">
        <f>'13'!$J$21</f>
        <v>0.3</v>
      </c>
      <c r="V19" s="453">
        <f>'13'!$J$18</f>
        <v>0.4</v>
      </c>
      <c r="W19" s="454">
        <f>'13'!$K$20</f>
        <v>7.3</v>
      </c>
      <c r="X19" s="452">
        <f>'13'!$K$21</f>
        <v>7.3</v>
      </c>
      <c r="Y19" s="452">
        <f>'13'!$K$19</f>
        <v>7.299999999999998</v>
      </c>
      <c r="Z19" s="444">
        <f>AVERAGE('13'!$L$20,'13'!$M$20)</f>
        <v>6.7</v>
      </c>
      <c r="AA19" s="444">
        <f>AVERAGE('13'!$L$21,'13'!$M$21)</f>
        <v>6.7</v>
      </c>
      <c r="AB19" s="444">
        <f>AVERAGE('13'!$L$19,'13'!$M$19)</f>
        <v>6.700000000000002</v>
      </c>
      <c r="AC19" s="452">
        <f>'13'!$N$20</f>
        <v>6.3</v>
      </c>
      <c r="AD19" s="452">
        <f>'13'!$N$21</f>
        <v>6.3</v>
      </c>
      <c r="AE19" s="453">
        <f>'13'!$N$19</f>
        <v>6.299999999999998</v>
      </c>
    </row>
    <row r="20" spans="1:31" ht="18.75" customHeight="1">
      <c r="A20" s="447">
        <v>14</v>
      </c>
      <c r="B20" s="448">
        <f>'14'!$B$20</f>
        <v>80</v>
      </c>
      <c r="C20" s="449">
        <f>'14'!$B$21</f>
        <v>70</v>
      </c>
      <c r="D20" s="449">
        <f>'14'!$B$19</f>
        <v>78.333333333333329</v>
      </c>
      <c r="E20" s="440">
        <f>AVERAGE('14'!$C$20,'14'!$D$20)</f>
        <v>10</v>
      </c>
      <c r="F20" s="440">
        <f>AVERAGE('14'!$C$21,'14'!$D$21)</f>
        <v>10</v>
      </c>
      <c r="G20" s="440">
        <f>AVERAGE('14'!$C$19,'14'!$D$19)</f>
        <v>10</v>
      </c>
      <c r="H20" s="457">
        <f>'14'!$E$20</f>
        <v>2.5</v>
      </c>
      <c r="I20" s="440">
        <f>'14'!$E$21</f>
        <v>2.5</v>
      </c>
      <c r="J20" s="450">
        <f>'14'!$E$19</f>
        <v>2.5</v>
      </c>
      <c r="K20" s="451">
        <f>'14'!$F$20</f>
        <v>14</v>
      </c>
      <c r="L20" s="440">
        <f>'14'!$F$21</f>
        <v>9.8000000000000007</v>
      </c>
      <c r="M20" s="440">
        <f>'14'!$F$19</f>
        <v>11.908333333333333</v>
      </c>
      <c r="N20" s="440">
        <f>AVERAGE('14'!$G$20,'14'!$H$20)</f>
        <v>1.5</v>
      </c>
      <c r="O20" s="440">
        <f>AVERAGE('14'!$G$21,'14'!$H$21)</f>
        <v>1.2</v>
      </c>
      <c r="P20" s="440">
        <f>AVERAGE('14'!$G$19,'14'!$H$19)</f>
        <v>1.3499999999999996</v>
      </c>
      <c r="Q20" s="452">
        <f>'14'!$I$20</f>
        <v>0.5</v>
      </c>
      <c r="R20" s="452">
        <f>'14'!$I$21</f>
        <v>0.3</v>
      </c>
      <c r="S20" s="452">
        <f>'14'!$I$19</f>
        <v>0.33333333333333326</v>
      </c>
      <c r="T20" s="452">
        <f>'14'!$J$20</f>
        <v>0.5</v>
      </c>
      <c r="U20" s="452">
        <f>'14'!$J$21</f>
        <v>0.3</v>
      </c>
      <c r="V20" s="453">
        <f>'14'!$J$19</f>
        <v>0.3833333333333333</v>
      </c>
      <c r="W20" s="454">
        <f>'14'!$K$20</f>
        <v>7.3</v>
      </c>
      <c r="X20" s="452">
        <f>'14'!$K$21</f>
        <v>6.5</v>
      </c>
      <c r="Y20" s="452">
        <f>'14'!$K$19</f>
        <v>7.1666666666666652</v>
      </c>
      <c r="Z20" s="444">
        <f>AVERAGE('14'!$L$20,'14'!$M$20)</f>
        <v>6.7</v>
      </c>
      <c r="AA20" s="444">
        <f>AVERAGE('14'!$L$21,'14'!$M$21)</f>
        <v>6.45</v>
      </c>
      <c r="AB20" s="444">
        <f>AVERAGE('14'!$L$19,'14'!$M$19)</f>
        <v>6.5666666666666664</v>
      </c>
      <c r="AC20" s="452">
        <f>'14'!$N$20</f>
        <v>6.3</v>
      </c>
      <c r="AD20" s="452">
        <f>'14'!$N$21</f>
        <v>6.3</v>
      </c>
      <c r="AE20" s="453">
        <f>'14'!$N$19</f>
        <v>6.299999999999998</v>
      </c>
    </row>
    <row r="21" spans="1:31" ht="18.75" customHeight="1">
      <c r="A21" s="447">
        <v>15</v>
      </c>
      <c r="B21" s="448">
        <f>'15'!$B$20</f>
        <v>80</v>
      </c>
      <c r="C21" s="449">
        <f>'15'!$B$21</f>
        <v>80</v>
      </c>
      <c r="D21" s="449">
        <f>'15'!$B$19</f>
        <v>80</v>
      </c>
      <c r="E21" s="440">
        <f>AVERAGE('15'!$C$20,'15'!$D$20)</f>
        <v>10</v>
      </c>
      <c r="F21" s="440">
        <f>AVERAGE('15'!$C$21,'15'!$D$21)</f>
        <v>10</v>
      </c>
      <c r="G21" s="440">
        <f>AVERAGE('15'!$C$19,'15'!$D$19)</f>
        <v>10</v>
      </c>
      <c r="H21" s="440">
        <f>'15'!$E$20</f>
        <v>2.5</v>
      </c>
      <c r="I21" s="440">
        <f>'15'!$E$21</f>
        <v>2.5</v>
      </c>
      <c r="J21" s="450">
        <f>'15'!$E$19</f>
        <v>2.5</v>
      </c>
      <c r="K21" s="451">
        <f>'15'!$F$20</f>
        <v>16</v>
      </c>
      <c r="L21" s="440">
        <f>'15'!$F$21</f>
        <v>11.3</v>
      </c>
      <c r="M21" s="440">
        <f>'15'!$F$19</f>
        <v>13.683333333333335</v>
      </c>
      <c r="N21" s="440">
        <f>AVERAGE('15'!$G$20,'15'!$H$20)</f>
        <v>1.75</v>
      </c>
      <c r="O21" s="440">
        <f>AVERAGE('15'!$G$21,'15'!$H$21)</f>
        <v>1.25</v>
      </c>
      <c r="P21" s="440">
        <f>AVERAGE('15'!$G$19,'15'!$H$19)</f>
        <v>1.5249999999999999</v>
      </c>
      <c r="Q21" s="452">
        <f>'15'!$I$20</f>
        <v>0.5</v>
      </c>
      <c r="R21" s="452">
        <f>'15'!$I$21</f>
        <v>0.3</v>
      </c>
      <c r="S21" s="452">
        <f>'15'!$I$19</f>
        <v>0.35833333333333334</v>
      </c>
      <c r="T21" s="452">
        <f>'15'!$J$20</f>
        <v>0.5</v>
      </c>
      <c r="U21" s="452">
        <f>'15'!$J$21</f>
        <v>0.3</v>
      </c>
      <c r="V21" s="453">
        <f>'15'!$J$19</f>
        <v>0.45</v>
      </c>
      <c r="W21" s="454">
        <f>'15'!$K$20</f>
        <v>7.3</v>
      </c>
      <c r="X21" s="452">
        <f>'15'!$K$21</f>
        <v>7.3</v>
      </c>
      <c r="Y21" s="452">
        <f>'15'!$K$19</f>
        <v>7.299999999999998</v>
      </c>
      <c r="Z21" s="444">
        <f>AVERAGE('15'!$L$20,'15'!$M$20)</f>
        <v>6.5</v>
      </c>
      <c r="AA21" s="444">
        <f>AVERAGE('15'!$L$21,'15'!$M$21)</f>
        <v>6.5</v>
      </c>
      <c r="AB21" s="444">
        <f>AVERAGE('15'!$L$19,'15'!$M$19)</f>
        <v>6.5</v>
      </c>
      <c r="AC21" s="452">
        <f>'15'!$N$20</f>
        <v>6.3</v>
      </c>
      <c r="AD21" s="452">
        <f>'15'!$N$21</f>
        <v>6.3</v>
      </c>
      <c r="AE21" s="453">
        <f>'15'!$N$19</f>
        <v>6.299999999999998</v>
      </c>
    </row>
    <row r="22" spans="1:31" ht="18.75" customHeight="1">
      <c r="A22" s="447">
        <v>16</v>
      </c>
      <c r="B22" s="448">
        <f>'16'!$B$20</f>
        <v>80</v>
      </c>
      <c r="C22" s="449">
        <f>'16'!$B$21</f>
        <v>80</v>
      </c>
      <c r="D22" s="449">
        <f>'16'!$B$19</f>
        <v>80</v>
      </c>
      <c r="E22" s="440">
        <f>AVERAGE('16'!$C$20,'16'!$D$20)</f>
        <v>12.5</v>
      </c>
      <c r="F22" s="440">
        <f>AVERAGE('16'!$C$21,'16'!$D$21)</f>
        <v>10</v>
      </c>
      <c r="G22" s="440">
        <f>AVERAGE('16'!$C$19,'16'!$D$19)</f>
        <v>10.625</v>
      </c>
      <c r="H22" s="457">
        <f>'16'!$E$20</f>
        <v>2.5</v>
      </c>
      <c r="I22" s="440">
        <f>'16'!$E$21</f>
        <v>2.5</v>
      </c>
      <c r="J22" s="450">
        <f>'16'!$E$19</f>
        <v>2.5</v>
      </c>
      <c r="K22" s="451">
        <f>'16'!$F$20</f>
        <v>13.3</v>
      </c>
      <c r="L22" s="440">
        <f>'16'!$F$21</f>
        <v>11.7</v>
      </c>
      <c r="M22" s="440">
        <f>'16'!$D$18</f>
        <v>12.5</v>
      </c>
      <c r="N22" s="440">
        <f>AVERAGE('16'!$G$20,'16'!$H$20)</f>
        <v>3.25</v>
      </c>
      <c r="O22" s="440">
        <f>AVERAGE('16'!$G$21,'16'!$H$21)</f>
        <v>1.35</v>
      </c>
      <c r="P22" s="440">
        <f>AVERAGE('16'!$G$19,'16'!$H$19)</f>
        <v>1.6595833333333332</v>
      </c>
      <c r="Q22" s="452">
        <f>'16'!$I$20</f>
        <v>0.5</v>
      </c>
      <c r="R22" s="452">
        <f>'16'!$I$21</f>
        <v>0.4</v>
      </c>
      <c r="S22" s="452">
        <f>'16'!$I$19</f>
        <v>0.41666666666666669</v>
      </c>
      <c r="T22" s="452">
        <f>'16'!$J$20</f>
        <v>0.5</v>
      </c>
      <c r="U22" s="452">
        <f>'16'!$J$21</f>
        <v>0.5</v>
      </c>
      <c r="V22" s="453">
        <f>'16'!$H$19</f>
        <v>1.6416666666666668</v>
      </c>
      <c r="W22" s="454">
        <f>'16'!$K$20</f>
        <v>7.3</v>
      </c>
      <c r="X22" s="452">
        <f>'16'!$K$21</f>
        <v>7.3</v>
      </c>
      <c r="Y22" s="452">
        <f>'16'!$K$19</f>
        <v>7.299999999999998</v>
      </c>
      <c r="Z22" s="444">
        <f>AVERAGE('16'!$L$20,'16'!$M$20)</f>
        <v>6.8</v>
      </c>
      <c r="AA22" s="444">
        <f>AVERAGE('16'!$L$21,'16'!$M$21)</f>
        <v>6.5</v>
      </c>
      <c r="AB22" s="444">
        <f>AVERAGE('16'!$L$19,'16'!$M$19)</f>
        <v>6.6000000000000005</v>
      </c>
      <c r="AC22" s="452">
        <f>'16'!$N$20</f>
        <v>6.5</v>
      </c>
      <c r="AD22" s="452">
        <f>'16'!$N$21</f>
        <v>6.3</v>
      </c>
      <c r="AE22" s="453">
        <f>'16'!$L$18</f>
        <v>6.7</v>
      </c>
    </row>
    <row r="23" spans="1:31" ht="18.75" customHeight="1">
      <c r="A23" s="447">
        <v>17</v>
      </c>
      <c r="B23" s="448">
        <f>'17'!$B$20</f>
        <v>80</v>
      </c>
      <c r="C23" s="449">
        <f>'17'!$B$21</f>
        <v>80</v>
      </c>
      <c r="D23" s="449">
        <f>'17'!$B$19</f>
        <v>80</v>
      </c>
      <c r="E23" s="440">
        <f>AVERAGE('17'!$C$20,'17'!$D$20)</f>
        <v>12.5</v>
      </c>
      <c r="F23" s="440">
        <f>AVERAGE('17'!$C$21,'17'!$D$21)</f>
        <v>11.25</v>
      </c>
      <c r="G23" s="440">
        <f>AVERAGE('17'!$C$19,'17'!$D$19)</f>
        <v>11.666666666666668</v>
      </c>
      <c r="H23" s="440">
        <f>'17'!$E$20</f>
        <v>2.5</v>
      </c>
      <c r="I23" s="440">
        <f>'17'!$E$21</f>
        <v>2.5</v>
      </c>
      <c r="J23" s="450">
        <f>'17'!$E$19</f>
        <v>2.5</v>
      </c>
      <c r="K23" s="451">
        <f>'17'!$F$20</f>
        <v>14</v>
      </c>
      <c r="L23" s="440">
        <f>'17'!$F$21</f>
        <v>11</v>
      </c>
      <c r="M23" s="440">
        <f>'17'!$F$19</f>
        <v>12.416666666666666</v>
      </c>
      <c r="N23" s="440">
        <f>AVERAGE('17'!$G$20,'17'!$H$20)</f>
        <v>1.75</v>
      </c>
      <c r="O23" s="440">
        <f>AVERAGE('17'!$G$21,'17'!$H$21)</f>
        <v>1.2000000000000002</v>
      </c>
      <c r="P23" s="440">
        <f>AVERAGE('17'!$G$19,'17'!$H$19)</f>
        <v>1.4132575757575756</v>
      </c>
      <c r="Q23" s="452">
        <f>'17'!$I$20</f>
        <v>0.5</v>
      </c>
      <c r="R23" s="452">
        <f>'17'!$I$21</f>
        <v>0.3</v>
      </c>
      <c r="S23" s="452">
        <f>'17'!$I$19</f>
        <v>0.39166666666666661</v>
      </c>
      <c r="T23" s="452">
        <f>'17'!$J$20</f>
        <v>0.5</v>
      </c>
      <c r="U23" s="452">
        <f>'17'!$J$21</f>
        <v>0.3</v>
      </c>
      <c r="V23" s="453">
        <f>'17'!$J$19</f>
        <v>0.43333333333333335</v>
      </c>
      <c r="W23" s="454">
        <f>'17'!$K$20</f>
        <v>7.3</v>
      </c>
      <c r="X23" s="452">
        <f>'17'!$K$21</f>
        <v>7.3</v>
      </c>
      <c r="Y23" s="452">
        <f>'17'!$K$19</f>
        <v>7.299999999999998</v>
      </c>
      <c r="Z23" s="444">
        <f>AVERAGE('17'!$L$20,'17'!$M$20)</f>
        <v>6.7</v>
      </c>
      <c r="AA23" s="444">
        <f>AVERAGE('17'!$L$21,'17'!$M$21)</f>
        <v>6.7</v>
      </c>
      <c r="AB23" s="444">
        <f>AVERAGE('17'!$L$19,'17'!$M$19)</f>
        <v>6.700000000000002</v>
      </c>
      <c r="AC23" s="452">
        <f>'17'!$N$20</f>
        <v>6.3</v>
      </c>
      <c r="AD23" s="452">
        <f>'17'!$N$21</f>
        <v>6.3</v>
      </c>
      <c r="AE23" s="453">
        <f>'17'!$N$19</f>
        <v>6.299999999999998</v>
      </c>
    </row>
    <row r="24" spans="1:31" ht="18.75" customHeight="1">
      <c r="A24" s="447">
        <v>18</v>
      </c>
      <c r="B24" s="448">
        <f>'18'!$B$20</f>
        <v>80</v>
      </c>
      <c r="C24" s="449">
        <f>'18'!$B$21</f>
        <v>80</v>
      </c>
      <c r="D24" s="449">
        <f>'18'!$B$19</f>
        <v>80</v>
      </c>
      <c r="E24" s="440">
        <f>AVERAGE('18'!$C$20,'18'!$D$20)</f>
        <v>15</v>
      </c>
      <c r="F24" s="440">
        <f>AVERAGE('18'!$C$21,'18'!$D$21)</f>
        <v>10</v>
      </c>
      <c r="G24" s="440">
        <f>AVERAGE('18'!$C$19,'18'!$D$19)</f>
        <v>12.395833333333334</v>
      </c>
      <c r="H24" s="440">
        <f>'18'!$E$20</f>
        <v>2.5</v>
      </c>
      <c r="I24" s="440">
        <f>'18'!$E$21</f>
        <v>2.5</v>
      </c>
      <c r="J24" s="450">
        <f>'18'!$E$19</f>
        <v>2.5</v>
      </c>
      <c r="K24" s="451">
        <f>'18'!$F$20</f>
        <v>13</v>
      </c>
      <c r="L24" s="440">
        <f>'18'!$F$21</f>
        <v>9.8000000000000007</v>
      </c>
      <c r="M24" s="440">
        <f>'18'!$F$19</f>
        <v>11.141666666666666</v>
      </c>
      <c r="N24" s="440">
        <f>AVERAGE('18'!$G$20,'18'!$H$20)</f>
        <v>2.5</v>
      </c>
      <c r="O24" s="440">
        <f>AVERAGE('18'!$G$21,'18'!$H$21)</f>
        <v>1.25</v>
      </c>
      <c r="P24" s="440">
        <f>AVERAGE('18'!$G$19,'18'!$H$19)</f>
        <v>1.7250000000000001</v>
      </c>
      <c r="Q24" s="452">
        <f>'18'!$I$20</f>
        <v>0.5</v>
      </c>
      <c r="R24" s="452">
        <f>'18'!$I$21</f>
        <v>0.3</v>
      </c>
      <c r="S24" s="452">
        <f>'18'!$I$19</f>
        <v>0.32499999999999996</v>
      </c>
      <c r="T24" s="452">
        <f>'18'!$J$20</f>
        <v>0.8</v>
      </c>
      <c r="U24" s="452">
        <f>'18'!$J$21</f>
        <v>0.4</v>
      </c>
      <c r="V24" s="453">
        <f>'18'!$J$19</f>
        <v>0.47499999999999992</v>
      </c>
      <c r="W24" s="454">
        <f>'18'!$K$20</f>
        <v>7.3</v>
      </c>
      <c r="X24" s="452">
        <f>'18'!$K$21</f>
        <v>7.3</v>
      </c>
      <c r="Y24" s="452">
        <f>'18'!$K$19</f>
        <v>7.299999999999998</v>
      </c>
      <c r="Z24" s="444">
        <f>AVERAGE('18'!$L$20,'18'!$M$20)</f>
        <v>6.8</v>
      </c>
      <c r="AA24" s="444">
        <f>AVERAGE('18'!$L$21,'18'!$M$21)</f>
        <v>6.7</v>
      </c>
      <c r="AB24" s="444">
        <f>AVERAGE('18'!$L$19,'18'!$M$19)</f>
        <v>6.7666666666666657</v>
      </c>
      <c r="AC24" s="452">
        <f>'18'!$N$20</f>
        <v>6.5</v>
      </c>
      <c r="AD24" s="452">
        <f>'18'!$N$21</f>
        <v>6.3</v>
      </c>
      <c r="AE24" s="453">
        <f>'18'!$N$19</f>
        <v>6.4333333333333336</v>
      </c>
    </row>
    <row r="25" spans="1:31" ht="18.75" customHeight="1">
      <c r="A25" s="447">
        <v>19</v>
      </c>
      <c r="B25" s="448">
        <f>'19'!$B$20</f>
        <v>80</v>
      </c>
      <c r="C25" s="449">
        <f>'19'!$B$21</f>
        <v>80</v>
      </c>
      <c r="D25" s="449">
        <f>'19'!$B$19</f>
        <v>80</v>
      </c>
      <c r="E25" s="440">
        <f>AVERAGE('19'!$C$20,'19'!$D$20)</f>
        <v>15</v>
      </c>
      <c r="F25" s="440">
        <f>AVERAGE('19'!$C$21,'19'!$D$21)</f>
        <v>12.5</v>
      </c>
      <c r="G25" s="440">
        <f>AVERAGE('19'!$C$19,'19'!$D$19)</f>
        <v>13.125</v>
      </c>
      <c r="H25" s="440">
        <f>'19'!$E$20</f>
        <v>2.5</v>
      </c>
      <c r="I25" s="440">
        <f>'19'!$E$21</f>
        <v>2.5</v>
      </c>
      <c r="J25" s="450">
        <f>'19'!$E$19</f>
        <v>2.5</v>
      </c>
      <c r="K25" s="451">
        <f>'19'!$F$20</f>
        <v>11</v>
      </c>
      <c r="L25" s="440">
        <f>'19'!$F$21</f>
        <v>9.6999999999999993</v>
      </c>
      <c r="M25" s="440">
        <f>'19'!$F$19</f>
        <v>10.4</v>
      </c>
      <c r="N25" s="440">
        <f>AVERAGE('19'!$G$20,'19'!$H$20)</f>
        <v>2.15</v>
      </c>
      <c r="O25" s="440">
        <f>AVERAGE('19'!$G$21,'19'!$H$21)</f>
        <v>1.4</v>
      </c>
      <c r="P25" s="440">
        <f>AVERAGE('19'!$G$19,'19'!$H$19)</f>
        <v>1.8000000000000003</v>
      </c>
      <c r="Q25" s="452">
        <f>'19'!$I$20</f>
        <v>0.6</v>
      </c>
      <c r="R25" s="452">
        <f>'19'!$I$21</f>
        <v>0.5</v>
      </c>
      <c r="S25" s="452">
        <f>'19'!$I$19</f>
        <v>0.51666666666666661</v>
      </c>
      <c r="T25" s="452">
        <f>'19'!$J$20</f>
        <v>0.8</v>
      </c>
      <c r="U25" s="452">
        <f>'19'!$J$21</f>
        <v>0.7</v>
      </c>
      <c r="V25" s="453">
        <f>'19'!$J$19</f>
        <v>0.74166666666666681</v>
      </c>
      <c r="W25" s="454">
        <f>'19'!$K$20</f>
        <v>7.3</v>
      </c>
      <c r="X25" s="452">
        <f>'19'!$K$21</f>
        <v>7.3</v>
      </c>
      <c r="Y25" s="452">
        <f>'19'!$K$19</f>
        <v>7.299999999999998</v>
      </c>
      <c r="Z25" s="444">
        <f>AVERAGE('19'!$L$20,'19'!$M$20)</f>
        <v>6.8</v>
      </c>
      <c r="AA25" s="444">
        <f>AVERAGE('19'!$L$21,'19'!$M$21)</f>
        <v>6.8</v>
      </c>
      <c r="AB25" s="444">
        <f>AVERAGE('19'!$L$19,'19'!$M$19)</f>
        <v>6.799999999999998</v>
      </c>
      <c r="AC25" s="452">
        <f>'19'!$N$20</f>
        <v>6.5</v>
      </c>
      <c r="AD25" s="452">
        <f>'19'!$N$21</f>
        <v>6.5</v>
      </c>
      <c r="AE25" s="453">
        <f>'19'!$N$19</f>
        <v>6.5</v>
      </c>
    </row>
    <row r="26" spans="1:31" ht="18.75" customHeight="1">
      <c r="A26" s="447">
        <v>20</v>
      </c>
      <c r="B26" s="448">
        <f>'20'!$B$20</f>
        <v>80</v>
      </c>
      <c r="C26" s="449">
        <f>'20'!$B$21</f>
        <v>80</v>
      </c>
      <c r="D26" s="449">
        <f>'20'!$B$19</f>
        <v>80</v>
      </c>
      <c r="E26" s="440">
        <f>AVERAGE('20'!$C$20,'20'!$D$20)</f>
        <v>12.5</v>
      </c>
      <c r="F26" s="440">
        <f>AVERAGE('20'!$C$21,'20'!$D$21)</f>
        <v>12.5</v>
      </c>
      <c r="G26" s="440">
        <f>AVERAGE('20'!$C$19,'20'!$D$19)</f>
        <v>12.5</v>
      </c>
      <c r="H26" s="440">
        <f>'20'!$E$20</f>
        <v>2.5</v>
      </c>
      <c r="I26" s="440">
        <f>'20'!$E$21</f>
        <v>2.5</v>
      </c>
      <c r="J26" s="450">
        <f>'20'!$E$19</f>
        <v>2.5</v>
      </c>
      <c r="K26" s="451">
        <f>'20'!$F$20</f>
        <v>11</v>
      </c>
      <c r="L26" s="440">
        <f>'20'!$F$21</f>
        <v>9.4</v>
      </c>
      <c r="M26" s="440">
        <f>'20'!$F$19</f>
        <v>10.25</v>
      </c>
      <c r="N26" s="440">
        <f>AVERAGE('20'!$G$20,'20'!$H$20)</f>
        <v>2.1</v>
      </c>
      <c r="O26" s="440">
        <f>AVERAGE('20'!$G$21,'20'!$H$21)</f>
        <v>1.7999999999999998</v>
      </c>
      <c r="P26" s="440">
        <f>AVERAGE('20'!$G$19,'20'!$H$19)</f>
        <v>1.9416666666666669</v>
      </c>
      <c r="Q26" s="452">
        <f>'20'!$I$20</f>
        <v>0.6</v>
      </c>
      <c r="R26" s="452">
        <f>'20'!$I$21</f>
        <v>0.4</v>
      </c>
      <c r="S26" s="452">
        <f>'20'!$I$19</f>
        <v>0.48333333333333334</v>
      </c>
      <c r="T26" s="452">
        <f>'20'!$J$20</f>
        <v>0.8</v>
      </c>
      <c r="U26" s="452">
        <f>'20'!$J$21</f>
        <v>0.5</v>
      </c>
      <c r="V26" s="453">
        <f>'20'!$J$19</f>
        <v>0.62499999999999989</v>
      </c>
      <c r="W26" s="454">
        <f>'20'!$K$20</f>
        <v>7.3</v>
      </c>
      <c r="X26" s="452">
        <f>'20'!$K$21</f>
        <v>7.3</v>
      </c>
      <c r="Y26" s="452">
        <f>'20'!$K$19</f>
        <v>7.299999999999998</v>
      </c>
      <c r="Z26" s="444">
        <f>AVERAGE('20'!$L$20,'20'!$M$20)</f>
        <v>6.8</v>
      </c>
      <c r="AA26" s="444">
        <f>AVERAGE('20'!$L$21,'20'!$M$21)</f>
        <v>6.8</v>
      </c>
      <c r="AB26" s="444">
        <f>AVERAGE('20'!$L$19,'20'!$M$19)</f>
        <v>6.799999999999998</v>
      </c>
      <c r="AC26" s="452">
        <f>'20'!$N$20</f>
        <v>6.5</v>
      </c>
      <c r="AD26" s="452">
        <f>'20'!$N$21</f>
        <v>6.5</v>
      </c>
      <c r="AE26" s="453">
        <f>'20'!$N$19</f>
        <v>6.5</v>
      </c>
    </row>
    <row r="27" spans="1:31" ht="18.75" customHeight="1">
      <c r="A27" s="447">
        <v>21</v>
      </c>
      <c r="B27" s="448">
        <f>'21'!$B$20</f>
        <v>80</v>
      </c>
      <c r="C27" s="449">
        <f>'21'!$B$21</f>
        <v>80</v>
      </c>
      <c r="D27" s="449">
        <f>'21'!$B$19</f>
        <v>80</v>
      </c>
      <c r="E27" s="440">
        <f>AVERAGE('21'!$C$20,'21'!$D$20)</f>
        <v>16.25</v>
      </c>
      <c r="F27" s="440">
        <f>AVERAGE('21'!$C$21,'21'!$D$21)</f>
        <v>12.5</v>
      </c>
      <c r="G27" s="440">
        <f>AVERAGE('21'!$C$19,'21'!$D$19)</f>
        <v>13.333333333333334</v>
      </c>
      <c r="H27" s="440">
        <f>'21'!$E$20</f>
        <v>2.5</v>
      </c>
      <c r="I27" s="440">
        <f>'21'!$E$21</f>
        <v>2.5</v>
      </c>
      <c r="J27" s="450">
        <f>'21'!$E$19</f>
        <v>2.5</v>
      </c>
      <c r="K27" s="451">
        <f>'21'!$F$20</f>
        <v>12</v>
      </c>
      <c r="L27" s="440">
        <f>'21'!$F$21</f>
        <v>9.6999999999999993</v>
      </c>
      <c r="M27" s="440">
        <f>'21'!$F$19</f>
        <v>10.641666666666667</v>
      </c>
      <c r="N27" s="440">
        <f>AVERAGE('21'!$G$20,'21'!$H$20)</f>
        <v>2.6</v>
      </c>
      <c r="O27" s="440">
        <f>AVERAGE('21'!$G$21,'21'!$H$21)</f>
        <v>1.9</v>
      </c>
      <c r="P27" s="440">
        <f>AVERAGE('21'!$G$19,'21'!$H$19)</f>
        <v>2.1374999999999997</v>
      </c>
      <c r="Q27" s="452">
        <f>'21'!$I$20</f>
        <v>0.7</v>
      </c>
      <c r="R27" s="452">
        <f>'21'!$I$21</f>
        <v>0.5</v>
      </c>
      <c r="S27" s="452">
        <f>'21'!$I$19</f>
        <v>0.58333333333333337</v>
      </c>
      <c r="T27" s="452">
        <f>'21'!$J$20</f>
        <v>0.9</v>
      </c>
      <c r="U27" s="452">
        <f>'21'!$J$21</f>
        <v>0.6</v>
      </c>
      <c r="V27" s="453">
        <f>'21'!$J$19</f>
        <v>0.66666666666666663</v>
      </c>
      <c r="W27" s="454">
        <f>'21'!$K$20</f>
        <v>7.3</v>
      </c>
      <c r="X27" s="452">
        <f>'21'!$K$21</f>
        <v>7.3</v>
      </c>
      <c r="Y27" s="452">
        <f>'21'!$K$19</f>
        <v>7.299999999999998</v>
      </c>
      <c r="Z27" s="444">
        <f>AVERAGE('21'!$L$20,'21'!$M$20)</f>
        <v>6.8</v>
      </c>
      <c r="AA27" s="444">
        <f>AVERAGE('21'!$L$21,'21'!$M$21)</f>
        <v>6.8</v>
      </c>
      <c r="AB27" s="444">
        <f>AVERAGE('21'!$L$19,'21'!$M$19)</f>
        <v>6.799999999999998</v>
      </c>
      <c r="AC27" s="452">
        <f>'21'!$N$20</f>
        <v>6.5</v>
      </c>
      <c r="AD27" s="452">
        <f>'21'!$N$21</f>
        <v>6.5</v>
      </c>
      <c r="AE27" s="453">
        <f>'21'!$N$19</f>
        <v>6.5</v>
      </c>
    </row>
    <row r="28" spans="1:31" ht="18.75" customHeight="1">
      <c r="A28" s="447">
        <v>22</v>
      </c>
      <c r="B28" s="448">
        <f>'22'!$B$20</f>
        <v>80</v>
      </c>
      <c r="C28" s="449">
        <f>'22'!$B$21</f>
        <v>80</v>
      </c>
      <c r="D28" s="449">
        <f>'22'!$B$19</f>
        <v>80</v>
      </c>
      <c r="E28" s="440">
        <f>AVERAGE('22'!$C$20,'22'!$D$20)</f>
        <v>13.75</v>
      </c>
      <c r="F28" s="440">
        <f>AVERAGE('22'!$C$21,'22'!$D$21)</f>
        <v>12.5</v>
      </c>
      <c r="G28" s="440">
        <f>AVERAGE('22'!$C$19,'22'!$D$19)</f>
        <v>13.229166666666668</v>
      </c>
      <c r="H28" s="440">
        <f>'22'!$E$20</f>
        <v>2.5</v>
      </c>
      <c r="I28" s="440">
        <f>'22'!$E$21</f>
        <v>2.5</v>
      </c>
      <c r="J28" s="450">
        <f>'22'!$E$19</f>
        <v>2.5</v>
      </c>
      <c r="K28" s="451">
        <f>'22'!$F$20</f>
        <v>11</v>
      </c>
      <c r="L28" s="440">
        <f>'22'!$F$21</f>
        <v>9.6999999999999993</v>
      </c>
      <c r="M28" s="440">
        <f>'22'!$F$19</f>
        <v>9.9416666666666664</v>
      </c>
      <c r="N28" s="440">
        <f>AVERAGE('22'!$G$20,'22'!$H$20)</f>
        <v>2.5499999999999998</v>
      </c>
      <c r="O28" s="440">
        <f>AVERAGE('22'!$G$21,'22'!$H$21)</f>
        <v>1.9</v>
      </c>
      <c r="P28" s="440">
        <f>AVERAGE('22'!$G$19,'22'!$H$19)</f>
        <v>2.1749999999999998</v>
      </c>
      <c r="Q28" s="452">
        <f>'22'!$I$20</f>
        <v>0.7</v>
      </c>
      <c r="R28" s="452">
        <f>'22'!$I$21</f>
        <v>0.6</v>
      </c>
      <c r="S28" s="452">
        <f>'22'!$I$19</f>
        <v>0.61666666666666659</v>
      </c>
      <c r="T28" s="452">
        <f>'22'!$J$20</f>
        <v>0.8</v>
      </c>
      <c r="U28" s="452">
        <f>'22'!$J$21</f>
        <v>0.6</v>
      </c>
      <c r="V28" s="453">
        <f>'22'!$J$19</f>
        <v>0.70833333333333337</v>
      </c>
      <c r="W28" s="454">
        <f>'22'!$K$20</f>
        <v>7.3</v>
      </c>
      <c r="X28" s="452">
        <f>'22'!$K$21</f>
        <v>7.3</v>
      </c>
      <c r="Y28" s="452">
        <f>'22'!$K$19</f>
        <v>7.299999999999998</v>
      </c>
      <c r="Z28" s="444">
        <f>AVERAGE('22'!$L$20,'22'!$M$20)</f>
        <v>6.8</v>
      </c>
      <c r="AA28" s="444">
        <f>AVERAGE('22'!$L$21,'22'!$M$21)</f>
        <v>6.8</v>
      </c>
      <c r="AB28" s="444">
        <f>AVERAGE('22'!$L$19,'22'!$M$19)</f>
        <v>6.799999999999998</v>
      </c>
      <c r="AC28" s="452">
        <f>'22'!$N$20</f>
        <v>6.6</v>
      </c>
      <c r="AD28" s="452">
        <f>'22'!$N$21</f>
        <v>6.5</v>
      </c>
      <c r="AE28" s="453">
        <f>'22'!$N$19</f>
        <v>6.5666666666666664</v>
      </c>
    </row>
    <row r="29" spans="1:31" ht="18.75" customHeight="1">
      <c r="A29" s="447">
        <v>23</v>
      </c>
      <c r="B29" s="448">
        <f>'23'!$B$20</f>
        <v>80</v>
      </c>
      <c r="C29" s="449">
        <f>'23'!$B$21</f>
        <v>80</v>
      </c>
      <c r="D29" s="449">
        <f>'23'!$B$19</f>
        <v>80</v>
      </c>
      <c r="E29" s="440">
        <f>AVERAGE('23'!$C$20,'23'!$D$20)</f>
        <v>15</v>
      </c>
      <c r="F29" s="440">
        <f>AVERAGE('23'!$C$21,'23'!$D$21)</f>
        <v>13.75</v>
      </c>
      <c r="G29" s="440">
        <f>AVERAGE('23'!$C$19,'23'!$D$19)</f>
        <v>14.375</v>
      </c>
      <c r="H29" s="440">
        <f>'23'!$E$20</f>
        <v>2.5</v>
      </c>
      <c r="I29" s="440">
        <f>'23'!$E$21</f>
        <v>2.5</v>
      </c>
      <c r="J29" s="450">
        <f>'23'!$E$19</f>
        <v>2.5</v>
      </c>
      <c r="K29" s="451">
        <f>'23'!$F$20</f>
        <v>13</v>
      </c>
      <c r="L29" s="440">
        <f>'23'!$F$21</f>
        <v>9.5</v>
      </c>
      <c r="M29" s="440">
        <f>'23'!$F$19</f>
        <v>11.166666666666666</v>
      </c>
      <c r="N29" s="440">
        <f>AVERAGE('23'!$G$20,'23'!$H$20)</f>
        <v>1.35</v>
      </c>
      <c r="O29" s="440">
        <f>AVERAGE('23'!$G$21,'23'!$H$21)</f>
        <v>1.95</v>
      </c>
      <c r="P29" s="440">
        <f>AVERAGE('23'!$G$19,'23'!$H$19)</f>
        <v>2.229166666666667</v>
      </c>
      <c r="Q29" s="452">
        <f>'23'!$I$20</f>
        <v>0.7</v>
      </c>
      <c r="R29" s="452">
        <f>'23'!$I$21</f>
        <v>0.6</v>
      </c>
      <c r="S29" s="452">
        <f>'23'!$I$19</f>
        <v>0.63333333333333319</v>
      </c>
      <c r="T29" s="452">
        <f>'23'!$J$20</f>
        <v>0.8</v>
      </c>
      <c r="U29" s="452">
        <f>'23'!$J$21</f>
        <v>0.6</v>
      </c>
      <c r="V29" s="453">
        <f>'23'!$J$19</f>
        <v>0.66666666666666652</v>
      </c>
      <c r="W29" s="454">
        <f>'23'!$K$20</f>
        <v>7.3</v>
      </c>
      <c r="X29" s="452">
        <f>'23'!$K$21</f>
        <v>7.3</v>
      </c>
      <c r="Y29" s="452">
        <f>'23'!$K$19</f>
        <v>7.299999999999998</v>
      </c>
      <c r="Z29" s="444">
        <f>AVERAGE('23'!$L$20,'23'!$M$20)</f>
        <v>6.8</v>
      </c>
      <c r="AA29" s="444">
        <f>AVERAGE('23'!$L$21,'23'!$M$21)</f>
        <v>6.8</v>
      </c>
      <c r="AB29" s="444">
        <f>AVERAGE('23'!$L$19,'23'!$M$19)</f>
        <v>6.799999999999998</v>
      </c>
      <c r="AC29" s="452">
        <f>'23'!$N$20</f>
        <v>6.6</v>
      </c>
      <c r="AD29" s="452">
        <f>'23'!$N$21</f>
        <v>6.6</v>
      </c>
      <c r="AE29" s="453">
        <f>'23'!$N$19</f>
        <v>6.5999999999999988</v>
      </c>
    </row>
    <row r="30" spans="1:31" ht="18.75" customHeight="1">
      <c r="A30" s="447">
        <v>24</v>
      </c>
      <c r="B30" s="448">
        <f>'24'!$B$20</f>
        <v>80</v>
      </c>
      <c r="C30" s="449">
        <f>'24'!$B$21</f>
        <v>80</v>
      </c>
      <c r="D30" s="449">
        <f>'24'!$B$19</f>
        <v>80</v>
      </c>
      <c r="E30" s="440">
        <f>AVERAGE('24'!$C$20,'24'!$D$20)</f>
        <v>12.5</v>
      </c>
      <c r="F30" s="440">
        <f>AVERAGE('24'!$C$21,'24'!$D$21)</f>
        <v>12.5</v>
      </c>
      <c r="G30" s="440">
        <f>AVERAGE('24'!$C$19,'24'!$D$19)</f>
        <v>12.5</v>
      </c>
      <c r="H30" s="440">
        <f>'24'!$E$20</f>
        <v>2.5</v>
      </c>
      <c r="I30" s="440">
        <f>'24'!$E$21</f>
        <v>2.5</v>
      </c>
      <c r="J30" s="450">
        <f>'24'!$E$19</f>
        <v>2.5</v>
      </c>
      <c r="K30" s="451">
        <f>'24'!$F$20</f>
        <v>13.5</v>
      </c>
      <c r="L30" s="440">
        <f>'24'!$F$21</f>
        <v>10.9</v>
      </c>
      <c r="M30" s="440">
        <f>'24'!$F$19</f>
        <v>12.166666666666666</v>
      </c>
      <c r="N30" s="440">
        <f>AVERAGE('24'!$G$20,'24'!$H$20)</f>
        <v>2.37</v>
      </c>
      <c r="O30" s="440">
        <f>AVERAGE('24'!$G$21,'24'!$H$21)</f>
        <v>1.75</v>
      </c>
      <c r="P30" s="440">
        <f>AVERAGE('24'!$G$19,'24'!$H$19)</f>
        <v>2.0241666666666669</v>
      </c>
      <c r="Q30" s="452">
        <f>'24'!$I$20</f>
        <v>0.63</v>
      </c>
      <c r="R30" s="452">
        <f>'24'!$I$21</f>
        <v>0.5</v>
      </c>
      <c r="S30" s="452">
        <f>'24'!$I$19</f>
        <v>0.5658333333333333</v>
      </c>
      <c r="T30" s="452">
        <f>'24'!$J$20</f>
        <v>0.7</v>
      </c>
      <c r="U30" s="452">
        <f>'24'!$J$21</f>
        <v>0.6</v>
      </c>
      <c r="V30" s="453">
        <f>'24'!$J$19</f>
        <v>0.60833333333333328</v>
      </c>
      <c r="W30" s="454">
        <f>'24'!$K$20</f>
        <v>7.3</v>
      </c>
      <c r="X30" s="452">
        <f>'24'!$K$21</f>
        <v>7.3</v>
      </c>
      <c r="Y30" s="452">
        <f>'24'!$K$19</f>
        <v>7.299999999999998</v>
      </c>
      <c r="Z30" s="444">
        <f>AVERAGE('24'!$L$20,'24'!$M$20)</f>
        <v>6.8</v>
      </c>
      <c r="AA30" s="444">
        <f>AVERAGE('24'!$L$21,'24'!$M$21)</f>
        <v>6.8</v>
      </c>
      <c r="AB30" s="444">
        <f>AVERAGE('24'!$L$19,'24'!$M$19)</f>
        <v>6.799999999999998</v>
      </c>
      <c r="AC30" s="452">
        <f>'24'!$N$20</f>
        <v>6.6</v>
      </c>
      <c r="AD30" s="452">
        <f>'24'!$N$21</f>
        <v>6.6</v>
      </c>
      <c r="AE30" s="453">
        <f>'24'!$N$19</f>
        <v>6.5999999999999988</v>
      </c>
    </row>
    <row r="31" spans="1:31" ht="18.75" customHeight="1">
      <c r="A31" s="447">
        <v>25</v>
      </c>
      <c r="B31" s="448">
        <f>'25'!$B$20</f>
        <v>80</v>
      </c>
      <c r="C31" s="449">
        <f>'25'!$B$21</f>
        <v>80</v>
      </c>
      <c r="D31" s="449">
        <f>'25'!$B$19</f>
        <v>80</v>
      </c>
      <c r="E31" s="440">
        <f>AVERAGE('25'!$C$20,'25'!$D$20)</f>
        <v>12.5</v>
      </c>
      <c r="F31" s="440">
        <f>AVERAGE('25'!$C$21,'25'!$D$21)</f>
        <v>12.5</v>
      </c>
      <c r="G31" s="440">
        <f>AVERAGE('25'!$C$19,'25'!$D$19)</f>
        <v>12.5</v>
      </c>
      <c r="H31" s="440">
        <f>'25'!$E$20</f>
        <v>2.5</v>
      </c>
      <c r="I31" s="440">
        <f>'25'!$E$21</f>
        <v>2.5</v>
      </c>
      <c r="J31" s="450">
        <f>'25'!$E$19</f>
        <v>2.5</v>
      </c>
      <c r="K31" s="451">
        <f>'25'!$F$20</f>
        <v>12</v>
      </c>
      <c r="L31" s="440">
        <f>'25'!$F$21</f>
        <v>9.98</v>
      </c>
      <c r="M31" s="440">
        <f>'25'!$F$19</f>
        <v>10.94</v>
      </c>
      <c r="N31" s="440">
        <f>AVERAGE('25'!$G$20,'25'!$H$20)</f>
        <v>2</v>
      </c>
      <c r="O31" s="440">
        <f>AVERAGE('25'!$G$21,'25'!$H$21)</f>
        <v>1.7450000000000001</v>
      </c>
      <c r="P31" s="440">
        <f>AVERAGE('25'!$G$19,'25'!$H$19)</f>
        <v>1.8670833333333334</v>
      </c>
      <c r="Q31" s="452">
        <f>'25'!$I$20</f>
        <v>0.64</v>
      </c>
      <c r="R31" s="452">
        <f>'25'!$I$21</f>
        <v>0.5</v>
      </c>
      <c r="S31" s="452">
        <f>'25'!$I$19</f>
        <v>0.54</v>
      </c>
      <c r="T31" s="452">
        <f>'25'!$J$20</f>
        <v>0.72</v>
      </c>
      <c r="U31" s="452">
        <f>'25'!$J$21</f>
        <v>0.5</v>
      </c>
      <c r="V31" s="453">
        <f>'25'!$J$19</f>
        <v>0.58166666666666667</v>
      </c>
      <c r="W31" s="454">
        <f>'25'!$K$20</f>
        <v>7.3</v>
      </c>
      <c r="X31" s="452">
        <f>'25'!$K$21</f>
        <v>7.3</v>
      </c>
      <c r="Y31" s="452">
        <f>'25'!$K$19</f>
        <v>7.299999999999998</v>
      </c>
      <c r="Z31" s="444">
        <f>AVERAGE('25'!$L$20,'25'!$M$20)</f>
        <v>6.8</v>
      </c>
      <c r="AA31" s="444">
        <f>AVERAGE('25'!$L$21,'25'!$M$21)</f>
        <v>6.8</v>
      </c>
      <c r="AB31" s="444">
        <f>AVERAGE('25'!$L$19,'25'!$M$19)</f>
        <v>6.799999999999998</v>
      </c>
      <c r="AC31" s="452">
        <f>'25'!$N$20</f>
        <v>6.6</v>
      </c>
      <c r="AD31" s="452">
        <f>'25'!$N$21</f>
        <v>6.5</v>
      </c>
      <c r="AE31" s="453">
        <f>'25'!$N$19</f>
        <v>6.5333333333333341</v>
      </c>
    </row>
    <row r="32" spans="1:31" ht="18.75" customHeight="1">
      <c r="A32" s="447">
        <v>26</v>
      </c>
      <c r="B32" s="448">
        <f>'26'!$B$20</f>
        <v>80</v>
      </c>
      <c r="C32" s="449">
        <f>'26'!$B$21</f>
        <v>80</v>
      </c>
      <c r="D32" s="449">
        <f>'26'!$B$19</f>
        <v>80</v>
      </c>
      <c r="E32" s="440">
        <f>AVERAGE('26'!$C$20,'26'!$D$20)</f>
        <v>17.5</v>
      </c>
      <c r="F32" s="440">
        <f>AVERAGE('26'!$C$21,'26'!$D$21)</f>
        <v>12.5</v>
      </c>
      <c r="G32" s="440">
        <f>AVERAGE('26'!$C$19,'26'!$D$19)</f>
        <v>14.895833333333332</v>
      </c>
      <c r="H32" s="440">
        <f>'26'!$E$20</f>
        <v>2.5</v>
      </c>
      <c r="I32" s="440">
        <f>'26'!$E$21</f>
        <v>2.5</v>
      </c>
      <c r="J32" s="450">
        <f>'26'!$E$19</f>
        <v>2.5</v>
      </c>
      <c r="K32" s="451">
        <f>'26'!$F$20</f>
        <v>13</v>
      </c>
      <c r="L32" s="440">
        <f>'26'!$F$21</f>
        <v>11</v>
      </c>
      <c r="M32" s="440">
        <f>'26'!$F$19</f>
        <v>12.333333333333334</v>
      </c>
      <c r="N32" s="440">
        <f>AVERAGE('26'!$G$20,'26'!$H$20)</f>
        <v>2.7</v>
      </c>
      <c r="O32" s="440">
        <f>AVERAGE('26'!$G$21,'26'!$H$21)</f>
        <v>1.7</v>
      </c>
      <c r="P32" s="440">
        <f>AVERAGE('26'!$G$19,'26'!$H$19)</f>
        <v>2.145833333333333</v>
      </c>
      <c r="Q32" s="452">
        <f>'26'!$I$20</f>
        <v>0.5</v>
      </c>
      <c r="R32" s="452">
        <f>'26'!$I$21</f>
        <v>0.4</v>
      </c>
      <c r="S32" s="452">
        <f>'26'!$I$19</f>
        <v>0.43636363636363634</v>
      </c>
      <c r="T32" s="452">
        <f>'26'!$J$20</f>
        <v>0.5</v>
      </c>
      <c r="U32" s="452">
        <f>'26'!$J$21</f>
        <v>0.4</v>
      </c>
      <c r="V32" s="453">
        <f>'26'!$J$19</f>
        <v>0.44545454545454538</v>
      </c>
      <c r="W32" s="454">
        <f>'26'!$K$20</f>
        <v>7.3</v>
      </c>
      <c r="X32" s="452">
        <f>'26'!$K$21</f>
        <v>7.3</v>
      </c>
      <c r="Y32" s="452">
        <f>'26'!$K$19</f>
        <v>7.299999999999998</v>
      </c>
      <c r="Z32" s="444">
        <f>AVERAGE('26'!$L$20,'26'!$M$20)</f>
        <v>6.8</v>
      </c>
      <c r="AA32" s="444">
        <f>AVERAGE('26'!$L$21,'26'!$M$21)</f>
        <v>6.8</v>
      </c>
      <c r="AB32" s="444">
        <f>AVERAGE('26'!$L$19,'26'!$M$19)</f>
        <v>6.799999999999998</v>
      </c>
      <c r="AC32" s="452">
        <f>'26'!$N$20</f>
        <v>6.5</v>
      </c>
      <c r="AD32" s="452">
        <f>'26'!$N$21</f>
        <v>6.5</v>
      </c>
      <c r="AE32" s="453">
        <f>'26'!$N$19</f>
        <v>6.5</v>
      </c>
    </row>
    <row r="33" spans="1:39" ht="18.75" customHeight="1">
      <c r="A33" s="447">
        <v>27</v>
      </c>
      <c r="B33" s="448">
        <f>'27'!$B$20</f>
        <v>80</v>
      </c>
      <c r="C33" s="449">
        <f>'27'!$B$21</f>
        <v>80</v>
      </c>
      <c r="D33" s="449">
        <f>'27'!$B$19</f>
        <v>80</v>
      </c>
      <c r="E33" s="440">
        <f>AVERAGE('27'!$C$20,'27'!$D$20)</f>
        <v>16.25</v>
      </c>
      <c r="F33" s="440">
        <f>AVERAGE('27'!$C$21,'27'!$D$21)</f>
        <v>15</v>
      </c>
      <c r="G33" s="440">
        <f>AVERAGE('27'!$C$19,'27'!$D$19)</f>
        <v>15.3125</v>
      </c>
      <c r="H33" s="440">
        <f>'27'!$E$20</f>
        <v>2.5</v>
      </c>
      <c r="I33" s="440">
        <f>'27'!$E$21</f>
        <v>2.5</v>
      </c>
      <c r="J33" s="450">
        <f>'27'!$E$19</f>
        <v>2.5</v>
      </c>
      <c r="K33" s="451">
        <f>'27'!$F$20</f>
        <v>13</v>
      </c>
      <c r="L33" s="440">
        <f>'27'!$F$21</f>
        <v>12</v>
      </c>
      <c r="M33" s="440">
        <f>'27'!$F$19</f>
        <v>12.75</v>
      </c>
      <c r="N33" s="440">
        <f>AVERAGE('27'!$G$20,'27'!$H$20)</f>
        <v>2.65</v>
      </c>
      <c r="O33" s="440">
        <f>AVERAGE('27'!$G$21,'27'!$H$21)</f>
        <v>2</v>
      </c>
      <c r="P33" s="440">
        <f>AVERAGE('27'!$G$19,'27'!$H$19)</f>
        <v>2.3125</v>
      </c>
      <c r="Q33" s="452">
        <f>'27'!$I$20</f>
        <v>0.6</v>
      </c>
      <c r="R33" s="452">
        <f>'27'!$I$21</f>
        <v>0.4</v>
      </c>
      <c r="S33" s="452">
        <f>'27'!$I$19</f>
        <v>0.49166666666666653</v>
      </c>
      <c r="T33" s="452">
        <f>'27'!$J$20</f>
        <v>0.7</v>
      </c>
      <c r="U33" s="452">
        <f>'27'!$J$21</f>
        <v>0.5</v>
      </c>
      <c r="V33" s="453">
        <f>'27'!$J$19</f>
        <v>0.56666666666666665</v>
      </c>
      <c r="W33" s="454">
        <f>'27'!$K$20</f>
        <v>7.3</v>
      </c>
      <c r="X33" s="452">
        <f>'27'!$K$21</f>
        <v>7.3</v>
      </c>
      <c r="Y33" s="452">
        <f>'27'!$K$19</f>
        <v>7.299999999999998</v>
      </c>
      <c r="Z33" s="444">
        <f>AVERAGE('27'!$L$20,'27'!$M$20)</f>
        <v>6.8</v>
      </c>
      <c r="AA33" s="444">
        <f>AVERAGE('27'!$L$21,'27'!$M$21)</f>
        <v>6.7</v>
      </c>
      <c r="AB33" s="444">
        <f>AVERAGE('27'!$L$19,'27'!$M$19)</f>
        <v>6.7363636363636372</v>
      </c>
      <c r="AC33" s="452">
        <f>'27'!$N$20</f>
        <v>6.5</v>
      </c>
      <c r="AD33" s="452">
        <f>'27'!$N$21</f>
        <v>6.4</v>
      </c>
      <c r="AE33" s="453">
        <f>'27'!$N$19</f>
        <v>6.4272727272727277</v>
      </c>
    </row>
    <row r="34" spans="1:39" ht="18.75" customHeight="1">
      <c r="A34" s="447">
        <v>28</v>
      </c>
      <c r="B34" s="448">
        <f>'28'!$B$20</f>
        <v>80</v>
      </c>
      <c r="C34" s="449">
        <f>'28'!$B$21</f>
        <v>80</v>
      </c>
      <c r="D34" s="449">
        <f>'28'!$B$19</f>
        <v>80</v>
      </c>
      <c r="E34" s="440">
        <f>AVERAGE('28'!$C$20,'28'!$D$20)</f>
        <v>15</v>
      </c>
      <c r="F34" s="440">
        <f>AVERAGE('28'!$C$21,'28'!$D$21)</f>
        <v>15</v>
      </c>
      <c r="G34" s="440">
        <f>AVERAGE('28'!$C$19,'28'!$D$19)</f>
        <v>15</v>
      </c>
      <c r="H34" s="440">
        <f>'28'!$E$20</f>
        <v>2.5</v>
      </c>
      <c r="I34" s="440">
        <f>'28'!$E$21</f>
        <v>2.5</v>
      </c>
      <c r="J34" s="450">
        <f>'28'!$E$19</f>
        <v>2.5</v>
      </c>
      <c r="K34" s="451">
        <f>'28'!$F$20</f>
        <v>14</v>
      </c>
      <c r="L34" s="440">
        <f>'28'!$F$21</f>
        <v>13</v>
      </c>
      <c r="M34" s="440">
        <f>'28'!$F$19</f>
        <v>13.25</v>
      </c>
      <c r="N34" s="440">
        <f>AVERAGE('28'!$G$20,'28'!$H$20)</f>
        <v>2.7</v>
      </c>
      <c r="O34" s="440">
        <f>AVERAGE('28'!$G$21,'28'!$H$21)</f>
        <v>1.9000000000000001</v>
      </c>
      <c r="P34" s="440">
        <f>AVERAGE('28'!$G$19,'28'!$H$19)</f>
        <v>2.291666666666667</v>
      </c>
      <c r="Q34" s="452">
        <f>'28'!$I$20</f>
        <v>0.6</v>
      </c>
      <c r="R34" s="452">
        <f>'28'!$I$21</f>
        <v>0.5</v>
      </c>
      <c r="S34" s="452">
        <f>'28'!$I$19</f>
        <v>0.53333333333333333</v>
      </c>
      <c r="T34" s="452">
        <f>'28'!$J$20</f>
        <v>0.7</v>
      </c>
      <c r="U34" s="452">
        <f>'28'!$J$21</f>
        <v>0.5</v>
      </c>
      <c r="V34" s="453">
        <f>'28'!$J$19</f>
        <v>0.61666666666666659</v>
      </c>
      <c r="W34" s="454">
        <f>'28'!$K$20</f>
        <v>7.3</v>
      </c>
      <c r="X34" s="452">
        <f>'28'!$K$21</f>
        <v>7.3</v>
      </c>
      <c r="Y34" s="452">
        <f>'28'!$K$19</f>
        <v>7.299999999999998</v>
      </c>
      <c r="Z34" s="444">
        <f>AVERAGE('28'!$L$20,'28'!$M$20)</f>
        <v>6.6</v>
      </c>
      <c r="AA34" s="444">
        <f>AVERAGE('28'!$L$21,'28'!$M$21)</f>
        <v>6.3</v>
      </c>
      <c r="AB34" s="444">
        <f>AVERAGE('28'!$L$19,'28'!$M$19)</f>
        <v>6.3999999999999986</v>
      </c>
      <c r="AC34" s="452">
        <f>'28'!$N$20</f>
        <v>6.3</v>
      </c>
      <c r="AD34" s="452">
        <f>'28'!$N$21</f>
        <v>6</v>
      </c>
      <c r="AE34" s="453">
        <f>'28'!$N$19</f>
        <v>6.1000000000000005</v>
      </c>
    </row>
    <row r="35" spans="1:39" ht="18.75" customHeight="1">
      <c r="A35" s="447">
        <v>29</v>
      </c>
      <c r="B35" s="448">
        <f>'29'!$B$20</f>
        <v>80</v>
      </c>
      <c r="C35" s="449">
        <f>'29'!$B$21</f>
        <v>80</v>
      </c>
      <c r="D35" s="449">
        <f>'29'!$B$19</f>
        <v>80</v>
      </c>
      <c r="E35" s="440">
        <f>AVERAGE('29'!$C$20,'29'!$D$20)</f>
        <v>12.5</v>
      </c>
      <c r="F35" s="440">
        <f>AVERAGE('29'!$C$21,'29'!$D$21)</f>
        <v>12.5</v>
      </c>
      <c r="G35" s="440">
        <f>AVERAGE('29'!$C$19,'29'!$D$19)</f>
        <v>12.5</v>
      </c>
      <c r="H35" s="440">
        <f>'29'!$E$20</f>
        <v>2.5</v>
      </c>
      <c r="I35" s="440">
        <f>'29'!$E$21</f>
        <v>2.5</v>
      </c>
      <c r="J35" s="450">
        <f>'29'!$E$19</f>
        <v>2.5</v>
      </c>
      <c r="K35" s="451">
        <f>'29'!$F$20</f>
        <v>21</v>
      </c>
      <c r="L35" s="440">
        <f>'29'!$F$21</f>
        <v>14</v>
      </c>
      <c r="M35" s="440">
        <f>'29'!$F$19</f>
        <v>18.416666666666668</v>
      </c>
      <c r="N35" s="440">
        <f>AVERAGE('29'!$G$20,'29'!$H$20)</f>
        <v>2.5499999999999998</v>
      </c>
      <c r="O35" s="440">
        <f>AVERAGE('29'!$G$21,'29'!$H$21)</f>
        <v>1.9000000000000001</v>
      </c>
      <c r="P35" s="440">
        <f>AVERAGE('29'!$G$19,'29'!$H$19)</f>
        <v>2.2166666666666668</v>
      </c>
      <c r="Q35" s="452">
        <f>'29'!$I$20</f>
        <v>0.5</v>
      </c>
      <c r="R35" s="452">
        <f>'29'!$I$21</f>
        <v>0.4</v>
      </c>
      <c r="S35" s="452">
        <f>'29'!$I$19</f>
        <v>0.43333333333333335</v>
      </c>
      <c r="T35" s="452">
        <f>'29'!$J$20</f>
        <v>0.5</v>
      </c>
      <c r="U35" s="452">
        <f>'29'!$J$21</f>
        <v>0.4</v>
      </c>
      <c r="V35" s="453">
        <f>'29'!$J$19</f>
        <v>0.45833333333333343</v>
      </c>
      <c r="W35" s="454">
        <f>'29'!$K$20</f>
        <v>7.3</v>
      </c>
      <c r="X35" s="452">
        <f>'29'!$K$21</f>
        <v>7</v>
      </c>
      <c r="Y35" s="452">
        <f>'29'!$K$19</f>
        <v>7.1999999999999984</v>
      </c>
      <c r="Z35" s="444">
        <f>AVERAGE('29'!$L$20,'29'!$M$20)</f>
        <v>6.7</v>
      </c>
      <c r="AA35" s="444">
        <f>AVERAGE('29'!$L$21,'29'!$M$21)</f>
        <v>6.3</v>
      </c>
      <c r="AB35" s="444">
        <f>AVERAGE('29'!$L$19,'29'!$M$19)</f>
        <v>6.5666666666666673</v>
      </c>
      <c r="AC35" s="452">
        <f>'29'!$N$20</f>
        <v>6.5</v>
      </c>
      <c r="AD35" s="452">
        <f>'29'!$N$21</f>
        <v>6</v>
      </c>
      <c r="AE35" s="453">
        <f>'29'!$N$19</f>
        <v>6.333333333333333</v>
      </c>
    </row>
    <row r="36" spans="1:39" ht="18.75" customHeight="1">
      <c r="A36" s="447">
        <v>30</v>
      </c>
      <c r="B36" s="448">
        <f>'30'!$B$20</f>
        <v>80</v>
      </c>
      <c r="C36" s="449">
        <f>'30'!$B$21</f>
        <v>80</v>
      </c>
      <c r="D36" s="449">
        <f>'30'!$B$19</f>
        <v>80</v>
      </c>
      <c r="E36" s="440">
        <f>AVERAGE('30'!$C$20,'30'!$D$20)</f>
        <v>16.25</v>
      </c>
      <c r="F36" s="440">
        <f>AVERAGE('30'!$C$21,'30'!$D$21)</f>
        <v>12.5</v>
      </c>
      <c r="G36" s="440">
        <f>AVERAGE('30'!$C$19,'30'!$D$19)</f>
        <v>13.541666666666668</v>
      </c>
      <c r="H36" s="440">
        <f>'30'!$E$20</f>
        <v>2.5</v>
      </c>
      <c r="I36" s="440">
        <f>'30'!$E$21</f>
        <v>2.5</v>
      </c>
      <c r="J36" s="450">
        <f>'30'!$E$19</f>
        <v>2.5</v>
      </c>
      <c r="K36" s="451">
        <f>'30'!$F$20</f>
        <v>22</v>
      </c>
      <c r="L36" s="440">
        <f>'30'!$F$21</f>
        <v>14</v>
      </c>
      <c r="M36" s="440">
        <f>'30'!$F$19</f>
        <v>17</v>
      </c>
      <c r="N36" s="440">
        <f>AVERAGE('30'!$G$20,'30'!$H$20)</f>
        <v>2.75</v>
      </c>
      <c r="O36" s="440">
        <f>AVERAGE('30'!$G$21,'30'!$H$21)</f>
        <v>1.85</v>
      </c>
      <c r="P36" s="440">
        <f>AVERAGE('30'!$G$19,'30'!$H$19)</f>
        <v>2.291666666666667</v>
      </c>
      <c r="Q36" s="452">
        <f>'30'!$I$20</f>
        <v>0.6</v>
      </c>
      <c r="R36" s="452">
        <f>'30'!$I$21</f>
        <v>0.4</v>
      </c>
      <c r="S36" s="452">
        <f>'30'!$I$19</f>
        <v>0.46666666666666673</v>
      </c>
      <c r="T36" s="452">
        <f>'30'!$J$20</f>
        <v>0.7</v>
      </c>
      <c r="U36" s="452">
        <f>'30'!$J$21</f>
        <v>0.35</v>
      </c>
      <c r="V36" s="453">
        <f>'30'!$J$19</f>
        <v>0.48749999999999999</v>
      </c>
      <c r="W36" s="454">
        <f>'30'!$K$20</f>
        <v>7.3</v>
      </c>
      <c r="X36" s="452">
        <f>'30'!$K$21</f>
        <v>7.3</v>
      </c>
      <c r="Y36" s="452">
        <f>'30'!$K$19</f>
        <v>7.299999999999998</v>
      </c>
      <c r="Z36" s="444">
        <f>AVERAGE('30'!$L$20,'30'!$M$20)</f>
        <v>6.7</v>
      </c>
      <c r="AA36" s="444">
        <f>AVERAGE('30'!$L$21,'30'!$M$21)</f>
        <v>6.5</v>
      </c>
      <c r="AB36" s="444">
        <f>AVERAGE('30'!$L$19,'30'!$M$19)</f>
        <v>6.5749999999999993</v>
      </c>
      <c r="AC36" s="452">
        <f>'30'!$N$20</f>
        <v>6.5</v>
      </c>
      <c r="AD36" s="452">
        <f>'30'!$N$21</f>
        <v>6.3</v>
      </c>
      <c r="AE36" s="453">
        <f>'30'!$N$19</f>
        <v>6.3833333333333329</v>
      </c>
    </row>
    <row r="37" spans="1:39" ht="18.75" customHeight="1">
      <c r="A37" s="458">
        <v>31</v>
      </c>
      <c r="B37" s="448">
        <f>'31'!$B$20</f>
        <v>80</v>
      </c>
      <c r="C37" s="449">
        <f>'31'!$B$21</f>
        <v>75</v>
      </c>
      <c r="D37" s="459">
        <f>'31'!$B$19</f>
        <v>79.583333333333329</v>
      </c>
      <c r="E37" s="440">
        <f>AVERAGE('31'!$C$20,'31'!$D$20)</f>
        <v>15</v>
      </c>
      <c r="F37" s="440">
        <f>AVERAGE('31'!$C$21,'31'!$D$21)</f>
        <v>13.75</v>
      </c>
      <c r="G37" s="440">
        <f>AVERAGE('31'!$C$19,'31'!$D$19)</f>
        <v>14.270833333333334</v>
      </c>
      <c r="H37" s="460">
        <f>'31'!$E$20</f>
        <v>2.5</v>
      </c>
      <c r="I37" s="460">
        <f>'31'!$E$21</f>
        <v>2.5</v>
      </c>
      <c r="J37" s="461">
        <f>'31'!$E$19</f>
        <v>2.5</v>
      </c>
      <c r="K37" s="451">
        <f>'31'!$F$20</f>
        <v>15</v>
      </c>
      <c r="L37" s="440">
        <f>'31'!$F$21</f>
        <v>9</v>
      </c>
      <c r="M37" s="440">
        <f>'31'!$F$19</f>
        <v>13.083333333333334</v>
      </c>
      <c r="N37" s="440">
        <f>AVERAGE('31'!$G$20,'31'!$H$20)</f>
        <v>2.5</v>
      </c>
      <c r="O37" s="440">
        <f>AVERAGE('31'!$G$21,'31'!$H$21)</f>
        <v>1.7000000000000002</v>
      </c>
      <c r="P37" s="440">
        <f>AVERAGE('31'!$G$19,'31'!$H$19)</f>
        <v>2.0750000000000002</v>
      </c>
      <c r="Q37" s="452">
        <f>'31'!$I$20</f>
        <v>0.6</v>
      </c>
      <c r="R37" s="452">
        <f>'31'!$I$21</f>
        <v>0.4</v>
      </c>
      <c r="S37" s="452">
        <f>'31'!$I$19</f>
        <v>0.48333333333333339</v>
      </c>
      <c r="T37" s="452">
        <f>'31'!$J$20</f>
        <v>0.6</v>
      </c>
      <c r="U37" s="452">
        <f>'31'!$J$21</f>
        <v>0.4</v>
      </c>
      <c r="V37" s="453">
        <f>'31'!$J$19</f>
        <v>0.52500000000000002</v>
      </c>
      <c r="W37" s="454">
        <f>'31'!$K$20</f>
        <v>7.3</v>
      </c>
      <c r="X37" s="452">
        <f>'31'!$K$21</f>
        <v>7.3</v>
      </c>
      <c r="Y37" s="452">
        <f>'31'!$K$19</f>
        <v>7.299999999999998</v>
      </c>
      <c r="Z37" s="444">
        <f>AVERAGE('31'!$L$20,'31'!$M$20)</f>
        <v>6.55</v>
      </c>
      <c r="AA37" s="444">
        <f>AVERAGE('31'!$L$21,'31'!$M$21)</f>
        <v>6.5</v>
      </c>
      <c r="AB37" s="444">
        <f>AVERAGE('31'!$L$19,'31'!$M$19)</f>
        <v>6.5166666666666675</v>
      </c>
      <c r="AC37" s="452">
        <f>'31'!$N$20</f>
        <v>6.4</v>
      </c>
      <c r="AD37" s="452">
        <f>'31'!$N$21</f>
        <v>6.3</v>
      </c>
      <c r="AE37" s="453">
        <f>'31'!$N$19</f>
        <v>6.3333333333333321</v>
      </c>
    </row>
    <row r="38" spans="1:39" ht="18.75" customHeight="1">
      <c r="A38" s="462"/>
      <c r="B38" s="463" t="s">
        <v>229</v>
      </c>
      <c r="C38" s="464" t="s">
        <v>232</v>
      </c>
      <c r="D38" s="465" t="s">
        <v>231</v>
      </c>
      <c r="E38" s="463" t="s">
        <v>229</v>
      </c>
      <c r="F38" s="464" t="s">
        <v>232</v>
      </c>
      <c r="G38" s="465" t="s">
        <v>231</v>
      </c>
      <c r="H38" s="466" t="s">
        <v>229</v>
      </c>
      <c r="I38" s="467" t="s">
        <v>232</v>
      </c>
      <c r="J38" s="468" t="s">
        <v>231</v>
      </c>
      <c r="K38" s="466" t="s">
        <v>229</v>
      </c>
      <c r="L38" s="467" t="s">
        <v>232</v>
      </c>
      <c r="M38" s="468" t="s">
        <v>231</v>
      </c>
      <c r="N38" s="466" t="s">
        <v>229</v>
      </c>
      <c r="O38" s="467" t="s">
        <v>232</v>
      </c>
      <c r="P38" s="468" t="s">
        <v>231</v>
      </c>
      <c r="Q38" s="466" t="s">
        <v>229</v>
      </c>
      <c r="R38" s="467" t="s">
        <v>232</v>
      </c>
      <c r="S38" s="468" t="s">
        <v>231</v>
      </c>
      <c r="T38" s="466" t="s">
        <v>229</v>
      </c>
      <c r="U38" s="467" t="s">
        <v>232</v>
      </c>
      <c r="V38" s="468" t="s">
        <v>231</v>
      </c>
      <c r="W38" s="466" t="s">
        <v>229</v>
      </c>
      <c r="X38" s="467" t="s">
        <v>232</v>
      </c>
      <c r="Y38" s="468" t="s">
        <v>231</v>
      </c>
      <c r="Z38" s="466" t="s">
        <v>229</v>
      </c>
      <c r="AA38" s="467" t="s">
        <v>232</v>
      </c>
      <c r="AB38" s="468" t="s">
        <v>231</v>
      </c>
      <c r="AC38" s="466" t="s">
        <v>229</v>
      </c>
      <c r="AD38" s="467" t="s">
        <v>232</v>
      </c>
      <c r="AE38" s="468" t="s">
        <v>231</v>
      </c>
    </row>
    <row r="39" spans="1:39" ht="19.5" customHeight="1">
      <c r="A39" s="469" t="s">
        <v>233</v>
      </c>
      <c r="B39" s="470">
        <f>MAX('Parte 1'!B7:B36)</f>
        <v>80</v>
      </c>
      <c r="C39" s="471">
        <f>MIN('Parte 1'!C7:C36)</f>
        <v>50</v>
      </c>
      <c r="D39" s="471">
        <f>AVERAGE('Parte 1'!D7:D36)</f>
        <v>72.111111111111114</v>
      </c>
      <c r="E39" s="470">
        <f>MAX('Parte 1'!E7:E36)</f>
        <v>17.5</v>
      </c>
      <c r="F39" s="471">
        <f>MIN('Parte 1'!F7:F36)</f>
        <v>7.5</v>
      </c>
      <c r="G39" s="471">
        <f>AVERAGE('Parte 1'!G7:G36)</f>
        <v>12.121527777777779</v>
      </c>
      <c r="H39" s="472">
        <f>MAX('Parte 1'!H7:H36)</f>
        <v>2.5</v>
      </c>
      <c r="I39" s="473">
        <f>MIN('Parte 1'!I7:I36)</f>
        <v>2.5</v>
      </c>
      <c r="J39" s="473">
        <f>AVERAGE('Parte 1'!J7:J36)</f>
        <v>2.5</v>
      </c>
      <c r="K39" s="472">
        <f>MAX('Parte 1'!K7:K36)</f>
        <v>22</v>
      </c>
      <c r="L39" s="473">
        <f>MIN('Parte 1'!L7:L36)</f>
        <v>6.5</v>
      </c>
      <c r="M39" s="473">
        <f>AVERAGE('Parte 1'!M7:M36)</f>
        <v>10.733277777777777</v>
      </c>
      <c r="N39" s="472">
        <f>MAX('Parte 1'!N7:N36)</f>
        <v>5</v>
      </c>
      <c r="O39" s="473">
        <f>MIN('Parte 1'!O7:O36)</f>
        <v>0.95</v>
      </c>
      <c r="P39" s="473">
        <f>AVERAGE('Parte 1'!P7:P36)</f>
        <v>1.7428724747474746</v>
      </c>
      <c r="Q39" s="472">
        <f>MAX('Parte 1'!Q7:Q36)</f>
        <v>0.7</v>
      </c>
      <c r="R39" s="473">
        <f>MIN('Parte 1'!R7:R36)</f>
        <v>0.3</v>
      </c>
      <c r="S39" s="473">
        <f>AVERAGE('Parte 1'!S7:S36)</f>
        <v>0.43918434343434348</v>
      </c>
      <c r="T39" s="472">
        <f>MAX('Parte 1'!T7:T36)</f>
        <v>0.9</v>
      </c>
      <c r="U39" s="473">
        <f>MIN('Parte 1'!U7:U36)</f>
        <v>0.3</v>
      </c>
      <c r="V39" s="473">
        <f>AVERAGE('Parte 1'!V7:V36)</f>
        <v>0.53382070707070706</v>
      </c>
      <c r="W39" s="472">
        <f>MAX('Parte 1'!W7:W36)</f>
        <v>7.3</v>
      </c>
      <c r="X39" s="473">
        <f>MIN('Parte 1'!X7:X36)</f>
        <v>6.5</v>
      </c>
      <c r="Y39" s="473">
        <f>AVERAGE('Parte 1'!Y7:Y36)</f>
        <v>7.2902777777777805</v>
      </c>
      <c r="Z39" s="472">
        <f>MAX('Parte 1'!Z7:Z36)</f>
        <v>6.8</v>
      </c>
      <c r="AA39" s="473">
        <f>MIN('Parte 1'!AA7:AA36)</f>
        <v>6.3</v>
      </c>
      <c r="AB39" s="473">
        <f>AVERAGE('Parte 1'!AB7:AB36)</f>
        <v>6.6884898989899018</v>
      </c>
      <c r="AC39" s="472">
        <f>MAX('Parte 1'!AC7:AC36)</f>
        <v>6.6</v>
      </c>
      <c r="AD39" s="473">
        <f>MIN('Parte 1'!AD7:AD36)</f>
        <v>6</v>
      </c>
      <c r="AE39" s="473">
        <f>AVERAGE('Parte 1'!AE7:AE36)</f>
        <v>6.4297979797979794</v>
      </c>
    </row>
    <row r="40" spans="1:39" ht="11.25" customHeight="1">
      <c r="A40" s="474" t="s">
        <v>234</v>
      </c>
      <c r="B40" s="475"/>
      <c r="C40" s="475" t="s">
        <v>235</v>
      </c>
      <c r="D40" s="1159"/>
      <c r="E40" s="1159"/>
      <c r="F40" s="1159"/>
      <c r="G40" s="1159"/>
      <c r="H40" s="1159"/>
      <c r="I40" s="1159"/>
      <c r="J40" s="1159"/>
      <c r="K40" s="1159"/>
      <c r="L40" s="1159"/>
      <c r="M40" s="1159"/>
      <c r="N40" s="1160"/>
      <c r="O40" s="1160"/>
      <c r="P40" s="1160"/>
      <c r="Q40" s="1160"/>
      <c r="R40" s="1160"/>
      <c r="S40" s="1160"/>
      <c r="T40" s="1160"/>
      <c r="U40" s="1160"/>
      <c r="V40" s="1160"/>
      <c r="W40" s="1160"/>
      <c r="X40" s="1160"/>
      <c r="Y40" s="1160"/>
      <c r="Z40" s="1160"/>
      <c r="AA40" s="1160"/>
      <c r="AB40" s="1160"/>
      <c r="AC40" s="1160"/>
      <c r="AD40" s="1160"/>
      <c r="AE40" s="1160"/>
    </row>
    <row r="41" spans="1:39" ht="12.75" customHeight="1">
      <c r="A41" s="1161" t="s">
        <v>236</v>
      </c>
      <c r="B41" s="1161"/>
      <c r="C41" s="1161"/>
      <c r="D41" s="1161"/>
      <c r="E41" s="1161"/>
      <c r="F41" s="1161"/>
      <c r="G41" s="1161"/>
      <c r="H41" s="1161"/>
      <c r="I41" s="1161"/>
      <c r="J41" s="1161"/>
      <c r="K41" s="1161"/>
      <c r="L41" s="1161"/>
      <c r="M41" s="1161"/>
      <c r="N41" s="476"/>
      <c r="O41" s="476"/>
      <c r="P41" s="476" t="s">
        <v>237</v>
      </c>
      <c r="Q41" s="476"/>
      <c r="R41" s="476"/>
      <c r="S41" s="476"/>
      <c r="T41" s="476"/>
      <c r="U41" s="477"/>
      <c r="V41" s="477"/>
      <c r="W41" s="477"/>
      <c r="X41" s="476"/>
      <c r="Y41" s="476"/>
      <c r="Z41" s="476"/>
      <c r="AA41" s="476"/>
      <c r="AB41" s="476"/>
      <c r="AC41" s="476"/>
      <c r="AD41" s="476"/>
      <c r="AE41" s="478"/>
    </row>
    <row r="42" spans="1:39" ht="11.25" customHeight="1">
      <c r="A42" s="1162" t="s">
        <v>238</v>
      </c>
      <c r="B42" s="1162"/>
      <c r="C42" s="1162"/>
      <c r="D42" s="1162"/>
      <c r="E42" s="1162"/>
      <c r="F42" s="1162"/>
      <c r="G42" s="1162"/>
      <c r="H42" s="1162"/>
      <c r="I42" s="1162"/>
      <c r="J42" s="1162"/>
      <c r="K42" s="1162"/>
      <c r="L42" s="1162"/>
      <c r="M42" s="1162"/>
      <c r="N42" s="1163"/>
      <c r="O42" s="1163"/>
      <c r="P42" s="1163"/>
      <c r="Q42" s="1163"/>
      <c r="R42" s="1163"/>
      <c r="S42" s="1163"/>
      <c r="T42" s="1163"/>
      <c r="U42" s="1163"/>
      <c r="V42" s="1163"/>
      <c r="W42" s="1163"/>
      <c r="X42" s="1163"/>
      <c r="Y42" s="1163"/>
      <c r="Z42" s="1163"/>
      <c r="AA42" s="1163"/>
      <c r="AB42" s="1163"/>
      <c r="AC42" s="1163"/>
      <c r="AD42" s="1163"/>
      <c r="AE42" s="1163"/>
    </row>
    <row r="43" spans="1:39" ht="11.25" customHeight="1">
      <c r="A43" s="479"/>
      <c r="B43" s="480"/>
      <c r="C43" s="480"/>
      <c r="D43" s="480"/>
      <c r="E43" s="480"/>
      <c r="F43" s="480"/>
      <c r="G43" s="480"/>
      <c r="H43" s="480"/>
      <c r="I43" s="480"/>
      <c r="J43" s="480"/>
      <c r="K43" s="480"/>
      <c r="L43" s="480"/>
      <c r="M43" s="480"/>
      <c r="N43" s="481"/>
      <c r="O43" s="482"/>
      <c r="P43" s="482"/>
      <c r="Q43" s="482"/>
      <c r="R43" s="482"/>
      <c r="S43" s="483"/>
      <c r="T43" s="484"/>
      <c r="U43" s="485"/>
      <c r="V43" s="485"/>
      <c r="W43" s="485"/>
      <c r="X43" s="485"/>
      <c r="Y43" s="485"/>
      <c r="Z43" s="485"/>
      <c r="AA43" s="485"/>
      <c r="AB43" s="485"/>
      <c r="AC43" s="486"/>
      <c r="AD43" s="487"/>
      <c r="AE43" s="488"/>
    </row>
    <row r="44" spans="1:39" ht="12" customHeight="1">
      <c r="A44" s="489"/>
      <c r="B44" s="482"/>
      <c r="C44" s="482"/>
      <c r="D44" s="482"/>
      <c r="E44" s="490"/>
      <c r="F44" s="482"/>
      <c r="G44" s="482"/>
      <c r="H44" s="482"/>
      <c r="I44" s="482"/>
      <c r="J44" s="482"/>
      <c r="K44" s="482"/>
      <c r="L44" s="482"/>
      <c r="M44" s="482"/>
      <c r="N44" s="1164"/>
      <c r="O44" s="1164"/>
      <c r="P44" s="1164"/>
      <c r="Q44" s="1164"/>
      <c r="R44" s="1164"/>
      <c r="S44" s="1164"/>
      <c r="T44" s="1164"/>
      <c r="U44" s="1164"/>
      <c r="V44" s="1164"/>
      <c r="W44" s="1164"/>
      <c r="X44" s="1164"/>
      <c r="Y44" s="1164"/>
      <c r="Z44" s="1164"/>
      <c r="AA44" s="1164"/>
      <c r="AB44" s="1164"/>
      <c r="AC44" s="1164"/>
      <c r="AD44" s="1164"/>
      <c r="AE44" s="1164"/>
    </row>
    <row r="45" spans="1:39" ht="15.75" customHeight="1">
      <c r="B45" s="1165" t="s">
        <v>239</v>
      </c>
      <c r="C45" s="1165"/>
      <c r="D45" s="1165"/>
      <c r="F45" s="1166" t="s">
        <v>240</v>
      </c>
      <c r="G45" s="1166"/>
      <c r="H45" s="1166"/>
      <c r="I45" s="1166"/>
      <c r="J45" s="1166"/>
      <c r="K45" s="492"/>
      <c r="L45" s="1166" t="s">
        <v>241</v>
      </c>
      <c r="M45" s="1166"/>
      <c r="N45" s="1166"/>
      <c r="O45" s="1166"/>
      <c r="P45" s="1167" t="s">
        <v>242</v>
      </c>
      <c r="Q45" s="1167"/>
      <c r="R45" s="1167"/>
      <c r="S45" s="1167"/>
      <c r="T45" s="1167"/>
      <c r="U45" s="493"/>
      <c r="V45" s="1166" t="s">
        <v>243</v>
      </c>
      <c r="W45" s="1166"/>
      <c r="X45" s="1166"/>
      <c r="Y45" s="1166"/>
      <c r="Z45" s="1166"/>
      <c r="AA45" s="1166"/>
      <c r="AB45" s="1166"/>
      <c r="AC45" s="1166"/>
      <c r="AE45" s="1166" t="s">
        <v>244</v>
      </c>
      <c r="AF45" s="1166"/>
      <c r="AG45" s="1166"/>
      <c r="AH45" s="1166"/>
      <c r="AJ45" s="1166" t="s">
        <v>245</v>
      </c>
      <c r="AK45" s="1166"/>
      <c r="AL45" s="1166"/>
      <c r="AM45" s="1166"/>
    </row>
    <row r="46" spans="1:39" ht="12" customHeight="1">
      <c r="A46" s="437">
        <v>1</v>
      </c>
      <c r="B46" s="438">
        <f>'Parte 1'!B7</f>
        <v>80</v>
      </c>
      <c r="C46" s="439">
        <f>'Parte 1'!C7</f>
        <v>70</v>
      </c>
      <c r="D46" s="439">
        <f>'Parte 1'!D7</f>
        <v>78.333333333333329</v>
      </c>
      <c r="H46" s="441">
        <v>2.5</v>
      </c>
      <c r="I46" s="441">
        <v>2.5</v>
      </c>
      <c r="J46" s="442">
        <v>2.5</v>
      </c>
      <c r="L46" s="443">
        <v>9</v>
      </c>
      <c r="M46" s="441">
        <v>8</v>
      </c>
      <c r="N46" s="441">
        <v>8.3083333333333407</v>
      </c>
      <c r="Q46" s="494">
        <v>0.4</v>
      </c>
      <c r="R46" s="494">
        <v>0.4</v>
      </c>
      <c r="S46" s="494">
        <v>0.4</v>
      </c>
      <c r="V46" s="495">
        <v>0.4</v>
      </c>
      <c r="W46" s="495">
        <v>0.3</v>
      </c>
      <c r="X46" s="495">
        <v>0.33333333333333298</v>
      </c>
      <c r="AE46" s="495">
        <v>6.8</v>
      </c>
      <c r="AF46" s="495">
        <v>6.7</v>
      </c>
      <c r="AG46" s="495">
        <v>6.7</v>
      </c>
      <c r="AJ46" s="495">
        <v>7.2</v>
      </c>
      <c r="AK46" s="495">
        <v>7.2</v>
      </c>
      <c r="AL46" s="495">
        <v>7.2</v>
      </c>
    </row>
    <row r="47" spans="1:39" ht="12" customHeight="1">
      <c r="A47" s="447">
        <v>2</v>
      </c>
      <c r="B47" s="448">
        <f>'Parte 1'!B8</f>
        <v>80</v>
      </c>
      <c r="C47" s="449">
        <f>'Parte 1'!C8</f>
        <v>50</v>
      </c>
      <c r="D47" s="449">
        <f>'Parte 1'!D8</f>
        <v>63.333333333333336</v>
      </c>
      <c r="H47" s="440">
        <v>2.5</v>
      </c>
      <c r="I47" s="440">
        <v>2.5</v>
      </c>
      <c r="J47" s="450">
        <v>2.5</v>
      </c>
      <c r="L47" s="451">
        <v>8.5</v>
      </c>
      <c r="M47" s="440">
        <v>6.6</v>
      </c>
      <c r="N47" s="440">
        <v>7.6166666666666698</v>
      </c>
      <c r="Q47" s="494">
        <v>0.5</v>
      </c>
      <c r="R47" s="494">
        <v>0.3</v>
      </c>
      <c r="S47" s="494">
        <v>0.40833333333333299</v>
      </c>
      <c r="V47" s="494">
        <v>0.4</v>
      </c>
      <c r="W47" s="494">
        <v>0.3</v>
      </c>
      <c r="X47" s="494">
        <v>0.35</v>
      </c>
      <c r="AE47" s="494">
        <v>6.7</v>
      </c>
      <c r="AF47" s="494">
        <v>6.7</v>
      </c>
      <c r="AG47" s="494">
        <v>6.7</v>
      </c>
      <c r="AJ47" s="494">
        <v>7.2</v>
      </c>
      <c r="AK47" s="494">
        <v>7.2</v>
      </c>
      <c r="AL47" s="494">
        <v>7.2</v>
      </c>
    </row>
    <row r="48" spans="1:39" ht="12" customHeight="1">
      <c r="A48" s="447">
        <v>3</v>
      </c>
      <c r="B48" s="448">
        <f>'Parte 1'!B9</f>
        <v>70</v>
      </c>
      <c r="C48" s="449">
        <f>'Parte 1'!C9</f>
        <v>50</v>
      </c>
      <c r="D48" s="449">
        <f>'Parte 1'!D9</f>
        <v>61.666666666666664</v>
      </c>
      <c r="H48" s="440">
        <v>2.5</v>
      </c>
      <c r="I48" s="440">
        <v>2.5</v>
      </c>
      <c r="J48" s="450">
        <v>2.5</v>
      </c>
      <c r="L48" s="451">
        <v>6.5</v>
      </c>
      <c r="M48" s="440">
        <v>5.0999999999999996</v>
      </c>
      <c r="N48" s="440">
        <v>5.8416666666666703</v>
      </c>
      <c r="Q48" s="494">
        <v>0.7</v>
      </c>
      <c r="R48" s="494">
        <v>0.4</v>
      </c>
      <c r="S48" s="494">
        <v>0.45833333333333298</v>
      </c>
      <c r="V48" s="494">
        <v>0.4</v>
      </c>
      <c r="W48" s="494">
        <v>0.3</v>
      </c>
      <c r="X48" s="494">
        <v>0.38333333333333303</v>
      </c>
      <c r="AE48" s="494">
        <v>6.7</v>
      </c>
      <c r="AF48" s="494">
        <v>6.2</v>
      </c>
      <c r="AG48" s="494">
        <v>6.4083333333333403</v>
      </c>
      <c r="AJ48" s="494">
        <v>7.2</v>
      </c>
      <c r="AK48" s="494">
        <v>6.7</v>
      </c>
      <c r="AL48" s="494">
        <v>6.9083333333333403</v>
      </c>
    </row>
    <row r="49" spans="1:38" ht="12" customHeight="1">
      <c r="A49" s="447">
        <v>4</v>
      </c>
      <c r="B49" s="448">
        <f>'Parte 1'!B10</f>
        <v>60</v>
      </c>
      <c r="C49" s="449">
        <f>'Parte 1'!C10</f>
        <v>50</v>
      </c>
      <c r="D49" s="449">
        <f>'Parte 1'!D10</f>
        <v>61.666666666666664</v>
      </c>
      <c r="H49" s="440">
        <v>2.5</v>
      </c>
      <c r="I49" s="440">
        <v>2.5</v>
      </c>
      <c r="J49" s="450">
        <v>2.5</v>
      </c>
      <c r="L49" s="451">
        <v>5.0999999999999996</v>
      </c>
      <c r="M49" s="440">
        <v>4.5999999999999996</v>
      </c>
      <c r="N49" s="440">
        <v>4.8333333333333304</v>
      </c>
      <c r="Q49" s="494">
        <v>0.5</v>
      </c>
      <c r="R49" s="494">
        <v>0.4</v>
      </c>
      <c r="S49" s="494">
        <v>0.47499999999999998</v>
      </c>
      <c r="V49" s="494">
        <v>0.4</v>
      </c>
      <c r="W49" s="494">
        <v>0.4</v>
      </c>
      <c r="X49" s="494">
        <v>0.4</v>
      </c>
      <c r="AE49" s="494">
        <v>6.2</v>
      </c>
      <c r="AF49" s="494">
        <v>6.2</v>
      </c>
      <c r="AG49" s="494">
        <v>6.2</v>
      </c>
      <c r="AJ49" s="494">
        <v>6.7</v>
      </c>
      <c r="AK49" s="494">
        <v>6.7</v>
      </c>
      <c r="AL49" s="494">
        <v>6.7</v>
      </c>
    </row>
    <row r="50" spans="1:38" ht="12" customHeight="1">
      <c r="A50" s="447">
        <v>5</v>
      </c>
      <c r="B50" s="448">
        <f>'Parte 1'!B11</f>
        <v>60</v>
      </c>
      <c r="C50" s="449">
        <f>'Parte 1'!C11</f>
        <v>60</v>
      </c>
      <c r="D50" s="449">
        <f>'Parte 1'!D11</f>
        <v>60</v>
      </c>
      <c r="H50" s="440">
        <v>2.5</v>
      </c>
      <c r="I50" s="440">
        <v>2.5</v>
      </c>
      <c r="J50" s="450">
        <v>2.5</v>
      </c>
      <c r="L50" s="451">
        <v>5</v>
      </c>
      <c r="M50" s="440">
        <v>4.5</v>
      </c>
      <c r="N50" s="440">
        <v>4.6666666666666696</v>
      </c>
      <c r="Q50" s="494">
        <v>0.6</v>
      </c>
      <c r="R50" s="494">
        <v>0.4</v>
      </c>
      <c r="S50" s="494">
        <v>0.5</v>
      </c>
      <c r="V50" s="494">
        <v>0.5</v>
      </c>
      <c r="W50" s="494">
        <v>0.4</v>
      </c>
      <c r="X50" s="494">
        <v>0.44166666666666698</v>
      </c>
      <c r="AE50" s="494">
        <v>6.4</v>
      </c>
      <c r="AF50" s="494">
        <v>6.2</v>
      </c>
      <c r="AG50" s="494">
        <v>6.31666666666667</v>
      </c>
      <c r="AJ50" s="494">
        <v>7.1</v>
      </c>
      <c r="AK50" s="494">
        <v>6.7</v>
      </c>
      <c r="AL50" s="494">
        <v>6.93333333333333</v>
      </c>
    </row>
    <row r="51" spans="1:38" ht="12" customHeight="1">
      <c r="A51" s="447">
        <v>6</v>
      </c>
      <c r="B51" s="448">
        <f>'Parte 1'!B12</f>
        <v>60</v>
      </c>
      <c r="C51" s="449">
        <f>'Parte 1'!C12</f>
        <v>60</v>
      </c>
      <c r="D51" s="449">
        <f>'Parte 1'!D12</f>
        <v>60</v>
      </c>
      <c r="H51" s="440">
        <v>2.5</v>
      </c>
      <c r="I51" s="440">
        <v>2.5</v>
      </c>
      <c r="J51" s="450">
        <v>2.5</v>
      </c>
      <c r="L51" s="451">
        <v>4.8</v>
      </c>
      <c r="M51" s="440">
        <v>3.7</v>
      </c>
      <c r="N51" s="440">
        <v>4.2</v>
      </c>
      <c r="Q51" s="494">
        <v>0.5</v>
      </c>
      <c r="R51" s="494">
        <v>0.3</v>
      </c>
      <c r="S51" s="494">
        <v>0.4</v>
      </c>
      <c r="V51" s="494">
        <v>0.5</v>
      </c>
      <c r="W51" s="494">
        <v>0.3</v>
      </c>
      <c r="X51" s="494">
        <v>0.36666666666666697</v>
      </c>
      <c r="AE51" s="494">
        <v>6.5</v>
      </c>
      <c r="AF51" s="494">
        <v>6.1</v>
      </c>
      <c r="AG51" s="494">
        <v>6.2666666666666702</v>
      </c>
      <c r="AJ51" s="494">
        <v>7.1</v>
      </c>
      <c r="AK51" s="494">
        <v>6.7</v>
      </c>
      <c r="AL51" s="494">
        <v>6.8666666666666698</v>
      </c>
    </row>
    <row r="52" spans="1:38" ht="12" customHeight="1">
      <c r="A52" s="447">
        <v>7</v>
      </c>
      <c r="B52" s="448">
        <f>'Parte 1'!B13</f>
        <v>60</v>
      </c>
      <c r="C52" s="449">
        <f>'Parte 1'!C13</f>
        <v>60</v>
      </c>
      <c r="D52" s="449">
        <f>'Parte 1'!D13</f>
        <v>60</v>
      </c>
      <c r="H52" s="457">
        <v>2.5</v>
      </c>
      <c r="I52" s="440">
        <v>2.5</v>
      </c>
      <c r="J52" s="450">
        <v>2.5</v>
      </c>
      <c r="L52" s="451">
        <v>4.0999999999999996</v>
      </c>
      <c r="M52" s="440">
        <v>3.4</v>
      </c>
      <c r="N52" s="440">
        <v>3.7333333333333298</v>
      </c>
      <c r="Q52" s="494">
        <v>0.6</v>
      </c>
      <c r="R52" s="494">
        <v>0.3</v>
      </c>
      <c r="S52" s="494">
        <v>0.45</v>
      </c>
      <c r="V52" s="494">
        <v>0.4</v>
      </c>
      <c r="W52" s="494">
        <v>0.3</v>
      </c>
      <c r="X52" s="494">
        <v>0.32500000000000001</v>
      </c>
      <c r="AE52" s="494">
        <v>6.4</v>
      </c>
      <c r="AF52" s="494">
        <v>6.1</v>
      </c>
      <c r="AG52" s="494">
        <v>6.2750000000000004</v>
      </c>
      <c r="AJ52" s="494">
        <v>6.8</v>
      </c>
      <c r="AK52" s="494">
        <v>6.7</v>
      </c>
      <c r="AL52" s="494">
        <v>6.7583333333333302</v>
      </c>
    </row>
    <row r="53" spans="1:38" ht="12" customHeight="1">
      <c r="A53" s="447">
        <v>8</v>
      </c>
      <c r="B53" s="448">
        <f>'Parte 1'!B14</f>
        <v>60</v>
      </c>
      <c r="C53" s="449">
        <f>'Parte 1'!C14</f>
        <v>60</v>
      </c>
      <c r="D53" s="449">
        <f>'Parte 1'!D14</f>
        <v>60</v>
      </c>
      <c r="H53" s="440">
        <v>2.5</v>
      </c>
      <c r="I53" s="440">
        <v>2.5</v>
      </c>
      <c r="J53" s="450">
        <v>2.5</v>
      </c>
      <c r="L53" s="451">
        <v>3.8</v>
      </c>
      <c r="M53" s="440">
        <v>3.5</v>
      </c>
      <c r="N53" s="440">
        <v>3.6333333333333302</v>
      </c>
      <c r="Q53" s="494">
        <v>0.6</v>
      </c>
      <c r="R53" s="494">
        <v>0.3</v>
      </c>
      <c r="S53" s="494">
        <v>0.40833333333333299</v>
      </c>
      <c r="V53" s="494">
        <v>0.5</v>
      </c>
      <c r="W53" s="494">
        <v>0.3</v>
      </c>
      <c r="X53" s="494">
        <v>0.35</v>
      </c>
      <c r="AE53" s="494">
        <v>6.4</v>
      </c>
      <c r="AF53" s="494">
        <v>6.4</v>
      </c>
      <c r="AG53" s="494">
        <v>6.4</v>
      </c>
      <c r="AJ53" s="494">
        <v>6.9</v>
      </c>
      <c r="AK53" s="494">
        <v>6.8</v>
      </c>
      <c r="AL53" s="494">
        <v>6.8583333333333298</v>
      </c>
    </row>
    <row r="54" spans="1:38" ht="12" customHeight="1">
      <c r="A54" s="447">
        <v>9</v>
      </c>
      <c r="B54" s="448">
        <f>'Parte 1'!B15</f>
        <v>60</v>
      </c>
      <c r="C54" s="449">
        <f>'Parte 1'!C15</f>
        <v>60</v>
      </c>
      <c r="D54" s="449">
        <f>'Parte 1'!D15</f>
        <v>60</v>
      </c>
      <c r="H54" s="440">
        <v>2.5</v>
      </c>
      <c r="I54" s="440">
        <v>2.5</v>
      </c>
      <c r="J54" s="450">
        <v>2.5</v>
      </c>
      <c r="L54" s="451">
        <v>4.5</v>
      </c>
      <c r="M54" s="440">
        <v>2.9</v>
      </c>
      <c r="N54" s="440">
        <v>3.55833333333333</v>
      </c>
      <c r="Q54" s="494">
        <v>0.6</v>
      </c>
      <c r="R54" s="494">
        <v>0.3</v>
      </c>
      <c r="S54" s="494">
        <v>0.42499999999999999</v>
      </c>
      <c r="V54" s="494">
        <v>0.4</v>
      </c>
      <c r="W54" s="494">
        <v>0.3</v>
      </c>
      <c r="X54" s="494">
        <v>0.31666666666666698</v>
      </c>
      <c r="AE54" s="494">
        <v>6.6</v>
      </c>
      <c r="AF54" s="494">
        <v>6.4</v>
      </c>
      <c r="AG54" s="494">
        <v>6.52727272727273</v>
      </c>
      <c r="AJ54" s="494">
        <v>7</v>
      </c>
      <c r="AK54" s="494">
        <v>6.9</v>
      </c>
      <c r="AL54" s="494">
        <v>6.9636363636363603</v>
      </c>
    </row>
    <row r="55" spans="1:38" ht="12" customHeight="1">
      <c r="A55" s="447">
        <v>10</v>
      </c>
      <c r="B55" s="448">
        <f>'Parte 1'!B16</f>
        <v>60</v>
      </c>
      <c r="C55" s="449">
        <f>'Parte 1'!C16</f>
        <v>60</v>
      </c>
      <c r="D55" s="449">
        <f>'Parte 1'!D16</f>
        <v>60</v>
      </c>
      <c r="H55" s="440">
        <v>2.5</v>
      </c>
      <c r="I55" s="440">
        <v>2.5</v>
      </c>
      <c r="J55" s="450">
        <v>2.5</v>
      </c>
      <c r="L55" s="451">
        <v>28</v>
      </c>
      <c r="M55" s="440">
        <v>4.7</v>
      </c>
      <c r="N55" s="440">
        <v>15.266666666666699</v>
      </c>
      <c r="Q55" s="494">
        <v>0.6</v>
      </c>
      <c r="R55" s="494">
        <v>0.3</v>
      </c>
      <c r="S55" s="494">
        <v>0.45</v>
      </c>
      <c r="V55" s="494">
        <v>0.5</v>
      </c>
      <c r="W55" s="494">
        <v>0.3</v>
      </c>
      <c r="X55" s="494">
        <v>0.40833333333333299</v>
      </c>
      <c r="AE55" s="494">
        <v>6.8</v>
      </c>
      <c r="AF55" s="494">
        <v>6.6</v>
      </c>
      <c r="AG55" s="494">
        <v>6.6166666666666698</v>
      </c>
      <c r="AJ55" s="494">
        <v>7</v>
      </c>
      <c r="AK55" s="494">
        <v>7</v>
      </c>
      <c r="AL55" s="494">
        <v>7</v>
      </c>
    </row>
    <row r="56" spans="1:38" ht="12" customHeight="1">
      <c r="A56" s="447">
        <v>11</v>
      </c>
      <c r="B56" s="448">
        <f>'Parte 1'!B17</f>
        <v>60</v>
      </c>
      <c r="C56" s="449">
        <f>'Parte 1'!C17</f>
        <v>60</v>
      </c>
      <c r="D56" s="449">
        <f>'Parte 1'!D17</f>
        <v>60</v>
      </c>
      <c r="H56" s="440">
        <v>2.5</v>
      </c>
      <c r="I56" s="440">
        <v>2.5</v>
      </c>
      <c r="J56" s="450">
        <v>2.5</v>
      </c>
      <c r="L56" s="451">
        <v>23</v>
      </c>
      <c r="M56" s="440">
        <v>16</v>
      </c>
      <c r="N56" s="440">
        <v>19.25</v>
      </c>
      <c r="Q56" s="494">
        <v>0.6</v>
      </c>
      <c r="R56" s="494">
        <v>0.4</v>
      </c>
      <c r="S56" s="494">
        <v>0.49166666666666697</v>
      </c>
      <c r="V56" s="494">
        <v>0.5</v>
      </c>
      <c r="W56" s="494">
        <v>0.3</v>
      </c>
      <c r="X56" s="494">
        <v>0.391666666666667</v>
      </c>
      <c r="AE56" s="494">
        <v>6.6</v>
      </c>
      <c r="AF56" s="494">
        <v>6.6</v>
      </c>
      <c r="AG56" s="494">
        <v>6.6</v>
      </c>
      <c r="AJ56" s="494">
        <v>7</v>
      </c>
      <c r="AK56" s="494">
        <v>7</v>
      </c>
      <c r="AL56" s="494">
        <v>7</v>
      </c>
    </row>
    <row r="57" spans="1:38" ht="12" customHeight="1">
      <c r="A57" s="447">
        <v>12</v>
      </c>
      <c r="B57" s="448">
        <f>'Parte 1'!B18</f>
        <v>60</v>
      </c>
      <c r="C57" s="449">
        <f>'Parte 1'!C18</f>
        <v>60</v>
      </c>
      <c r="D57" s="449">
        <f>'Parte 1'!D18</f>
        <v>60</v>
      </c>
      <c r="H57" s="440">
        <v>2.5</v>
      </c>
      <c r="I57" s="440">
        <v>2.5</v>
      </c>
      <c r="J57" s="450">
        <v>2.5</v>
      </c>
      <c r="L57" s="451">
        <v>21</v>
      </c>
      <c r="M57" s="440">
        <v>14.9</v>
      </c>
      <c r="N57" s="440">
        <v>19.3</v>
      </c>
      <c r="Q57" s="494">
        <v>0.6</v>
      </c>
      <c r="R57" s="494">
        <v>0.3</v>
      </c>
      <c r="S57" s="494">
        <v>0.41666666666666702</v>
      </c>
      <c r="V57" s="494">
        <v>0.4</v>
      </c>
      <c r="W57" s="494">
        <v>0.3</v>
      </c>
      <c r="X57" s="494">
        <v>0.34166666666666701</v>
      </c>
      <c r="AE57" s="494">
        <v>6.6</v>
      </c>
      <c r="AF57" s="494">
        <v>6.6</v>
      </c>
      <c r="AG57" s="494">
        <v>6.6</v>
      </c>
      <c r="AJ57" s="494">
        <v>7.1</v>
      </c>
      <c r="AK57" s="494">
        <v>7</v>
      </c>
      <c r="AL57" s="494">
        <v>7.05833333333333</v>
      </c>
    </row>
    <row r="58" spans="1:38" ht="12" customHeight="1">
      <c r="A58" s="447">
        <v>13</v>
      </c>
      <c r="B58" s="448">
        <f>'Parte 1'!B19</f>
        <v>60</v>
      </c>
      <c r="C58" s="449">
        <f>'Parte 1'!C19</f>
        <v>60</v>
      </c>
      <c r="D58" s="449">
        <f>'Parte 1'!D19</f>
        <v>60</v>
      </c>
      <c r="H58" s="440">
        <v>2.5</v>
      </c>
      <c r="I58" s="440">
        <v>2.5</v>
      </c>
      <c r="J58" s="450">
        <v>2.5</v>
      </c>
      <c r="L58" s="451">
        <v>14</v>
      </c>
      <c r="M58" s="440">
        <v>9.1</v>
      </c>
      <c r="N58" s="440">
        <v>10.841666666666701</v>
      </c>
      <c r="Q58" s="494">
        <v>0.6</v>
      </c>
      <c r="R58" s="494">
        <v>0.4</v>
      </c>
      <c r="S58" s="494">
        <v>0.52500000000000002</v>
      </c>
      <c r="V58" s="494">
        <v>0.4</v>
      </c>
      <c r="W58" s="494">
        <v>0.3</v>
      </c>
      <c r="X58" s="494">
        <v>0.32500000000000001</v>
      </c>
      <c r="AE58" s="494">
        <v>6.6</v>
      </c>
      <c r="AF58" s="494">
        <v>6.6</v>
      </c>
      <c r="AG58" s="494">
        <v>6.6</v>
      </c>
      <c r="AJ58" s="494">
        <v>7.1</v>
      </c>
      <c r="AK58" s="494">
        <v>7</v>
      </c>
      <c r="AL58" s="494">
        <v>7.0416666666666696</v>
      </c>
    </row>
    <row r="59" spans="1:38" ht="12" customHeight="1">
      <c r="A59" s="447">
        <v>14</v>
      </c>
      <c r="B59" s="448">
        <f>'Parte 1'!B20</f>
        <v>80</v>
      </c>
      <c r="C59" s="449">
        <f>'Parte 1'!C20</f>
        <v>70</v>
      </c>
      <c r="D59" s="449">
        <f>'Parte 1'!D20</f>
        <v>78.333333333333329</v>
      </c>
      <c r="H59" s="457">
        <v>2.5</v>
      </c>
      <c r="I59" s="440">
        <v>2.5</v>
      </c>
      <c r="J59" s="450">
        <v>2.5</v>
      </c>
      <c r="L59" s="451">
        <v>8.8000000000000007</v>
      </c>
      <c r="M59" s="440">
        <v>6.1</v>
      </c>
      <c r="N59" s="440">
        <v>7.3333333333333304</v>
      </c>
      <c r="Q59" s="494">
        <v>0.6</v>
      </c>
      <c r="R59" s="494">
        <v>0.4</v>
      </c>
      <c r="S59" s="494">
        <v>0.47499999999999998</v>
      </c>
      <c r="V59" s="494">
        <v>0.5</v>
      </c>
      <c r="W59" s="494">
        <v>0.3</v>
      </c>
      <c r="X59" s="494">
        <v>0.375</v>
      </c>
      <c r="AE59" s="494">
        <v>6.7</v>
      </c>
      <c r="AF59" s="494">
        <v>6.7</v>
      </c>
      <c r="AG59" s="494">
        <v>6.7</v>
      </c>
      <c r="AJ59" s="494">
        <v>7.1</v>
      </c>
      <c r="AK59" s="494">
        <v>7</v>
      </c>
      <c r="AL59" s="494">
        <v>7.05833333333333</v>
      </c>
    </row>
    <row r="60" spans="1:38" ht="12" customHeight="1">
      <c r="A60" s="447">
        <v>15</v>
      </c>
      <c r="B60" s="448">
        <f>'Parte 1'!B21</f>
        <v>80</v>
      </c>
      <c r="C60" s="449">
        <v>50</v>
      </c>
      <c r="D60" s="449">
        <v>50</v>
      </c>
      <c r="H60" s="457">
        <v>2.5</v>
      </c>
      <c r="I60" s="440">
        <v>2.5</v>
      </c>
      <c r="J60" s="450">
        <v>2.5</v>
      </c>
      <c r="L60" s="451">
        <v>5.9</v>
      </c>
      <c r="M60" s="440">
        <v>5</v>
      </c>
      <c r="N60" s="440">
        <v>5.56666666666667</v>
      </c>
      <c r="Q60" s="494">
        <v>0.5</v>
      </c>
      <c r="R60" s="494">
        <v>0.3</v>
      </c>
      <c r="S60" s="494">
        <v>0.375</v>
      </c>
      <c r="V60" s="494">
        <v>0.4</v>
      </c>
      <c r="W60" s="494">
        <v>0.3</v>
      </c>
      <c r="X60" s="494">
        <v>0.30833333333333302</v>
      </c>
      <c r="AE60" s="494">
        <v>6.7</v>
      </c>
      <c r="AF60" s="494">
        <v>6.6</v>
      </c>
      <c r="AG60" s="494">
        <v>6.6416666666666702</v>
      </c>
      <c r="AJ60" s="494">
        <v>7.1</v>
      </c>
      <c r="AK60" s="494">
        <v>7</v>
      </c>
      <c r="AL60" s="494">
        <v>7.0416666666666696</v>
      </c>
    </row>
    <row r="61" spans="1:38" ht="12" customHeight="1">
      <c r="A61" s="447">
        <v>16</v>
      </c>
      <c r="B61" s="448"/>
      <c r="C61" s="449"/>
      <c r="D61" s="449"/>
      <c r="H61" s="457"/>
      <c r="I61" s="440"/>
      <c r="J61" s="450"/>
      <c r="L61" s="451"/>
      <c r="M61" s="440"/>
      <c r="N61" s="440"/>
      <c r="Q61" s="494"/>
      <c r="R61" s="494"/>
      <c r="S61" s="494"/>
      <c r="V61" s="494"/>
      <c r="W61" s="494"/>
      <c r="X61" s="494"/>
      <c r="AE61" s="494"/>
      <c r="AF61" s="494"/>
      <c r="AG61" s="494"/>
      <c r="AJ61" s="494"/>
      <c r="AK61" s="494"/>
      <c r="AL61" s="494"/>
    </row>
    <row r="62" spans="1:38" ht="12" customHeight="1">
      <c r="A62" s="447">
        <v>17</v>
      </c>
      <c r="B62" s="448"/>
      <c r="C62" s="449"/>
      <c r="D62" s="449"/>
      <c r="H62" s="440"/>
      <c r="I62" s="440"/>
      <c r="J62" s="450"/>
      <c r="L62" s="451"/>
      <c r="M62" s="440"/>
      <c r="N62" s="440"/>
      <c r="Q62" s="494"/>
      <c r="R62" s="494"/>
      <c r="S62" s="494"/>
      <c r="V62" s="494"/>
      <c r="W62" s="494"/>
      <c r="X62" s="494"/>
      <c r="AE62" s="494"/>
      <c r="AF62" s="494"/>
      <c r="AG62" s="494"/>
      <c r="AJ62" s="494"/>
      <c r="AK62" s="494"/>
      <c r="AL62" s="494"/>
    </row>
    <row r="63" spans="1:38" ht="12" customHeight="1">
      <c r="A63" s="447">
        <v>18</v>
      </c>
      <c r="B63" s="448"/>
      <c r="C63" s="449"/>
      <c r="D63" s="449"/>
      <c r="H63" s="440"/>
      <c r="I63" s="440"/>
      <c r="J63" s="450"/>
      <c r="L63" s="451"/>
      <c r="M63" s="440"/>
      <c r="N63" s="440"/>
      <c r="Q63" s="494"/>
      <c r="R63" s="494"/>
      <c r="S63" s="494"/>
      <c r="V63" s="494"/>
      <c r="W63" s="494"/>
      <c r="X63" s="494"/>
      <c r="AE63" s="494"/>
      <c r="AF63" s="494"/>
      <c r="AG63" s="494"/>
      <c r="AJ63" s="494"/>
      <c r="AK63" s="494"/>
      <c r="AL63" s="494"/>
    </row>
    <row r="64" spans="1:38" ht="12" customHeight="1">
      <c r="A64" s="447">
        <v>19</v>
      </c>
      <c r="B64" s="496"/>
      <c r="C64" s="449"/>
      <c r="D64" s="449"/>
      <c r="H64" s="440"/>
      <c r="I64" s="440"/>
      <c r="J64" s="450"/>
      <c r="L64" s="451"/>
      <c r="M64" s="440"/>
      <c r="N64" s="440"/>
      <c r="Q64" s="494"/>
      <c r="R64" s="494"/>
      <c r="S64" s="494"/>
      <c r="V64" s="494"/>
      <c r="W64" s="494"/>
      <c r="X64" s="494"/>
      <c r="AE64" s="494"/>
      <c r="AF64" s="494"/>
      <c r="AG64" s="494"/>
      <c r="AJ64" s="494"/>
      <c r="AK64" s="494"/>
      <c r="AL64" s="494"/>
    </row>
    <row r="65" spans="1:38" ht="12" customHeight="1">
      <c r="A65" s="447">
        <v>20</v>
      </c>
      <c r="B65" s="496"/>
      <c r="C65" s="449"/>
      <c r="D65" s="449"/>
      <c r="H65" s="440"/>
      <c r="I65" s="440"/>
      <c r="J65" s="450"/>
      <c r="L65" s="451"/>
      <c r="M65" s="440"/>
      <c r="N65" s="440"/>
      <c r="Q65" s="494"/>
      <c r="R65" s="494"/>
      <c r="S65" s="494"/>
      <c r="V65" s="494"/>
      <c r="W65" s="494"/>
      <c r="X65" s="494"/>
      <c r="AE65" s="494"/>
      <c r="AF65" s="494"/>
      <c r="AG65" s="494"/>
      <c r="AJ65" s="494"/>
      <c r="AK65" s="494"/>
      <c r="AL65" s="494"/>
    </row>
    <row r="66" spans="1:38" ht="12" customHeight="1">
      <c r="A66" s="447">
        <v>21</v>
      </c>
      <c r="B66" s="448"/>
      <c r="C66" s="449"/>
      <c r="D66" s="449"/>
      <c r="H66" s="440"/>
      <c r="I66" s="440"/>
      <c r="J66" s="450"/>
      <c r="L66" s="451"/>
      <c r="M66" s="440"/>
      <c r="N66" s="440"/>
      <c r="Q66" s="494"/>
      <c r="R66" s="494"/>
      <c r="S66" s="494"/>
      <c r="V66" s="494"/>
      <c r="W66" s="494"/>
      <c r="X66" s="494"/>
      <c r="AE66" s="494"/>
      <c r="AF66" s="494"/>
      <c r="AG66" s="494"/>
      <c r="AJ66" s="494"/>
      <c r="AK66" s="494"/>
      <c r="AL66" s="494"/>
    </row>
    <row r="67" spans="1:38" ht="12" customHeight="1">
      <c r="A67" s="447">
        <v>22</v>
      </c>
      <c r="B67" s="448"/>
      <c r="C67" s="449"/>
      <c r="D67" s="449"/>
      <c r="H67" s="440"/>
      <c r="I67" s="440"/>
      <c r="J67" s="450"/>
      <c r="L67" s="451"/>
      <c r="M67" s="440"/>
      <c r="N67" s="440"/>
      <c r="Q67" s="494"/>
      <c r="R67" s="494"/>
      <c r="S67" s="494"/>
      <c r="V67" s="494"/>
      <c r="W67" s="494"/>
      <c r="X67" s="494"/>
      <c r="AE67" s="494"/>
      <c r="AF67" s="494"/>
      <c r="AG67" s="494"/>
      <c r="AJ67" s="494"/>
      <c r="AK67" s="494"/>
      <c r="AL67" s="494"/>
    </row>
    <row r="68" spans="1:38" ht="11.25" customHeight="1">
      <c r="A68" s="447">
        <v>23</v>
      </c>
      <c r="B68" s="497"/>
      <c r="C68" s="497"/>
      <c r="D68" s="498"/>
      <c r="H68" s="499"/>
      <c r="I68" s="499"/>
      <c r="J68" s="499"/>
      <c r="L68" s="499"/>
      <c r="M68" s="499"/>
      <c r="N68" s="499"/>
      <c r="Q68" s="494"/>
      <c r="R68" s="494"/>
      <c r="S68" s="494"/>
      <c r="V68" s="494"/>
      <c r="W68" s="494"/>
      <c r="X68" s="494"/>
      <c r="AE68" s="494"/>
      <c r="AF68" s="494"/>
      <c r="AG68" s="494"/>
      <c r="AJ68" s="494"/>
      <c r="AK68" s="494"/>
      <c r="AL68" s="494"/>
    </row>
    <row r="69" spans="1:38" ht="11.25" customHeight="1">
      <c r="A69" s="447">
        <v>24</v>
      </c>
      <c r="B69" s="497"/>
      <c r="C69" s="497"/>
      <c r="D69" s="498"/>
      <c r="H69" s="499"/>
      <c r="I69" s="499"/>
      <c r="J69" s="499"/>
      <c r="L69" s="499"/>
      <c r="M69" s="499"/>
      <c r="N69" s="499"/>
      <c r="Q69" s="494"/>
      <c r="R69" s="494"/>
      <c r="S69" s="494"/>
      <c r="V69" s="494"/>
      <c r="W69" s="494"/>
      <c r="X69" s="494"/>
      <c r="AE69" s="494"/>
      <c r="AF69" s="494"/>
      <c r="AG69" s="494"/>
      <c r="AJ69" s="494"/>
      <c r="AK69" s="494"/>
      <c r="AL69" s="494"/>
    </row>
    <row r="70" spans="1:38" ht="11.25" customHeight="1">
      <c r="A70" s="447">
        <v>25</v>
      </c>
      <c r="B70" s="497"/>
      <c r="C70" s="497"/>
      <c r="D70" s="498"/>
      <c r="H70" s="499"/>
      <c r="I70" s="499"/>
      <c r="J70" s="499"/>
      <c r="L70" s="499"/>
      <c r="M70" s="499"/>
      <c r="N70" s="499"/>
      <c r="Q70" s="494"/>
      <c r="R70" s="494"/>
      <c r="S70" s="494"/>
      <c r="V70" s="494"/>
      <c r="W70" s="494"/>
      <c r="X70" s="494"/>
      <c r="AE70" s="494"/>
      <c r="AF70" s="494"/>
      <c r="AG70" s="494"/>
      <c r="AJ70" s="494"/>
      <c r="AK70" s="494"/>
      <c r="AL70" s="494"/>
    </row>
    <row r="71" spans="1:38" ht="11.25" customHeight="1">
      <c r="A71" s="447">
        <v>26</v>
      </c>
      <c r="B71" s="497"/>
      <c r="C71" s="497"/>
      <c r="D71" s="498"/>
      <c r="H71" s="499"/>
      <c r="I71" s="499"/>
      <c r="J71" s="499"/>
      <c r="L71" s="499"/>
      <c r="M71" s="499"/>
      <c r="N71" s="499"/>
      <c r="Q71" s="494"/>
      <c r="R71" s="494"/>
      <c r="S71" s="494"/>
      <c r="V71" s="494"/>
      <c r="W71" s="494"/>
      <c r="X71" s="494"/>
      <c r="AE71" s="494"/>
      <c r="AF71" s="494"/>
      <c r="AG71" s="494"/>
      <c r="AJ71" s="494"/>
      <c r="AK71" s="494"/>
      <c r="AL71" s="494"/>
    </row>
    <row r="72" spans="1:38" ht="11.25" customHeight="1">
      <c r="A72" s="447">
        <v>27</v>
      </c>
      <c r="B72" s="497"/>
      <c r="C72" s="497"/>
      <c r="D72" s="498"/>
      <c r="H72" s="499"/>
      <c r="I72" s="499"/>
      <c r="J72" s="499"/>
      <c r="L72" s="499"/>
      <c r="M72" s="499"/>
      <c r="N72" s="499"/>
      <c r="Q72" s="494"/>
      <c r="R72" s="494"/>
      <c r="S72" s="494"/>
      <c r="V72" s="494"/>
      <c r="W72" s="494"/>
      <c r="X72" s="494"/>
      <c r="AE72" s="494"/>
      <c r="AF72" s="494"/>
      <c r="AG72" s="494"/>
      <c r="AJ72" s="494"/>
      <c r="AK72" s="494"/>
      <c r="AL72" s="494"/>
    </row>
    <row r="73" spans="1:38" ht="11.25" customHeight="1">
      <c r="A73" s="447">
        <v>28</v>
      </c>
      <c r="B73" s="500"/>
      <c r="C73" s="500"/>
      <c r="D73" s="501"/>
      <c r="H73" s="500"/>
      <c r="I73" s="500"/>
      <c r="J73" s="499"/>
      <c r="L73" s="500"/>
      <c r="M73" s="500"/>
      <c r="N73" s="500"/>
      <c r="Q73" s="494"/>
      <c r="R73" s="494"/>
      <c r="S73" s="494"/>
      <c r="V73" s="500"/>
      <c r="W73" s="500"/>
      <c r="X73" s="500"/>
      <c r="AE73" s="500"/>
      <c r="AF73" s="500"/>
      <c r="AG73" s="500"/>
      <c r="AJ73" s="500"/>
      <c r="AK73" s="500"/>
      <c r="AL73" s="500"/>
    </row>
    <row r="74" spans="1:38" ht="11.25" customHeight="1">
      <c r="A74" s="447">
        <v>29</v>
      </c>
      <c r="B74" s="500"/>
      <c r="C74" s="500"/>
      <c r="D74" s="501"/>
      <c r="H74" s="500"/>
      <c r="I74" s="500"/>
      <c r="J74" s="499"/>
      <c r="L74" s="500"/>
      <c r="M74" s="500"/>
      <c r="N74" s="500"/>
      <c r="Q74" s="500"/>
      <c r="R74" s="500"/>
      <c r="S74" s="500"/>
      <c r="V74" s="500"/>
      <c r="W74" s="500"/>
      <c r="X74" s="500"/>
      <c r="AE74" s="500"/>
      <c r="AF74" s="500"/>
      <c r="AG74" s="500"/>
      <c r="AJ74" s="500"/>
      <c r="AK74" s="500"/>
      <c r="AL74" s="500"/>
    </row>
    <row r="75" spans="1:38" ht="11.25" customHeight="1">
      <c r="A75" s="447">
        <v>30</v>
      </c>
      <c r="B75" s="500"/>
      <c r="C75" s="500"/>
      <c r="D75" s="501"/>
      <c r="H75" s="500"/>
      <c r="I75" s="500"/>
      <c r="J75" s="499"/>
      <c r="L75" s="500"/>
      <c r="M75" s="500"/>
      <c r="N75" s="500"/>
      <c r="Q75" s="500"/>
      <c r="R75" s="500"/>
      <c r="S75" s="500"/>
      <c r="V75" s="500"/>
      <c r="W75" s="500"/>
      <c r="X75" s="500"/>
      <c r="AE75" s="500"/>
      <c r="AF75" s="500"/>
      <c r="AG75" s="500"/>
      <c r="AJ75" s="500"/>
      <c r="AK75" s="500"/>
      <c r="AL75" s="500"/>
    </row>
    <row r="76" spans="1:38" ht="12" customHeight="1">
      <c r="A76" s="458">
        <v>31</v>
      </c>
      <c r="B76" s="502"/>
      <c r="C76" s="502"/>
      <c r="D76" s="503"/>
      <c r="H76" s="500"/>
      <c r="I76" s="500"/>
      <c r="J76" s="499"/>
      <c r="L76" s="500"/>
      <c r="M76" s="500"/>
      <c r="N76" s="500"/>
      <c r="Q76" s="500"/>
      <c r="R76" s="500"/>
      <c r="S76" s="500"/>
      <c r="V76" s="500"/>
      <c r="W76" s="500"/>
      <c r="X76" s="500"/>
      <c r="AE76" s="500"/>
      <c r="AF76" s="500"/>
      <c r="AG76" s="500"/>
      <c r="AJ76" s="500"/>
      <c r="AK76" s="500"/>
      <c r="AL76" s="500"/>
    </row>
    <row r="77" spans="1:38" ht="12" customHeight="1">
      <c r="B77" s="504" t="s">
        <v>246</v>
      </c>
      <c r="C77" s="504" t="s">
        <v>247</v>
      </c>
      <c r="D77" s="505" t="s">
        <v>52</v>
      </c>
      <c r="H77" s="506" t="s">
        <v>246</v>
      </c>
      <c r="I77" s="507" t="s">
        <v>247</v>
      </c>
      <c r="J77" s="491" t="s">
        <v>52</v>
      </c>
      <c r="L77" s="506" t="s">
        <v>246</v>
      </c>
      <c r="M77" s="507" t="s">
        <v>247</v>
      </c>
      <c r="N77" s="491" t="s">
        <v>52</v>
      </c>
      <c r="Q77" s="506" t="s">
        <v>246</v>
      </c>
      <c r="R77" s="507" t="s">
        <v>247</v>
      </c>
      <c r="S77" s="491" t="s">
        <v>52</v>
      </c>
      <c r="V77" s="506" t="s">
        <v>246</v>
      </c>
      <c r="W77" s="507" t="s">
        <v>247</v>
      </c>
      <c r="X77" s="491" t="s">
        <v>52</v>
      </c>
      <c r="AE77" s="506" t="s">
        <v>246</v>
      </c>
      <c r="AF77" s="507" t="s">
        <v>247</v>
      </c>
      <c r="AG77" s="508" t="s">
        <v>52</v>
      </c>
      <c r="AJ77" s="506" t="s">
        <v>246</v>
      </c>
      <c r="AK77" s="507" t="s">
        <v>247</v>
      </c>
      <c r="AL77" s="508" t="s">
        <v>52</v>
      </c>
    </row>
    <row r="78" spans="1:38" ht="12" customHeight="1">
      <c r="B78" s="509">
        <f>MAX('Parte 1'!B46:B76)</f>
        <v>80</v>
      </c>
      <c r="C78" s="510">
        <f>MIN('Parte 1'!B44:B76)</f>
        <v>60</v>
      </c>
      <c r="D78" s="511">
        <f>AVERAGE('Parte 1'!D46:D76)</f>
        <v>62.222222222222221</v>
      </c>
      <c r="H78" s="509">
        <f>MAX('Parte 1'!H46:H76)</f>
        <v>2.5</v>
      </c>
      <c r="I78" s="512">
        <f>MIN('Parte 1'!H44:H76)</f>
        <v>2.5</v>
      </c>
      <c r="J78" s="511">
        <f>AVERAGE('Parte 1'!J46:J76)</f>
        <v>2.5</v>
      </c>
      <c r="L78" s="509">
        <f>MAX('Parte 1'!L46:L76)</f>
        <v>28</v>
      </c>
      <c r="M78" s="512">
        <f>MIN('Parte 1'!L44:L76)</f>
        <v>3.8</v>
      </c>
      <c r="N78" s="511">
        <f>AVERAGE('Parte 1'!N46:N76)</f>
        <v>8.263333333333339</v>
      </c>
      <c r="Q78" s="509">
        <f>MAX('Parte 1'!Q46:Q76)</f>
        <v>0.7</v>
      </c>
      <c r="R78" s="512">
        <f>MIN('Parte 1'!Q44:Q76)</f>
        <v>0.4</v>
      </c>
      <c r="S78" s="511">
        <f>AVERAGE('Parte 1'!S46:S76)</f>
        <v>0.44388888888888889</v>
      </c>
      <c r="V78" s="509">
        <f>MAX('Parte 1'!V46:V76)</f>
        <v>0.5</v>
      </c>
      <c r="W78" s="512">
        <f>MIN('Parte 1'!V44:V76)</f>
        <v>0.4</v>
      </c>
      <c r="X78" s="511">
        <f>AVERAGE('Parte 1'!X46:X76)</f>
        <v>0.36111111111111105</v>
      </c>
      <c r="AE78" s="509">
        <f>MAX('Parte 1'!AE46:AE76)</f>
        <v>6.8</v>
      </c>
      <c r="AF78" s="512">
        <f>MIN('Parte 1'!AE44:AE76)</f>
        <v>6.2</v>
      </c>
      <c r="AG78" s="511">
        <f>AVERAGE('Parte 1'!AG46:AG76)</f>
        <v>6.5034848484848489</v>
      </c>
      <c r="AJ78" s="509">
        <f>MAX('Parte 1'!AJ46:AJ76)</f>
        <v>7.2</v>
      </c>
      <c r="AK78" s="512">
        <f>MIN('Parte 1'!AJ44:AJ76)</f>
        <v>6.7</v>
      </c>
      <c r="AL78" s="511">
        <f>AVERAGE('Parte 1'!AL46:AL76)</f>
        <v>6.9725757575757568</v>
      </c>
    </row>
    <row r="80" spans="1:38" ht="12" customHeight="1"/>
    <row r="81" spans="8:33" ht="12" customHeight="1">
      <c r="H81" s="1165" t="s">
        <v>248</v>
      </c>
      <c r="I81" s="1165"/>
      <c r="J81" s="510">
        <f>COUNTA('Parte 1'!J46:J76)*12</f>
        <v>180</v>
      </c>
      <c r="L81" s="1165" t="s">
        <v>248</v>
      </c>
      <c r="M81" s="1165"/>
      <c r="N81" s="513">
        <f>COUNTA('Parte 1'!N46:N76)*12</f>
        <v>180</v>
      </c>
      <c r="Q81" s="1165" t="s">
        <v>248</v>
      </c>
      <c r="R81" s="1165"/>
      <c r="S81" s="513">
        <f>COUNTA('Parte 1'!S46:S76)*12</f>
        <v>180</v>
      </c>
      <c r="V81" s="1165" t="s">
        <v>248</v>
      </c>
      <c r="W81" s="1165"/>
      <c r="X81" s="513">
        <f>COUNTA('Parte 1'!X46:X76)*12</f>
        <v>180</v>
      </c>
      <c r="AE81" s="1165" t="s">
        <v>248</v>
      </c>
      <c r="AF81" s="1165"/>
      <c r="AG81" s="513">
        <f>COUNTA('Parte 1'!AG46:AG76)*12</f>
        <v>180</v>
      </c>
    </row>
  </sheetData>
  <sheetProtection password="E1DF" sheet="1" objects="1" scenarios="1" selectLockedCells="1"/>
  <mergeCells count="35">
    <mergeCell ref="AJ45:AM45"/>
    <mergeCell ref="H81:I81"/>
    <mergeCell ref="L81:M81"/>
    <mergeCell ref="Q81:R81"/>
    <mergeCell ref="V81:W81"/>
    <mergeCell ref="AE81:AF81"/>
    <mergeCell ref="N44:AE44"/>
    <mergeCell ref="B45:D45"/>
    <mergeCell ref="F45:J45"/>
    <mergeCell ref="L45:O45"/>
    <mergeCell ref="P45:T45"/>
    <mergeCell ref="V45:AC45"/>
    <mergeCell ref="AE45:AH45"/>
    <mergeCell ref="AC5:AE5"/>
    <mergeCell ref="D40:M40"/>
    <mergeCell ref="N40:AE40"/>
    <mergeCell ref="A41:M41"/>
    <mergeCell ref="A42:M42"/>
    <mergeCell ref="N42:AE42"/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22"/>
      <c r="B1" s="423"/>
      <c r="C1" s="423"/>
      <c r="D1" s="423"/>
      <c r="E1" s="423"/>
      <c r="F1" s="424"/>
      <c r="G1" s="1168" t="s">
        <v>219</v>
      </c>
      <c r="H1" s="1168"/>
      <c r="I1" s="1168"/>
      <c r="J1" s="1168"/>
      <c r="K1" s="1168"/>
      <c r="L1" s="1168"/>
      <c r="M1" s="1168"/>
      <c r="N1" s="1168"/>
      <c r="O1" s="1168"/>
      <c r="P1" s="1168"/>
      <c r="Q1" s="1168"/>
      <c r="R1" s="1168"/>
      <c r="S1" s="1168"/>
      <c r="T1" s="1168"/>
      <c r="U1" s="1168"/>
      <c r="V1" s="1169" t="s">
        <v>249</v>
      </c>
      <c r="W1" s="1169"/>
    </row>
    <row r="2" spans="1:23" ht="16.5" customHeight="1">
      <c r="A2" s="425"/>
      <c r="B2" s="426"/>
      <c r="C2" s="426"/>
      <c r="D2" s="426"/>
      <c r="E2" s="426"/>
      <c r="F2" s="427"/>
      <c r="G2" s="1168"/>
      <c r="H2" s="1168"/>
      <c r="I2" s="1168"/>
      <c r="J2" s="1168"/>
      <c r="K2" s="1168"/>
      <c r="L2" s="1168"/>
      <c r="M2" s="1168"/>
      <c r="N2" s="1168"/>
      <c r="O2" s="1168"/>
      <c r="P2" s="1168"/>
      <c r="Q2" s="1168"/>
      <c r="R2" s="1168"/>
      <c r="S2" s="1168"/>
      <c r="T2" s="1168"/>
      <c r="U2" s="1168"/>
      <c r="V2" s="1170">
        <f>'1'!$U$25</f>
        <v>43891</v>
      </c>
      <c r="W2" s="1170"/>
    </row>
    <row r="3" spans="1:23" ht="3" customHeight="1">
      <c r="A3" s="514"/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5"/>
    </row>
    <row r="4" spans="1:23" s="429" customFormat="1" ht="30" customHeight="1">
      <c r="A4" s="1150" t="s">
        <v>221</v>
      </c>
      <c r="B4" s="1171" t="s">
        <v>250</v>
      </c>
      <c r="C4" s="1171"/>
      <c r="D4" s="1171"/>
      <c r="E4" s="1171"/>
      <c r="F4" s="1171"/>
      <c r="G4" s="1171"/>
      <c r="H4" s="1172" t="s">
        <v>251</v>
      </c>
      <c r="I4" s="1172"/>
      <c r="J4" s="1172"/>
      <c r="K4" s="1172"/>
      <c r="L4" s="1172"/>
      <c r="M4" s="1172"/>
      <c r="N4" s="1172" t="s">
        <v>224</v>
      </c>
      <c r="O4" s="1172"/>
      <c r="P4" s="1172"/>
      <c r="Q4" s="1172"/>
      <c r="R4" s="1172"/>
      <c r="S4" s="1172"/>
      <c r="T4" s="1172" t="s">
        <v>252</v>
      </c>
      <c r="U4" s="1172"/>
      <c r="V4" s="1173" t="s">
        <v>253</v>
      </c>
      <c r="W4" s="1173"/>
    </row>
    <row r="5" spans="1:23" ht="19.350000000000001" customHeight="1">
      <c r="A5" s="1150"/>
      <c r="B5" s="1174" t="s">
        <v>226</v>
      </c>
      <c r="C5" s="1174"/>
      <c r="D5" s="1174"/>
      <c r="E5" s="1175" t="s">
        <v>226</v>
      </c>
      <c r="F5" s="1175"/>
      <c r="G5" s="1175"/>
      <c r="H5" s="1174" t="s">
        <v>226</v>
      </c>
      <c r="I5" s="1174"/>
      <c r="J5" s="1174"/>
      <c r="K5" s="1175" t="s">
        <v>226</v>
      </c>
      <c r="L5" s="1175"/>
      <c r="M5" s="1175"/>
      <c r="N5" s="1174" t="s">
        <v>226</v>
      </c>
      <c r="O5" s="1174"/>
      <c r="P5" s="1174"/>
      <c r="Q5" s="1175" t="s">
        <v>226</v>
      </c>
      <c r="R5" s="1175"/>
      <c r="S5" s="1175"/>
      <c r="T5" s="1176" t="s">
        <v>225</v>
      </c>
      <c r="U5" s="1176" t="s">
        <v>227</v>
      </c>
      <c r="V5" s="1176" t="s">
        <v>225</v>
      </c>
      <c r="W5" s="1178" t="s">
        <v>227</v>
      </c>
    </row>
    <row r="6" spans="1:23" ht="17.25" customHeight="1">
      <c r="A6" s="1150"/>
      <c r="B6" s="1179" t="s">
        <v>254</v>
      </c>
      <c r="C6" s="1179"/>
      <c r="D6" s="1179"/>
      <c r="E6" s="1180" t="s">
        <v>255</v>
      </c>
      <c r="F6" s="1180"/>
      <c r="G6" s="1180"/>
      <c r="H6" s="1179" t="s">
        <v>254</v>
      </c>
      <c r="I6" s="1179"/>
      <c r="J6" s="1179"/>
      <c r="K6" s="1180" t="s">
        <v>255</v>
      </c>
      <c r="L6" s="1180"/>
      <c r="M6" s="1180"/>
      <c r="N6" s="1179" t="s">
        <v>254</v>
      </c>
      <c r="O6" s="1179"/>
      <c r="P6" s="1179"/>
      <c r="Q6" s="1180" t="s">
        <v>256</v>
      </c>
      <c r="R6" s="1180"/>
      <c r="S6" s="1180"/>
      <c r="T6" s="1176"/>
      <c r="U6" s="1176"/>
      <c r="V6" s="1176"/>
      <c r="W6" s="1178"/>
    </row>
    <row r="7" spans="1:23" ht="17.25" customHeight="1">
      <c r="A7" s="1150"/>
      <c r="B7" s="431" t="s">
        <v>229</v>
      </c>
      <c r="C7" s="432" t="s">
        <v>230</v>
      </c>
      <c r="D7" s="432" t="s">
        <v>231</v>
      </c>
      <c r="E7" s="432" t="s">
        <v>229</v>
      </c>
      <c r="F7" s="432" t="s">
        <v>230</v>
      </c>
      <c r="G7" s="432" t="s">
        <v>231</v>
      </c>
      <c r="H7" s="432" t="s">
        <v>229</v>
      </c>
      <c r="I7" s="432" t="s">
        <v>230</v>
      </c>
      <c r="J7" s="432" t="s">
        <v>231</v>
      </c>
      <c r="K7" s="432" t="s">
        <v>229</v>
      </c>
      <c r="L7" s="432" t="s">
        <v>230</v>
      </c>
      <c r="M7" s="432" t="s">
        <v>231</v>
      </c>
      <c r="N7" s="432" t="s">
        <v>229</v>
      </c>
      <c r="O7" s="432" t="s">
        <v>230</v>
      </c>
      <c r="P7" s="432" t="s">
        <v>231</v>
      </c>
      <c r="Q7" s="432" t="s">
        <v>229</v>
      </c>
      <c r="R7" s="432" t="s">
        <v>230</v>
      </c>
      <c r="S7" s="432" t="s">
        <v>231</v>
      </c>
      <c r="T7" s="1176"/>
      <c r="U7" s="1176"/>
      <c r="V7" s="1176"/>
      <c r="W7" s="1178"/>
    </row>
    <row r="8" spans="1:23" ht="19.5" customHeight="1">
      <c r="A8" s="516">
        <v>1</v>
      </c>
      <c r="B8" s="517">
        <f>'1'!$C$20</f>
        <v>12.5</v>
      </c>
      <c r="C8" s="518">
        <f>'1'!$C$21</f>
        <v>12.5</v>
      </c>
      <c r="D8" s="518">
        <f>'1'!$C$19</f>
        <v>12.5</v>
      </c>
      <c r="E8" s="441">
        <f>'1'!$D$20</f>
        <v>12.5</v>
      </c>
      <c r="F8" s="519">
        <f>'1'!$D$21</f>
        <v>12.5</v>
      </c>
      <c r="G8" s="441">
        <f>'1'!$D$19</f>
        <v>12.5</v>
      </c>
      <c r="H8" s="441">
        <f>'1'!$G$20</f>
        <v>1.4</v>
      </c>
      <c r="I8" s="441">
        <f>'1'!$G$21</f>
        <v>1.2</v>
      </c>
      <c r="J8" s="441">
        <f>'1'!$G$19</f>
        <v>1.3083333333333333</v>
      </c>
      <c r="K8" s="441">
        <f>'1'!$H$20</f>
        <v>1.6</v>
      </c>
      <c r="L8" s="441">
        <f>'1'!$H$21</f>
        <v>1.4</v>
      </c>
      <c r="M8" s="441">
        <f>'1'!$H$19</f>
        <v>1.4666666666666666</v>
      </c>
      <c r="N8" s="444">
        <f>'1'!$L$20</f>
        <v>6.7</v>
      </c>
      <c r="O8" s="444">
        <f>'1'!$L$21</f>
        <v>6.7</v>
      </c>
      <c r="P8" s="444">
        <f>'1'!$L$19</f>
        <v>6.700000000000002</v>
      </c>
      <c r="Q8" s="444">
        <f>'1'!$M$20</f>
        <v>6.7</v>
      </c>
      <c r="R8" s="444">
        <f>'1'!$M$21</f>
        <v>6.7</v>
      </c>
      <c r="S8" s="444">
        <f>'1'!$M$19</f>
        <v>6.700000000000002</v>
      </c>
      <c r="T8" s="441">
        <f>'1'!$F$37</f>
        <v>0.8</v>
      </c>
      <c r="U8" s="441">
        <f>'1'!$G$37</f>
        <v>0.1</v>
      </c>
      <c r="V8" s="520">
        <f>'1'!$I$37</f>
        <v>0.06</v>
      </c>
      <c r="W8" s="521">
        <f>'1'!$K$37</f>
        <v>0.03</v>
      </c>
    </row>
    <row r="9" spans="1:23" ht="19.5" customHeight="1">
      <c r="A9" s="522">
        <v>2</v>
      </c>
      <c r="B9" s="523">
        <f>'2'!$C$20</f>
        <v>12.5</v>
      </c>
      <c r="C9" s="524">
        <f>'2'!$C$21</f>
        <v>7.5</v>
      </c>
      <c r="D9" s="524">
        <f>'2'!$C$19</f>
        <v>10.833333333333334</v>
      </c>
      <c r="E9" s="457">
        <f>'2'!$D$20</f>
        <v>12.5</v>
      </c>
      <c r="F9" s="525">
        <f>'2'!$D$21</f>
        <v>7.5</v>
      </c>
      <c r="G9" s="457">
        <f>'2'!$D$19</f>
        <v>10.833333333333334</v>
      </c>
      <c r="H9" s="440">
        <f>'2'!$G$20</f>
        <v>1.5</v>
      </c>
      <c r="I9" s="440">
        <f>'2'!$G$21</f>
        <v>1.2</v>
      </c>
      <c r="J9" s="440">
        <f>'2'!$G$19</f>
        <v>1.2750000000000001</v>
      </c>
      <c r="K9" s="440">
        <f>'2'!$H$20</f>
        <v>1.7</v>
      </c>
      <c r="L9" s="440">
        <f>'2'!$H$21</f>
        <v>1.2</v>
      </c>
      <c r="M9" s="440">
        <f>'2'!$H$19</f>
        <v>1.4749999999999999</v>
      </c>
      <c r="N9" s="452">
        <f>'2'!$L$20</f>
        <v>6.7</v>
      </c>
      <c r="O9" s="452">
        <f>'2'!$L$21</f>
        <v>6.6</v>
      </c>
      <c r="P9" s="452">
        <f>'2'!$L$19</f>
        <v>6.6500000000000012</v>
      </c>
      <c r="Q9" s="452">
        <f>'2'!$M$20</f>
        <v>6.7</v>
      </c>
      <c r="R9" s="452">
        <f>'2'!$M$21</f>
        <v>6.6</v>
      </c>
      <c r="S9" s="452">
        <f>'2'!$M$19</f>
        <v>6.6500000000000012</v>
      </c>
      <c r="T9" s="440">
        <f>'2'!$F$37</f>
        <v>1</v>
      </c>
      <c r="U9" s="440">
        <f>'2'!$G$37</f>
        <v>0.1</v>
      </c>
      <c r="V9" s="526">
        <f>'2'!$I$37</f>
        <v>0.1</v>
      </c>
      <c r="W9" s="527">
        <f>'2'!$K$37</f>
        <v>0.03</v>
      </c>
    </row>
    <row r="10" spans="1:23" ht="19.5" customHeight="1">
      <c r="A10" s="522">
        <v>3</v>
      </c>
      <c r="B10" s="523">
        <f>'3'!$C$20</f>
        <v>12.5</v>
      </c>
      <c r="C10" s="524">
        <f>'3'!$C$21</f>
        <v>10</v>
      </c>
      <c r="D10" s="524">
        <f>'3'!$C$19</f>
        <v>12.083333333333334</v>
      </c>
      <c r="E10" s="440">
        <f>'3'!$D$20</f>
        <v>12.5</v>
      </c>
      <c r="F10" s="525">
        <f>'3'!$D$21</f>
        <v>12.5</v>
      </c>
      <c r="G10" s="440">
        <f>'3'!$D$19</f>
        <v>12.5</v>
      </c>
      <c r="H10" s="440">
        <f>'3'!$G$20</f>
        <v>8</v>
      </c>
      <c r="I10" s="440">
        <f>'3'!$G$21</f>
        <v>1.2</v>
      </c>
      <c r="J10" s="440">
        <f>'3'!$G$19</f>
        <v>1.9999999999999993</v>
      </c>
      <c r="K10" s="440">
        <f>'3'!$H$20</f>
        <v>2</v>
      </c>
      <c r="L10" s="440">
        <f>'3'!$H$21</f>
        <v>1.5</v>
      </c>
      <c r="M10" s="440">
        <f>'3'!$H$19</f>
        <v>1.75</v>
      </c>
      <c r="N10" s="452">
        <f>'3'!$L$20</f>
        <v>6.7</v>
      </c>
      <c r="O10" s="452">
        <f>'3'!$L$21</f>
        <v>6.7</v>
      </c>
      <c r="P10" s="452">
        <f>'3'!$L$19</f>
        <v>6.700000000000002</v>
      </c>
      <c r="Q10" s="452">
        <f>'3'!$M$20</f>
        <v>6.7</v>
      </c>
      <c r="R10" s="452">
        <f>'3'!$M$21</f>
        <v>6.7</v>
      </c>
      <c r="S10" s="452">
        <f>'3'!$M$19</f>
        <v>6.700000000000002</v>
      </c>
      <c r="T10" s="440">
        <f>'3'!$F$37</f>
        <v>0</v>
      </c>
      <c r="U10" s="440">
        <f>'3'!$G$37</f>
        <v>0</v>
      </c>
      <c r="V10" s="526">
        <f>'3'!$I$37</f>
        <v>0.1</v>
      </c>
      <c r="W10" s="527">
        <f>'3'!$K$37</f>
        <v>0.03</v>
      </c>
    </row>
    <row r="11" spans="1:23" ht="19.5" customHeight="1">
      <c r="A11" s="522">
        <v>4</v>
      </c>
      <c r="B11" s="523">
        <f>'4'!$C$20</f>
        <v>10</v>
      </c>
      <c r="C11" s="524">
        <f>'4'!$C$21</f>
        <v>10</v>
      </c>
      <c r="D11" s="524">
        <f>'4'!$C$19</f>
        <v>12.083333333333334</v>
      </c>
      <c r="E11" s="457">
        <f>'4'!$D$20</f>
        <v>12.5</v>
      </c>
      <c r="F11" s="525">
        <f>'4'!$D$21</f>
        <v>12.5</v>
      </c>
      <c r="G11" s="440">
        <f>'4'!$D$19</f>
        <v>12.5</v>
      </c>
      <c r="H11" s="440">
        <f>'4'!$G$20</f>
        <v>1.43</v>
      </c>
      <c r="I11" s="440">
        <f>'4'!$G$21</f>
        <v>1.3</v>
      </c>
      <c r="J11" s="440">
        <f>'4'!$G$19</f>
        <v>1.9999999999999993</v>
      </c>
      <c r="K11" s="440">
        <f>'4'!$H$20</f>
        <v>2</v>
      </c>
      <c r="L11" s="440">
        <f>'4'!$H$21</f>
        <v>1.6</v>
      </c>
      <c r="M11" s="440">
        <f>'4'!$H$19</f>
        <v>1.75</v>
      </c>
      <c r="N11" s="452">
        <f>'4'!$L$20</f>
        <v>6.7</v>
      </c>
      <c r="O11" s="452">
        <f>'4'!$L$21</f>
        <v>6.7</v>
      </c>
      <c r="P11" s="452">
        <f>'4'!$L$19</f>
        <v>6.700000000000002</v>
      </c>
      <c r="Q11" s="452">
        <f>'4'!$M$20</f>
        <v>6.7</v>
      </c>
      <c r="R11" s="452">
        <f>'4'!$M$21</f>
        <v>6.7</v>
      </c>
      <c r="S11" s="452">
        <f>'4'!$M$19</f>
        <v>6.700000000000002</v>
      </c>
      <c r="T11" s="440">
        <f>'4'!$F$37</f>
        <v>0.6</v>
      </c>
      <c r="U11" s="440">
        <f>'4'!$G$37</f>
        <v>0</v>
      </c>
      <c r="V11" s="526">
        <f>'4'!$I$37</f>
        <v>0.1</v>
      </c>
      <c r="W11" s="527">
        <f>'4'!$K$37</f>
        <v>0.03</v>
      </c>
    </row>
    <row r="12" spans="1:23" ht="19.5" customHeight="1">
      <c r="A12" s="522">
        <v>5</v>
      </c>
      <c r="B12" s="523">
        <f>'5'!$C$20</f>
        <v>10</v>
      </c>
      <c r="C12" s="524">
        <f>'5'!$C$21</f>
        <v>10</v>
      </c>
      <c r="D12" s="524">
        <f>'5'!$C$19</f>
        <v>10</v>
      </c>
      <c r="E12" s="440">
        <f>'5'!$D$20</f>
        <v>12.5</v>
      </c>
      <c r="F12" s="525">
        <f>'5'!$D$21</f>
        <v>12.5</v>
      </c>
      <c r="G12" s="440">
        <f>'5'!$D$19</f>
        <v>12.5</v>
      </c>
      <c r="H12" s="440">
        <f>'5'!$G$20</f>
        <v>1.43</v>
      </c>
      <c r="I12" s="440">
        <f>'5'!$G$21</f>
        <v>1.3</v>
      </c>
      <c r="J12" s="457">
        <f>'5'!$G$19</f>
        <v>1.3691666666666666</v>
      </c>
      <c r="K12" s="440">
        <f>'5'!$H$20</f>
        <v>2</v>
      </c>
      <c r="L12" s="440">
        <f>'5'!$H$21</f>
        <v>1.6</v>
      </c>
      <c r="M12" s="457">
        <f>'5'!$H$19</f>
        <v>1.7750000000000001</v>
      </c>
      <c r="N12" s="452">
        <f>'5'!$L$20</f>
        <v>6.7</v>
      </c>
      <c r="O12" s="452">
        <f>'5'!$L$21</f>
        <v>6.7</v>
      </c>
      <c r="P12" s="452">
        <f>'5'!$L$19</f>
        <v>6.700000000000002</v>
      </c>
      <c r="Q12" s="452">
        <f>'5'!$M$20</f>
        <v>6.7</v>
      </c>
      <c r="R12" s="452">
        <f>'5'!$M$21</f>
        <v>6.7</v>
      </c>
      <c r="S12" s="452">
        <f>'5'!$M$19</f>
        <v>6.700000000000002</v>
      </c>
      <c r="T12" s="440">
        <f>'5'!$F$37</f>
        <v>0.8</v>
      </c>
      <c r="U12" s="440">
        <f>'5'!$G$37</f>
        <v>0.1</v>
      </c>
      <c r="V12" s="526">
        <f>'5'!$I$37</f>
        <v>0.1</v>
      </c>
      <c r="W12" s="527">
        <f>'5'!$K$37</f>
        <v>0.03</v>
      </c>
    </row>
    <row r="13" spans="1:23" ht="19.5" customHeight="1">
      <c r="A13" s="522">
        <v>6</v>
      </c>
      <c r="B13" s="523">
        <f>'6'!$C$20</f>
        <v>10</v>
      </c>
      <c r="C13" s="524">
        <f>'6'!$C$21</f>
        <v>7.5</v>
      </c>
      <c r="D13" s="524">
        <f>'6'!$C$19</f>
        <v>9.375</v>
      </c>
      <c r="E13" s="440">
        <f>'6'!$D$20</f>
        <v>12.5</v>
      </c>
      <c r="F13" s="525">
        <f>'6'!$D$21</f>
        <v>10</v>
      </c>
      <c r="G13" s="440">
        <f>'6'!$D$19</f>
        <v>11.25</v>
      </c>
      <c r="H13" s="440">
        <f>'6'!$G$20</f>
        <v>1.5</v>
      </c>
      <c r="I13" s="440">
        <f>'6'!$G$21</f>
        <v>1.2</v>
      </c>
      <c r="J13" s="457">
        <f>'6'!$G$19</f>
        <v>1.2833333333333334</v>
      </c>
      <c r="K13" s="440">
        <f>'6'!$H$20</f>
        <v>1.8</v>
      </c>
      <c r="L13" s="440">
        <f>'6'!$H$21</f>
        <v>1.4</v>
      </c>
      <c r="M13" s="457">
        <f>'6'!$H$19</f>
        <v>1.6083333333333332</v>
      </c>
      <c r="N13" s="452">
        <f>'6'!$L$20</f>
        <v>6.7</v>
      </c>
      <c r="O13" s="452">
        <f>'6'!$L$21</f>
        <v>6.6</v>
      </c>
      <c r="P13" s="452">
        <f>'6'!$L$19</f>
        <v>6.6500000000000012</v>
      </c>
      <c r="Q13" s="452">
        <f>'6'!$M$20</f>
        <v>6.7</v>
      </c>
      <c r="R13" s="452">
        <f>'6'!$M$21</f>
        <v>6.6</v>
      </c>
      <c r="S13" s="452">
        <f>'6'!$M$19</f>
        <v>6.6583333333333341</v>
      </c>
      <c r="T13" s="440">
        <f>'6'!$F$37</f>
        <v>1.2</v>
      </c>
      <c r="U13" s="440">
        <f>'6'!$G$37</f>
        <v>0.1</v>
      </c>
      <c r="V13" s="526">
        <f>'6'!$I$37</f>
        <v>0.15</v>
      </c>
      <c r="W13" s="527">
        <f>'6'!$K$37</f>
        <v>0.03</v>
      </c>
    </row>
    <row r="14" spans="1:23" ht="19.5" customHeight="1">
      <c r="A14" s="522">
        <v>7</v>
      </c>
      <c r="B14" s="523">
        <f>'7'!$C$20</f>
        <v>10</v>
      </c>
      <c r="C14" s="524">
        <f>'7'!$C$21</f>
        <v>10</v>
      </c>
      <c r="D14" s="524">
        <f>'7'!$C$19</f>
        <v>10</v>
      </c>
      <c r="E14" s="440">
        <f>'7'!$D$20</f>
        <v>12.5</v>
      </c>
      <c r="F14" s="525">
        <f>'7'!$D$21</f>
        <v>10</v>
      </c>
      <c r="G14" s="440">
        <f>'7'!$D$19</f>
        <v>12.083333333333334</v>
      </c>
      <c r="H14" s="440">
        <f>'7'!$G$20</f>
        <v>1.6</v>
      </c>
      <c r="I14" s="440">
        <f>'7'!$G$21</f>
        <v>1.3</v>
      </c>
      <c r="J14" s="457">
        <f>'7'!$G$19</f>
        <v>1.45</v>
      </c>
      <c r="K14" s="440">
        <f>'7'!$H$20</f>
        <v>1.8</v>
      </c>
      <c r="L14" s="440">
        <f>'7'!$H$21</f>
        <v>1.3</v>
      </c>
      <c r="M14" s="457">
        <f>'7'!$H$19</f>
        <v>1.6083333333333334</v>
      </c>
      <c r="N14" s="452">
        <f>'7'!$L$20</f>
        <v>6.74</v>
      </c>
      <c r="O14" s="452">
        <f>'7'!$L$21</f>
        <v>6.6</v>
      </c>
      <c r="P14" s="452">
        <f>'7'!$L$19</f>
        <v>6.6866666666666665</v>
      </c>
      <c r="Q14" s="452">
        <f>'7'!$M$20</f>
        <v>6.7</v>
      </c>
      <c r="R14" s="452">
        <f>'7'!$M$21</f>
        <v>6.6</v>
      </c>
      <c r="S14" s="452">
        <f>'7'!$M$19</f>
        <v>6.6833333333333336</v>
      </c>
      <c r="T14" s="440">
        <f>'7'!$F$37</f>
        <v>0.8</v>
      </c>
      <c r="U14" s="440">
        <f>'7'!$G$37</f>
        <v>0.2</v>
      </c>
      <c r="V14" s="526">
        <f>'7'!$I$37</f>
        <v>0.1</v>
      </c>
      <c r="W14" s="527">
        <f>'7'!$K$37</f>
        <v>0.03</v>
      </c>
    </row>
    <row r="15" spans="1:23" ht="19.5" customHeight="1">
      <c r="A15" s="522">
        <v>8</v>
      </c>
      <c r="B15" s="523">
        <f>'8'!$C$20</f>
        <v>12.5</v>
      </c>
      <c r="C15" s="524">
        <f>'8'!$C$21</f>
        <v>10</v>
      </c>
      <c r="D15" s="524">
        <f>'8'!$C$19</f>
        <v>10.833333333333334</v>
      </c>
      <c r="E15" s="440">
        <f>'8'!$D$20</f>
        <v>10</v>
      </c>
      <c r="F15" s="525">
        <f>'8'!$D$21</f>
        <v>10</v>
      </c>
      <c r="G15" s="440">
        <f>'8'!$D$19</f>
        <v>10</v>
      </c>
      <c r="H15" s="440">
        <f>'8'!$G$20</f>
        <v>1.8</v>
      </c>
      <c r="I15" s="440">
        <f>'8'!$G$21</f>
        <v>1.1000000000000001</v>
      </c>
      <c r="J15" s="440">
        <f>'8'!$G$19</f>
        <v>1.4416666666666667</v>
      </c>
      <c r="K15" s="440">
        <f>'8'!$H$20</f>
        <v>1.3</v>
      </c>
      <c r="L15" s="440">
        <f>'8'!$H$21</f>
        <v>1.1000000000000001</v>
      </c>
      <c r="M15" s="440">
        <f>'8'!$H$19</f>
        <v>1.2500000000000002</v>
      </c>
      <c r="N15" s="452">
        <f>'8'!$L$20</f>
        <v>6.7</v>
      </c>
      <c r="O15" s="452">
        <f>'8'!$L$21</f>
        <v>6.5</v>
      </c>
      <c r="P15" s="452">
        <f>'8'!$L$19</f>
        <v>6.6333333333333355</v>
      </c>
      <c r="Q15" s="452">
        <f>'8'!$M$20</f>
        <v>6.7</v>
      </c>
      <c r="R15" s="452">
        <f>'8'!$M$21</f>
        <v>6.5</v>
      </c>
      <c r="S15" s="452">
        <f>'8'!$M$19</f>
        <v>6.6333333333333355</v>
      </c>
      <c r="T15" s="440">
        <f>'8'!$F$37</f>
        <v>0.6</v>
      </c>
      <c r="U15" s="440">
        <f>'8'!$G$37</f>
        <v>0</v>
      </c>
      <c r="V15" s="526">
        <f>'8'!$I$37</f>
        <v>0.1</v>
      </c>
      <c r="W15" s="527">
        <f>'8'!$K$37</f>
        <v>0.03</v>
      </c>
    </row>
    <row r="16" spans="1:23" ht="19.5" customHeight="1">
      <c r="A16" s="522">
        <v>9</v>
      </c>
      <c r="B16" s="523">
        <f>'9'!$C$20</f>
        <v>12.5</v>
      </c>
      <c r="C16" s="524">
        <f>'9'!$C$21</f>
        <v>12.5</v>
      </c>
      <c r="D16" s="524">
        <f>'9'!$C$19</f>
        <v>12.5</v>
      </c>
      <c r="E16" s="440">
        <f>'9'!$D$20</f>
        <v>10</v>
      </c>
      <c r="F16" s="525">
        <f>'9'!$D$21</f>
        <v>10</v>
      </c>
      <c r="G16" s="440">
        <f>'9'!$D$19</f>
        <v>10</v>
      </c>
      <c r="H16" s="440">
        <f>'9'!$G$20</f>
        <v>1.9</v>
      </c>
      <c r="I16" s="440">
        <f>'9'!$G$21</f>
        <v>1.4</v>
      </c>
      <c r="J16" s="440">
        <f>'9'!$G$19</f>
        <v>1.5916666666666666</v>
      </c>
      <c r="K16" s="440">
        <f>'9'!$H$20</f>
        <v>1.6</v>
      </c>
      <c r="L16" s="440">
        <f>'9'!$H$21</f>
        <v>1</v>
      </c>
      <c r="M16" s="440">
        <f>'9'!$H$19</f>
        <v>1.3416666666666666</v>
      </c>
      <c r="N16" s="452">
        <f>'9'!$L$20</f>
        <v>6.7</v>
      </c>
      <c r="O16" s="452">
        <f>'9'!$L$21</f>
        <v>6.7</v>
      </c>
      <c r="P16" s="452">
        <f>'9'!$L$19</f>
        <v>6.700000000000002</v>
      </c>
      <c r="Q16" s="452">
        <f>'9'!$M$20</f>
        <v>6.7</v>
      </c>
      <c r="R16" s="452">
        <f>'9'!$M$21</f>
        <v>6.7</v>
      </c>
      <c r="S16" s="452">
        <f>'9'!$M$19</f>
        <v>6.700000000000002</v>
      </c>
      <c r="T16" s="440">
        <f>'9'!$F$37</f>
        <v>0.8</v>
      </c>
      <c r="U16" s="440">
        <f>'9'!$G$37</f>
        <v>0.1</v>
      </c>
      <c r="V16" s="526">
        <f>'9'!$I$37</f>
        <v>0.1</v>
      </c>
      <c r="W16" s="527">
        <f>'9'!$K$37</f>
        <v>0.03</v>
      </c>
    </row>
    <row r="17" spans="1:23" ht="19.5" customHeight="1">
      <c r="A17" s="522">
        <v>10</v>
      </c>
      <c r="B17" s="523">
        <f>'10'!$C$20</f>
        <v>12.5</v>
      </c>
      <c r="C17" s="524">
        <f>'10'!$C$21</f>
        <v>10</v>
      </c>
      <c r="D17" s="524">
        <f>'10'!$C$21</f>
        <v>10</v>
      </c>
      <c r="E17" s="440">
        <f>'10'!$D$20</f>
        <v>12.5</v>
      </c>
      <c r="F17" s="525">
        <f>'10'!$D$21</f>
        <v>10</v>
      </c>
      <c r="G17" s="440">
        <f>'10'!$D$19</f>
        <v>11.25</v>
      </c>
      <c r="H17" s="440">
        <f>'10'!$G$21</f>
        <v>1.4</v>
      </c>
      <c r="I17" s="440">
        <f>'10'!$G$21</f>
        <v>1.4</v>
      </c>
      <c r="J17" s="440">
        <f>'10'!$G$19</f>
        <v>1.4999999999999998</v>
      </c>
      <c r="K17" s="440">
        <f>'10'!$H$20</f>
        <v>1.7</v>
      </c>
      <c r="L17" s="440">
        <f>'10'!$H$21</f>
        <v>1.3</v>
      </c>
      <c r="M17" s="440">
        <f>'10'!$H$19</f>
        <v>1.45</v>
      </c>
      <c r="N17" s="452">
        <f>'10'!$L$20</f>
        <v>6.7</v>
      </c>
      <c r="O17" s="452">
        <f>'10'!$L$21</f>
        <v>6.5</v>
      </c>
      <c r="P17" s="452">
        <f>'10'!$L$21</f>
        <v>6.5</v>
      </c>
      <c r="Q17" s="452">
        <f>'10'!$M$20</f>
        <v>6.7</v>
      </c>
      <c r="R17" s="452">
        <f>'10'!$M$21</f>
        <v>6.7</v>
      </c>
      <c r="S17" s="452">
        <f>'10'!$M$20</f>
        <v>6.7</v>
      </c>
      <c r="T17" s="440">
        <f>'10'!$F$37</f>
        <v>1</v>
      </c>
      <c r="U17" s="440">
        <f>'10'!$G$37</f>
        <v>0.1</v>
      </c>
      <c r="V17" s="526">
        <f>'10'!$I$37</f>
        <v>0.12</v>
      </c>
      <c r="W17" s="527" t="str">
        <f>'10'!$J$36</f>
        <v>Filt.</v>
      </c>
    </row>
    <row r="18" spans="1:23" ht="19.5" customHeight="1">
      <c r="A18" s="522">
        <v>11</v>
      </c>
      <c r="B18" s="523">
        <f>'11'!$C$20</f>
        <v>12.5</v>
      </c>
      <c r="C18" s="524">
        <f>'11'!$C$21</f>
        <v>12.5</v>
      </c>
      <c r="D18" s="524">
        <f>'11'!$C$21</f>
        <v>12.5</v>
      </c>
      <c r="E18" s="440">
        <f>'11'!$D$20</f>
        <v>12.5</v>
      </c>
      <c r="F18" s="525">
        <f>'11'!$D$21</f>
        <v>10</v>
      </c>
      <c r="G18" s="440">
        <f>'11'!$D$21</f>
        <v>10</v>
      </c>
      <c r="H18" s="440">
        <f>'11'!$G$20</f>
        <v>1.5</v>
      </c>
      <c r="I18" s="440">
        <f>'11'!$G$21</f>
        <v>1.2</v>
      </c>
      <c r="J18" s="440">
        <f>'10'!$G$19</f>
        <v>1.4999999999999998</v>
      </c>
      <c r="K18" s="440">
        <f>'11'!$H$20</f>
        <v>1.7</v>
      </c>
      <c r="L18" s="440">
        <f>'11'!$H$21</f>
        <v>1.2</v>
      </c>
      <c r="M18" s="440">
        <f>'11'!$H$19</f>
        <v>1.4083333333333334</v>
      </c>
      <c r="N18" s="452">
        <f>'11'!$L$20</f>
        <v>6.7</v>
      </c>
      <c r="O18" s="452">
        <f>'11'!$L$21</f>
        <v>6.6</v>
      </c>
      <c r="P18" s="452">
        <f>'10'!$L$21</f>
        <v>6.5</v>
      </c>
      <c r="Q18" s="452">
        <f>'11'!$M$20</f>
        <v>6.7</v>
      </c>
      <c r="R18" s="452">
        <f>'11'!$M$21</f>
        <v>6.7</v>
      </c>
      <c r="S18" s="452">
        <f>'10'!$M$20</f>
        <v>6.7</v>
      </c>
      <c r="T18" s="440">
        <f>'11'!$F$37</f>
        <v>1</v>
      </c>
      <c r="U18" s="440">
        <f>'11'!$G$37</f>
        <v>0.1</v>
      </c>
      <c r="V18" s="526">
        <f>'11'!$I$37</f>
        <v>0.1</v>
      </c>
      <c r="W18" s="527">
        <f>'11'!$K$37</f>
        <v>0.03</v>
      </c>
    </row>
    <row r="19" spans="1:23" ht="19.5" customHeight="1">
      <c r="A19" s="522">
        <v>12</v>
      </c>
      <c r="B19" s="523">
        <f>'12'!$C$20</f>
        <v>12.5</v>
      </c>
      <c r="C19" s="524">
        <f>'12'!$C$21</f>
        <v>10</v>
      </c>
      <c r="D19" s="524">
        <f>'12'!$C$19</f>
        <v>10.833333333333334</v>
      </c>
      <c r="E19" s="440">
        <f>'12'!$D$20</f>
        <v>12.5</v>
      </c>
      <c r="F19" s="525">
        <f>'12'!$D$21</f>
        <v>10</v>
      </c>
      <c r="G19" s="440">
        <f>'12'!$D$19</f>
        <v>10.833333333333334</v>
      </c>
      <c r="H19" s="440">
        <f>'12'!$G$20</f>
        <v>1.5</v>
      </c>
      <c r="I19" s="440">
        <f>'12'!$G$21</f>
        <v>1.1000000000000001</v>
      </c>
      <c r="J19" s="440">
        <f>'12'!$G$19</f>
        <v>1.3</v>
      </c>
      <c r="K19" s="440">
        <f>'12'!$H$20</f>
        <v>1.5</v>
      </c>
      <c r="L19" s="440">
        <f>'12'!$H$21</f>
        <v>1.1000000000000001</v>
      </c>
      <c r="M19" s="440">
        <f>'12'!$H$19</f>
        <v>1.2833333333333332</v>
      </c>
      <c r="N19" s="452">
        <f>'12'!$L$20</f>
        <v>6.7</v>
      </c>
      <c r="O19" s="452">
        <f>'12'!$L$21</f>
        <v>6.6</v>
      </c>
      <c r="P19" s="452">
        <f>'12'!$L$19</f>
        <v>6.6166666666666671</v>
      </c>
      <c r="Q19" s="452">
        <f>'12'!$M$20</f>
        <v>6.7</v>
      </c>
      <c r="R19" s="452">
        <f>'12'!$M$21</f>
        <v>6.7</v>
      </c>
      <c r="S19" s="452">
        <f>'12'!$M$19</f>
        <v>6.700000000000002</v>
      </c>
      <c r="T19" s="440">
        <f>'12'!$F$37</f>
        <v>0.8</v>
      </c>
      <c r="U19" s="440">
        <f>'12'!$G$37</f>
        <v>0</v>
      </c>
      <c r="V19" s="526">
        <f>'12'!$I$37</f>
        <v>0.1</v>
      </c>
      <c r="W19" s="527">
        <f>'12'!$K$37</f>
        <v>0.03</v>
      </c>
    </row>
    <row r="20" spans="1:23" ht="19.5" customHeight="1">
      <c r="A20" s="522">
        <v>13</v>
      </c>
      <c r="B20" s="523">
        <f>'13'!$C$20</f>
        <v>10</v>
      </c>
      <c r="C20" s="524">
        <f>'13'!$C$21</f>
        <v>10</v>
      </c>
      <c r="D20" s="524">
        <f>'13'!$C$19</f>
        <v>10</v>
      </c>
      <c r="E20" s="440">
        <f>'13'!$D$20</f>
        <v>10</v>
      </c>
      <c r="F20" s="525">
        <f>'13'!$D$21</f>
        <v>10</v>
      </c>
      <c r="G20" s="440">
        <f>'13'!$D$19</f>
        <v>10</v>
      </c>
      <c r="H20" s="440">
        <f>'13'!$G$20</f>
        <v>1.4</v>
      </c>
      <c r="I20" s="440">
        <f>'13'!$G$21</f>
        <v>1</v>
      </c>
      <c r="J20" s="440">
        <f>'13'!$G$19</f>
        <v>1.2166666666666668</v>
      </c>
      <c r="K20" s="440">
        <f>'13'!$H$20</f>
        <v>1.4</v>
      </c>
      <c r="L20" s="440">
        <f>'13'!$H$21</f>
        <v>0.9</v>
      </c>
      <c r="M20" s="440">
        <f>'13'!$H$19</f>
        <v>1.1000000000000001</v>
      </c>
      <c r="N20" s="452">
        <f>'13'!$L$20</f>
        <v>6.7</v>
      </c>
      <c r="O20" s="452">
        <f>'13'!$L$21</f>
        <v>6.7</v>
      </c>
      <c r="P20" s="452">
        <f>'13'!$L$19</f>
        <v>6.700000000000002</v>
      </c>
      <c r="Q20" s="452">
        <f>'13'!$M$20</f>
        <v>6.7</v>
      </c>
      <c r="R20" s="452">
        <f>'13'!$M$21</f>
        <v>6.7</v>
      </c>
      <c r="S20" s="452">
        <f>'13'!$M$19</f>
        <v>6.700000000000002</v>
      </c>
      <c r="T20" s="440">
        <f>'13'!$F$37</f>
        <v>0.8</v>
      </c>
      <c r="U20" s="440">
        <f>'13'!$G$37</f>
        <v>0.1</v>
      </c>
      <c r="V20" s="526">
        <f>'13'!$I$37</f>
        <v>0.1</v>
      </c>
      <c r="W20" s="527">
        <f>'13'!$K$37</f>
        <v>0.03</v>
      </c>
    </row>
    <row r="21" spans="1:23" ht="19.5" customHeight="1">
      <c r="A21" s="522">
        <v>14</v>
      </c>
      <c r="B21" s="523">
        <f>'14'!$C$20</f>
        <v>10</v>
      </c>
      <c r="C21" s="524">
        <f>'14'!$C$21</f>
        <v>10</v>
      </c>
      <c r="D21" s="524">
        <f>'14'!$C$19</f>
        <v>10</v>
      </c>
      <c r="E21" s="440">
        <f>'14'!$D$20</f>
        <v>10</v>
      </c>
      <c r="F21" s="525">
        <f>'14'!$D$21</f>
        <v>10</v>
      </c>
      <c r="G21" s="440">
        <f>'14'!$D$19</f>
        <v>10</v>
      </c>
      <c r="H21" s="440">
        <f>'14'!$G$20</f>
        <v>1.6</v>
      </c>
      <c r="I21" s="440">
        <f>'14'!$G$21</f>
        <v>1.4</v>
      </c>
      <c r="J21" s="440">
        <f>'14'!$G$19</f>
        <v>1.4999999999999998</v>
      </c>
      <c r="K21" s="440">
        <f>'14'!$H$20</f>
        <v>1.4</v>
      </c>
      <c r="L21" s="440">
        <f>'14'!$H$21</f>
        <v>1</v>
      </c>
      <c r="M21" s="440">
        <f>'14'!$H$19</f>
        <v>1.1999999999999997</v>
      </c>
      <c r="N21" s="452">
        <f>'14'!$L$20</f>
        <v>6.7</v>
      </c>
      <c r="O21" s="452">
        <f>'14'!$L$21</f>
        <v>6.4</v>
      </c>
      <c r="P21" s="452">
        <f>'14'!$L$19</f>
        <v>6.5166666666666666</v>
      </c>
      <c r="Q21" s="452">
        <f>'14'!$M$20</f>
        <v>6.7</v>
      </c>
      <c r="R21" s="452">
        <f>'14'!$M$21</f>
        <v>6.5</v>
      </c>
      <c r="S21" s="452">
        <f>'14'!$M$19</f>
        <v>6.6166666666666671</v>
      </c>
      <c r="T21" s="440">
        <f>'14'!$F$37</f>
        <v>1</v>
      </c>
      <c r="U21" s="440">
        <f>'14'!$G$37</f>
        <v>0.1</v>
      </c>
      <c r="V21" s="526">
        <f>'14'!$I$37</f>
        <v>0.1</v>
      </c>
      <c r="W21" s="527">
        <f>'14'!$K$37</f>
        <v>0.05</v>
      </c>
    </row>
    <row r="22" spans="1:23" ht="19.5" customHeight="1">
      <c r="A22" s="522">
        <v>15</v>
      </c>
      <c r="B22" s="523">
        <f>'15'!$C$20</f>
        <v>10</v>
      </c>
      <c r="C22" s="524">
        <f>'15'!$C$21</f>
        <v>10</v>
      </c>
      <c r="D22" s="524">
        <f>'15'!$C$19</f>
        <v>10</v>
      </c>
      <c r="E22" s="440">
        <f>'15'!$D$20</f>
        <v>10</v>
      </c>
      <c r="F22" s="525">
        <f>'15'!$D$21</f>
        <v>10</v>
      </c>
      <c r="G22" s="440">
        <f>'15'!$D$20</f>
        <v>10</v>
      </c>
      <c r="H22" s="440">
        <f>'15'!$G$20</f>
        <v>1.9</v>
      </c>
      <c r="I22" s="440">
        <f>'15'!$G$21</f>
        <v>1.4</v>
      </c>
      <c r="J22" s="440">
        <f>'15'!$G$19</f>
        <v>1.7</v>
      </c>
      <c r="K22" s="440">
        <f>'15'!$H$20</f>
        <v>1.6</v>
      </c>
      <c r="L22" s="440">
        <f>'15'!$H$21</f>
        <v>1.1000000000000001</v>
      </c>
      <c r="M22" s="440">
        <f>'15'!$H$19</f>
        <v>1.3499999999999999</v>
      </c>
      <c r="N22" s="452">
        <f>'15'!$L$20</f>
        <v>6.5</v>
      </c>
      <c r="O22" s="452">
        <f>'15'!$L$21</f>
        <v>6.5</v>
      </c>
      <c r="P22" s="452">
        <f>'15'!$L$19</f>
        <v>6.5</v>
      </c>
      <c r="Q22" s="452">
        <f>'15'!$M$20</f>
        <v>6.5</v>
      </c>
      <c r="R22" s="452">
        <f>'15'!$M$21</f>
        <v>6.5</v>
      </c>
      <c r="S22" s="452">
        <f>'15'!$M$19</f>
        <v>6.5</v>
      </c>
      <c r="T22" s="440">
        <f>'15'!$F$37</f>
        <v>1</v>
      </c>
      <c r="U22" s="440">
        <f>'15'!$G$37</f>
        <v>0.1</v>
      </c>
      <c r="V22" s="526">
        <f>'15'!$I$37</f>
        <v>0.1</v>
      </c>
      <c r="W22" s="527">
        <f>'15'!$K$37</f>
        <v>0.03</v>
      </c>
    </row>
    <row r="23" spans="1:23" ht="19.5" customHeight="1">
      <c r="A23" s="522">
        <v>16</v>
      </c>
      <c r="B23" s="523">
        <f>'16'!$C$20</f>
        <v>12.5</v>
      </c>
      <c r="C23" s="524">
        <f>'16'!$C$21</f>
        <v>10</v>
      </c>
      <c r="D23" s="524">
        <f>'16'!$C$19</f>
        <v>10.833333333333334</v>
      </c>
      <c r="E23" s="440">
        <f>'16'!$D$20</f>
        <v>12.5</v>
      </c>
      <c r="F23" s="525">
        <f>'16'!$D$21</f>
        <v>10</v>
      </c>
      <c r="G23" s="457">
        <f>'16'!$B$18</f>
        <v>80</v>
      </c>
      <c r="H23" s="457">
        <f>'16'!$G$20</f>
        <v>1.9</v>
      </c>
      <c r="I23" s="440">
        <f>'16'!$G$21</f>
        <v>1.5</v>
      </c>
      <c r="J23" s="457">
        <f>'16'!$E$18</f>
        <v>2.5</v>
      </c>
      <c r="K23" s="457">
        <f>'16'!$H$20</f>
        <v>4.5999999999999996</v>
      </c>
      <c r="L23" s="457">
        <f>'16'!$H$21</f>
        <v>1.2</v>
      </c>
      <c r="M23" s="440">
        <f>'16'!$H18</f>
        <v>1.4</v>
      </c>
      <c r="N23" s="524">
        <f>'16'!$L$20</f>
        <v>6.8</v>
      </c>
      <c r="O23" s="524">
        <f>'16'!$L$21</f>
        <v>6.5</v>
      </c>
      <c r="P23" s="524">
        <f>'16'!$J$18</f>
        <v>0.5</v>
      </c>
      <c r="Q23" s="452">
        <f>'16'!$M$20</f>
        <v>6.8</v>
      </c>
      <c r="R23" s="524">
        <f>'16'!$M$21</f>
        <v>6.5</v>
      </c>
      <c r="S23" s="524">
        <f>'16'!$K$18</f>
        <v>7.3</v>
      </c>
      <c r="T23" s="457">
        <f>'16'!$F$37</f>
        <v>0.6</v>
      </c>
      <c r="U23" s="440">
        <f>'16'!$G$37</f>
        <v>0</v>
      </c>
      <c r="V23" s="526">
        <f>'16'!$I$37</f>
        <v>0.1</v>
      </c>
      <c r="W23" s="527">
        <f>'16'!$K$37</f>
        <v>0.03</v>
      </c>
    </row>
    <row r="24" spans="1:23" ht="19.5" customHeight="1">
      <c r="A24" s="522">
        <v>17</v>
      </c>
      <c r="B24" s="523">
        <f>'17'!$C$20</f>
        <v>12.5</v>
      </c>
      <c r="C24" s="524">
        <f>'17'!$C$21</f>
        <v>12.5</v>
      </c>
      <c r="D24" s="524">
        <f>'17'!$C$19</f>
        <v>12.5</v>
      </c>
      <c r="E24" s="440">
        <f>'17'!$D$20</f>
        <v>12.5</v>
      </c>
      <c r="F24" s="525">
        <f>'17'!$D$21</f>
        <v>10</v>
      </c>
      <c r="G24" s="457">
        <f>'17'!$D$19</f>
        <v>10.833333333333334</v>
      </c>
      <c r="H24" s="440">
        <f>'17'!$G$20</f>
        <v>1.9</v>
      </c>
      <c r="I24" s="440">
        <f>'17'!$G$21</f>
        <v>1.3</v>
      </c>
      <c r="J24" s="440">
        <f>'17'!$G$19</f>
        <v>1.5181818181818185</v>
      </c>
      <c r="K24" s="440">
        <f>'17'!$H$20</f>
        <v>1.6</v>
      </c>
      <c r="L24" s="440">
        <f>'17'!$H$21</f>
        <v>1.1000000000000001</v>
      </c>
      <c r="M24" s="440">
        <f>'17'!$H$19</f>
        <v>1.3083333333333329</v>
      </c>
      <c r="N24" s="452">
        <f>'17'!$L$20</f>
        <v>6.7</v>
      </c>
      <c r="O24" s="452">
        <f>'17'!$L$21</f>
        <v>6.7</v>
      </c>
      <c r="P24" s="452">
        <f>'17'!$L$19</f>
        <v>6.700000000000002</v>
      </c>
      <c r="Q24" s="452">
        <f>'17'!$M$20</f>
        <v>6.7</v>
      </c>
      <c r="R24" s="452">
        <f>'17'!$M$21</f>
        <v>6.7</v>
      </c>
      <c r="S24" s="452">
        <f>'17'!$M$19</f>
        <v>6.700000000000002</v>
      </c>
      <c r="T24" s="440">
        <f>'17'!$F$37</f>
        <v>0.8</v>
      </c>
      <c r="U24" s="440">
        <f>'17'!$G$37</f>
        <v>0.1</v>
      </c>
      <c r="V24" s="526">
        <f>'17'!$I$37</f>
        <v>0.1</v>
      </c>
      <c r="W24" s="527">
        <f>'17'!$K$37</f>
        <v>0.03</v>
      </c>
    </row>
    <row r="25" spans="1:23" ht="19.5" customHeight="1">
      <c r="A25" s="522">
        <v>18</v>
      </c>
      <c r="B25" s="523">
        <f>'18'!$C$20</f>
        <v>15</v>
      </c>
      <c r="C25" s="524">
        <f>'18'!$C$21</f>
        <v>10</v>
      </c>
      <c r="D25" s="524">
        <f>'18'!$C$19</f>
        <v>12.708333333333334</v>
      </c>
      <c r="E25" s="440">
        <f>'18'!$D$20</f>
        <v>15</v>
      </c>
      <c r="F25" s="525">
        <f>'18'!$D$21</f>
        <v>10</v>
      </c>
      <c r="G25" s="440">
        <f>'18'!$D$19</f>
        <v>12.083333333333334</v>
      </c>
      <c r="H25" s="440">
        <f>'18'!$G$20</f>
        <v>2.5</v>
      </c>
      <c r="I25" s="440">
        <f>'18'!$G$21</f>
        <v>1.3</v>
      </c>
      <c r="J25" s="440">
        <f>'18'!$G$19</f>
        <v>1.75</v>
      </c>
      <c r="K25" s="440">
        <f>'18'!$H$20</f>
        <v>2.5</v>
      </c>
      <c r="L25" s="440">
        <f>'18'!$H$21</f>
        <v>1.2</v>
      </c>
      <c r="M25" s="440">
        <f>'18'!$H$19</f>
        <v>1.7</v>
      </c>
      <c r="N25" s="452">
        <f>'18'!$L$20</f>
        <v>6.8</v>
      </c>
      <c r="O25" s="452">
        <f>'18'!$L$21</f>
        <v>6.7</v>
      </c>
      <c r="P25" s="452">
        <f>'18'!$L$19</f>
        <v>6.7666666666666657</v>
      </c>
      <c r="Q25" s="452">
        <f>'18'!$M$20</f>
        <v>6.8</v>
      </c>
      <c r="R25" s="452">
        <f>'18'!$M$21</f>
        <v>6.7</v>
      </c>
      <c r="S25" s="452">
        <f>'18'!$M$19</f>
        <v>6.7666666666666657</v>
      </c>
      <c r="T25" s="440">
        <f>'18'!$F$37</f>
        <v>1</v>
      </c>
      <c r="U25" s="440">
        <f>'18'!$G$37</f>
        <v>0.1</v>
      </c>
      <c r="V25" s="526">
        <f>'18'!$I$37</f>
        <v>0.12</v>
      </c>
      <c r="W25" s="527">
        <f>'18'!$K$37</f>
        <v>0.03</v>
      </c>
    </row>
    <row r="26" spans="1:23" ht="19.5" customHeight="1">
      <c r="A26" s="522">
        <v>19</v>
      </c>
      <c r="B26" s="523">
        <f>'19'!$C$1048576</f>
        <v>0</v>
      </c>
      <c r="C26" s="524">
        <f>'19'!$C$1048576</f>
        <v>0</v>
      </c>
      <c r="D26" s="524">
        <f>'19'!$C$1048576</f>
        <v>0</v>
      </c>
      <c r="E26" s="440">
        <f>'19'!$D$1048576</f>
        <v>0</v>
      </c>
      <c r="F26" s="525">
        <f>'19'!$D$1048576</f>
        <v>0</v>
      </c>
      <c r="G26" s="440">
        <f>'19'!$D$1048576</f>
        <v>0</v>
      </c>
      <c r="H26" s="440">
        <f>'19'!$G$1048576</f>
        <v>0</v>
      </c>
      <c r="I26" s="440">
        <f>'19'!$G$1048576</f>
        <v>0</v>
      </c>
      <c r="J26" s="440">
        <f>'19'!$G$1048576</f>
        <v>0</v>
      </c>
      <c r="K26" s="440">
        <f>'19'!$H$1048576</f>
        <v>0</v>
      </c>
      <c r="L26" s="440">
        <f>'19'!$H$1048576</f>
        <v>0</v>
      </c>
      <c r="M26" s="440">
        <f>'19'!$H$1048576</f>
        <v>0</v>
      </c>
      <c r="N26" s="452">
        <f>'19'!$L$1048576</f>
        <v>0</v>
      </c>
      <c r="O26" s="452">
        <f>'19'!$L$1048576</f>
        <v>0</v>
      </c>
      <c r="P26" s="452">
        <f>'19'!$L$1048576</f>
        <v>0</v>
      </c>
      <c r="Q26" s="452">
        <f>'19'!$M$1048576</f>
        <v>0</v>
      </c>
      <c r="R26" s="452">
        <f>'19'!$M$1048576</f>
        <v>0</v>
      </c>
      <c r="S26" s="452">
        <f>'19'!$M$1048576</f>
        <v>0</v>
      </c>
      <c r="T26" s="440">
        <f>'19'!$F$1048576</f>
        <v>0</v>
      </c>
      <c r="U26" s="440">
        <f>'19'!$G$1048576</f>
        <v>0</v>
      </c>
      <c r="V26" s="526">
        <f>'19'!$I$1048576</f>
        <v>0</v>
      </c>
      <c r="W26" s="527">
        <f>'19'!$K$1048576</f>
        <v>0</v>
      </c>
    </row>
    <row r="27" spans="1:23" ht="19.5" customHeight="1">
      <c r="A27" s="522">
        <v>20</v>
      </c>
      <c r="B27" s="523">
        <f>'20'!$C$20</f>
        <v>12.5</v>
      </c>
      <c r="C27" s="524">
        <f>'20'!$C$21</f>
        <v>12.5</v>
      </c>
      <c r="D27" s="524">
        <f>'20'!$C$19</f>
        <v>12.5</v>
      </c>
      <c r="E27" s="440">
        <f>'20'!$D$20</f>
        <v>12.5</v>
      </c>
      <c r="F27" s="525">
        <f>'20'!$D$21</f>
        <v>12.5</v>
      </c>
      <c r="G27" s="440">
        <f>'20'!$D$19</f>
        <v>12.5</v>
      </c>
      <c r="H27" s="440">
        <f>'20'!$G$20</f>
        <v>2</v>
      </c>
      <c r="I27" s="440">
        <f>'20'!$G$21</f>
        <v>1.7</v>
      </c>
      <c r="J27" s="440">
        <f>'20'!$G$19</f>
        <v>1.8166666666666667</v>
      </c>
      <c r="K27" s="440">
        <f>'20'!$H$20</f>
        <v>2.2000000000000002</v>
      </c>
      <c r="L27" s="440">
        <f>'20'!$H$21</f>
        <v>1.9</v>
      </c>
      <c r="M27" s="440">
        <f>'20'!$H$19</f>
        <v>2.0666666666666669</v>
      </c>
      <c r="N27" s="452">
        <f>'20'!$L$20</f>
        <v>6.8</v>
      </c>
      <c r="O27" s="452">
        <f>'20'!$L$21</f>
        <v>6.8</v>
      </c>
      <c r="P27" s="452">
        <f>'20'!$L$19</f>
        <v>6.799999999999998</v>
      </c>
      <c r="Q27" s="452">
        <f>'20'!$M$20</f>
        <v>6.8</v>
      </c>
      <c r="R27" s="452">
        <f>'20'!$M$21</f>
        <v>6.8</v>
      </c>
      <c r="S27" s="452">
        <f>'20'!$M$19</f>
        <v>6.799999999999998</v>
      </c>
      <c r="T27" s="440">
        <f>'20'!$F$37</f>
        <v>1</v>
      </c>
      <c r="U27" s="440">
        <f>'20'!$G$37</f>
        <v>0.1</v>
      </c>
      <c r="V27" s="526">
        <f>'20'!$I$37</f>
        <v>0.1</v>
      </c>
      <c r="W27" s="527">
        <f>'20'!$K$37</f>
        <v>0.03</v>
      </c>
    </row>
    <row r="28" spans="1:23" ht="19.5" customHeight="1">
      <c r="A28" s="522">
        <v>21</v>
      </c>
      <c r="B28" s="523">
        <f>'21'!$C$20</f>
        <v>15</v>
      </c>
      <c r="C28" s="524">
        <f>'21'!$C$21</f>
        <v>12.5</v>
      </c>
      <c r="D28" s="524">
        <f>'21'!$C$19</f>
        <v>12.708333333333334</v>
      </c>
      <c r="E28" s="440">
        <f>'21'!$D$20</f>
        <v>17.5</v>
      </c>
      <c r="F28" s="525">
        <f>'21'!$D$21</f>
        <v>12.5</v>
      </c>
      <c r="G28" s="440">
        <f>'21'!$D$19</f>
        <v>13.958333333333334</v>
      </c>
      <c r="H28" s="440">
        <f>'21'!$G$20</f>
        <v>2</v>
      </c>
      <c r="I28" s="440">
        <f>'21'!$G$21</f>
        <v>1.7</v>
      </c>
      <c r="J28" s="440">
        <f>'21'!$G$19</f>
        <v>1.8333333333333333</v>
      </c>
      <c r="K28" s="440">
        <f>'21'!$H$20</f>
        <v>3.2</v>
      </c>
      <c r="L28" s="440">
        <f>'21'!$H$21</f>
        <v>2.1</v>
      </c>
      <c r="M28" s="440">
        <f>'21'!$H$19</f>
        <v>2.4416666666666664</v>
      </c>
      <c r="N28" s="452">
        <f>'21'!$L$20</f>
        <v>6.8</v>
      </c>
      <c r="O28" s="452">
        <f>'21'!$L$21</f>
        <v>6.8</v>
      </c>
      <c r="P28" s="452">
        <f>'21'!$L$19</f>
        <v>6.799999999999998</v>
      </c>
      <c r="Q28" s="452">
        <f>'21'!$M$20</f>
        <v>6.8</v>
      </c>
      <c r="R28" s="452">
        <f>'21'!$M$21</f>
        <v>6.8</v>
      </c>
      <c r="S28" s="452">
        <f>'21'!$M$19</f>
        <v>6.799999999999998</v>
      </c>
      <c r="T28" s="440">
        <f>'21'!$F$37</f>
        <v>1</v>
      </c>
      <c r="U28" s="440">
        <f>'21'!$G$37</f>
        <v>0.1</v>
      </c>
      <c r="V28" s="526">
        <f>'21'!$I$37</f>
        <v>0.1</v>
      </c>
      <c r="W28" s="527">
        <f>'21'!$K$37</f>
        <v>0.03</v>
      </c>
    </row>
    <row r="29" spans="1:23" ht="19.5" customHeight="1">
      <c r="A29" s="522">
        <v>22</v>
      </c>
      <c r="B29" s="523">
        <f>'22'!$C$20</f>
        <v>12.5</v>
      </c>
      <c r="C29" s="524">
        <f>'22'!$C$21</f>
        <v>12.5</v>
      </c>
      <c r="D29" s="524">
        <f>'22'!$C$19</f>
        <v>12.5</v>
      </c>
      <c r="E29" s="440">
        <f>'22'!$D$20</f>
        <v>15</v>
      </c>
      <c r="F29" s="525">
        <f>'22'!$D$21</f>
        <v>12.5</v>
      </c>
      <c r="G29" s="440">
        <f>'22'!$D$19</f>
        <v>13.958333333333334</v>
      </c>
      <c r="H29" s="440">
        <f>'22'!$G$20</f>
        <v>2.1</v>
      </c>
      <c r="I29" s="440">
        <f>'22'!$G$21</f>
        <v>1.8</v>
      </c>
      <c r="J29" s="440">
        <f>'22'!$G$19</f>
        <v>1.9333333333333336</v>
      </c>
      <c r="K29" s="440">
        <f>'22'!$H$20</f>
        <v>3</v>
      </c>
      <c r="L29" s="440">
        <f>'22'!$H$21</f>
        <v>2</v>
      </c>
      <c r="M29" s="440">
        <f>'22'!$H$19</f>
        <v>2.4166666666666665</v>
      </c>
      <c r="N29" s="452">
        <f>'22'!$L$20</f>
        <v>6.8</v>
      </c>
      <c r="O29" s="452">
        <f>'22'!$L$21</f>
        <v>6.8</v>
      </c>
      <c r="P29" s="452">
        <f>'22'!$L$19</f>
        <v>6.799999999999998</v>
      </c>
      <c r="Q29" s="452">
        <f>'22'!$M$20</f>
        <v>6.8</v>
      </c>
      <c r="R29" s="452">
        <f>'22'!$M$21</f>
        <v>6.8</v>
      </c>
      <c r="S29" s="452">
        <f>'22'!$M$19</f>
        <v>6.799999999999998</v>
      </c>
      <c r="T29" s="440">
        <f>'22'!$F$37</f>
        <v>1</v>
      </c>
      <c r="U29" s="440">
        <f>'22'!$G$37</f>
        <v>0.1</v>
      </c>
      <c r="V29" s="526">
        <f>'22'!$I$37</f>
        <v>0.1</v>
      </c>
      <c r="W29" s="527">
        <f>'22'!$K$37</f>
        <v>0.03</v>
      </c>
    </row>
    <row r="30" spans="1:23" ht="19.5" customHeight="1">
      <c r="A30" s="522">
        <v>23</v>
      </c>
      <c r="B30" s="456">
        <f>'23'!$C$20</f>
        <v>15</v>
      </c>
      <c r="C30" s="524">
        <f>'23'!$C$21</f>
        <v>12.5</v>
      </c>
      <c r="D30" s="452">
        <f>'23'!$C$19</f>
        <v>13.75</v>
      </c>
      <c r="E30" s="440">
        <f>'23'!$D$20</f>
        <v>15</v>
      </c>
      <c r="F30" s="525">
        <f>'23'!$D$21</f>
        <v>15</v>
      </c>
      <c r="G30" s="457">
        <f>'23'!$D$19</f>
        <v>15</v>
      </c>
      <c r="H30" s="440">
        <f>'23'!$G$20</f>
        <v>2.5</v>
      </c>
      <c r="I30" s="440">
        <f>'23'!$G$21</f>
        <v>1.9</v>
      </c>
      <c r="J30" s="440">
        <f>'23'!$G$19</f>
        <v>2.1166666666666667</v>
      </c>
      <c r="K30" s="440">
        <f>'23'!$H$20</f>
        <v>0.2</v>
      </c>
      <c r="L30" s="440">
        <f>'23'!$H$21</f>
        <v>2</v>
      </c>
      <c r="M30" s="440">
        <f>'23'!$H$19</f>
        <v>2.3416666666666672</v>
      </c>
      <c r="N30" s="452">
        <f>'23'!$L$20</f>
        <v>6.8</v>
      </c>
      <c r="O30" s="452">
        <f>'23'!$L$21</f>
        <v>6.8</v>
      </c>
      <c r="P30" s="452">
        <f>'23'!$L$19</f>
        <v>6.799999999999998</v>
      </c>
      <c r="Q30" s="452">
        <f>'23'!$M$20</f>
        <v>6.8</v>
      </c>
      <c r="R30" s="452">
        <f>'23'!$M$21</f>
        <v>6.8</v>
      </c>
      <c r="S30" s="452">
        <f>'23'!$M$19</f>
        <v>6.799999999999998</v>
      </c>
      <c r="T30" s="440">
        <f>'23'!$F$37</f>
        <v>0.8</v>
      </c>
      <c r="U30" s="440">
        <f>'23'!$G$37</f>
        <v>0</v>
      </c>
      <c r="V30" s="526">
        <f>'23'!$I$37</f>
        <v>0.1</v>
      </c>
      <c r="W30" s="527">
        <f>'23'!$K$37</f>
        <v>0.03</v>
      </c>
    </row>
    <row r="31" spans="1:23" ht="19.5" customHeight="1">
      <c r="A31" s="522">
        <v>24</v>
      </c>
      <c r="B31" s="523">
        <f>'24'!$C$16</f>
        <v>12.5</v>
      </c>
      <c r="C31" s="524">
        <f>'24'!$C$21</f>
        <v>12.5</v>
      </c>
      <c r="D31" s="524">
        <f>'24'!$C$15</f>
        <v>12.5</v>
      </c>
      <c r="E31" s="440">
        <f>'24'!$D$16</f>
        <v>12.5</v>
      </c>
      <c r="F31" s="525">
        <f>'24'!$D$21</f>
        <v>12.5</v>
      </c>
      <c r="G31" s="440">
        <f>'24'!$D$15</f>
        <v>12.5</v>
      </c>
      <c r="H31" s="440">
        <f>'24'!$G$20</f>
        <v>2.4</v>
      </c>
      <c r="I31" s="440">
        <f>'24'!$G$21</f>
        <v>1.6</v>
      </c>
      <c r="J31" s="440">
        <f>'24'!$G$19</f>
        <v>1.9308333333333334</v>
      </c>
      <c r="K31" s="440">
        <f>'24'!$H$20</f>
        <v>2.34</v>
      </c>
      <c r="L31" s="440">
        <f>'24'!$H$21</f>
        <v>1.9</v>
      </c>
      <c r="M31" s="440">
        <f>'24'!$H$19</f>
        <v>2.1175000000000002</v>
      </c>
      <c r="N31" s="452">
        <f>'24'!$L$20</f>
        <v>6.8</v>
      </c>
      <c r="O31" s="452">
        <f>'24'!$L$21</f>
        <v>6.8</v>
      </c>
      <c r="P31" s="452">
        <f>'24'!$L$19</f>
        <v>6.799999999999998</v>
      </c>
      <c r="Q31" s="452">
        <f>'24'!$M$20</f>
        <v>6.8</v>
      </c>
      <c r="R31" s="452">
        <f>'24'!$M$21</f>
        <v>6.8</v>
      </c>
      <c r="S31" s="452">
        <f>'24'!$M$19</f>
        <v>6.799999999999998</v>
      </c>
      <c r="T31" s="440">
        <f>'24'!$F$37</f>
        <v>1</v>
      </c>
      <c r="U31" s="440">
        <f>'24'!$G$37</f>
        <v>0</v>
      </c>
      <c r="V31" s="526">
        <f>'24'!$I$37</f>
        <v>0.1</v>
      </c>
      <c r="W31" s="527">
        <f>'24'!$K$37</f>
        <v>0.03</v>
      </c>
    </row>
    <row r="32" spans="1:23" ht="19.5" customHeight="1">
      <c r="A32" s="522">
        <v>25</v>
      </c>
      <c r="B32" s="523">
        <f>'25'!$C$20</f>
        <v>12.5</v>
      </c>
      <c r="C32" s="524">
        <f>'25'!$C$21</f>
        <v>12.5</v>
      </c>
      <c r="D32" s="524">
        <f>'25'!$C$19</f>
        <v>12.5</v>
      </c>
      <c r="E32" s="440">
        <f>'25'!$D$20</f>
        <v>12.5</v>
      </c>
      <c r="F32" s="525">
        <f>'25'!$D$21</f>
        <v>12.5</v>
      </c>
      <c r="G32" s="440">
        <f>'25'!$D$19</f>
        <v>12.5</v>
      </c>
      <c r="H32" s="440">
        <f>'25'!$G$20</f>
        <v>2</v>
      </c>
      <c r="I32" s="440">
        <f>'25'!$G$21</f>
        <v>1.59</v>
      </c>
      <c r="J32" s="440">
        <f>'25'!$G$19</f>
        <v>1.7949999999999999</v>
      </c>
      <c r="K32" s="440">
        <f>'25'!$H$20</f>
        <v>2</v>
      </c>
      <c r="L32" s="440">
        <f>'25'!$H$21</f>
        <v>1.9</v>
      </c>
      <c r="M32" s="440">
        <f>'25'!$H$19</f>
        <v>1.9391666666666667</v>
      </c>
      <c r="N32" s="452">
        <f>'25'!$L$20</f>
        <v>6.8</v>
      </c>
      <c r="O32" s="452">
        <f>'25'!$L$21</f>
        <v>6.8</v>
      </c>
      <c r="P32" s="452">
        <f>'25'!$L$19</f>
        <v>6.799999999999998</v>
      </c>
      <c r="Q32" s="452">
        <f>'25'!$M$20</f>
        <v>6.8</v>
      </c>
      <c r="R32" s="452">
        <f>'25'!$M$21</f>
        <v>6.8</v>
      </c>
      <c r="S32" s="452">
        <f>'25'!$M$19</f>
        <v>6.799999999999998</v>
      </c>
      <c r="T32" s="440">
        <f>'25'!$F$37</f>
        <v>1</v>
      </c>
      <c r="U32" s="440">
        <f>'25'!$G$37</f>
        <v>0.1</v>
      </c>
      <c r="V32" s="526">
        <f>'25'!$I$37</f>
        <v>0.1</v>
      </c>
      <c r="W32" s="527">
        <f>'25'!$K$37</f>
        <v>0.03</v>
      </c>
    </row>
    <row r="33" spans="1:23" ht="19.5" customHeight="1">
      <c r="A33" s="522">
        <v>26</v>
      </c>
      <c r="B33" s="456">
        <f>'26'!$C$20</f>
        <v>17.5</v>
      </c>
      <c r="C33" s="524">
        <f>'26'!$C$21</f>
        <v>12.5</v>
      </c>
      <c r="D33" s="524">
        <f>'26'!$C$19</f>
        <v>14.791666666666666</v>
      </c>
      <c r="E33" s="440">
        <f>'26'!$D$20</f>
        <v>17.5</v>
      </c>
      <c r="F33" s="525">
        <f>'26'!$D$21</f>
        <v>12.5</v>
      </c>
      <c r="G33" s="457">
        <f>'26'!$D$19</f>
        <v>15</v>
      </c>
      <c r="H33" s="440">
        <f>'26'!$G$20</f>
        <v>2.5</v>
      </c>
      <c r="I33" s="440">
        <f>'26'!$G$21</f>
        <v>1.5</v>
      </c>
      <c r="J33" s="440">
        <f>'26'!$G$19</f>
        <v>2.0166666666666666</v>
      </c>
      <c r="K33" s="440">
        <f>'26'!$H$20</f>
        <v>2.9</v>
      </c>
      <c r="L33" s="440">
        <f>'26'!$H$21</f>
        <v>1.9</v>
      </c>
      <c r="M33" s="440">
        <f>'26'!$H$19</f>
        <v>2.2749999999999999</v>
      </c>
      <c r="N33" s="452">
        <f>'26'!$L$20</f>
        <v>6.8</v>
      </c>
      <c r="O33" s="452">
        <f>'26'!$L$21</f>
        <v>6.8</v>
      </c>
      <c r="P33" s="452">
        <f>'26'!$L$19</f>
        <v>6.799999999999998</v>
      </c>
      <c r="Q33" s="452">
        <f>'26'!$M$20</f>
        <v>6.8</v>
      </c>
      <c r="R33" s="452">
        <f>'26'!$M$21</f>
        <v>6.8</v>
      </c>
      <c r="S33" s="452">
        <f>'26'!$M$19</f>
        <v>6.799999999999998</v>
      </c>
      <c r="T33" s="440">
        <f>'26'!$F$37</f>
        <v>1.4</v>
      </c>
      <c r="U33" s="440">
        <f>'26'!$G$37</f>
        <v>0.1</v>
      </c>
      <c r="V33" s="526">
        <f>'26'!$I$37</f>
        <v>0.2</v>
      </c>
      <c r="W33" s="527">
        <f>'26'!$K$37</f>
        <v>0.03</v>
      </c>
    </row>
    <row r="34" spans="1:23" ht="19.5" customHeight="1">
      <c r="A34" s="522">
        <v>27</v>
      </c>
      <c r="B34" s="523">
        <f>'27'!$C$20</f>
        <v>15</v>
      </c>
      <c r="C34" s="524">
        <f>'27'!$C$21</f>
        <v>15</v>
      </c>
      <c r="D34" s="524">
        <f>'27'!$C$19</f>
        <v>15</v>
      </c>
      <c r="E34" s="440">
        <f>'27'!$D$20</f>
        <v>17.5</v>
      </c>
      <c r="F34" s="525">
        <f>'27'!$D$21</f>
        <v>15</v>
      </c>
      <c r="G34" s="440">
        <f>'27'!$D$19</f>
        <v>15.625</v>
      </c>
      <c r="H34" s="440">
        <f>'27'!$G$20</f>
        <v>2.5</v>
      </c>
      <c r="I34" s="440">
        <f>'27'!$G$21</f>
        <v>1.8</v>
      </c>
      <c r="J34" s="440">
        <f>'27'!$G$19</f>
        <v>2.1916666666666664</v>
      </c>
      <c r="K34" s="440">
        <f>'27'!$H$20</f>
        <v>2.8</v>
      </c>
      <c r="L34" s="440">
        <f>'27'!$H$21</f>
        <v>2.2000000000000002</v>
      </c>
      <c r="M34" s="440">
        <f>'27'!$H$19</f>
        <v>2.4333333333333336</v>
      </c>
      <c r="N34" s="452">
        <f>'27'!$L$20</f>
        <v>6.8</v>
      </c>
      <c r="O34" s="452">
        <f>'27'!$L$21</f>
        <v>6.7</v>
      </c>
      <c r="P34" s="452">
        <f>'27'!$L$19</f>
        <v>6.7363636363636372</v>
      </c>
      <c r="Q34" s="452">
        <f>'27'!$M$20</f>
        <v>6.8</v>
      </c>
      <c r="R34" s="452">
        <f>'27'!$M$21</f>
        <v>6.7</v>
      </c>
      <c r="S34" s="452">
        <f>'27'!$M$19</f>
        <v>6.7363636363636372</v>
      </c>
      <c r="T34" s="440">
        <f>'27'!$F$37</f>
        <v>1</v>
      </c>
      <c r="U34" s="440">
        <f>'27'!$G$37</f>
        <v>0</v>
      </c>
      <c r="V34" s="526">
        <f>'27'!$I$37</f>
        <v>0.2</v>
      </c>
      <c r="W34" s="527">
        <f>'27'!$K$37</f>
        <v>0.03</v>
      </c>
    </row>
    <row r="35" spans="1:23" ht="19.5" customHeight="1">
      <c r="A35" s="522">
        <v>28</v>
      </c>
      <c r="B35" s="523">
        <f>'28'!$C$20</f>
        <v>15</v>
      </c>
      <c r="C35" s="524">
        <f>'28'!$C$21</f>
        <v>15</v>
      </c>
      <c r="D35" s="524">
        <f>'28'!$C$19</f>
        <v>15</v>
      </c>
      <c r="E35" s="440">
        <f>'28'!$D$20</f>
        <v>15</v>
      </c>
      <c r="F35" s="525">
        <f>'28'!$D$21</f>
        <v>15</v>
      </c>
      <c r="G35" s="440">
        <f>'28'!$D$19</f>
        <v>15</v>
      </c>
      <c r="H35" s="440">
        <f>'28'!$G$20</f>
        <v>2.5</v>
      </c>
      <c r="I35" s="440">
        <f>'28'!$G$21</f>
        <v>1.6</v>
      </c>
      <c r="J35" s="440">
        <f>'28'!$G$19</f>
        <v>2.0666666666666669</v>
      </c>
      <c r="K35" s="440">
        <f>'28'!$H$20</f>
        <v>2.9</v>
      </c>
      <c r="L35" s="440">
        <f>'28'!$H$21</f>
        <v>2.2000000000000002</v>
      </c>
      <c r="M35" s="440">
        <f>'28'!$H$19</f>
        <v>2.5166666666666671</v>
      </c>
      <c r="N35" s="452">
        <f>'28'!$L$20</f>
        <v>6.6</v>
      </c>
      <c r="O35" s="452">
        <f>'28'!$L$21</f>
        <v>6.3</v>
      </c>
      <c r="P35" s="452">
        <f>'28'!$L$19</f>
        <v>6.3999999999999986</v>
      </c>
      <c r="Q35" s="452">
        <f>'28'!$M$20</f>
        <v>6.6</v>
      </c>
      <c r="R35" s="452">
        <f>'28'!$M$21</f>
        <v>6.3</v>
      </c>
      <c r="S35" s="452">
        <f>'28'!$M$19</f>
        <v>6.3999999999999986</v>
      </c>
      <c r="T35" s="440">
        <f>'28'!$F$37</f>
        <v>1.4</v>
      </c>
      <c r="U35" s="440">
        <f>'28'!$G$37</f>
        <v>0.2</v>
      </c>
      <c r="V35" s="526">
        <f>'28'!$I$37</f>
        <v>0.25</v>
      </c>
      <c r="W35" s="527">
        <f>'28'!$K$37</f>
        <v>0.03</v>
      </c>
    </row>
    <row r="36" spans="1:23" ht="19.5" customHeight="1">
      <c r="A36" s="522">
        <v>29</v>
      </c>
      <c r="B36" s="523">
        <f>'29'!$C$20</f>
        <v>12.5</v>
      </c>
      <c r="C36" s="524">
        <f>'29'!$C$21</f>
        <v>12.5</v>
      </c>
      <c r="D36" s="524">
        <f>'29'!$C$19</f>
        <v>12.5</v>
      </c>
      <c r="E36" s="440">
        <f>'29'!$D$20</f>
        <v>12.5</v>
      </c>
      <c r="F36" s="525">
        <f>'29'!$D$21</f>
        <v>12.5</v>
      </c>
      <c r="G36" s="440">
        <f>'29'!$D$19</f>
        <v>12.5</v>
      </c>
      <c r="H36" s="440">
        <f>'29'!$G$20</f>
        <v>2.1</v>
      </c>
      <c r="I36" s="440">
        <f>'29'!$G$21</f>
        <v>1.6</v>
      </c>
      <c r="J36" s="440">
        <f>'29'!$G$19</f>
        <v>1.8416666666666668</v>
      </c>
      <c r="K36" s="440">
        <f>'29'!$H$20</f>
        <v>3</v>
      </c>
      <c r="L36" s="440">
        <f>'29'!$H$21</f>
        <v>2.2000000000000002</v>
      </c>
      <c r="M36" s="440">
        <f>'29'!$H$19</f>
        <v>2.5916666666666668</v>
      </c>
      <c r="N36" s="452">
        <f>'29'!$L$20</f>
        <v>6.7</v>
      </c>
      <c r="O36" s="452">
        <f>'29'!$L$21</f>
        <v>6.3</v>
      </c>
      <c r="P36" s="452">
        <f>'29'!$L$19</f>
        <v>6.5666666666666673</v>
      </c>
      <c r="Q36" s="452">
        <f>'29'!$M$20</f>
        <v>6.7</v>
      </c>
      <c r="R36" s="452">
        <f>'29'!$M$21</f>
        <v>6.3</v>
      </c>
      <c r="S36" s="452">
        <f>'29'!$M$19</f>
        <v>6.5666666666666673</v>
      </c>
      <c r="T36" s="440">
        <f>'29'!$F$37</f>
        <v>1.8</v>
      </c>
      <c r="U36" s="440">
        <f>'29'!$G$37</f>
        <v>0.1</v>
      </c>
      <c r="V36" s="526">
        <f>'29'!$I$37</f>
        <v>0.3</v>
      </c>
      <c r="W36" s="527">
        <f>'29'!$K$37</f>
        <v>0.03</v>
      </c>
    </row>
    <row r="37" spans="1:23" ht="19.5" customHeight="1">
      <c r="A37" s="522">
        <v>30</v>
      </c>
      <c r="B37" s="523">
        <f>'30'!$C$20</f>
        <v>15</v>
      </c>
      <c r="C37" s="524">
        <f>'30'!$C$21</f>
        <v>12.5</v>
      </c>
      <c r="D37" s="524">
        <f>'30'!$C$19</f>
        <v>13.125</v>
      </c>
      <c r="E37" s="440">
        <f>'30'!$D$20</f>
        <v>17.5</v>
      </c>
      <c r="F37" s="525">
        <f>'30'!$D$21</f>
        <v>12.5</v>
      </c>
      <c r="G37" s="440">
        <f>'30'!$D$19</f>
        <v>13.958333333333334</v>
      </c>
      <c r="H37" s="440">
        <f>'30'!$G$20</f>
        <v>2.4</v>
      </c>
      <c r="I37" s="440">
        <f>'30'!$G$21</f>
        <v>1.5</v>
      </c>
      <c r="J37" s="440">
        <f>'30'!$G$19</f>
        <v>1.9500000000000002</v>
      </c>
      <c r="K37" s="440">
        <f>'30'!$H$20</f>
        <v>3.1</v>
      </c>
      <c r="L37" s="440">
        <f>'30'!$H$21</f>
        <v>2.2000000000000002</v>
      </c>
      <c r="M37" s="440">
        <f>'30'!$H$19</f>
        <v>2.6333333333333333</v>
      </c>
      <c r="N37" s="452">
        <f>'30'!$L$20</f>
        <v>6.7</v>
      </c>
      <c r="O37" s="452">
        <f>'30'!$L$21</f>
        <v>6.5</v>
      </c>
      <c r="P37" s="452">
        <f>'30'!$L$19</f>
        <v>6.5666666666666664</v>
      </c>
      <c r="Q37" s="452">
        <f>'30'!$M$20</f>
        <v>6.7</v>
      </c>
      <c r="R37" s="452">
        <f>'30'!$M$21</f>
        <v>6.5</v>
      </c>
      <c r="S37" s="452">
        <f>'30'!$M$19</f>
        <v>6.5833333333333321</v>
      </c>
      <c r="T37" s="440">
        <f>'30'!$F$37</f>
        <v>1.2</v>
      </c>
      <c r="U37" s="440">
        <f>'30'!$G$37</f>
        <v>0.2</v>
      </c>
      <c r="V37" s="526">
        <f>'30'!$I$37</f>
        <v>0.3</v>
      </c>
      <c r="W37" s="527">
        <f>'30'!$K$37</f>
        <v>0.03</v>
      </c>
    </row>
    <row r="38" spans="1:23" ht="19.5" customHeight="1">
      <c r="A38" s="528">
        <v>31</v>
      </c>
      <c r="B38" s="523">
        <f>'30'!$C$20</f>
        <v>15</v>
      </c>
      <c r="C38" s="524">
        <f>'30'!$C$21</f>
        <v>12.5</v>
      </c>
      <c r="D38" s="524">
        <f>'30'!$C$19</f>
        <v>13.125</v>
      </c>
      <c r="E38" s="440">
        <f>'30'!$D$20</f>
        <v>17.5</v>
      </c>
      <c r="F38" s="525">
        <f>'30'!$D$21</f>
        <v>12.5</v>
      </c>
      <c r="G38" s="440">
        <f>'30'!$D$19</f>
        <v>13.958333333333334</v>
      </c>
      <c r="H38" s="440">
        <f>'30'!$G$20</f>
        <v>2.4</v>
      </c>
      <c r="I38" s="440">
        <f>'30'!$G$21</f>
        <v>1.5</v>
      </c>
      <c r="J38" s="440">
        <f>'30'!$G$19</f>
        <v>1.9500000000000002</v>
      </c>
      <c r="K38" s="440">
        <f>'30'!$H$20</f>
        <v>3.1</v>
      </c>
      <c r="L38" s="440">
        <f>'30'!$H$21</f>
        <v>2.2000000000000002</v>
      </c>
      <c r="M38" s="440">
        <f>'30'!$H$19</f>
        <v>2.6333333333333333</v>
      </c>
      <c r="N38" s="452">
        <f>'30'!$L$20</f>
        <v>6.7</v>
      </c>
      <c r="O38" s="452">
        <f>'30'!$L$21</f>
        <v>6.5</v>
      </c>
      <c r="P38" s="452">
        <f>'30'!$L$19</f>
        <v>6.5666666666666664</v>
      </c>
      <c r="Q38" s="452">
        <f>'30'!$M$20</f>
        <v>6.7</v>
      </c>
      <c r="R38" s="452">
        <f>'30'!$M$21</f>
        <v>6.5</v>
      </c>
      <c r="S38" s="452">
        <f>'30'!$M$19</f>
        <v>6.5833333333333321</v>
      </c>
      <c r="T38" s="440">
        <f>'30'!$F$37</f>
        <v>1.2</v>
      </c>
      <c r="U38" s="440">
        <f>'30'!$G$37</f>
        <v>0.2</v>
      </c>
      <c r="V38" s="526">
        <f>'30'!$I$37</f>
        <v>0.3</v>
      </c>
      <c r="W38" s="527">
        <f>'30'!$K$37</f>
        <v>0.03</v>
      </c>
    </row>
    <row r="39" spans="1:23" ht="19.5" customHeight="1">
      <c r="A39" s="529" t="s">
        <v>257</v>
      </c>
      <c r="B39" s="472">
        <f>MAX('Parte 2'!B8:B38)</f>
        <v>17.5</v>
      </c>
      <c r="C39" s="473">
        <f>MIN('Parte 2'!C8:C38)</f>
        <v>0</v>
      </c>
      <c r="D39" s="473">
        <f>AVERAGE('Parte 2'!D8:D38)</f>
        <v>11.5994623655914</v>
      </c>
      <c r="E39" s="472">
        <f>MAX('Parte 2'!E8:E38)</f>
        <v>17.5</v>
      </c>
      <c r="F39" s="473">
        <f>MIN('Parte 2'!F8:F38)</f>
        <v>0</v>
      </c>
      <c r="G39" s="473">
        <f>AVERAGE('Parte 2'!G8:G38)</f>
        <v>14.052419354838706</v>
      </c>
      <c r="H39" s="472">
        <f>MAX('Parte 2'!H8:H38)</f>
        <v>8</v>
      </c>
      <c r="I39" s="473">
        <f>MIN('Parte 2'!I8:I38)</f>
        <v>0</v>
      </c>
      <c r="J39" s="473">
        <f>AVERAGE('Parte 2'!J8:J38)</f>
        <v>1.6660166177908113</v>
      </c>
      <c r="K39" s="472">
        <f>MAX('Parte 2'!K8:K38)</f>
        <v>4.5999999999999996</v>
      </c>
      <c r="L39" s="473">
        <f>MIN('Parte 2'!L8:L38)</f>
        <v>0</v>
      </c>
      <c r="M39" s="473">
        <f>AVERAGE('Parte 2'!M8:M38)</f>
        <v>1.7623118279569892</v>
      </c>
      <c r="N39" s="472">
        <f>MAX('Parte 2'!N8:N38)</f>
        <v>6.8</v>
      </c>
      <c r="O39" s="473">
        <f>MIN('Parte 2'!O8:O38)</f>
        <v>0</v>
      </c>
      <c r="P39" s="473">
        <f>AVERAGE('Parte 2'!P8:P38)</f>
        <v>6.2534310850439905</v>
      </c>
      <c r="Q39" s="472">
        <f>MAX('Parte 2'!Q8:Q38)</f>
        <v>6.8</v>
      </c>
      <c r="R39" s="473">
        <f>MIN('Parte 2'!R8:R38)</f>
        <v>0</v>
      </c>
      <c r="S39" s="473">
        <f>AVERAGE('Parte 2'!S8:S38)</f>
        <v>6.4928396871945298</v>
      </c>
      <c r="T39" s="473">
        <f>AVERAGE('Parte 2'!T8:T38)</f>
        <v>0.91612903225806452</v>
      </c>
      <c r="U39" s="440" t="s">
        <v>258</v>
      </c>
      <c r="V39" s="530">
        <f>AVERAGE('Parte 2'!V8:V38)</f>
        <v>0.12903225806451615</v>
      </c>
      <c r="W39" s="530">
        <f>AVERAGE('Parte 2'!W8:W38)</f>
        <v>2.9666666666666681E-2</v>
      </c>
    </row>
    <row r="40" spans="1:23" ht="11.25" customHeight="1">
      <c r="A40" s="531" t="s">
        <v>234</v>
      </c>
      <c r="B40" s="532"/>
      <c r="C40" s="532"/>
      <c r="D40" s="532"/>
      <c r="E40" s="532"/>
      <c r="F40" s="532"/>
      <c r="G40" s="532"/>
      <c r="H40" s="532"/>
      <c r="I40" s="532"/>
      <c r="J40" s="532"/>
      <c r="K40" s="532"/>
      <c r="L40" s="532"/>
      <c r="M40" s="532"/>
      <c r="N40" s="1160"/>
      <c r="O40" s="1160"/>
      <c r="P40" s="1160"/>
      <c r="Q40" s="1160"/>
      <c r="R40" s="1160"/>
      <c r="S40" s="1160"/>
      <c r="T40" s="1160"/>
      <c r="U40" s="1160"/>
      <c r="V40" s="1160"/>
      <c r="W40" s="1160"/>
    </row>
    <row r="41" spans="1:23" ht="12.75" customHeight="1">
      <c r="A41" s="1161"/>
      <c r="B41" s="1161"/>
      <c r="C41" s="1161"/>
      <c r="D41" s="1161"/>
      <c r="E41" s="1161"/>
      <c r="F41" s="1161"/>
      <c r="G41" s="1161"/>
      <c r="H41" s="1161"/>
      <c r="I41" s="1161"/>
      <c r="J41" s="1161"/>
      <c r="K41" s="1161"/>
      <c r="L41" s="1161"/>
      <c r="M41" s="1161"/>
      <c r="N41" s="483"/>
      <c r="O41" s="483"/>
      <c r="P41" s="483"/>
      <c r="Q41" s="483"/>
      <c r="R41" s="483"/>
      <c r="S41" s="476"/>
      <c r="T41" s="476"/>
      <c r="U41" s="476"/>
      <c r="V41" s="476"/>
      <c r="W41" s="478"/>
    </row>
    <row r="42" spans="1:23" ht="11.25" customHeight="1">
      <c r="A42" s="479"/>
      <c r="B42" s="480"/>
      <c r="C42" s="480"/>
      <c r="D42" s="480"/>
      <c r="E42" s="480"/>
      <c r="F42" s="480"/>
      <c r="G42" s="480"/>
      <c r="H42" s="480"/>
      <c r="I42" s="480"/>
      <c r="J42" s="480"/>
      <c r="K42" s="480"/>
      <c r="L42" s="480"/>
      <c r="M42" s="480"/>
      <c r="N42" s="1163"/>
      <c r="O42" s="1163"/>
      <c r="P42" s="1163"/>
      <c r="Q42" s="1163"/>
      <c r="R42" s="1163"/>
      <c r="S42" s="1163"/>
      <c r="T42" s="1163"/>
      <c r="U42" s="1163"/>
      <c r="V42" s="1163"/>
      <c r="W42" s="1163"/>
    </row>
    <row r="43" spans="1:23" ht="11.25" customHeight="1">
      <c r="A43" s="479"/>
      <c r="B43" s="480"/>
      <c r="C43" s="480"/>
      <c r="D43" s="480"/>
      <c r="E43" s="480"/>
      <c r="F43" s="480"/>
      <c r="G43" s="480"/>
      <c r="H43" s="480"/>
      <c r="I43" s="480"/>
      <c r="J43" s="480"/>
      <c r="K43" s="480"/>
      <c r="L43" s="480"/>
      <c r="M43" s="480"/>
      <c r="N43" s="481"/>
      <c r="O43" s="482"/>
      <c r="P43" s="482"/>
      <c r="Q43" s="482"/>
      <c r="R43" s="482"/>
      <c r="S43" s="483"/>
      <c r="T43" s="484"/>
      <c r="U43" s="485"/>
      <c r="V43" s="485"/>
      <c r="W43" s="533" t="s">
        <v>259</v>
      </c>
    </row>
    <row r="44" spans="1:23" ht="12" customHeight="1">
      <c r="A44" s="489"/>
      <c r="B44" s="490"/>
      <c r="C44" s="490"/>
      <c r="D44" s="490"/>
      <c r="E44" s="490"/>
      <c r="F44" s="490"/>
      <c r="G44" s="490"/>
      <c r="H44" s="490"/>
      <c r="I44" s="490"/>
      <c r="J44" s="490"/>
      <c r="K44" s="490"/>
      <c r="L44" s="490"/>
      <c r="M44" s="490"/>
      <c r="N44" s="1177"/>
      <c r="O44" s="1177"/>
      <c r="P44" s="1177"/>
      <c r="Q44" s="1177"/>
      <c r="R44" s="1177"/>
      <c r="S44" s="1177"/>
      <c r="T44" s="1177"/>
      <c r="U44" s="1177"/>
      <c r="V44" s="1177"/>
      <c r="W44" s="1177"/>
    </row>
  </sheetData>
  <mergeCells count="29"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19" activePane="bottomRight" state="frozen"/>
      <selection activeCell="A4" sqref="A4"/>
      <selection pane="topRight" activeCell="B4" sqref="B4"/>
      <selection pane="bottomLeft" activeCell="A19" sqref="A19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34"/>
      <c r="B1" s="534"/>
      <c r="C1" s="534"/>
      <c r="D1" s="534"/>
      <c r="E1" s="534"/>
      <c r="F1" s="534"/>
      <c r="G1" s="534"/>
      <c r="H1" s="1181" t="s">
        <v>219</v>
      </c>
      <c r="I1" s="1181"/>
      <c r="J1" s="1181"/>
      <c r="K1" s="1181"/>
      <c r="L1" s="1181"/>
      <c r="M1" s="1181"/>
      <c r="N1" s="1181"/>
      <c r="O1" s="1181"/>
      <c r="P1" s="1181"/>
      <c r="Q1" s="1181"/>
      <c r="R1" s="1181"/>
      <c r="S1" s="1181"/>
      <c r="T1" s="1181"/>
      <c r="U1" s="1182" t="s">
        <v>249</v>
      </c>
      <c r="V1" s="1182"/>
      <c r="W1" s="1182"/>
      <c r="X1" s="535"/>
      <c r="Y1" s="535"/>
      <c r="Z1" s="535"/>
      <c r="AA1" s="535"/>
      <c r="AB1" s="535"/>
      <c r="AC1" s="535"/>
      <c r="AD1" s="535"/>
      <c r="AE1" s="535"/>
      <c r="AF1" s="535"/>
      <c r="AG1" s="535"/>
      <c r="AH1" s="535"/>
    </row>
    <row r="2" spans="1:34" ht="13.5" customHeight="1">
      <c r="A2" s="534"/>
      <c r="B2" s="534"/>
      <c r="C2" s="534"/>
      <c r="D2" s="534"/>
      <c r="E2" s="534"/>
      <c r="F2" s="534"/>
      <c r="G2" s="534"/>
      <c r="H2" s="1181"/>
      <c r="I2" s="1181"/>
      <c r="J2" s="1181"/>
      <c r="K2" s="1181"/>
      <c r="L2" s="1181"/>
      <c r="M2" s="1181"/>
      <c r="N2" s="1181"/>
      <c r="O2" s="1181"/>
      <c r="P2" s="1181"/>
      <c r="Q2" s="1181"/>
      <c r="R2" s="1181"/>
      <c r="S2" s="1181"/>
      <c r="T2" s="1181"/>
      <c r="U2" s="1182">
        <f>'1'!$U$25</f>
        <v>43891</v>
      </c>
      <c r="V2" s="1182">
        <f>'1'!$B$20</f>
        <v>80</v>
      </c>
      <c r="W2" s="1182">
        <f>'1'!$B$20</f>
        <v>80</v>
      </c>
      <c r="X2" s="536"/>
      <c r="Y2" s="536"/>
      <c r="Z2" s="536"/>
      <c r="AA2" s="535"/>
      <c r="AB2" s="535"/>
      <c r="AC2" s="535"/>
      <c r="AD2" s="535"/>
      <c r="AE2" s="535"/>
      <c r="AF2" s="535"/>
      <c r="AG2" s="535"/>
      <c r="AH2" s="535"/>
    </row>
    <row r="3" spans="1:34" ht="3" customHeight="1">
      <c r="A3" s="537"/>
      <c r="B3" s="537"/>
      <c r="C3" s="537"/>
      <c r="D3" s="537"/>
      <c r="E3" s="538"/>
      <c r="F3" s="538"/>
      <c r="G3" s="538"/>
      <c r="H3" s="538"/>
      <c r="I3" s="537"/>
      <c r="J3" s="537"/>
      <c r="K3" s="537"/>
      <c r="L3" s="537"/>
      <c r="M3" s="537"/>
      <c r="N3" s="537"/>
      <c r="O3" s="537"/>
      <c r="P3" s="537"/>
      <c r="Q3" s="537"/>
      <c r="R3" s="537"/>
      <c r="S3" s="537"/>
      <c r="T3" s="537"/>
      <c r="U3" s="538"/>
      <c r="V3" s="538"/>
      <c r="W3" s="538"/>
      <c r="X3" s="535"/>
      <c r="Y3" s="535"/>
      <c r="Z3" s="535"/>
      <c r="AA3" s="535"/>
      <c r="AB3" s="535"/>
      <c r="AC3" s="535"/>
      <c r="AD3" s="535"/>
      <c r="AE3" s="535"/>
      <c r="AF3" s="535"/>
      <c r="AG3" s="535"/>
      <c r="AH3" s="535"/>
    </row>
    <row r="4" spans="1:34" ht="37.35" customHeight="1">
      <c r="A4" s="1183" t="s">
        <v>221</v>
      </c>
      <c r="B4" s="1184" t="s">
        <v>260</v>
      </c>
      <c r="C4" s="1184"/>
      <c r="D4" s="1184"/>
      <c r="E4" s="1185" t="s">
        <v>261</v>
      </c>
      <c r="F4" s="1185"/>
      <c r="G4" s="1185"/>
      <c r="H4" s="1185"/>
      <c r="I4" s="1186" t="s">
        <v>262</v>
      </c>
      <c r="J4" s="1186"/>
      <c r="K4" s="1186" t="s">
        <v>263</v>
      </c>
      <c r="L4" s="1186"/>
      <c r="M4" s="1187" t="s">
        <v>264</v>
      </c>
      <c r="N4" s="1187"/>
      <c r="O4" s="1187"/>
      <c r="P4" s="1188" t="s">
        <v>265</v>
      </c>
      <c r="Q4" s="1185" t="s">
        <v>266</v>
      </c>
      <c r="R4" s="1185"/>
      <c r="S4" s="1185" t="s">
        <v>267</v>
      </c>
      <c r="T4" s="1185"/>
      <c r="U4" s="1185"/>
      <c r="V4" s="1189" t="s">
        <v>268</v>
      </c>
      <c r="W4" s="1189" t="s">
        <v>269</v>
      </c>
      <c r="X4" s="1193" t="s">
        <v>270</v>
      </c>
      <c r="Y4" s="1193" t="s">
        <v>271</v>
      </c>
      <c r="Z4" s="1194" t="s">
        <v>272</v>
      </c>
      <c r="AA4" s="1194" t="s">
        <v>273</v>
      </c>
      <c r="AB4" s="1195" t="s">
        <v>274</v>
      </c>
      <c r="AC4" s="1200" t="s">
        <v>275</v>
      </c>
      <c r="AD4" s="1201" t="s">
        <v>276</v>
      </c>
      <c r="AE4" s="1202" t="s">
        <v>277</v>
      </c>
      <c r="AF4" s="1202"/>
      <c r="AG4" s="1191" t="s">
        <v>278</v>
      </c>
      <c r="AH4" s="1191"/>
    </row>
    <row r="5" spans="1:34" ht="40.5" customHeight="1">
      <c r="A5" s="1183"/>
      <c r="B5" s="539" t="s">
        <v>225</v>
      </c>
      <c r="C5" s="541" t="s">
        <v>279</v>
      </c>
      <c r="D5" s="541" t="s">
        <v>280</v>
      </c>
      <c r="E5" s="542" t="s">
        <v>281</v>
      </c>
      <c r="F5" s="1190" t="s">
        <v>282</v>
      </c>
      <c r="G5" s="1190"/>
      <c r="H5" s="1190"/>
      <c r="I5" s="1186" t="s">
        <v>283</v>
      </c>
      <c r="J5" s="1186" t="s">
        <v>284</v>
      </c>
      <c r="K5" s="1186" t="s">
        <v>285</v>
      </c>
      <c r="L5" s="1186" t="s">
        <v>286</v>
      </c>
      <c r="M5" s="1187"/>
      <c r="N5" s="1187"/>
      <c r="O5" s="1187"/>
      <c r="P5" s="1188"/>
      <c r="Q5" s="1203" t="s">
        <v>287</v>
      </c>
      <c r="R5" s="1204" t="s">
        <v>288</v>
      </c>
      <c r="S5" s="1203" t="s">
        <v>289</v>
      </c>
      <c r="T5" s="1204" t="s">
        <v>290</v>
      </c>
      <c r="U5" s="1204" t="s">
        <v>288</v>
      </c>
      <c r="V5" s="1189"/>
      <c r="W5" s="1189"/>
      <c r="X5" s="1193"/>
      <c r="Y5" s="1193"/>
      <c r="Z5" s="1194"/>
      <c r="AA5" s="1194"/>
      <c r="AB5" s="1195"/>
      <c r="AC5" s="1200"/>
      <c r="AD5" s="1201"/>
      <c r="AE5" s="1192" t="s">
        <v>291</v>
      </c>
      <c r="AF5" s="1192" t="s">
        <v>292</v>
      </c>
      <c r="AG5" s="1191" t="s">
        <v>293</v>
      </c>
      <c r="AH5" s="1191" t="s">
        <v>294</v>
      </c>
    </row>
    <row r="6" spans="1:34" ht="13.5" customHeight="1">
      <c r="A6" s="1183"/>
      <c r="B6" s="543" t="s">
        <v>231</v>
      </c>
      <c r="C6" s="543" t="s">
        <v>231</v>
      </c>
      <c r="D6" s="543" t="s">
        <v>231</v>
      </c>
      <c r="E6" s="540" t="s">
        <v>129</v>
      </c>
      <c r="F6" s="540" t="s">
        <v>229</v>
      </c>
      <c r="G6" s="540" t="s">
        <v>230</v>
      </c>
      <c r="H6" s="540" t="s">
        <v>231</v>
      </c>
      <c r="I6" s="1186"/>
      <c r="J6" s="1186"/>
      <c r="K6" s="1186"/>
      <c r="L6" s="1186"/>
      <c r="M6" s="544" t="s">
        <v>229</v>
      </c>
      <c r="N6" s="544" t="s">
        <v>230</v>
      </c>
      <c r="O6" s="544" t="s">
        <v>231</v>
      </c>
      <c r="P6" s="1188"/>
      <c r="Q6" s="1203"/>
      <c r="R6" s="1203"/>
      <c r="S6" s="1203"/>
      <c r="T6" s="1203"/>
      <c r="U6" s="1204"/>
      <c r="V6" s="1189"/>
      <c r="W6" s="1189"/>
      <c r="X6" s="1193"/>
      <c r="Y6" s="1193"/>
      <c r="Z6" s="1194"/>
      <c r="AA6" s="1194"/>
      <c r="AB6" s="1195"/>
      <c r="AC6" s="1200"/>
      <c r="AD6" s="1201"/>
      <c r="AE6" s="1192"/>
      <c r="AF6" s="1192"/>
      <c r="AG6" s="1191"/>
      <c r="AH6" s="1191"/>
    </row>
    <row r="7" spans="1:34" ht="17.25" customHeight="1">
      <c r="A7" s="545">
        <v>1</v>
      </c>
      <c r="B7" s="546">
        <f>'1'!$C$37</f>
        <v>81.599999999999994</v>
      </c>
      <c r="C7" s="546">
        <f>'1'!$D$37</f>
        <v>53.4</v>
      </c>
      <c r="D7" s="546">
        <f>'1'!$E$37</f>
        <v>48.4</v>
      </c>
      <c r="E7" s="547">
        <f>'1'!AA32</f>
        <v>31505.040000000001</v>
      </c>
      <c r="F7" s="548">
        <f>MAX('1'!$AB$6:$AB$29)</f>
        <v>66.370889455163223</v>
      </c>
      <c r="G7" s="548">
        <f>MIN('1'!$AB$6:$AB$29)</f>
        <v>62.610176282051285</v>
      </c>
      <c r="H7" s="548">
        <f>'1'!$AB$32</f>
        <v>64.932122636121505</v>
      </c>
      <c r="I7" s="549">
        <f>'1'!$AL$40</f>
        <v>0</v>
      </c>
      <c r="J7" s="550">
        <f>'1'!$AL$41</f>
        <v>0</v>
      </c>
      <c r="K7" s="549">
        <f>'1'!$AQ$40</f>
        <v>2360.7999999999993</v>
      </c>
      <c r="L7" s="550">
        <f>'1'!$AQ$41</f>
        <v>9.7292075690663253</v>
      </c>
      <c r="M7" s="551">
        <f>'1'!$O$20</f>
        <v>3.2</v>
      </c>
      <c r="N7" s="551">
        <f>'1'!$O$21</f>
        <v>3.2</v>
      </c>
      <c r="O7" s="551">
        <f>'1'!$O$19</f>
        <v>3.1999999999999997</v>
      </c>
      <c r="P7" s="552">
        <f>'1'!$Y$34</f>
        <v>2808.4583333333335</v>
      </c>
      <c r="Q7" s="547">
        <f>'1'!$AB$36</f>
        <v>0</v>
      </c>
      <c r="R7" s="553" t="s">
        <v>295</v>
      </c>
      <c r="S7" s="547">
        <f>'1'!$Y$36</f>
        <v>0</v>
      </c>
      <c r="T7" s="554">
        <v>1</v>
      </c>
      <c r="U7" s="553">
        <v>80</v>
      </c>
      <c r="V7" s="555">
        <f>'1'!$A$41</f>
        <v>12</v>
      </c>
      <c r="W7" s="555">
        <f>'1'!$J$41</f>
        <v>12</v>
      </c>
      <c r="X7" s="556">
        <f>'1'!$B$41</f>
        <v>12</v>
      </c>
      <c r="Y7" s="556">
        <f>'1'!$H$45</f>
        <v>12</v>
      </c>
      <c r="Z7" s="557">
        <f>'1'!$C$41</f>
        <v>12</v>
      </c>
      <c r="AA7" s="557">
        <f>'1'!$O$41</f>
        <v>12</v>
      </c>
      <c r="AB7" s="557">
        <f>'1'!$Q$45</f>
        <v>0</v>
      </c>
      <c r="AC7" s="558">
        <f>'1'!$O$51</f>
        <v>12</v>
      </c>
      <c r="AD7" s="559">
        <f>'1'!$R$51</f>
        <v>12</v>
      </c>
      <c r="AE7" s="560">
        <f>'1'!$O$57</f>
        <v>12</v>
      </c>
      <c r="AF7" s="560">
        <f>'1'!$R$57</f>
        <v>12</v>
      </c>
      <c r="AG7" s="561">
        <f>'1'!$L$45</f>
        <v>1</v>
      </c>
      <c r="AH7" s="562">
        <f>'1'!$L$37</f>
        <v>0.05</v>
      </c>
    </row>
    <row r="8" spans="1:34" ht="17.25" customHeight="1">
      <c r="A8" s="545">
        <v>2</v>
      </c>
      <c r="B8" s="546">
        <f>'2'!$C$37</f>
        <v>80.7</v>
      </c>
      <c r="C8" s="546">
        <f>'2'!$D$37</f>
        <v>58.5</v>
      </c>
      <c r="D8" s="546">
        <f>'2'!$E$37</f>
        <v>50.4</v>
      </c>
      <c r="E8" s="547">
        <f>'2'!AA32</f>
        <v>30504.880000000001</v>
      </c>
      <c r="F8" s="548">
        <f>MAX('2'!$AB$6:$AB$29)</f>
        <v>66.202190752844345</v>
      </c>
      <c r="G8" s="548">
        <f>MIN('2'!$AB$6:$AB$29)</f>
        <v>58.68161165558935</v>
      </c>
      <c r="H8" s="548">
        <f>'2'!$AB$32</f>
        <v>63.063086650504914</v>
      </c>
      <c r="I8" s="549">
        <f>'2'!$AL$40</f>
        <v>510.75</v>
      </c>
      <c r="J8" s="550">
        <f>'2'!$AL$41</f>
        <v>2.1110152216286995</v>
      </c>
      <c r="K8" s="549">
        <f>'2'!$AQ$40</f>
        <v>1778.1666666666665</v>
      </c>
      <c r="L8" s="550">
        <f>'2'!$AQ$41</f>
        <v>7.3494604012258415</v>
      </c>
      <c r="M8" s="551">
        <f>'2'!$O$20</f>
        <v>3.8</v>
      </c>
      <c r="N8" s="551">
        <f>'2'!$O$21</f>
        <v>2.5</v>
      </c>
      <c r="O8" s="551">
        <f>'2'!$O$19</f>
        <v>3.1166666666666671</v>
      </c>
      <c r="P8" s="552">
        <f>'2'!$Y$34</f>
        <v>2800.2916666666665</v>
      </c>
      <c r="Q8" s="547">
        <f>'2'!$AB$36</f>
        <v>0</v>
      </c>
      <c r="R8" s="553" t="s">
        <v>295</v>
      </c>
      <c r="S8" s="547">
        <f>'2'!$Y$36</f>
        <v>0</v>
      </c>
      <c r="T8" s="554">
        <v>1</v>
      </c>
      <c r="U8" s="553">
        <v>80</v>
      </c>
      <c r="V8" s="555">
        <f>'2'!$A$41</f>
        <v>12</v>
      </c>
      <c r="W8" s="555">
        <f>'2'!$J$41</f>
        <v>12</v>
      </c>
      <c r="X8" s="556">
        <f>'2'!$B$41</f>
        <v>12</v>
      </c>
      <c r="Y8" s="556">
        <f>'2'!$H$45</f>
        <v>12</v>
      </c>
      <c r="Z8" s="557">
        <f>'2'!$C$41</f>
        <v>12</v>
      </c>
      <c r="AA8" s="557">
        <f>'2'!$O$41</f>
        <v>12</v>
      </c>
      <c r="AB8" s="557">
        <f>'2'!$Q$45</f>
        <v>0</v>
      </c>
      <c r="AC8" s="558">
        <f>'2'!$O$51</f>
        <v>12</v>
      </c>
      <c r="AD8" s="559">
        <f>'2'!$R$51</f>
        <v>12</v>
      </c>
      <c r="AE8" s="560">
        <f>'2'!$O$57</f>
        <v>12</v>
      </c>
      <c r="AF8" s="560">
        <f>'2'!$R$57</f>
        <v>12</v>
      </c>
      <c r="AG8" s="561">
        <f>'2'!$L$45</f>
        <v>1</v>
      </c>
      <c r="AH8" s="562">
        <f>'2'!$L$37</f>
        <v>0.05</v>
      </c>
    </row>
    <row r="9" spans="1:34" ht="17.25" customHeight="1">
      <c r="A9" s="545">
        <v>3</v>
      </c>
      <c r="B9" s="546">
        <f>'3'!$C$37</f>
        <v>84.3</v>
      </c>
      <c r="C9" s="546">
        <f>'3'!$D$37</f>
        <v>54.2</v>
      </c>
      <c r="D9" s="546">
        <f>'3'!$E$37</f>
        <v>48.2</v>
      </c>
      <c r="E9" s="547">
        <f>'3'!AA32</f>
        <v>30004.800000000003</v>
      </c>
      <c r="F9" s="548">
        <f>MAX('3'!$AB$6:$AB$29)</f>
        <v>64.406116056709521</v>
      </c>
      <c r="G9" s="548">
        <f>MIN('3'!$AB$6:$AB$29)</f>
        <v>60.333178905103857</v>
      </c>
      <c r="H9" s="548">
        <f>'3'!$AB$32</f>
        <v>62.212284904285646</v>
      </c>
      <c r="I9" s="549">
        <f>'3'!$AL$40</f>
        <v>0</v>
      </c>
      <c r="J9" s="550">
        <f>'3'!$AL$41</f>
        <v>0</v>
      </c>
      <c r="K9" s="549">
        <f>'3'!$AQ$40</f>
        <v>2270</v>
      </c>
      <c r="L9" s="550">
        <f>'3'!$AQ$41</f>
        <v>9.4107151148521808</v>
      </c>
      <c r="M9" s="551">
        <f>'3'!$O$20</f>
        <v>3.7</v>
      </c>
      <c r="N9" s="551">
        <f>'3'!$O$21</f>
        <v>2.7</v>
      </c>
      <c r="O9" s="551">
        <f>'3'!$O$19</f>
        <v>3.0083333333333342</v>
      </c>
      <c r="P9" s="552">
        <f>'3'!$Y$34</f>
        <v>2791.8333333333335</v>
      </c>
      <c r="Q9" s="547">
        <f>'3'!$AB$36</f>
        <v>7</v>
      </c>
      <c r="R9" s="553" t="s">
        <v>295</v>
      </c>
      <c r="S9" s="547">
        <f>'3'!$Y$36</f>
        <v>0</v>
      </c>
      <c r="T9" s="554">
        <v>1</v>
      </c>
      <c r="U9" s="553">
        <v>80</v>
      </c>
      <c r="V9" s="555">
        <f>'3'!$A$41</f>
        <v>12</v>
      </c>
      <c r="W9" s="555">
        <f>'3'!$J$41</f>
        <v>12</v>
      </c>
      <c r="X9" s="556">
        <f>'3'!$B$41</f>
        <v>12</v>
      </c>
      <c r="Y9" s="556">
        <f>'3'!$H$45</f>
        <v>12</v>
      </c>
      <c r="Z9" s="557">
        <f>'3'!$C$41</f>
        <v>12</v>
      </c>
      <c r="AA9" s="557">
        <f>'3'!$O$41</f>
        <v>9</v>
      </c>
      <c r="AB9" s="557">
        <f>'3'!$Q$45</f>
        <v>3</v>
      </c>
      <c r="AC9" s="558">
        <f>'3'!$O$51</f>
        <v>12</v>
      </c>
      <c r="AD9" s="559">
        <f>'3'!$R$51</f>
        <v>12</v>
      </c>
      <c r="AE9" s="560">
        <f>'3'!$O$57</f>
        <v>12</v>
      </c>
      <c r="AF9" s="560">
        <f>'3'!$R$57</f>
        <v>12</v>
      </c>
      <c r="AG9" s="561">
        <f>'3'!$L$45</f>
        <v>1</v>
      </c>
      <c r="AH9" s="562">
        <f>'3'!$L$37</f>
        <v>0.05</v>
      </c>
    </row>
    <row r="10" spans="1:34" ht="17.25" customHeight="1">
      <c r="A10" s="545">
        <v>4</v>
      </c>
      <c r="B10" s="546">
        <f>'4'!$C$37</f>
        <v>80.599999999999994</v>
      </c>
      <c r="C10" s="546">
        <f>'4'!$D$37</f>
        <v>55.4</v>
      </c>
      <c r="D10" s="546">
        <f>'4'!$E$37</f>
        <v>35</v>
      </c>
      <c r="E10" s="547">
        <f>'4'!AA32</f>
        <v>30004.800000000003</v>
      </c>
      <c r="F10" s="548">
        <f>MAX('4'!$AB$6:$AB$29)</f>
        <v>63.026819923371654</v>
      </c>
      <c r="G10" s="548">
        <f>MIN('4'!$AB$6:$AB$29)</f>
        <v>59.121174289713615</v>
      </c>
      <c r="H10" s="548">
        <f>'4'!$AB$32</f>
        <v>61.918990542299461</v>
      </c>
      <c r="I10" s="549">
        <f>'4'!$AL$40</f>
        <v>0</v>
      </c>
      <c r="J10" s="550">
        <f>'4'!$AL$41</f>
        <v>0</v>
      </c>
      <c r="K10" s="549">
        <f>'4'!$AQ$40</f>
        <v>2397.3470000000002</v>
      </c>
      <c r="L10" s="550">
        <f>'4'!$AQ$41</f>
        <v>9.8924450320457264</v>
      </c>
      <c r="M10" s="551">
        <f>'4'!$O$20</f>
        <v>3.7</v>
      </c>
      <c r="N10" s="551">
        <f>'4'!$O$21</f>
        <v>3.4</v>
      </c>
      <c r="O10" s="551">
        <f>'4'!$O$19</f>
        <v>3.0083333333333342</v>
      </c>
      <c r="P10" s="552">
        <f>'4'!$Y$34</f>
        <v>2804.875</v>
      </c>
      <c r="Q10" s="547">
        <f>'4'!$AB$36</f>
        <v>0</v>
      </c>
      <c r="R10" s="553" t="s">
        <v>295</v>
      </c>
      <c r="S10" s="547">
        <f>'4'!$Y$36</f>
        <v>0</v>
      </c>
      <c r="T10" s="554">
        <v>1</v>
      </c>
      <c r="U10" s="553">
        <v>80</v>
      </c>
      <c r="V10" s="555">
        <f>'4'!$A$41</f>
        <v>12</v>
      </c>
      <c r="W10" s="555">
        <f>'4'!$J$41</f>
        <v>12</v>
      </c>
      <c r="X10" s="556">
        <f>'4'!$B$41</f>
        <v>12</v>
      </c>
      <c r="Y10" s="556">
        <f>'4'!$H$45</f>
        <v>12</v>
      </c>
      <c r="Z10" s="557">
        <f>'4'!$C$41</f>
        <v>12</v>
      </c>
      <c r="AA10" s="557">
        <f>'4'!$O$41</f>
        <v>12</v>
      </c>
      <c r="AB10" s="557">
        <f>'4'!$Q$45</f>
        <v>0</v>
      </c>
      <c r="AC10" s="558">
        <f>'4'!$O$51</f>
        <v>12</v>
      </c>
      <c r="AD10" s="559">
        <f>'4'!$R$51</f>
        <v>12</v>
      </c>
      <c r="AE10" s="560">
        <f>'4'!$O$57</f>
        <v>12</v>
      </c>
      <c r="AF10" s="560">
        <f>'4'!$R$57</f>
        <v>12</v>
      </c>
      <c r="AG10" s="561">
        <f>'4'!$L$45</f>
        <v>1</v>
      </c>
      <c r="AH10" s="562">
        <f>'4'!$L$37</f>
        <v>0</v>
      </c>
    </row>
    <row r="11" spans="1:34" ht="17.25" customHeight="1">
      <c r="A11" s="545">
        <v>5</v>
      </c>
      <c r="B11" s="546">
        <f>'5'!$C$37</f>
        <v>82.7</v>
      </c>
      <c r="C11" s="546">
        <f>'5'!$D$37</f>
        <v>55.5</v>
      </c>
      <c r="D11" s="546">
        <f>'5'!$E$37</f>
        <v>51.4</v>
      </c>
      <c r="E11" s="547">
        <f>'5'!AA32</f>
        <v>30004.800000000003</v>
      </c>
      <c r="F11" s="548">
        <f>MAX('5'!$AB$6:$AB$29)</f>
        <v>64.120712292795019</v>
      </c>
      <c r="G11" s="548">
        <f>MIN('5'!$AB$6:$AB$29)</f>
        <v>59.834213952063713</v>
      </c>
      <c r="H11" s="548">
        <f>'5'!$AB$32</f>
        <v>62.667025382007523</v>
      </c>
      <c r="I11" s="549">
        <f>'5'!$AL$40</f>
        <v>0</v>
      </c>
      <c r="J11" s="550">
        <f>'5'!$AL$41</f>
        <v>0</v>
      </c>
      <c r="K11" s="549">
        <f>'5'!$AQ$40</f>
        <v>2270</v>
      </c>
      <c r="L11" s="550">
        <f>'5'!$AQ$41</f>
        <v>9.4791875459343906</v>
      </c>
      <c r="M11" s="551">
        <f>'5'!$O$20</f>
        <v>3.5</v>
      </c>
      <c r="N11" s="551">
        <f>'5'!$O$21</f>
        <v>3</v>
      </c>
      <c r="O11" s="551">
        <f>'5'!$O$19</f>
        <v>3.0916666666666668</v>
      </c>
      <c r="P11" s="552">
        <f>'5'!$Y$34</f>
        <v>2771.6666666666665</v>
      </c>
      <c r="Q11" s="547">
        <f>'5'!$AB$36</f>
        <v>0</v>
      </c>
      <c r="R11" s="553" t="s">
        <v>295</v>
      </c>
      <c r="S11" s="547">
        <f>'5'!$Y$36</f>
        <v>0</v>
      </c>
      <c r="T11" s="554">
        <v>1</v>
      </c>
      <c r="U11" s="553">
        <v>80</v>
      </c>
      <c r="V11" s="555">
        <f>'5'!$A$41</f>
        <v>12</v>
      </c>
      <c r="W11" s="555">
        <f>'5'!$J$41</f>
        <v>12</v>
      </c>
      <c r="X11" s="556">
        <f>'5'!$B$41</f>
        <v>12</v>
      </c>
      <c r="Y11" s="556">
        <f>'5'!$H$45</f>
        <v>12</v>
      </c>
      <c r="Z11" s="557">
        <f>'5'!$C$41</f>
        <v>12</v>
      </c>
      <c r="AA11" s="557">
        <f>'5'!$O$41</f>
        <v>12</v>
      </c>
      <c r="AB11" s="557">
        <f>'5'!$Q$45</f>
        <v>0</v>
      </c>
      <c r="AC11" s="558">
        <f>'5'!$O$51</f>
        <v>12</v>
      </c>
      <c r="AD11" s="559">
        <f>'5'!$R$51</f>
        <v>12</v>
      </c>
      <c r="AE11" s="560">
        <f>'5'!$O$57</f>
        <v>12</v>
      </c>
      <c r="AF11" s="560">
        <f>'5'!$R$57</f>
        <v>12</v>
      </c>
      <c r="AG11" s="561">
        <f>'5'!$L$45</f>
        <v>1</v>
      </c>
      <c r="AH11" s="562">
        <f>'5'!$L$37</f>
        <v>0.05</v>
      </c>
    </row>
    <row r="12" spans="1:34" ht="17.25" customHeight="1">
      <c r="A12" s="545">
        <v>6</v>
      </c>
      <c r="B12" s="546">
        <f>'6'!$C$37</f>
        <v>80.7</v>
      </c>
      <c r="C12" s="546">
        <f>'6'!$D$37</f>
        <v>54.5</v>
      </c>
      <c r="D12" s="546">
        <f>'6'!$E$37</f>
        <v>46.4</v>
      </c>
      <c r="E12" s="547">
        <f>'6'!AA32</f>
        <v>30004.800000000003</v>
      </c>
      <c r="F12" s="548">
        <f>MAX('6'!$AB$6:$AB$29)</f>
        <v>64.382235405594699</v>
      </c>
      <c r="G12" s="548">
        <f>MIN('6'!$AB$6:$AB$29)</f>
        <v>61.2698972790716</v>
      </c>
      <c r="H12" s="548">
        <f>'6'!$AB$32</f>
        <v>63.218262561030905</v>
      </c>
      <c r="I12" s="549">
        <f>'6'!$AL$40</f>
        <v>567.5</v>
      </c>
      <c r="J12" s="550">
        <f>'6'!$AL$41</f>
        <v>2.3856486105646186</v>
      </c>
      <c r="K12" s="549">
        <f>'6'!$AQ$40</f>
        <v>1814.1083333333327</v>
      </c>
      <c r="L12" s="550">
        <f>'6'!$AQ$41</f>
        <v>7.6261233917715616</v>
      </c>
      <c r="M12" s="551">
        <f>'6'!$O$20</f>
        <v>3</v>
      </c>
      <c r="N12" s="551">
        <f>'6'!$O$21</f>
        <v>2.5</v>
      </c>
      <c r="O12" s="551">
        <f>'6'!$O$19</f>
        <v>2.7166666666666668</v>
      </c>
      <c r="P12" s="552">
        <f>'6'!$Y$34</f>
        <v>2753.25</v>
      </c>
      <c r="Q12" s="547">
        <f>'6'!$AB$36</f>
        <v>0</v>
      </c>
      <c r="R12" s="553" t="s">
        <v>295</v>
      </c>
      <c r="S12" s="547">
        <f>'6'!$Y$36</f>
        <v>0</v>
      </c>
      <c r="T12" s="554">
        <v>1</v>
      </c>
      <c r="U12" s="553">
        <v>80</v>
      </c>
      <c r="V12" s="555">
        <f>'6'!$A$41</f>
        <v>12</v>
      </c>
      <c r="W12" s="555">
        <f>'6'!$J$41</f>
        <v>12</v>
      </c>
      <c r="X12" s="556">
        <f>'6'!$B$41</f>
        <v>12</v>
      </c>
      <c r="Y12" s="556">
        <f>'6'!$H$45</f>
        <v>12</v>
      </c>
      <c r="Z12" s="557">
        <f>'6'!$C$41</f>
        <v>12</v>
      </c>
      <c r="AA12" s="557">
        <f>'6'!$O$41</f>
        <v>12</v>
      </c>
      <c r="AB12" s="557">
        <f>'6'!$Q$45</f>
        <v>0</v>
      </c>
      <c r="AC12" s="558">
        <f>'6'!$O$51</f>
        <v>12</v>
      </c>
      <c r="AD12" s="559">
        <f>'6'!$R$51</f>
        <v>12</v>
      </c>
      <c r="AE12" s="560">
        <f>'6'!$O$57</f>
        <v>12</v>
      </c>
      <c r="AF12" s="560">
        <f>'6'!$R$57</f>
        <v>12</v>
      </c>
      <c r="AG12" s="561">
        <f>'6'!$L$45</f>
        <v>1</v>
      </c>
      <c r="AH12" s="562">
        <f>'6'!$L$37</f>
        <v>0.05</v>
      </c>
    </row>
    <row r="13" spans="1:34" ht="17.25" customHeight="1">
      <c r="A13" s="545">
        <v>7</v>
      </c>
      <c r="B13" s="546">
        <f>'7'!$C$37</f>
        <v>82.7</v>
      </c>
      <c r="C13" s="546">
        <f>'7'!$D$37</f>
        <v>54.5</v>
      </c>
      <c r="D13" s="546">
        <f>'7'!$E$37</f>
        <v>48.4</v>
      </c>
      <c r="E13" s="547">
        <f>'7'!AA32</f>
        <v>30004.800000000003</v>
      </c>
      <c r="F13" s="548">
        <f>MAX('7'!$AB$6:$AB$29)</f>
        <v>64.382235405594699</v>
      </c>
      <c r="G13" s="548">
        <f>MIN('7'!$AB$6:$AB$29)</f>
        <v>61.2698972790716</v>
      </c>
      <c r="H13" s="548">
        <f>'7'!$AB$32</f>
        <v>63.218262561030905</v>
      </c>
      <c r="I13" s="549">
        <f>'7'!$AL$40</f>
        <v>236.45833333333337</v>
      </c>
      <c r="J13" s="550">
        <f>'7'!$AL$41</f>
        <v>1.0053397981199741</v>
      </c>
      <c r="K13" s="549">
        <f>'7'!$AQ$40</f>
        <v>2152.7166666666658</v>
      </c>
      <c r="L13" s="550">
        <f>'7'!$AQ$41</f>
        <v>9.1526135220842395</v>
      </c>
      <c r="M13" s="551">
        <f>'7'!$O$20</f>
        <v>3.5</v>
      </c>
      <c r="N13" s="551">
        <f>'7'!$O$21</f>
        <v>3</v>
      </c>
      <c r="O13" s="551">
        <f>'7'!$O$19</f>
        <v>3.3249999999999993</v>
      </c>
      <c r="P13" s="552">
        <f>'7'!$Y$34</f>
        <v>2722.25</v>
      </c>
      <c r="Q13" s="547">
        <f>'7'!$AB$36</f>
        <v>7</v>
      </c>
      <c r="R13" s="553" t="s">
        <v>295</v>
      </c>
      <c r="S13" s="547">
        <f>'6'!$Y$36</f>
        <v>0</v>
      </c>
      <c r="T13" s="554">
        <v>1</v>
      </c>
      <c r="U13" s="553">
        <v>80</v>
      </c>
      <c r="V13" s="555">
        <f>'7'!$A$41</f>
        <v>12</v>
      </c>
      <c r="W13" s="555">
        <f>'7'!$J$41</f>
        <v>12</v>
      </c>
      <c r="X13" s="556">
        <f>'7'!$B$41</f>
        <v>12</v>
      </c>
      <c r="Y13" s="556">
        <f>'7'!$H$45</f>
        <v>12</v>
      </c>
      <c r="Z13" s="557">
        <f>'7'!$C$41</f>
        <v>12</v>
      </c>
      <c r="AA13" s="557">
        <f>'7'!$O$41</f>
        <v>12</v>
      </c>
      <c r="AB13" s="557">
        <f>'7'!$Q$45</f>
        <v>0</v>
      </c>
      <c r="AC13" s="558">
        <f>'7'!$O$51</f>
        <v>12</v>
      </c>
      <c r="AD13" s="559">
        <f>'7'!$R$51</f>
        <v>12</v>
      </c>
      <c r="AE13" s="560">
        <f>'7'!$O$57</f>
        <v>12</v>
      </c>
      <c r="AF13" s="560">
        <f>'7'!$R$57</f>
        <v>12</v>
      </c>
      <c r="AG13" s="561">
        <f>'7'!$L$45</f>
        <v>1</v>
      </c>
      <c r="AH13" s="562">
        <f>'7'!$L$37</f>
        <v>0.05</v>
      </c>
    </row>
    <row r="14" spans="1:34">
      <c r="A14" s="545">
        <v>8</v>
      </c>
      <c r="B14" s="563">
        <f>'8'!C37</f>
        <v>80.7</v>
      </c>
      <c r="C14" s="563">
        <f>'8'!$D$37</f>
        <v>55.5</v>
      </c>
      <c r="D14" s="563">
        <f>'8'!$E$37</f>
        <v>45.4</v>
      </c>
      <c r="E14" s="547">
        <f>'8'!AA32</f>
        <v>30004.800000000003</v>
      </c>
      <c r="F14" s="548">
        <f>MAX('8'!$AB$6:$AB$29)</f>
        <v>65.747402078337331</v>
      </c>
      <c r="G14" s="548">
        <f>MIN('8'!$AB$6:$AB$29)</f>
        <v>59.567371831522777</v>
      </c>
      <c r="H14" s="548">
        <f>'8'!$AB$32</f>
        <v>63.683412338018194</v>
      </c>
      <c r="I14" s="549">
        <f>'8'!$AL$40</f>
        <v>283.75000000000006</v>
      </c>
      <c r="J14" s="550">
        <f>'8'!$AL$41</f>
        <v>1.2039568705522545</v>
      </c>
      <c r="K14" s="549">
        <f>'8'!$AQ$40</f>
        <v>2111.099999999999</v>
      </c>
      <c r="L14" s="550">
        <f>'8'!$AQ$41</f>
        <v>8.9574391169087679</v>
      </c>
      <c r="M14" s="551">
        <f>'8'!$O$20</f>
        <v>3.3</v>
      </c>
      <c r="N14" s="551">
        <f>'8'!$O$21</f>
        <v>2.8</v>
      </c>
      <c r="O14" s="551">
        <f>'8'!$O$19</f>
        <v>2.9750000000000001</v>
      </c>
      <c r="P14" s="552">
        <f>'8'!$Y$34</f>
        <v>2727.7916666666665</v>
      </c>
      <c r="Q14" s="547">
        <f>'8'!$AB$36</f>
        <v>0</v>
      </c>
      <c r="R14" s="553" t="s">
        <v>295</v>
      </c>
      <c r="S14" s="547">
        <f>'8'!$Y$36</f>
        <v>0</v>
      </c>
      <c r="T14" s="554">
        <v>1</v>
      </c>
      <c r="U14" s="553">
        <v>80</v>
      </c>
      <c r="V14" s="555">
        <f>'8'!$A$41</f>
        <v>12</v>
      </c>
      <c r="W14" s="555">
        <f>'8'!$J$41</f>
        <v>12</v>
      </c>
      <c r="X14" s="556">
        <f>'8'!$B$41</f>
        <v>12</v>
      </c>
      <c r="Y14" s="556">
        <f>'8'!$H$45</f>
        <v>12</v>
      </c>
      <c r="Z14" s="557">
        <f>'8'!$C$41</f>
        <v>12</v>
      </c>
      <c r="AA14" s="557">
        <f>'8'!$O$41</f>
        <v>12</v>
      </c>
      <c r="AB14" s="557">
        <f>'8'!$Q$45</f>
        <v>0</v>
      </c>
      <c r="AC14" s="558">
        <f>'8'!$O$51</f>
        <v>12</v>
      </c>
      <c r="AD14" s="559">
        <f>'8'!$R$51</f>
        <v>12</v>
      </c>
      <c r="AE14" s="560">
        <f>'8'!$O$57</f>
        <v>12</v>
      </c>
      <c r="AF14" s="560">
        <f>'8'!$R$57</f>
        <v>12</v>
      </c>
      <c r="AG14" s="561">
        <f>'8'!$L$45</f>
        <v>1</v>
      </c>
      <c r="AH14" s="562">
        <f>'8'!$L$37</f>
        <v>0</v>
      </c>
    </row>
    <row r="15" spans="1:34" ht="17.25" customHeight="1">
      <c r="A15" s="545">
        <v>9</v>
      </c>
      <c r="B15" s="563">
        <f>'9'!$C$37</f>
        <v>82.7</v>
      </c>
      <c r="C15" s="563">
        <f>'9'!$D$37</f>
        <v>53.5</v>
      </c>
      <c r="D15" s="563">
        <f>'9'!$E$37</f>
        <v>47.4</v>
      </c>
      <c r="E15" s="547">
        <f>'9'!AA32</f>
        <v>30004.800000000003</v>
      </c>
      <c r="F15" s="548">
        <f>MAX('9'!$AB$6:$AB$29)</f>
        <v>67.880722786899483</v>
      </c>
      <c r="G15" s="548">
        <f>MIN('9'!$AB$6:$AB$29)</f>
        <v>59.896132766087931</v>
      </c>
      <c r="H15" s="548">
        <f>'9'!$AB$32</f>
        <v>64.486580637654512</v>
      </c>
      <c r="I15" s="549">
        <f>'9'!$AL$40</f>
        <v>662.08333333333348</v>
      </c>
      <c r="J15" s="550">
        <f>'9'!$AL$41</f>
        <v>2.843458263687396</v>
      </c>
      <c r="K15" s="549">
        <f>'9'!$AQ$40</f>
        <v>2126.2333333333327</v>
      </c>
      <c r="L15" s="550">
        <f>'9'!$AQ$41</f>
        <v>9.1315631096703758</v>
      </c>
      <c r="M15" s="551">
        <f>'9'!$O$20</f>
        <v>3.3</v>
      </c>
      <c r="N15" s="551">
        <f>'9'!$O$21</f>
        <v>2.5</v>
      </c>
      <c r="O15" s="551">
        <f>'9'!$O$19</f>
        <v>2.7750000000000004</v>
      </c>
      <c r="P15" s="552">
        <f>'9'!$Y$34</f>
        <v>2694.9583333333335</v>
      </c>
      <c r="Q15" s="547">
        <f>'9'!$AB$36</f>
        <v>0</v>
      </c>
      <c r="R15" s="553" t="s">
        <v>295</v>
      </c>
      <c r="S15" s="547">
        <f>'9'!$Y$36</f>
        <v>0</v>
      </c>
      <c r="T15" s="554">
        <v>1</v>
      </c>
      <c r="U15" s="553">
        <v>80</v>
      </c>
      <c r="V15" s="555">
        <f>'9'!$A$41</f>
        <v>12</v>
      </c>
      <c r="W15" s="555">
        <f>'9'!$J$41</f>
        <v>12</v>
      </c>
      <c r="X15" s="556">
        <f>'9'!$B$41</f>
        <v>12</v>
      </c>
      <c r="Y15" s="556">
        <f>'9'!$H$45</f>
        <v>12</v>
      </c>
      <c r="Z15" s="557">
        <f>'9'!$C$41</f>
        <v>12</v>
      </c>
      <c r="AA15" s="557">
        <f>'9'!$O$41</f>
        <v>10</v>
      </c>
      <c r="AB15" s="557">
        <f>'9'!$Q$45</f>
        <v>2</v>
      </c>
      <c r="AC15" s="558">
        <f>'9'!$O$51</f>
        <v>12</v>
      </c>
      <c r="AD15" s="559">
        <f>'9'!$R$51</f>
        <v>12</v>
      </c>
      <c r="AE15" s="560">
        <f>'9'!$O$57</f>
        <v>12</v>
      </c>
      <c r="AF15" s="560">
        <f>'9'!$R$57</f>
        <v>12</v>
      </c>
      <c r="AG15" s="561">
        <f>'9'!$L$45</f>
        <v>1</v>
      </c>
      <c r="AH15" s="562">
        <f>'9'!$L$37</f>
        <v>0.05</v>
      </c>
    </row>
    <row r="16" spans="1:34" ht="17.25" customHeight="1">
      <c r="A16" s="545">
        <v>10</v>
      </c>
      <c r="B16" s="563">
        <f>'10'!$C$37</f>
        <v>80.7</v>
      </c>
      <c r="C16" s="563">
        <f>'10'!$D$37</f>
        <v>50.4</v>
      </c>
      <c r="D16" s="563">
        <f>'10'!$E$37</f>
        <v>44.4</v>
      </c>
      <c r="E16" s="547">
        <f>'10'!AA32</f>
        <v>30004.800000000003</v>
      </c>
      <c r="F16" s="548">
        <f>MAX('10'!$AB$6:$AB$29)</f>
        <v>67.880722786899483</v>
      </c>
      <c r="G16" s="548">
        <f>MIN('10'!$AB$6:$AB$29)</f>
        <v>60.165935165935167</v>
      </c>
      <c r="H16" s="548">
        <f>'10'!$AB$32</f>
        <v>65.313680513920119</v>
      </c>
      <c r="I16" s="549">
        <f>'10'!$AL$40</f>
        <v>0</v>
      </c>
      <c r="J16" s="550">
        <f>'10'!$AL$41</f>
        <v>0</v>
      </c>
      <c r="K16" s="549">
        <f>'10'!$AQ$40</f>
        <v>2322.9666666666662</v>
      </c>
      <c r="L16" s="550">
        <f>'10'!$AQ$41</f>
        <v>10.105056980056977</v>
      </c>
      <c r="M16" s="551">
        <f>'10'!$O$20</f>
        <v>3.7</v>
      </c>
      <c r="N16" s="551">
        <f>'10'!$O$21</f>
        <v>3.3</v>
      </c>
      <c r="O16" s="551">
        <f>'10'!$O$19</f>
        <v>3.5</v>
      </c>
      <c r="P16" s="552">
        <f>'10'!$Y$34</f>
        <v>2660.6666666666665</v>
      </c>
      <c r="Q16" s="547">
        <f>'10'!$AB$36</f>
        <v>0</v>
      </c>
      <c r="R16" s="553">
        <v>0</v>
      </c>
      <c r="S16" s="547">
        <f>'10'!$Y$36</f>
        <v>0</v>
      </c>
      <c r="T16" s="554">
        <v>1</v>
      </c>
      <c r="U16" s="553">
        <v>80</v>
      </c>
      <c r="V16" s="555">
        <f>'10'!$A$41</f>
        <v>12</v>
      </c>
      <c r="W16" s="555">
        <f>'10'!$J$41</f>
        <v>12</v>
      </c>
      <c r="X16" s="556">
        <f>'10'!$B$41</f>
        <v>12</v>
      </c>
      <c r="Y16" s="556">
        <f>'10'!$H$45</f>
        <v>12</v>
      </c>
      <c r="Z16" s="557">
        <f>'10'!$C$41</f>
        <v>12</v>
      </c>
      <c r="AA16" s="557">
        <f>'10'!$O$41</f>
        <v>12</v>
      </c>
      <c r="AB16" s="557">
        <f>'10'!$Q$45</f>
        <v>0</v>
      </c>
      <c r="AC16" s="558">
        <f>'10'!$O$51</f>
        <v>12</v>
      </c>
      <c r="AD16" s="559">
        <f>'10'!$R$51</f>
        <v>12</v>
      </c>
      <c r="AE16" s="560">
        <f>'10'!$O$57</f>
        <v>12</v>
      </c>
      <c r="AF16" s="560">
        <f>'10'!$R$57</f>
        <v>12</v>
      </c>
      <c r="AG16" s="561">
        <f>'10'!$L$45</f>
        <v>1</v>
      </c>
      <c r="AH16" s="562">
        <f>'10'!$L$37</f>
        <v>0.05</v>
      </c>
    </row>
    <row r="17" spans="1:34" ht="17.25" customHeight="1">
      <c r="A17" s="545">
        <v>11</v>
      </c>
      <c r="B17" s="563">
        <f>'11'!$C$37</f>
        <v>94.8</v>
      </c>
      <c r="C17" s="563">
        <f>'11'!$D$37</f>
        <v>74.599999999999994</v>
      </c>
      <c r="D17" s="563">
        <f>'11'!$E$37</f>
        <v>60.5</v>
      </c>
      <c r="E17" s="547">
        <f>'11'!AA32</f>
        <v>29226.75</v>
      </c>
      <c r="F17" s="548">
        <f>MAX('11'!$AB$6:$AB$29)</f>
        <v>67.145742029732759</v>
      </c>
      <c r="G17" s="548">
        <f>MIN('11'!$AB$6:$AB$29)</f>
        <v>60.01973394238091</v>
      </c>
      <c r="H17" s="548">
        <f>'11'!$AB$32</f>
        <v>64.998979557274467</v>
      </c>
      <c r="I17" s="549">
        <f>'11'!$AL$40</f>
        <v>0</v>
      </c>
      <c r="J17" s="550">
        <f>'11'!$AL$41</f>
        <v>0</v>
      </c>
      <c r="K17" s="549">
        <f>'11'!$AQ$40</f>
        <v>2270</v>
      </c>
      <c r="L17" s="550">
        <f>'11'!$AQ$41</f>
        <v>10.093895461037564</v>
      </c>
      <c r="M17" s="551">
        <f>'11'!$O$20</f>
        <v>3.7</v>
      </c>
      <c r="N17" s="551">
        <f>'11'!$O$21</f>
        <v>3.2</v>
      </c>
      <c r="O17" s="551">
        <f>'11'!$O$19</f>
        <v>3.4833333333333338</v>
      </c>
      <c r="P17" s="552">
        <f>'11'!$Y$34</f>
        <v>2602.875</v>
      </c>
      <c r="Q17" s="547">
        <f>'11'!$AB$36</f>
        <v>5</v>
      </c>
      <c r="R17" s="553" t="s">
        <v>295</v>
      </c>
      <c r="S17" s="547">
        <f>'11'!$Y$36</f>
        <v>1</v>
      </c>
      <c r="T17" s="554">
        <v>1</v>
      </c>
      <c r="U17" s="553">
        <v>80</v>
      </c>
      <c r="V17" s="555">
        <f>'11'!$A$41</f>
        <v>12</v>
      </c>
      <c r="W17" s="555">
        <f>'11'!$J$41</f>
        <v>12</v>
      </c>
      <c r="X17" s="556">
        <f>'11'!$B$41</f>
        <v>12</v>
      </c>
      <c r="Y17" s="556">
        <f>'11'!$H$45</f>
        <v>12</v>
      </c>
      <c r="Z17" s="557">
        <f>'11'!$C$41</f>
        <v>12</v>
      </c>
      <c r="AA17" s="557">
        <f>'11'!$O$41</f>
        <v>12</v>
      </c>
      <c r="AB17" s="557">
        <f>'11'!$Q$45</f>
        <v>0</v>
      </c>
      <c r="AC17" s="558">
        <f>'11'!$O$51</f>
        <v>12</v>
      </c>
      <c r="AD17" s="559">
        <f>'11'!$R$51</f>
        <v>12</v>
      </c>
      <c r="AE17" s="560">
        <f>'11'!$O$57</f>
        <v>12</v>
      </c>
      <c r="AF17" s="560">
        <f>'11'!$R$57</f>
        <v>12</v>
      </c>
      <c r="AG17" s="561">
        <f>'11'!$L$45</f>
        <v>1</v>
      </c>
      <c r="AH17" s="562">
        <f>'11'!$L$37</f>
        <v>0.05</v>
      </c>
    </row>
    <row r="18" spans="1:34" ht="17.25" customHeight="1">
      <c r="A18" s="545">
        <v>12</v>
      </c>
      <c r="B18" s="563">
        <f>'12'!$C$37</f>
        <v>85.7</v>
      </c>
      <c r="C18" s="563">
        <f>'12'!$D$37</f>
        <v>61.6</v>
      </c>
      <c r="D18" s="563">
        <f>'12'!$E$37</f>
        <v>58.5</v>
      </c>
      <c r="E18" s="547">
        <f>'12'!AA32</f>
        <v>28759.920000000002</v>
      </c>
      <c r="F18" s="548">
        <f>MAX('12'!$AB$6:$AB$29)</f>
        <v>76.241283656537902</v>
      </c>
      <c r="G18" s="548">
        <f>MIN('12'!$AB$6:$AB$29)</f>
        <v>61.392372638222895</v>
      </c>
      <c r="H18" s="548">
        <f>'12'!$AB$32</f>
        <v>66.842230784295012</v>
      </c>
      <c r="I18" s="549">
        <f>'12'!$AL$40</f>
        <v>0</v>
      </c>
      <c r="J18" s="550">
        <f>'12'!$AL$41</f>
        <v>0</v>
      </c>
      <c r="K18" s="549">
        <f>'12'!$AQ$40</f>
        <v>2232.166666666667</v>
      </c>
      <c r="L18" s="550">
        <f>'12'!$AQ$41</f>
        <v>10.343241468235213</v>
      </c>
      <c r="M18" s="551">
        <f>'12'!$O$20</f>
        <v>3.7</v>
      </c>
      <c r="N18" s="551">
        <f>'12'!$O$21</f>
        <v>3.6</v>
      </c>
      <c r="O18" s="551">
        <f>'12'!$O$19</f>
        <v>3.6500000000000008</v>
      </c>
      <c r="P18" s="552">
        <f>'12'!$Y$34</f>
        <v>2497.7916666666665</v>
      </c>
      <c r="Q18" s="547">
        <f>'12'!$AB$36</f>
        <v>0</v>
      </c>
      <c r="R18" s="553" t="s">
        <v>295</v>
      </c>
      <c r="S18" s="547">
        <f>'12'!$Y$36</f>
        <v>0</v>
      </c>
      <c r="T18" s="554">
        <v>1</v>
      </c>
      <c r="U18" s="553">
        <v>80</v>
      </c>
      <c r="V18" s="555">
        <f>'12'!$A$41</f>
        <v>12</v>
      </c>
      <c r="W18" s="555">
        <f>'12'!$J$41</f>
        <v>12</v>
      </c>
      <c r="X18" s="556">
        <f>'12'!$B$41</f>
        <v>12</v>
      </c>
      <c r="Y18" s="556">
        <f>'12'!$H$45</f>
        <v>12</v>
      </c>
      <c r="Z18" s="557">
        <f>'12'!$C$41</f>
        <v>12</v>
      </c>
      <c r="AA18" s="557">
        <f>'12'!$O$41</f>
        <v>12</v>
      </c>
      <c r="AB18" s="557">
        <f>'12'!$Q$45</f>
        <v>0</v>
      </c>
      <c r="AC18" s="558">
        <f>'12'!$O$51</f>
        <v>12</v>
      </c>
      <c r="AD18" s="559">
        <f>'12'!$R$51</f>
        <v>12</v>
      </c>
      <c r="AE18" s="560">
        <f>'12'!$O$57</f>
        <v>12</v>
      </c>
      <c r="AF18" s="560">
        <f>'12'!$R$57</f>
        <v>12</v>
      </c>
      <c r="AG18" s="561">
        <f>'12'!$L$45</f>
        <v>1</v>
      </c>
      <c r="AH18" s="562">
        <f>'12'!$L$37</f>
        <v>0.05</v>
      </c>
    </row>
    <row r="19" spans="1:34" ht="17.25" customHeight="1">
      <c r="A19" s="545">
        <v>13</v>
      </c>
      <c r="B19" s="563">
        <f>'13'!$C$37</f>
        <v>84.7</v>
      </c>
      <c r="C19" s="563">
        <f>'13'!$D$37</f>
        <v>57.5</v>
      </c>
      <c r="D19" s="563">
        <f>'13'!$E$37</f>
        <v>53.4</v>
      </c>
      <c r="E19" s="547">
        <f>'13'!AA33</f>
        <v>28100.240000000002</v>
      </c>
      <c r="F19" s="548">
        <f>MAX('13'!$AB$7:$AB$30)</f>
        <v>68.831564194467418</v>
      </c>
      <c r="G19" s="548">
        <f>MIN('13'!$AB$7:$AB$30)</f>
        <v>59.130844885327917</v>
      </c>
      <c r="H19" s="548">
        <f>'13'!$AB$33</f>
        <v>64.955557835088626</v>
      </c>
      <c r="I19" s="549">
        <f>'13'!$AL$41</f>
        <v>0</v>
      </c>
      <c r="J19" s="550">
        <f>'13'!$AL$42</f>
        <v>0</v>
      </c>
      <c r="K19" s="549">
        <f>'13'!$AQ$41</f>
        <v>1997.6000000000001</v>
      </c>
      <c r="L19" s="550">
        <f>'13'!$AQ$42</f>
        <v>9.224472003339578</v>
      </c>
      <c r="M19" s="551">
        <f>'13'!$O$20</f>
        <v>3.7</v>
      </c>
      <c r="N19" s="551">
        <f>'13'!$O$21</f>
        <v>3.2</v>
      </c>
      <c r="O19" s="551">
        <f>'13'!$O$19</f>
        <v>3.3666666666666671</v>
      </c>
      <c r="P19" s="552">
        <f>'13'!$Y$35</f>
        <v>2506.4166666666665</v>
      </c>
      <c r="Q19" s="547">
        <f>'13'!$AB$37</f>
        <v>0</v>
      </c>
      <c r="R19" s="553" t="s">
        <v>295</v>
      </c>
      <c r="S19" s="547">
        <f>'13'!$Y$37</f>
        <v>0</v>
      </c>
      <c r="T19" s="554">
        <v>1</v>
      </c>
      <c r="U19" s="553">
        <v>80</v>
      </c>
      <c r="V19" s="555">
        <f>'13'!$A$41</f>
        <v>12</v>
      </c>
      <c r="W19" s="555">
        <f>'13'!$J$41</f>
        <v>12</v>
      </c>
      <c r="X19" s="556">
        <f>'13'!$B$41</f>
        <v>12</v>
      </c>
      <c r="Y19" s="556">
        <f>'13'!$H$45</f>
        <v>12</v>
      </c>
      <c r="Z19" s="557">
        <f>'13'!$C$41</f>
        <v>12</v>
      </c>
      <c r="AA19" s="557">
        <f>'13'!$O$41</f>
        <v>12</v>
      </c>
      <c r="AB19" s="557">
        <f>'13'!$Q$45</f>
        <v>0</v>
      </c>
      <c r="AC19" s="558">
        <f>'13'!$O$51</f>
        <v>12</v>
      </c>
      <c r="AD19" s="559">
        <f>'13'!$R$51</f>
        <v>12</v>
      </c>
      <c r="AE19" s="560">
        <f>'13'!$O$57</f>
        <v>12</v>
      </c>
      <c r="AF19" s="560">
        <f>'13'!$R$57</f>
        <v>12</v>
      </c>
      <c r="AG19" s="561">
        <f>'13'!$L$45</f>
        <v>1</v>
      </c>
      <c r="AH19" s="562">
        <f>'13'!$L$37</f>
        <v>0.05</v>
      </c>
    </row>
    <row r="20" spans="1:34" ht="17.25" customHeight="1">
      <c r="A20" s="545">
        <v>14</v>
      </c>
      <c r="B20" s="563">
        <f>'14'!$C$37</f>
        <v>86.7</v>
      </c>
      <c r="C20" s="563">
        <f>'14'!$D$37</f>
        <v>60.5</v>
      </c>
      <c r="D20" s="563">
        <f>'14'!$E$37</f>
        <v>54.4</v>
      </c>
      <c r="E20" s="547">
        <f>'14'!AA32</f>
        <v>26780.880000000001</v>
      </c>
      <c r="F20" s="548">
        <f>MAX('14'!$AB$6:$AB$29)</f>
        <v>79.764253445416614</v>
      </c>
      <c r="G20" s="548">
        <f>MIN('14'!$AB$6:$AB$29)</f>
        <v>60.634563554164508</v>
      </c>
      <c r="H20" s="548">
        <f>'14'!$AB$32</f>
        <v>63.600896721114367</v>
      </c>
      <c r="I20" s="549">
        <f>'14'!$AL$40</f>
        <v>312.125</v>
      </c>
      <c r="J20" s="550">
        <f>'14'!$AL$41</f>
        <v>1.4786375074849731</v>
      </c>
      <c r="K20" s="549">
        <f>'14'!$AQ$40</f>
        <v>1717.6333333333337</v>
      </c>
      <c r="L20" s="550">
        <f>'14'!$AQ$41</f>
        <v>8.1369870108870046</v>
      </c>
      <c r="M20" s="551">
        <f>'14'!$O$20</f>
        <v>3.7</v>
      </c>
      <c r="N20" s="551">
        <f>'14'!$O$21</f>
        <v>2.5</v>
      </c>
      <c r="O20" s="551">
        <f>'14'!$O$19</f>
        <v>3.2166666666666663</v>
      </c>
      <c r="P20" s="552">
        <f>'14'!$Y$34</f>
        <v>2443.1666666666665</v>
      </c>
      <c r="Q20" s="547">
        <f>'14'!$AB$36</f>
        <v>0</v>
      </c>
      <c r="R20" s="553" t="s">
        <v>295</v>
      </c>
      <c r="S20" s="547">
        <f>'14'!$Y$36</f>
        <v>0</v>
      </c>
      <c r="T20" s="554">
        <v>1</v>
      </c>
      <c r="U20" s="553">
        <v>80</v>
      </c>
      <c r="V20" s="555">
        <f>'14'!$A$41</f>
        <v>12</v>
      </c>
      <c r="W20" s="555">
        <f>'14'!$J$41</f>
        <v>12</v>
      </c>
      <c r="X20" s="556">
        <f>'14'!$B$41</f>
        <v>12</v>
      </c>
      <c r="Y20" s="556">
        <f>'14'!$H$45</f>
        <v>12</v>
      </c>
      <c r="Z20" s="557">
        <f>'14'!$C$41</f>
        <v>12</v>
      </c>
      <c r="AA20" s="557">
        <f>'14'!$O$41</f>
        <v>12</v>
      </c>
      <c r="AB20" s="557">
        <f>'14'!$Q$45</f>
        <v>0</v>
      </c>
      <c r="AC20" s="558">
        <f>'14'!$O$51</f>
        <v>12</v>
      </c>
      <c r="AD20" s="559">
        <f>'14'!$R$51</f>
        <v>12</v>
      </c>
      <c r="AE20" s="560">
        <f>'14'!$O$57</f>
        <v>12</v>
      </c>
      <c r="AF20" s="560">
        <f>'14'!$R$57</f>
        <v>12</v>
      </c>
      <c r="AG20" s="561">
        <f>'14'!$L$45</f>
        <v>1</v>
      </c>
      <c r="AH20" s="562">
        <f>'14'!$L$37</f>
        <v>0.05</v>
      </c>
    </row>
    <row r="21" spans="1:34" ht="17.25" customHeight="1">
      <c r="A21" s="545">
        <v>15</v>
      </c>
      <c r="B21" s="563">
        <f>'15'!$C$37</f>
        <v>87.7</v>
      </c>
      <c r="C21" s="563">
        <f>'15'!$D$37</f>
        <v>56.4</v>
      </c>
      <c r="D21" s="563">
        <f>'15'!$E$37</f>
        <v>50.4</v>
      </c>
      <c r="E21" s="547">
        <f>'15'!AA32</f>
        <v>26780.880000000001</v>
      </c>
      <c r="F21" s="548">
        <f>MAX('15'!$AB$6:$AB$29)</f>
        <v>65.893683862433875</v>
      </c>
      <c r="G21" s="548">
        <f>MIN('15'!$AB$6:$AB$29)</f>
        <v>61.549620510105029</v>
      </c>
      <c r="H21" s="548">
        <f>'15'!$AB$32</f>
        <v>64.034465392586569</v>
      </c>
      <c r="I21" s="549">
        <f>'15'!$AL$40</f>
        <v>0</v>
      </c>
      <c r="J21" s="550">
        <f>'15'!$AL$41</f>
        <v>0</v>
      </c>
      <c r="K21" s="549">
        <f>'15'!$AQ$40</f>
        <v>1997.6000000000001</v>
      </c>
      <c r="L21" s="550">
        <f>'15'!$AQ$41</f>
        <v>9.5502545332155329</v>
      </c>
      <c r="M21" s="551">
        <f>'15'!$O$20</f>
        <v>3.5</v>
      </c>
      <c r="N21" s="551">
        <f>'15'!$O$21</f>
        <v>3</v>
      </c>
      <c r="O21" s="551">
        <f>'15'!$O$19</f>
        <v>3.15</v>
      </c>
      <c r="P21" s="552">
        <f>'15'!$Y$34</f>
        <v>2420.9166666666665</v>
      </c>
      <c r="Q21" s="547">
        <f>'15'!$AB$36</f>
        <v>4</v>
      </c>
      <c r="R21" s="553" t="s">
        <v>295</v>
      </c>
      <c r="S21" s="547">
        <f>'15'!$Y$36</f>
        <v>0</v>
      </c>
      <c r="T21" s="554">
        <v>1</v>
      </c>
      <c r="U21" s="553">
        <v>80</v>
      </c>
      <c r="V21" s="555">
        <f>'15'!$A$41</f>
        <v>12</v>
      </c>
      <c r="W21" s="555">
        <f>'15'!$J$41</f>
        <v>12</v>
      </c>
      <c r="X21" s="556">
        <f>'15'!$B$41</f>
        <v>12</v>
      </c>
      <c r="Y21" s="556">
        <f>'15'!$H$45</f>
        <v>12</v>
      </c>
      <c r="Z21" s="557">
        <f>'15'!$C$41</f>
        <v>12</v>
      </c>
      <c r="AA21" s="557">
        <f>'15'!$O$41</f>
        <v>12</v>
      </c>
      <c r="AB21" s="557">
        <f>'15'!$Q$45</f>
        <v>0</v>
      </c>
      <c r="AC21" s="558">
        <f>'15'!$O$51</f>
        <v>12</v>
      </c>
      <c r="AD21" s="559">
        <f>'15'!$R$51</f>
        <v>12</v>
      </c>
      <c r="AE21" s="560">
        <f>'15'!$O$57</f>
        <v>12</v>
      </c>
      <c r="AF21" s="560">
        <f>'15'!$R$57</f>
        <v>12</v>
      </c>
      <c r="AG21" s="561">
        <f>'15'!$L$45</f>
        <v>1</v>
      </c>
      <c r="AH21" s="562">
        <f>'15'!$L$37</f>
        <v>0.05</v>
      </c>
    </row>
    <row r="22" spans="1:34" ht="17.25" customHeight="1">
      <c r="A22" s="545">
        <v>16</v>
      </c>
      <c r="B22" s="564">
        <f>'16'!$C$37</f>
        <v>84.7</v>
      </c>
      <c r="C22" s="564">
        <f>'16'!$D$37</f>
        <v>62.5</v>
      </c>
      <c r="D22" s="564">
        <f>'16'!$E$37</f>
        <v>52.5</v>
      </c>
      <c r="E22" s="547">
        <f>'16'!AA32</f>
        <v>26780.880000000001</v>
      </c>
      <c r="F22" s="548">
        <f>MAX('16'!$AB$6:$AB$29)</f>
        <v>66.975775472966504</v>
      </c>
      <c r="G22" s="548">
        <f>MIN('16'!$AB$6:$AB$29)</f>
        <v>61.672082946456214</v>
      </c>
      <c r="H22" s="548">
        <f>'16'!$AB$32</f>
        <v>63.878509885432408</v>
      </c>
      <c r="I22" s="549">
        <f>'16'!$AL$40</f>
        <v>0</v>
      </c>
      <c r="J22" s="550">
        <f>'16'!$AL$41</f>
        <v>0</v>
      </c>
      <c r="K22" s="549">
        <f>'16'!$AQ$40</f>
        <v>1997.6000000000001</v>
      </c>
      <c r="L22" s="550">
        <f>'16'!$AQ$41</f>
        <v>9.5243544265171476</v>
      </c>
      <c r="M22" s="551">
        <f>'16'!$O$20</f>
        <v>3.5</v>
      </c>
      <c r="N22" s="551">
        <f>'16'!$O$21</f>
        <v>1.5</v>
      </c>
      <c r="O22" s="551">
        <f>'16'!$O$19</f>
        <v>3.2083333333333335</v>
      </c>
      <c r="P22" s="552">
        <f>'16'!$Y$34</f>
        <v>2427.5</v>
      </c>
      <c r="Q22" s="547">
        <f>'16'!$AB$36</f>
        <v>0</v>
      </c>
      <c r="R22" s="553" t="s">
        <v>295</v>
      </c>
      <c r="S22" s="547">
        <f>'16'!$Y$36</f>
        <v>0</v>
      </c>
      <c r="T22" s="554">
        <v>1</v>
      </c>
      <c r="U22" s="553">
        <v>80</v>
      </c>
      <c r="V22" s="555">
        <f>'16'!$A$41</f>
        <v>12</v>
      </c>
      <c r="W22" s="555">
        <f>'16'!$J$41</f>
        <v>12</v>
      </c>
      <c r="X22" s="556">
        <f>'16'!$B$41</f>
        <v>12</v>
      </c>
      <c r="Y22" s="556">
        <f>'16'!$H$45</f>
        <v>12</v>
      </c>
      <c r="Z22" s="557">
        <f>'16'!$C$41</f>
        <v>12</v>
      </c>
      <c r="AA22" s="557">
        <f>'16'!$O$41</f>
        <v>12</v>
      </c>
      <c r="AB22" s="557">
        <f>'16'!$Q$45</f>
        <v>0</v>
      </c>
      <c r="AC22" s="558">
        <f>'16'!$O$51</f>
        <v>12</v>
      </c>
      <c r="AD22" s="559">
        <f>'16'!$R$51</f>
        <v>12</v>
      </c>
      <c r="AE22" s="560">
        <f>'16'!$O$57</f>
        <v>12</v>
      </c>
      <c r="AF22" s="560">
        <f>'16'!$R$57</f>
        <v>12</v>
      </c>
      <c r="AG22" s="561">
        <f>'16'!$L$45</f>
        <v>1</v>
      </c>
      <c r="AH22" s="562">
        <f>'16'!$L$37</f>
        <v>0</v>
      </c>
    </row>
    <row r="23" spans="1:34" ht="17.25" customHeight="1">
      <c r="A23" s="545">
        <v>17</v>
      </c>
      <c r="B23" s="564">
        <f>'17'!$C$37</f>
        <v>84.7</v>
      </c>
      <c r="C23" s="564">
        <f>'17'!$D$37</f>
        <v>58.5</v>
      </c>
      <c r="D23" s="564">
        <f>'17'!$E$37</f>
        <v>53.5</v>
      </c>
      <c r="E23" s="547">
        <f>'17'!AA32</f>
        <v>26780.880000000001</v>
      </c>
      <c r="F23" s="548">
        <f>MAX('17'!$AB$6:$AB$29)</f>
        <v>64.148155813097873</v>
      </c>
      <c r="G23" s="548">
        <f>MIN('17'!$AB$6:$AB$29)</f>
        <v>61.893747781327662</v>
      </c>
      <c r="H23" s="548">
        <f>'17'!$AB$32</f>
        <v>63.03937428595836</v>
      </c>
      <c r="I23" s="549">
        <f>'17'!$AL$40</f>
        <v>472.9166666666668</v>
      </c>
      <c r="J23" s="550">
        <f>'17'!$AL$41</f>
        <v>2.2262361161324016</v>
      </c>
      <c r="K23" s="549">
        <f>'17'!$AQ$40</f>
        <v>1827.35</v>
      </c>
      <c r="L23" s="550">
        <f>'17'!$AQ$41</f>
        <v>8.6021763527355972</v>
      </c>
      <c r="M23" s="551">
        <f>'17'!$O$20</f>
        <v>3.2</v>
      </c>
      <c r="N23" s="551">
        <f>'17'!$O$21</f>
        <v>2.5</v>
      </c>
      <c r="O23" s="551">
        <f>'17'!$O$19</f>
        <v>2.8083333333333336</v>
      </c>
      <c r="P23" s="552">
        <f>'17'!$Y$34</f>
        <v>2458.6666666666665</v>
      </c>
      <c r="Q23" s="547">
        <f>'17'!$AB$36</f>
        <v>0</v>
      </c>
      <c r="R23" s="553" t="s">
        <v>295</v>
      </c>
      <c r="S23" s="547">
        <f>'17'!$Y$36</f>
        <v>0</v>
      </c>
      <c r="T23" s="554">
        <v>1</v>
      </c>
      <c r="U23" s="553">
        <v>80</v>
      </c>
      <c r="V23" s="555">
        <f>'17'!$A$41</f>
        <v>12</v>
      </c>
      <c r="W23" s="555">
        <f>'17'!$J$41</f>
        <v>12</v>
      </c>
      <c r="X23" s="556">
        <f>'17'!$B$41</f>
        <v>12</v>
      </c>
      <c r="Y23" s="556">
        <f>'17'!$H$45</f>
        <v>12</v>
      </c>
      <c r="Z23" s="557">
        <f>'17'!$C$41</f>
        <v>12</v>
      </c>
      <c r="AA23" s="557">
        <f>'17'!$O$41</f>
        <v>12</v>
      </c>
      <c r="AB23" s="557">
        <f>'17'!$Q$45</f>
        <v>0</v>
      </c>
      <c r="AC23" s="558">
        <f>'17'!$O$51</f>
        <v>12</v>
      </c>
      <c r="AD23" s="559">
        <f>'17'!$R$51</f>
        <v>12</v>
      </c>
      <c r="AE23" s="560">
        <f>'17'!$O$57</f>
        <v>12</v>
      </c>
      <c r="AF23" s="560">
        <f>'17'!$R$57</f>
        <v>12</v>
      </c>
      <c r="AG23" s="561">
        <f>'17'!$L$45</f>
        <v>1</v>
      </c>
      <c r="AH23" s="562">
        <f>'17'!$L$37</f>
        <v>0.05</v>
      </c>
    </row>
    <row r="24" spans="1:34" ht="17.25" customHeight="1">
      <c r="A24" s="545">
        <v>18</v>
      </c>
      <c r="B24" s="564">
        <f>'18'!$C$37</f>
        <v>80.7</v>
      </c>
      <c r="C24" s="564">
        <f>'18'!$D$37</f>
        <v>62.5</v>
      </c>
      <c r="D24" s="564">
        <f>'18'!$E$37</f>
        <v>52.5</v>
      </c>
      <c r="E24" s="547">
        <f>'18'!AA32</f>
        <v>27687.940000000002</v>
      </c>
      <c r="F24" s="548">
        <f>MAX('18'!$AB$6:$AB$29)</f>
        <v>64.886831275720169</v>
      </c>
      <c r="G24" s="548">
        <f>MIN('18'!$AB$6:$AB$29)</f>
        <v>59.082258509841054</v>
      </c>
      <c r="H24" s="548">
        <f>'18'!$AB$32</f>
        <v>61.885530381021994</v>
      </c>
      <c r="I24" s="549">
        <f>'18'!$AL$40</f>
        <v>0</v>
      </c>
      <c r="J24" s="550">
        <f>'18'!$AL$41</f>
        <v>0</v>
      </c>
      <c r="K24" s="549">
        <f>'18'!$AQ$40</f>
        <v>1997.6000000000001</v>
      </c>
      <c r="L24" s="550">
        <f>'18'!$AQ$41</f>
        <v>8.916312710119854</v>
      </c>
      <c r="M24" s="551">
        <f>'18'!$O$20</f>
        <v>3</v>
      </c>
      <c r="N24" s="551">
        <f>'18'!$O$21</f>
        <v>3</v>
      </c>
      <c r="O24" s="551">
        <f>'18'!$O$19</f>
        <v>3</v>
      </c>
      <c r="P24" s="552">
        <f>'18'!$Y$34</f>
        <v>2593.0416666666665</v>
      </c>
      <c r="Q24" s="547">
        <f>'18'!$AB$36</f>
        <v>6</v>
      </c>
      <c r="R24" s="553" t="s">
        <v>295</v>
      </c>
      <c r="S24" s="547">
        <f>'18'!$Y$36</f>
        <v>0</v>
      </c>
      <c r="T24" s="554">
        <v>1</v>
      </c>
      <c r="U24" s="553">
        <v>80</v>
      </c>
      <c r="V24" s="555">
        <f>'18'!$A$41</f>
        <v>12</v>
      </c>
      <c r="W24" s="555">
        <f>'18'!$J$41</f>
        <v>12</v>
      </c>
      <c r="X24" s="556">
        <f>'18'!$B$41</f>
        <v>12</v>
      </c>
      <c r="Y24" s="556">
        <f>'18'!$H$45</f>
        <v>12</v>
      </c>
      <c r="Z24" s="557">
        <f>'18'!$C$41</f>
        <v>12</v>
      </c>
      <c r="AA24" s="557">
        <f>'18'!$O$41</f>
        <v>10</v>
      </c>
      <c r="AB24" s="557">
        <f>'18'!$Q$45</f>
        <v>2</v>
      </c>
      <c r="AC24" s="558">
        <f>'18'!$O$51</f>
        <v>12</v>
      </c>
      <c r="AD24" s="559">
        <f>'18'!$R$51</f>
        <v>12</v>
      </c>
      <c r="AE24" s="560">
        <f>'18'!$O$57</f>
        <v>12</v>
      </c>
      <c r="AF24" s="560">
        <f>'18'!$R$57</f>
        <v>12</v>
      </c>
      <c r="AG24" s="561">
        <f>'18'!$L$45</f>
        <v>1</v>
      </c>
      <c r="AH24" s="562">
        <f>'18'!$L$37</f>
        <v>0.05</v>
      </c>
    </row>
    <row r="25" spans="1:34" ht="17.25" customHeight="1">
      <c r="A25" s="545">
        <v>19</v>
      </c>
      <c r="B25" s="564">
        <f>'19'!$C$37</f>
        <v>74.8</v>
      </c>
      <c r="C25" s="564">
        <f>'19'!$D$37</f>
        <v>64.599999999999994</v>
      </c>
      <c r="D25" s="564">
        <f>'19'!$E$37</f>
        <v>58.5</v>
      </c>
      <c r="E25" s="547">
        <f>'19'!AA32</f>
        <v>29166.9</v>
      </c>
      <c r="F25" s="548">
        <f>MAX('19'!$AB$6:$AB$29)</f>
        <v>68.893210122767357</v>
      </c>
      <c r="G25" s="548">
        <f>MIN('19'!$AB$6:$AB$29)</f>
        <v>61.894653113507708</v>
      </c>
      <c r="H25" s="548">
        <f>'19'!$AB$32</f>
        <v>65.651403137528817</v>
      </c>
      <c r="I25" s="549">
        <f>'19'!$AL$40</f>
        <v>0</v>
      </c>
      <c r="J25" s="550">
        <f>'19'!$AL$41</f>
        <v>0</v>
      </c>
      <c r="K25" s="549">
        <f>'19'!$AQ$40</f>
        <v>1997.6000000000001</v>
      </c>
      <c r="L25" s="550">
        <f>'19'!$AQ$41</f>
        <v>8.9751538841712719</v>
      </c>
      <c r="M25" s="551">
        <f>'19'!$O$20</f>
        <v>3.2</v>
      </c>
      <c r="N25" s="551">
        <f>'19'!$O$21</f>
        <v>2.5</v>
      </c>
      <c r="O25" s="551">
        <f>'19'!$O$19</f>
        <v>2.8083333333333336</v>
      </c>
      <c r="P25" s="552">
        <f>'19'!$Y$34</f>
        <v>2576.0416666666665</v>
      </c>
      <c r="Q25" s="547">
        <f>'19'!$AB$36</f>
        <v>0</v>
      </c>
      <c r="R25" s="553" t="s">
        <v>295</v>
      </c>
      <c r="S25" s="547">
        <f>'19'!$Y$36</f>
        <v>0</v>
      </c>
      <c r="T25" s="554">
        <v>1</v>
      </c>
      <c r="U25" s="553">
        <v>80</v>
      </c>
      <c r="V25" s="555">
        <f>'19'!$A$41</f>
        <v>12</v>
      </c>
      <c r="W25" s="555">
        <f>'19'!$J$41</f>
        <v>12</v>
      </c>
      <c r="X25" s="556">
        <f>'19'!$B$41</f>
        <v>12</v>
      </c>
      <c r="Y25" s="556">
        <f>'19'!$H$45</f>
        <v>12</v>
      </c>
      <c r="Z25" s="557">
        <f>'19'!$C$41</f>
        <v>12</v>
      </c>
      <c r="AA25" s="557">
        <f>'19'!$O$41</f>
        <v>0</v>
      </c>
      <c r="AB25" s="557">
        <f>'19'!$Q$45</f>
        <v>12</v>
      </c>
      <c r="AC25" s="558">
        <f>'19'!$O$51</f>
        <v>12</v>
      </c>
      <c r="AD25" s="559">
        <f>'19'!$R$51</f>
        <v>12</v>
      </c>
      <c r="AE25" s="560">
        <f>'19'!$O$57</f>
        <v>12</v>
      </c>
      <c r="AF25" s="560">
        <f>'19'!$R$57</f>
        <v>12</v>
      </c>
      <c r="AG25" s="561">
        <f>'19'!$L$45</f>
        <v>1</v>
      </c>
      <c r="AH25" s="562">
        <f>'19'!$L$37</f>
        <v>0.05</v>
      </c>
    </row>
    <row r="26" spans="1:34" ht="17.25" customHeight="1">
      <c r="A26" s="545">
        <v>20</v>
      </c>
      <c r="B26" s="564">
        <f>'20'!$C$37</f>
        <v>79.7</v>
      </c>
      <c r="C26" s="564">
        <f>'20'!$D$37</f>
        <v>60.5</v>
      </c>
      <c r="D26" s="564">
        <f>'20'!$E$37</f>
        <v>55.5</v>
      </c>
      <c r="E26" s="547">
        <f>'20'!AA32</f>
        <v>29166.9</v>
      </c>
      <c r="F26" s="548">
        <f>MAX('20'!$AB$6:$AB$29)</f>
        <v>67.519655112501084</v>
      </c>
      <c r="G26" s="548">
        <f>MIN('20'!$AB$6:$AB$29)</f>
        <v>61.642489711934175</v>
      </c>
      <c r="H26" s="548">
        <f>'20'!$AB$32</f>
        <v>64.184607009052215</v>
      </c>
      <c r="I26" s="549">
        <f>'20'!$AL$40</f>
        <v>0</v>
      </c>
      <c r="J26" s="550">
        <f>'20'!$AL$41</f>
        <v>0</v>
      </c>
      <c r="K26" s="549">
        <f>'20'!$AQ$40</f>
        <v>2239.7333333333322</v>
      </c>
      <c r="L26" s="550">
        <f>'20'!$AQ$41</f>
        <v>9.8545633527338747</v>
      </c>
      <c r="M26" s="551">
        <f>'20'!$O$20</f>
        <v>3.2</v>
      </c>
      <c r="N26" s="551">
        <f>'20'!$O$21</f>
        <v>2.5</v>
      </c>
      <c r="O26" s="551">
        <f>'20'!$O$19</f>
        <v>2.7583333333333333</v>
      </c>
      <c r="P26" s="552">
        <f>'20'!$Y$34</f>
        <v>2630.5416666666665</v>
      </c>
      <c r="Q26" s="547">
        <f>'20'!$AB$36</f>
        <v>0</v>
      </c>
      <c r="R26" s="553" t="s">
        <v>295</v>
      </c>
      <c r="S26" s="547">
        <f>'20'!$Y$36</f>
        <v>0</v>
      </c>
      <c r="T26" s="554">
        <v>1</v>
      </c>
      <c r="U26" s="553">
        <v>80</v>
      </c>
      <c r="V26" s="555">
        <f>'20'!$A$41</f>
        <v>12</v>
      </c>
      <c r="W26" s="555">
        <f>'20'!$J$41</f>
        <v>12</v>
      </c>
      <c r="X26" s="556">
        <f>'20'!$B$41</f>
        <v>12</v>
      </c>
      <c r="Y26" s="556">
        <f>'20'!$H$45</f>
        <v>12</v>
      </c>
      <c r="Z26" s="557">
        <f>'20'!$C$41</f>
        <v>12</v>
      </c>
      <c r="AA26" s="557">
        <f>'20'!$O$41</f>
        <v>2</v>
      </c>
      <c r="AB26" s="557">
        <f>'20'!$Q$45</f>
        <v>10</v>
      </c>
      <c r="AC26" s="558">
        <f>'20'!$O$51</f>
        <v>12</v>
      </c>
      <c r="AD26" s="559">
        <f>'20'!$R$51</f>
        <v>12</v>
      </c>
      <c r="AE26" s="560">
        <f>'20'!$O$57</f>
        <v>12</v>
      </c>
      <c r="AF26" s="560">
        <f>'20'!$R$57</f>
        <v>12</v>
      </c>
      <c r="AG26" s="561">
        <f>'20'!$L$45</f>
        <v>1</v>
      </c>
      <c r="AH26" s="562">
        <f>'20'!$L$37</f>
        <v>0.05</v>
      </c>
    </row>
    <row r="27" spans="1:34" ht="17.25" customHeight="1">
      <c r="A27" s="545">
        <v>21</v>
      </c>
      <c r="B27" s="564">
        <f>'21'!$C$37</f>
        <v>81.7</v>
      </c>
      <c r="C27" s="564">
        <f>'21'!$D$37</f>
        <v>62.5</v>
      </c>
      <c r="D27" s="564">
        <f>'21'!$E$37</f>
        <v>57.5</v>
      </c>
      <c r="E27" s="547">
        <f>'21'!AA32</f>
        <v>29845.200000000001</v>
      </c>
      <c r="F27" s="548">
        <f>MAX('21'!$AB$6:$AB$29)</f>
        <v>65.997431325096599</v>
      </c>
      <c r="G27" s="548">
        <f>MIN('21'!$AB$6:$AB$29)</f>
        <v>62.691570881226056</v>
      </c>
      <c r="H27" s="548">
        <f>'21'!$AB$32</f>
        <v>64.312140722948982</v>
      </c>
      <c r="I27" s="549">
        <f>'21'!$AL$40</f>
        <v>0</v>
      </c>
      <c r="J27" s="550">
        <f>'21'!$AL$41</f>
        <v>0</v>
      </c>
      <c r="K27" s="549">
        <f>'21'!$AQ$40</f>
        <v>2360.7999999999993</v>
      </c>
      <c r="L27" s="550">
        <f>'21'!$AQ$41</f>
        <v>10.172932965852931</v>
      </c>
      <c r="M27" s="551">
        <f>'21'!$O$20</f>
        <v>3.2</v>
      </c>
      <c r="N27" s="551">
        <f>'21'!$O$21</f>
        <v>3</v>
      </c>
      <c r="O27" s="551">
        <f>'21'!$O$19</f>
        <v>3.15</v>
      </c>
      <c r="P27" s="552">
        <f>'21'!$Y$34</f>
        <v>2685.9583333333335</v>
      </c>
      <c r="Q27" s="547">
        <f>'21'!$AB$36</f>
        <v>0</v>
      </c>
      <c r="R27" s="553" t="s">
        <v>295</v>
      </c>
      <c r="S27" s="547">
        <f>'21'!$Y$36</f>
        <v>0</v>
      </c>
      <c r="T27" s="554">
        <v>1</v>
      </c>
      <c r="U27" s="553">
        <v>80</v>
      </c>
      <c r="V27" s="555">
        <f>'21'!$A$41</f>
        <v>12</v>
      </c>
      <c r="W27" s="555">
        <f>'21'!$J$41</f>
        <v>12</v>
      </c>
      <c r="X27" s="556">
        <f>'21'!$B$41</f>
        <v>12</v>
      </c>
      <c r="Y27" s="556">
        <f>'21'!$H$45</f>
        <v>12</v>
      </c>
      <c r="Z27" s="557">
        <f>'21'!$C$41</f>
        <v>12</v>
      </c>
      <c r="AA27" s="557">
        <f>'21'!$O$41</f>
        <v>0</v>
      </c>
      <c r="AB27" s="557">
        <f>'21'!$Q$45</f>
        <v>12</v>
      </c>
      <c r="AC27" s="558">
        <f>'21'!$O$51</f>
        <v>12</v>
      </c>
      <c r="AD27" s="559">
        <f>'21'!$R$51</f>
        <v>12</v>
      </c>
      <c r="AE27" s="560">
        <f>'21'!$O$57</f>
        <v>12</v>
      </c>
      <c r="AF27" s="560">
        <f>'21'!$R$57</f>
        <v>12</v>
      </c>
      <c r="AG27" s="561">
        <f>'21'!$L$45</f>
        <v>1</v>
      </c>
      <c r="AH27" s="562">
        <f>'21'!$L$37</f>
        <v>0</v>
      </c>
    </row>
    <row r="28" spans="1:34" ht="17.25" customHeight="1">
      <c r="A28" s="545">
        <v>22</v>
      </c>
      <c r="B28" s="564">
        <f>'22'!$C$37</f>
        <v>84.7</v>
      </c>
      <c r="C28" s="564">
        <f>'22'!$D$37</f>
        <v>66.5</v>
      </c>
      <c r="D28" s="564">
        <f>'22'!$E$37</f>
        <v>56.4</v>
      </c>
      <c r="E28" s="547">
        <f>'22'!AA32</f>
        <v>29845.200000000001</v>
      </c>
      <c r="F28" s="548">
        <f>MAX('22'!$AB$6:$AB$29)</f>
        <v>67.178248843943123</v>
      </c>
      <c r="G28" s="548">
        <f>MIN('22'!$AB$6:$AB$29)</f>
        <v>63.591781214203891</v>
      </c>
      <c r="H28" s="548">
        <f>'22'!$AB$32</f>
        <v>64.79661946787904</v>
      </c>
      <c r="I28" s="549">
        <f>'22'!$AL$40</f>
        <v>0</v>
      </c>
      <c r="J28" s="550">
        <f>'22'!$AL$41</f>
        <v>0</v>
      </c>
      <c r="K28" s="549">
        <f>'22'!$AQ$40</f>
        <v>2462.9499999999998</v>
      </c>
      <c r="L28" s="550">
        <f>'22'!$AQ$41</f>
        <v>10.692727408495658</v>
      </c>
      <c r="M28" s="551">
        <f>'22'!$O$20</f>
        <v>3.3</v>
      </c>
      <c r="N28" s="551">
        <f>'22'!$O$21</f>
        <v>2.6</v>
      </c>
      <c r="O28" s="551">
        <f>'22'!$O$19</f>
        <v>2.9916666666666667</v>
      </c>
      <c r="P28" s="552">
        <f>'22'!$Y$34</f>
        <v>2665.9583333333335</v>
      </c>
      <c r="Q28" s="547">
        <f>'22'!$AB$36</f>
        <v>6</v>
      </c>
      <c r="R28" s="553" t="s">
        <v>295</v>
      </c>
      <c r="S28" s="547">
        <f>'22'!$Y$36</f>
        <v>0</v>
      </c>
      <c r="T28" s="554">
        <v>1</v>
      </c>
      <c r="U28" s="553">
        <v>80</v>
      </c>
      <c r="V28" s="555">
        <f>'22'!$A$41</f>
        <v>12</v>
      </c>
      <c r="W28" s="555">
        <f>'22'!$J$41</f>
        <v>12</v>
      </c>
      <c r="X28" s="556">
        <f>'22'!$B$41</f>
        <v>12</v>
      </c>
      <c r="Y28" s="556">
        <f>'22'!$H$45</f>
        <v>12</v>
      </c>
      <c r="Z28" s="557">
        <f>'22'!$C$41</f>
        <v>12</v>
      </c>
      <c r="AA28" s="557">
        <f>'22'!$O$41</f>
        <v>0</v>
      </c>
      <c r="AB28" s="557">
        <f>'22'!$Q$45</f>
        <v>12</v>
      </c>
      <c r="AC28" s="558">
        <f>'22'!$O$51</f>
        <v>12</v>
      </c>
      <c r="AD28" s="559">
        <f>'22'!$R$51</f>
        <v>12</v>
      </c>
      <c r="AE28" s="560">
        <f>'22'!$O$57</f>
        <v>12</v>
      </c>
      <c r="AF28" s="560">
        <f>'22'!$R$57</f>
        <v>12</v>
      </c>
      <c r="AG28" s="561">
        <f>'22'!$L$45</f>
        <v>1</v>
      </c>
      <c r="AH28" s="562">
        <f>'22'!$L$37</f>
        <v>0.05</v>
      </c>
    </row>
    <row r="29" spans="1:34" ht="17.25" customHeight="1">
      <c r="A29" s="545">
        <v>23</v>
      </c>
      <c r="B29" s="564">
        <f>'23'!$C$37</f>
        <v>83.7</v>
      </c>
      <c r="C29" s="564">
        <f>'23'!$D$37</f>
        <v>65.5</v>
      </c>
      <c r="D29" s="564">
        <f>'23'!$E$37</f>
        <v>58.5</v>
      </c>
      <c r="E29" s="547">
        <f>'23'!AA32</f>
        <v>30211.640000000003</v>
      </c>
      <c r="F29" s="548">
        <f>MAX('23'!$AB$6:$AB$29)</f>
        <v>69.225979398851749</v>
      </c>
      <c r="G29" s="548">
        <f>MIN('23'!$AB$6:$AB$29)</f>
        <v>60.812013578407026</v>
      </c>
      <c r="H29" s="548">
        <f>'23'!$AB$32</f>
        <v>65.659074870938056</v>
      </c>
      <c r="I29" s="549">
        <f>'23'!$AL$40</f>
        <v>851.24999999999989</v>
      </c>
      <c r="J29" s="550">
        <f>'23'!$AL$41</f>
        <v>3.6996328399620317</v>
      </c>
      <c r="K29" s="549">
        <f>'23'!$AQ$40</f>
        <v>2389.1750000000002</v>
      </c>
      <c r="L29" s="550">
        <f>'23'!$AQ$41</f>
        <v>10.383636170826771</v>
      </c>
      <c r="M29" s="551">
        <f>'23'!$O$20</f>
        <v>3.5</v>
      </c>
      <c r="N29" s="551">
        <f>'23'!$O$21</f>
        <v>3</v>
      </c>
      <c r="O29" s="551">
        <f>'23'!$O$19</f>
        <v>3.3249999999999997</v>
      </c>
      <c r="P29" s="552">
        <f>'23'!$Y$34</f>
        <v>2663.0833333333335</v>
      </c>
      <c r="Q29" s="547">
        <f>'23'!$AB$36</f>
        <v>0</v>
      </c>
      <c r="R29" s="553" t="s">
        <v>295</v>
      </c>
      <c r="S29" s="547">
        <f>'23'!$Y$36</f>
        <v>0</v>
      </c>
      <c r="T29" s="554">
        <v>1</v>
      </c>
      <c r="U29" s="553">
        <v>80</v>
      </c>
      <c r="V29" s="555">
        <f>'23'!$A$41</f>
        <v>12</v>
      </c>
      <c r="W29" s="555">
        <f>'23'!$J$41</f>
        <v>12</v>
      </c>
      <c r="X29" s="556">
        <f>'23'!$B$41</f>
        <v>12</v>
      </c>
      <c r="Y29" s="556">
        <f>'23'!$H$45</f>
        <v>12</v>
      </c>
      <c r="Z29" s="557">
        <f>'23'!$C$41</f>
        <v>12</v>
      </c>
      <c r="AA29" s="557">
        <f>'23'!$O$41</f>
        <v>0</v>
      </c>
      <c r="AB29" s="557">
        <f>'23'!$Q$45</f>
        <v>12</v>
      </c>
      <c r="AC29" s="558">
        <f>'23'!$O$51</f>
        <v>12</v>
      </c>
      <c r="AD29" s="559">
        <f>'23'!$R$51</f>
        <v>12</v>
      </c>
      <c r="AE29" s="560">
        <f>'23'!$O$57</f>
        <v>12</v>
      </c>
      <c r="AF29" s="560">
        <f>'23'!$R$57</f>
        <v>12</v>
      </c>
      <c r="AG29" s="561">
        <f>'23'!$L$45</f>
        <v>1</v>
      </c>
      <c r="AH29" s="562">
        <f>'23'!$L$37</f>
        <v>0</v>
      </c>
    </row>
    <row r="30" spans="1:34" ht="17.25" customHeight="1">
      <c r="A30" s="545">
        <v>24</v>
      </c>
      <c r="B30" s="564">
        <f>'24'!$C$37</f>
        <v>84.7</v>
      </c>
      <c r="C30" s="564">
        <f>'24'!$D$37</f>
        <v>64.599999999999994</v>
      </c>
      <c r="D30" s="564">
        <f>'24'!$E$37</f>
        <v>55.5</v>
      </c>
      <c r="E30" s="547">
        <f>'24'!AA32</f>
        <v>31249.68</v>
      </c>
      <c r="F30" s="548">
        <f>MAX('24'!$AB$6:$AB$29)</f>
        <v>70.449184088646504</v>
      </c>
      <c r="G30" s="548">
        <f>MIN('24'!$AB$6:$AB$29)</f>
        <v>66.731754817548179</v>
      </c>
      <c r="H30" s="548">
        <f>'24'!$AB$32</f>
        <v>68.309117809023249</v>
      </c>
      <c r="I30" s="549">
        <f>'24'!$AL$40</f>
        <v>0</v>
      </c>
      <c r="J30" s="550">
        <f>'24'!$AL$41</f>
        <v>0</v>
      </c>
      <c r="K30" s="549">
        <f>'24'!$AQ$40</f>
        <v>2451.6000000000008</v>
      </c>
      <c r="L30" s="550">
        <f>'24'!$AQ$41</f>
        <v>10.716140301184916</v>
      </c>
      <c r="M30" s="551">
        <f>'24'!$O$20</f>
        <v>3.5</v>
      </c>
      <c r="N30" s="551">
        <f>'24'!$O$21</f>
        <v>2.6</v>
      </c>
      <c r="O30" s="551">
        <f>'24'!$O$19</f>
        <v>2.8916666666666671</v>
      </c>
      <c r="P30" s="552">
        <f>'24'!$Y$34</f>
        <v>2647.875</v>
      </c>
      <c r="Q30" s="547">
        <f>'24'!$AB$36</f>
        <v>0</v>
      </c>
      <c r="R30" s="553" t="s">
        <v>295</v>
      </c>
      <c r="S30" s="547">
        <f>'24'!$Y$36</f>
        <v>0</v>
      </c>
      <c r="T30" s="554">
        <v>1</v>
      </c>
      <c r="U30" s="553">
        <v>80</v>
      </c>
      <c r="V30" s="555">
        <f>'24'!$A$41</f>
        <v>12</v>
      </c>
      <c r="W30" s="555">
        <f>'24'!$J$41</f>
        <v>12</v>
      </c>
      <c r="X30" s="556">
        <f>'24'!$B$41</f>
        <v>12</v>
      </c>
      <c r="Y30" s="556">
        <f>'24'!$H$45</f>
        <v>12</v>
      </c>
      <c r="Z30" s="557">
        <f>'24'!$C$41</f>
        <v>12</v>
      </c>
      <c r="AA30" s="557">
        <f>'24'!$O$41</f>
        <v>0</v>
      </c>
      <c r="AB30" s="557">
        <f>'24'!$Q$45</f>
        <v>12</v>
      </c>
      <c r="AC30" s="558">
        <f>'24'!$O$51</f>
        <v>12</v>
      </c>
      <c r="AD30" s="559">
        <f>'24'!$R$51</f>
        <v>12</v>
      </c>
      <c r="AE30" s="560">
        <f>'24'!$O$57</f>
        <v>12</v>
      </c>
      <c r="AF30" s="560">
        <f>'24'!$R$57</f>
        <v>12</v>
      </c>
      <c r="AG30" s="561">
        <f>'24'!$L$45</f>
        <v>1</v>
      </c>
      <c r="AH30" s="562">
        <f>'24'!$L$37</f>
        <v>0</v>
      </c>
    </row>
    <row r="31" spans="1:34" ht="17.25" customHeight="1">
      <c r="A31" s="545">
        <v>25</v>
      </c>
      <c r="B31" s="564">
        <f>'25'!$C$37</f>
        <v>82.6</v>
      </c>
      <c r="C31" s="564">
        <f>'25'!$D$37</f>
        <v>61.5</v>
      </c>
      <c r="D31" s="564">
        <f>'25'!$E$37</f>
        <v>54.5</v>
      </c>
      <c r="E31" s="547">
        <f>'25'!AA32</f>
        <v>31249.68</v>
      </c>
      <c r="F31" s="548">
        <f>MAX('25'!$AB$6:$AB$29)</f>
        <v>70.863266283524922</v>
      </c>
      <c r="G31" s="548">
        <f>MIN('25'!$AB$6:$AB$29)</f>
        <v>61.199003572100025</v>
      </c>
      <c r="H31" s="548">
        <f>'25'!$AB$32</f>
        <v>68.4223930142347</v>
      </c>
      <c r="I31" s="549">
        <f>'25'!$AL$40</f>
        <v>331.04166666666674</v>
      </c>
      <c r="J31" s="550">
        <f>'25'!$AL$41</f>
        <v>1.44869662888568</v>
      </c>
      <c r="K31" s="549">
        <f>'25'!$AQ$40</f>
        <v>2451.6000000000008</v>
      </c>
      <c r="L31" s="550">
        <f>'25'!$AQ$41</f>
        <v>10.728633320204809</v>
      </c>
      <c r="M31" s="551">
        <f>'25'!$O$20</f>
        <v>3.6</v>
      </c>
      <c r="N31" s="551">
        <f>'25'!$O$21</f>
        <v>2.6</v>
      </c>
      <c r="O31" s="551">
        <f>'25'!$O$19</f>
        <v>2.9000000000000004</v>
      </c>
      <c r="P31" s="552">
        <f>'25'!$Y$34</f>
        <v>2644.7916666666665</v>
      </c>
      <c r="Q31" s="547">
        <f>'25'!$AB$36</f>
        <v>0</v>
      </c>
      <c r="R31" s="553" t="s">
        <v>295</v>
      </c>
      <c r="S31" s="547">
        <f>'25'!$Y$36</f>
        <v>0</v>
      </c>
      <c r="T31" s="554">
        <v>1</v>
      </c>
      <c r="U31" s="553">
        <v>80</v>
      </c>
      <c r="V31" s="555">
        <f>'25'!$A$41</f>
        <v>12</v>
      </c>
      <c r="W31" s="555">
        <f>'25'!$J$41</f>
        <v>12</v>
      </c>
      <c r="X31" s="556">
        <f>'25'!$B$41</f>
        <v>12</v>
      </c>
      <c r="Y31" s="556">
        <f>'25'!$H$45</f>
        <v>12</v>
      </c>
      <c r="Z31" s="557">
        <f>'25'!$C$41</f>
        <v>12</v>
      </c>
      <c r="AA31" s="557">
        <f>'25'!$O$41</f>
        <v>6</v>
      </c>
      <c r="AB31" s="557">
        <f>'25'!$Q$45</f>
        <v>6</v>
      </c>
      <c r="AC31" s="558">
        <f>'25'!$O$51</f>
        <v>12</v>
      </c>
      <c r="AD31" s="559">
        <f>'25'!$R$51</f>
        <v>12</v>
      </c>
      <c r="AE31" s="560">
        <f>'25'!$O$57</f>
        <v>12</v>
      </c>
      <c r="AF31" s="560">
        <f>'25'!$R$57</f>
        <v>12</v>
      </c>
      <c r="AG31" s="561">
        <f>'25'!$L$45</f>
        <v>1</v>
      </c>
      <c r="AH31" s="562">
        <f>'25'!$L$37</f>
        <v>0.05</v>
      </c>
    </row>
    <row r="32" spans="1:34" ht="17.25" customHeight="1">
      <c r="A32" s="545">
        <v>26</v>
      </c>
      <c r="B32" s="564">
        <f>'26'!$C$37</f>
        <v>90.8</v>
      </c>
      <c r="C32" s="564">
        <f>'26'!$D$37</f>
        <v>56.5</v>
      </c>
      <c r="D32" s="564">
        <f>'26'!$E$37</f>
        <v>50.4</v>
      </c>
      <c r="E32" s="547">
        <f>'26'!AA32</f>
        <v>31249.68</v>
      </c>
      <c r="F32" s="548">
        <f>MAX('26'!$AB$6:$AB$29)</f>
        <v>70.6418185763889</v>
      </c>
      <c r="G32" s="548">
        <f>MIN('26'!$AB$9:$AB$29)</f>
        <v>67.833104109360676</v>
      </c>
      <c r="H32" s="548">
        <f>'26'!$AB$32</f>
        <v>69.30497700204036</v>
      </c>
      <c r="I32" s="549">
        <f>'26'!$AL$40</f>
        <v>472.9166666666668</v>
      </c>
      <c r="J32" s="550">
        <f>'26'!$AL$41</f>
        <v>2.0973551224692781</v>
      </c>
      <c r="K32" s="549">
        <f>'26'!$AQ$40</f>
        <v>2375.9333333333334</v>
      </c>
      <c r="L32" s="550">
        <f>'26'!$AQ$41</f>
        <v>10.537112135285652</v>
      </c>
      <c r="M32" s="551">
        <f>'26'!$O$20</f>
        <v>3.7</v>
      </c>
      <c r="N32" s="551">
        <f>'26'!$O$21</f>
        <v>3.5</v>
      </c>
      <c r="O32" s="551">
        <f>'26'!$O$19</f>
        <v>3.5666666666666669</v>
      </c>
      <c r="P32" s="552">
        <f>'26'!$Y$34</f>
        <v>2609.75</v>
      </c>
      <c r="Q32" s="547">
        <f>'26'!$AB$36</f>
        <v>3</v>
      </c>
      <c r="R32" s="553" t="s">
        <v>295</v>
      </c>
      <c r="S32" s="547">
        <f>'26'!$Y$36</f>
        <v>0</v>
      </c>
      <c r="T32" s="554">
        <v>1</v>
      </c>
      <c r="U32" s="553">
        <v>80</v>
      </c>
      <c r="V32" s="555">
        <f>'26'!$A$41</f>
        <v>12</v>
      </c>
      <c r="W32" s="555">
        <f>'26'!$J$41</f>
        <v>12</v>
      </c>
      <c r="X32" s="556">
        <f>'26'!$B$41</f>
        <v>12</v>
      </c>
      <c r="Y32" s="556">
        <f>'26'!$H$45</f>
        <v>12</v>
      </c>
      <c r="Z32" s="557">
        <f>'26'!$C$41</f>
        <v>12</v>
      </c>
      <c r="AA32" s="557">
        <f>'26'!$O$41</f>
        <v>12</v>
      </c>
      <c r="AB32" s="557">
        <f>'26'!$Q$45</f>
        <v>0</v>
      </c>
      <c r="AC32" s="558">
        <f>'26'!$O$51</f>
        <v>12</v>
      </c>
      <c r="AD32" s="559">
        <f>'26'!$R$51</f>
        <v>12</v>
      </c>
      <c r="AE32" s="560">
        <f>'26'!$O$57</f>
        <v>12</v>
      </c>
      <c r="AF32" s="560">
        <f>'26'!$R$57</f>
        <v>12</v>
      </c>
      <c r="AG32" s="561">
        <f>'26'!$L$45</f>
        <v>1</v>
      </c>
      <c r="AH32" s="562">
        <f>'26'!$L$37</f>
        <v>0.05</v>
      </c>
    </row>
    <row r="33" spans="1:35" ht="17.25" customHeight="1">
      <c r="A33" s="545">
        <v>27</v>
      </c>
      <c r="B33" s="564">
        <f>'27'!$C$37</f>
        <v>90.8</v>
      </c>
      <c r="C33" s="564">
        <f>'27'!$D$37</f>
        <v>60.5</v>
      </c>
      <c r="D33" s="564">
        <f>'27'!$E$37</f>
        <v>51.4</v>
      </c>
      <c r="E33" s="547">
        <f>'27'!AA32</f>
        <v>33867.120000000003</v>
      </c>
      <c r="F33" s="548">
        <f>MAX('27'!$AB$6:$AB$29)</f>
        <v>71.479468599033822</v>
      </c>
      <c r="G33" s="548">
        <f>MIN('27'!$AB$6:$AB$29)</f>
        <v>67.858557431728173</v>
      </c>
      <c r="H33" s="548">
        <f>'27'!$AB$32</f>
        <v>75.199870035488871</v>
      </c>
      <c r="I33" s="549">
        <f>'27'!$AL$40</f>
        <v>0</v>
      </c>
      <c r="J33" s="550">
        <f>'27'!$AL$41</f>
        <v>0</v>
      </c>
      <c r="K33" s="549">
        <f>'27'!$AQ$40</f>
        <v>2451.6000000000008</v>
      </c>
      <c r="L33" s="550">
        <f>'27'!$AQ$41</f>
        <v>10.942571584664336</v>
      </c>
      <c r="M33" s="551">
        <f>'27'!$O$20</f>
        <v>3.5</v>
      </c>
      <c r="N33" s="551">
        <f>'27'!$O$21</f>
        <v>3.2</v>
      </c>
      <c r="O33" s="551">
        <f>'27'!$O$19</f>
        <v>3.3181818181818183</v>
      </c>
      <c r="P33" s="552">
        <f>'27'!$Y$34</f>
        <v>2593.0833333333335</v>
      </c>
      <c r="Q33" s="547">
        <f>'27'!$AB$36</f>
        <v>5</v>
      </c>
      <c r="R33" s="553" t="s">
        <v>295</v>
      </c>
      <c r="S33" s="547">
        <f>'27'!$Y$36</f>
        <v>0</v>
      </c>
      <c r="T33" s="554">
        <v>1</v>
      </c>
      <c r="U33" s="553">
        <v>80</v>
      </c>
      <c r="V33" s="555">
        <f>'27'!$A$41</f>
        <v>12</v>
      </c>
      <c r="W33" s="555">
        <f>'27'!$J$41</f>
        <v>12</v>
      </c>
      <c r="X33" s="556">
        <f>'27'!$B$41</f>
        <v>12</v>
      </c>
      <c r="Y33" s="556">
        <f>'27'!$H$45</f>
        <v>12</v>
      </c>
      <c r="Z33" s="557">
        <f>'27'!$C$41</f>
        <v>12</v>
      </c>
      <c r="AA33" s="557">
        <f>'27'!$O$41</f>
        <v>7</v>
      </c>
      <c r="AB33" s="557">
        <f>'27'!$Q$45</f>
        <v>5</v>
      </c>
      <c r="AC33" s="558">
        <f>'27'!$O$51</f>
        <v>12</v>
      </c>
      <c r="AD33" s="559">
        <f>'27'!$R$51</f>
        <v>12</v>
      </c>
      <c r="AE33" s="560">
        <f>'27'!$O$57</f>
        <v>12</v>
      </c>
      <c r="AF33" s="560">
        <f>'27'!$R$57</f>
        <v>12</v>
      </c>
      <c r="AG33" s="561">
        <f>'27'!$L$45</f>
        <v>1</v>
      </c>
      <c r="AH33" s="562">
        <f>'27'!$L$37</f>
        <v>0</v>
      </c>
    </row>
    <row r="34" spans="1:35" ht="17.25" customHeight="1">
      <c r="A34" s="545">
        <v>28</v>
      </c>
      <c r="B34" s="564">
        <f>'28'!$C$37</f>
        <v>79.599999999999994</v>
      </c>
      <c r="C34" s="564">
        <f>'28'!$D$37</f>
        <v>64.5</v>
      </c>
      <c r="D34" s="564">
        <f>'28'!$E$37</f>
        <v>47.4</v>
      </c>
      <c r="E34" s="547">
        <f>'28'!AA32</f>
        <v>33867.120000000003</v>
      </c>
      <c r="F34" s="548">
        <f>MAX('28'!$AB$6:$AB$29)</f>
        <v>76.678512432620423</v>
      </c>
      <c r="G34" s="548">
        <f>MIN('28'!$AB$6:$AB$29)</f>
        <v>73.735996154167722</v>
      </c>
      <c r="H34" s="548">
        <f>'28'!$AB$32</f>
        <v>75.199870035488871</v>
      </c>
      <c r="I34" s="549">
        <f>'28'!$AL$40</f>
        <v>0</v>
      </c>
      <c r="J34" s="550">
        <f>'28'!$AL$41</f>
        <v>0</v>
      </c>
      <c r="K34" s="549">
        <f>'28'!$AQ$40</f>
        <v>2451.6000000000008</v>
      </c>
      <c r="L34" s="550">
        <f>'28'!$AQ$41</f>
        <v>10.88624592365241</v>
      </c>
      <c r="M34" s="551">
        <f>'28'!$O$20</f>
        <v>3.5</v>
      </c>
      <c r="N34" s="551">
        <f>'28'!$O$21</f>
        <v>3</v>
      </c>
      <c r="O34" s="551">
        <f>'28'!$O$19</f>
        <v>3.1416666666666671</v>
      </c>
      <c r="P34" s="552">
        <f>'28'!$Y$34</f>
        <v>2606.5</v>
      </c>
      <c r="Q34" s="547">
        <f>'28'!$AB$36</f>
        <v>0</v>
      </c>
      <c r="R34" s="553" t="s">
        <v>295</v>
      </c>
      <c r="S34" s="547">
        <f>'28'!$Y$36</f>
        <v>0</v>
      </c>
      <c r="T34" s="554">
        <v>1</v>
      </c>
      <c r="U34" s="553">
        <v>80</v>
      </c>
      <c r="V34" s="555">
        <f>'28'!$A$41</f>
        <v>12</v>
      </c>
      <c r="W34" s="555">
        <f>'28'!$J$41</f>
        <v>12</v>
      </c>
      <c r="X34" s="556">
        <f>'28'!$B$41</f>
        <v>12</v>
      </c>
      <c r="Y34" s="556">
        <f>'28'!$H$45</f>
        <v>12</v>
      </c>
      <c r="Z34" s="557">
        <f>'28'!$C$41</f>
        <v>12</v>
      </c>
      <c r="AA34" s="557">
        <f>'28'!$O$41</f>
        <v>3</v>
      </c>
      <c r="AB34" s="557">
        <f>'28'!$Q$45</f>
        <v>9</v>
      </c>
      <c r="AC34" s="558">
        <f>'28'!$O$51</f>
        <v>12</v>
      </c>
      <c r="AD34" s="559">
        <f>'28'!$R$51</f>
        <v>12</v>
      </c>
      <c r="AE34" s="560">
        <f>'28'!$O$57</f>
        <v>12</v>
      </c>
      <c r="AF34" s="560">
        <f>'28'!$R$57</f>
        <v>12</v>
      </c>
      <c r="AG34" s="561">
        <f>'28'!$L$45</f>
        <v>1</v>
      </c>
      <c r="AH34" s="562">
        <f>'28'!$L$37</f>
        <v>0</v>
      </c>
    </row>
    <row r="35" spans="1:35" ht="17.25" customHeight="1">
      <c r="A35" s="545">
        <v>29</v>
      </c>
      <c r="B35" s="564">
        <f>'29'!$C$37</f>
        <v>80.599999999999994</v>
      </c>
      <c r="C35" s="564">
        <f>'29'!$D$37</f>
        <v>54.4</v>
      </c>
      <c r="D35" s="564">
        <f>'29'!$E$37</f>
        <v>40.299999999999997</v>
      </c>
      <c r="E35" s="547">
        <f>'29'!AA32</f>
        <v>33867.120000000003</v>
      </c>
      <c r="F35" s="548">
        <f>MAX('29'!$AB$6:$AB$29)</f>
        <v>77.804794671606899</v>
      </c>
      <c r="G35" s="548">
        <f>MIN('29'!$AB$6:$AB$29)</f>
        <v>73.267393561786093</v>
      </c>
      <c r="H35" s="548">
        <f>'29'!$AB$32</f>
        <v>75.234841328067333</v>
      </c>
      <c r="I35" s="549">
        <f>'29'!$AL$40</f>
        <v>567.50000000000011</v>
      </c>
      <c r="J35" s="550">
        <f>'29'!$AL$41</f>
        <v>2.5206896429193275</v>
      </c>
      <c r="K35" s="549">
        <f>'29'!$AQ$40</f>
        <v>2345.6666666666661</v>
      </c>
      <c r="L35" s="550">
        <f>'29'!$AQ$41</f>
        <v>10.418850524066549</v>
      </c>
      <c r="M35" s="551">
        <f>'29'!$O$20</f>
        <v>3.3</v>
      </c>
      <c r="N35" s="551">
        <f>'29'!$O$21</f>
        <v>3</v>
      </c>
      <c r="O35" s="551">
        <f>'29'!$O$19</f>
        <v>3.1583333333333332</v>
      </c>
      <c r="P35" s="552">
        <f>'29'!$Y$34</f>
        <v>2605.75</v>
      </c>
      <c r="Q35" s="547">
        <f>'29'!$AB$36</f>
        <v>4</v>
      </c>
      <c r="R35" s="553" t="s">
        <v>295</v>
      </c>
      <c r="S35" s="547">
        <f>'29'!$Y$36</f>
        <v>0</v>
      </c>
      <c r="T35" s="554">
        <v>1</v>
      </c>
      <c r="U35" s="553">
        <v>80</v>
      </c>
      <c r="V35" s="555">
        <f>'29'!$A$41</f>
        <v>12</v>
      </c>
      <c r="W35" s="555">
        <f>'29'!$J$41</f>
        <v>12</v>
      </c>
      <c r="X35" s="556">
        <f>'29'!$B$41</f>
        <v>12</v>
      </c>
      <c r="Y35" s="556">
        <f>'29'!$H$45</f>
        <v>12</v>
      </c>
      <c r="Z35" s="557">
        <f>'29'!$C$41</f>
        <v>12</v>
      </c>
      <c r="AA35" s="557">
        <f>'29'!$O$41</f>
        <v>12</v>
      </c>
      <c r="AB35" s="557">
        <f>'29'!$Q$45</f>
        <v>0</v>
      </c>
      <c r="AC35" s="558">
        <f>'29'!$O$51</f>
        <v>12</v>
      </c>
      <c r="AD35" s="559">
        <f>'29'!$R$51</f>
        <v>12</v>
      </c>
      <c r="AE35" s="560">
        <f>'29'!$O$57</f>
        <v>12</v>
      </c>
      <c r="AF35" s="560">
        <f>'29'!$R$57</f>
        <v>12</v>
      </c>
      <c r="AG35" s="561">
        <f>'29'!$L$45</f>
        <v>1</v>
      </c>
      <c r="AH35" s="562">
        <f>'29'!$L$37</f>
        <v>0.05</v>
      </c>
    </row>
    <row r="36" spans="1:35" ht="17.25" customHeight="1">
      <c r="A36" s="545">
        <v>30</v>
      </c>
      <c r="B36" s="564">
        <f>'30'!$C$37</f>
        <v>85.7</v>
      </c>
      <c r="C36" s="564">
        <f>'30'!$D$37</f>
        <v>58.5</v>
      </c>
      <c r="D36" s="564">
        <f>'30'!$E$37</f>
        <v>50.4</v>
      </c>
      <c r="E36" s="547">
        <f>'30'!AA32</f>
        <v>33867.120000000003</v>
      </c>
      <c r="F36" s="548">
        <f>MAX('30'!$AB$6:$AB$29)</f>
        <v>77.100817379141546</v>
      </c>
      <c r="G36" s="548">
        <f>MIN('30'!$AB$6:$AB$29)</f>
        <v>73.902819674878501</v>
      </c>
      <c r="H36" s="548">
        <f>'30'!$AB$32</f>
        <v>75.701546708059809</v>
      </c>
      <c r="I36" s="549">
        <f>'30'!$AL$40</f>
        <v>261.05</v>
      </c>
      <c r="J36" s="550">
        <f>'30'!$AL$41</f>
        <v>1.1669062612868732</v>
      </c>
      <c r="K36" s="549">
        <f>'30'!$AQ$40</f>
        <v>2383.5000000000005</v>
      </c>
      <c r="L36" s="550">
        <f>'30'!$AQ$41</f>
        <v>10.654361516097541</v>
      </c>
      <c r="M36" s="551">
        <f>'30'!$O$20</f>
        <v>3.5</v>
      </c>
      <c r="N36" s="551">
        <f>'30'!$O$21</f>
        <v>3.2</v>
      </c>
      <c r="O36" s="551">
        <f>'30'!$O$19</f>
        <v>3.4249999999999994</v>
      </c>
      <c r="P36" s="552">
        <f>'30'!$Y$34</f>
        <v>2589.25</v>
      </c>
      <c r="Q36" s="547">
        <f>'30'!$AB$36</f>
        <v>6</v>
      </c>
      <c r="R36" s="553" t="s">
        <v>295</v>
      </c>
      <c r="S36" s="547">
        <f>'30'!$Y$36</f>
        <v>6</v>
      </c>
      <c r="T36" s="554">
        <v>1</v>
      </c>
      <c r="U36" s="553">
        <v>80</v>
      </c>
      <c r="V36" s="555">
        <f>'30'!$A$41</f>
        <v>12</v>
      </c>
      <c r="W36" s="555">
        <f>'30'!$J$41</f>
        <v>12</v>
      </c>
      <c r="X36" s="556">
        <f>'30'!$B$41</f>
        <v>12</v>
      </c>
      <c r="Y36" s="556">
        <f>'30'!$H$45</f>
        <v>12</v>
      </c>
      <c r="Z36" s="557">
        <f>'30'!$C$41</f>
        <v>12</v>
      </c>
      <c r="AA36" s="557">
        <f>'30'!$O$41</f>
        <v>8</v>
      </c>
      <c r="AB36" s="557">
        <f>'30'!$Q$45</f>
        <v>4</v>
      </c>
      <c r="AC36" s="558">
        <f>'30'!$O$51</f>
        <v>12</v>
      </c>
      <c r="AD36" s="559">
        <f>'30'!$R$51</f>
        <v>12</v>
      </c>
      <c r="AE36" s="560">
        <f>'30'!$O$57</f>
        <v>12</v>
      </c>
      <c r="AF36" s="560">
        <f>'30'!$R$57</f>
        <v>12</v>
      </c>
      <c r="AG36" s="561">
        <f>'30'!$L$45</f>
        <v>1</v>
      </c>
      <c r="AH36" s="562">
        <f>'30'!$L$37</f>
        <v>0</v>
      </c>
    </row>
    <row r="37" spans="1:35" ht="17.25" customHeight="1">
      <c r="A37" s="545">
        <v>31</v>
      </c>
      <c r="B37" s="564">
        <f>'31'!$C$37</f>
        <v>80.599999999999994</v>
      </c>
      <c r="C37" s="564">
        <f>'31'!$D$37</f>
        <v>52.4</v>
      </c>
      <c r="D37" s="564">
        <f>'31'!$E$37</f>
        <v>46.4</v>
      </c>
      <c r="E37" s="547">
        <f>'31'!AA32</f>
        <v>33867.120000000003</v>
      </c>
      <c r="F37" s="548">
        <f>MAX('31'!$AB$6:$AB$29)</f>
        <v>77.804794671606899</v>
      </c>
      <c r="G37" s="548">
        <f>MIN('31'!$AB$6:$AB$29)</f>
        <v>74.91983095480802</v>
      </c>
      <c r="H37" s="548">
        <f>'31'!$AB$32</f>
        <v>76.57863898029197</v>
      </c>
      <c r="I37" s="549">
        <f>'31'!$AL$40</f>
        <v>845.57500000000027</v>
      </c>
      <c r="J37" s="550">
        <f>'31'!$AL$41</f>
        <v>3.8235706404760625</v>
      </c>
      <c r="K37" s="549">
        <f>'31'!$AQ$40</f>
        <v>2375.9333333333348</v>
      </c>
      <c r="L37" s="550">
        <f>'31'!$AQ$41</f>
        <v>10.74363473028621</v>
      </c>
      <c r="M37" s="551">
        <f>'31'!$O$20</f>
        <v>3.5</v>
      </c>
      <c r="N37" s="551">
        <f>'31'!$O$21</f>
        <v>3</v>
      </c>
      <c r="O37" s="551">
        <f>'31'!$O$19</f>
        <v>3.2250000000000001</v>
      </c>
      <c r="P37" s="552">
        <f>'31'!$Y$34</f>
        <v>2559.5833333333335</v>
      </c>
      <c r="Q37" s="547">
        <f>'31'!$AB$36</f>
        <v>0</v>
      </c>
      <c r="R37" s="553" t="s">
        <v>295</v>
      </c>
      <c r="S37" s="547">
        <f>'31'!$Y$36</f>
        <v>0</v>
      </c>
      <c r="T37" s="554">
        <v>1</v>
      </c>
      <c r="U37" s="553">
        <v>80</v>
      </c>
      <c r="V37" s="555">
        <f>'31'!$A$41</f>
        <v>12</v>
      </c>
      <c r="W37" s="555">
        <f>'31'!$J$41</f>
        <v>12</v>
      </c>
      <c r="X37" s="556">
        <f>'31'!$B$41</f>
        <v>12</v>
      </c>
      <c r="Y37" s="556">
        <f>'31'!$H$45</f>
        <v>12</v>
      </c>
      <c r="Z37" s="557">
        <f>'31'!$C$41</f>
        <v>12</v>
      </c>
      <c r="AA37" s="557">
        <f>'31'!$O$41</f>
        <v>7</v>
      </c>
      <c r="AB37" s="557">
        <f>'31'!$Q$45</f>
        <v>5</v>
      </c>
      <c r="AC37" s="558">
        <f>'30'!$O$51</f>
        <v>12</v>
      </c>
      <c r="AD37" s="559">
        <f>'30'!$R$51</f>
        <v>12</v>
      </c>
      <c r="AE37" s="560">
        <f>'31'!$O$57</f>
        <v>12</v>
      </c>
      <c r="AF37" s="560">
        <f>'31'!$R$57</f>
        <v>12</v>
      </c>
      <c r="AG37" s="561">
        <f>'31'!$L$45</f>
        <v>1</v>
      </c>
      <c r="AH37" s="562">
        <f>'31'!$L$37</f>
        <v>0</v>
      </c>
    </row>
    <row r="38" spans="1:35" ht="17.25" customHeight="1">
      <c r="A38" s="565" t="s">
        <v>205</v>
      </c>
      <c r="B38" s="546">
        <f>MAX('Parte3 '!B7:B37)</f>
        <v>94.8</v>
      </c>
      <c r="C38" s="546">
        <f>MAX('Parte3 '!C7:C37)</f>
        <v>74.599999999999994</v>
      </c>
      <c r="D38" s="546">
        <f>MAX('Parte3 '!D7:D37)</f>
        <v>60.5</v>
      </c>
      <c r="E38" s="547"/>
      <c r="F38" s="548"/>
      <c r="G38" s="548"/>
      <c r="H38" s="548"/>
      <c r="I38" s="549"/>
      <c r="J38" s="550"/>
      <c r="K38" s="549"/>
      <c r="L38" s="550"/>
      <c r="M38" s="551">
        <f>MAX('Parte3 '!M7:M37)</f>
        <v>3.8</v>
      </c>
      <c r="N38" s="548"/>
      <c r="O38" s="548"/>
      <c r="P38" s="1196"/>
      <c r="Q38" s="1196"/>
      <c r="R38" s="1196"/>
      <c r="S38" s="1196"/>
      <c r="T38" s="1196"/>
      <c r="U38" s="1196"/>
      <c r="V38" s="1197"/>
      <c r="W38" s="1197"/>
      <c r="X38" s="1197"/>
      <c r="Y38" s="1197"/>
      <c r="Z38" s="1197"/>
      <c r="AA38" s="1197"/>
      <c r="AB38" s="1197"/>
      <c r="AC38" s="1197"/>
      <c r="AD38" s="1197"/>
      <c r="AE38" s="1197"/>
      <c r="AF38" s="1197"/>
      <c r="AG38" s="1197"/>
      <c r="AH38" s="1197"/>
    </row>
    <row r="39" spans="1:35" ht="17.25" customHeight="1">
      <c r="A39" s="566" t="s">
        <v>206</v>
      </c>
      <c r="B39" s="546">
        <f>MIN('Parte3 '!B7:B37)</f>
        <v>74.8</v>
      </c>
      <c r="C39" s="546">
        <f>MIN('Parte3 '!C7:C37)</f>
        <v>50.4</v>
      </c>
      <c r="D39" s="546">
        <f>MIN('Parte3 '!D7:D37)</f>
        <v>35</v>
      </c>
      <c r="E39" s="567"/>
      <c r="F39" s="567"/>
      <c r="G39" s="567"/>
      <c r="H39" s="567"/>
      <c r="I39" s="567"/>
      <c r="J39" s="567"/>
      <c r="K39" s="567"/>
      <c r="L39" s="567"/>
      <c r="M39" s="566"/>
      <c r="N39" s="551">
        <f>MIN('Parte3 '!N7:N37)</f>
        <v>1.5</v>
      </c>
      <c r="O39" s="566"/>
      <c r="P39" s="567"/>
      <c r="Q39" s="1198" t="s">
        <v>296</v>
      </c>
      <c r="R39" s="1198"/>
      <c r="S39" s="1199" t="s">
        <v>297</v>
      </c>
      <c r="T39" s="1199"/>
      <c r="U39" s="1199"/>
      <c r="V39" s="568">
        <f>'Parte3 '!$A$37*12</f>
        <v>372</v>
      </c>
      <c r="W39" s="569"/>
      <c r="X39" s="568">
        <f>'Parte3 '!V39</f>
        <v>372</v>
      </c>
      <c r="Y39" s="569"/>
      <c r="Z39" s="569">
        <f>'Parte3 '!A37*12</f>
        <v>372</v>
      </c>
      <c r="AA39" s="569"/>
      <c r="AB39" s="570"/>
      <c r="AC39" s="568">
        <f>'Parte3 '!V39</f>
        <v>372</v>
      </c>
      <c r="AD39" s="535"/>
      <c r="AE39" s="571">
        <f>V39</f>
        <v>372</v>
      </c>
      <c r="AF39" s="535"/>
      <c r="AG39" s="420">
        <v>8</v>
      </c>
      <c r="AH39" s="535"/>
    </row>
    <row r="40" spans="1:35" ht="17.25" customHeight="1">
      <c r="A40" s="566" t="s">
        <v>207</v>
      </c>
      <c r="B40" s="546">
        <f>AVERAGE('Parte3 '!B7:B37)</f>
        <v>83.454838709677432</v>
      </c>
      <c r="C40" s="546">
        <f>AVERAGE('Parte3 '!C7:C37)</f>
        <v>59.096774193548384</v>
      </c>
      <c r="D40" s="546">
        <f>AVERAGE('Parte3 '!D7:D37)</f>
        <v>51.090322580645172</v>
      </c>
      <c r="E40" s="572">
        <f>AVERAGE('Parte3 '!E7:E37)</f>
        <v>30137.650645161291</v>
      </c>
      <c r="F40" s="1205"/>
      <c r="G40" s="1205"/>
      <c r="H40" s="573">
        <f>AVERAGE('Parte3 '!H7:H37)</f>
        <v>66.338850119054428</v>
      </c>
      <c r="I40" s="573"/>
      <c r="J40" s="573"/>
      <c r="K40" s="573"/>
      <c r="L40" s="573"/>
      <c r="M40" s="573"/>
      <c r="N40" s="573"/>
      <c r="O40" s="551">
        <f>AVERAGE('Parte3 '!O7:O37)</f>
        <v>3.1374144672531767</v>
      </c>
      <c r="P40" s="572">
        <f>AVERAGE('Parte3 '!P7:P37)</f>
        <v>2631.1155913978487</v>
      </c>
      <c r="Q40" s="547">
        <f>SUM('Parte3 '!Q7:Q37)</f>
        <v>53</v>
      </c>
      <c r="R40" s="547"/>
      <c r="S40" s="547">
        <f>SUM('Parte3 '!S7:S37)</f>
        <v>7</v>
      </c>
      <c r="T40" s="547">
        <f>SUM('Parte3 '!T7:T37)</f>
        <v>31</v>
      </c>
      <c r="U40" s="547"/>
      <c r="V40" s="574">
        <f>SUM('Parte3 '!V7:V37)</f>
        <v>372</v>
      </c>
      <c r="W40" s="574">
        <f>SUM('Parte3 '!W7:W37)</f>
        <v>372</v>
      </c>
      <c r="X40" s="556">
        <f>SUM('Parte3 '!X7:X37)</f>
        <v>372</v>
      </c>
      <c r="Y40" s="556">
        <f>SUM('Parte3 '!Y7:Y37)</f>
        <v>372</v>
      </c>
      <c r="Z40" s="557">
        <f>SUM('Parte3 '!Z7:Z37)</f>
        <v>372</v>
      </c>
      <c r="AA40" s="557">
        <f>SUM('Parte3 '!AA7:AA37)</f>
        <v>266</v>
      </c>
      <c r="AB40" s="557">
        <f>SUM('Parte3 '!AB7:AB37)</f>
        <v>106</v>
      </c>
      <c r="AC40" s="558">
        <f>SUM('Parte3 '!AC7:AC37)</f>
        <v>372</v>
      </c>
      <c r="AD40" s="558">
        <f>SUM('Parte3 '!AD7:AD37)</f>
        <v>372</v>
      </c>
      <c r="AE40" s="560">
        <f>SUM(AE7:AE37)</f>
        <v>372</v>
      </c>
      <c r="AF40" s="560">
        <f>SUM(AF7:AF37)</f>
        <v>372</v>
      </c>
      <c r="AG40" s="561">
        <f>SUM('Parte3 '!AG7:AG37)</f>
        <v>31</v>
      </c>
      <c r="AH40" s="535"/>
    </row>
    <row r="41" spans="1:35" ht="12.75" customHeight="1">
      <c r="A41" s="575" t="s">
        <v>234</v>
      </c>
      <c r="B41" s="576"/>
      <c r="C41" s="576"/>
      <c r="D41" s="577"/>
      <c r="E41" s="577"/>
      <c r="F41" s="577"/>
      <c r="G41" s="577"/>
      <c r="H41" s="577"/>
      <c r="I41" s="577"/>
      <c r="J41" s="577"/>
      <c r="K41" s="577"/>
      <c r="L41" s="577"/>
      <c r="M41" s="577"/>
      <c r="N41" s="1206"/>
      <c r="O41" s="1206"/>
      <c r="P41" s="1206"/>
      <c r="Q41" s="1206"/>
      <c r="R41" s="1206"/>
      <c r="S41" s="1206"/>
      <c r="T41" s="1206"/>
      <c r="U41" s="1206"/>
      <c r="V41" s="1206"/>
      <c r="W41" s="1206"/>
      <c r="X41" s="1206"/>
      <c r="Y41" s="1206"/>
      <c r="Z41" s="1206"/>
      <c r="AA41" s="1206"/>
      <c r="AB41" s="1206"/>
    </row>
    <row r="42" spans="1:35" ht="12.75" customHeight="1">
      <c r="A42" s="578"/>
      <c r="B42" s="579"/>
      <c r="C42" s="579"/>
      <c r="D42" s="577"/>
      <c r="E42" s="577"/>
      <c r="F42" s="577"/>
      <c r="G42" s="577"/>
      <c r="H42" s="577"/>
      <c r="I42" s="577"/>
      <c r="J42" s="577"/>
      <c r="K42" s="577"/>
      <c r="L42" s="577"/>
      <c r="M42" s="577"/>
      <c r="N42" s="580"/>
      <c r="O42" s="581"/>
      <c r="P42" s="1207" t="s">
        <v>298</v>
      </c>
      <c r="Q42" s="1207"/>
      <c r="R42" s="581"/>
      <c r="U42" s="1208"/>
      <c r="V42" s="1208"/>
      <c r="W42" s="1208"/>
      <c r="X42" s="1208"/>
      <c r="Y42" s="582"/>
      <c r="Z42" s="582"/>
      <c r="AA42" s="581"/>
      <c r="AB42" s="583"/>
    </row>
    <row r="43" spans="1:35" ht="12.75" customHeight="1">
      <c r="A43" s="584"/>
      <c r="B43" s="579"/>
      <c r="C43" s="579"/>
      <c r="D43" s="577"/>
      <c r="E43" s="577"/>
      <c r="F43" s="577"/>
      <c r="G43" s="577"/>
      <c r="H43" s="577"/>
      <c r="I43" s="577"/>
      <c r="J43" s="577"/>
      <c r="K43" s="577"/>
      <c r="L43" s="577"/>
      <c r="M43" s="577"/>
      <c r="N43" s="1206"/>
      <c r="O43" s="1206"/>
      <c r="P43" s="1206"/>
      <c r="Q43" s="1206"/>
      <c r="R43" s="1206"/>
      <c r="S43" s="1206"/>
      <c r="T43" s="1206"/>
      <c r="U43" s="1206"/>
      <c r="V43" s="1206"/>
      <c r="W43" s="1206"/>
      <c r="X43" s="1206"/>
      <c r="Y43" s="1206"/>
      <c r="Z43" s="1206"/>
      <c r="AA43" s="1206"/>
      <c r="AB43" s="1206"/>
    </row>
    <row r="44" spans="1:35" ht="12.75" customHeight="1">
      <c r="A44" s="584"/>
      <c r="B44" s="579"/>
      <c r="C44" s="579"/>
      <c r="D44" s="577"/>
      <c r="E44" s="577"/>
      <c r="F44" s="577"/>
      <c r="G44" s="577"/>
      <c r="H44" s="577"/>
      <c r="I44" s="577"/>
      <c r="J44" s="577"/>
      <c r="K44" s="577"/>
      <c r="L44" s="577"/>
      <c r="M44" s="577"/>
      <c r="N44" s="575"/>
      <c r="O44" s="585"/>
      <c r="P44" s="586" t="s">
        <v>299</v>
      </c>
      <c r="Q44" s="585"/>
      <c r="R44" s="585"/>
      <c r="T44" s="586"/>
      <c r="U44" s="587"/>
      <c r="V44" s="587"/>
      <c r="W44" s="587"/>
      <c r="X44" s="587"/>
      <c r="Y44" s="587"/>
      <c r="Z44" s="587" t="s">
        <v>259</v>
      </c>
      <c r="AA44" s="582"/>
      <c r="AB44" s="588"/>
    </row>
    <row r="45" spans="1:35" ht="13.5" customHeight="1">
      <c r="A45" s="589"/>
      <c r="B45" s="590"/>
      <c r="C45" s="590"/>
      <c r="D45" s="591"/>
      <c r="E45" s="591"/>
      <c r="F45" s="591"/>
      <c r="G45" s="591"/>
      <c r="H45" s="591"/>
      <c r="I45" s="591"/>
      <c r="J45" s="591"/>
      <c r="K45" s="591"/>
      <c r="L45" s="591"/>
      <c r="M45" s="591"/>
      <c r="N45" s="1209"/>
      <c r="O45" s="1209"/>
      <c r="P45" s="1209"/>
      <c r="Q45" s="1209"/>
      <c r="R45" s="1209"/>
      <c r="S45" s="1209"/>
      <c r="T45" s="1209"/>
      <c r="U45" s="1209"/>
      <c r="V45" s="1209"/>
      <c r="W45" s="1209"/>
      <c r="X45" s="1209"/>
      <c r="Y45" s="1209"/>
      <c r="Z45" s="1209"/>
      <c r="AA45" s="1209"/>
      <c r="AB45" s="1209"/>
    </row>
    <row r="46" spans="1:35" ht="17.25" customHeight="1">
      <c r="A46" s="592"/>
      <c r="B46" s="593"/>
      <c r="C46" s="593"/>
      <c r="D46" s="593"/>
      <c r="E46" s="593"/>
      <c r="F46" s="593"/>
      <c r="G46" s="593"/>
      <c r="H46" s="593"/>
      <c r="I46" s="593"/>
      <c r="J46" s="593"/>
      <c r="K46" s="593"/>
      <c r="L46" s="593"/>
      <c r="M46" s="594"/>
      <c r="N46" s="594"/>
      <c r="O46" s="594"/>
      <c r="P46" s="594"/>
      <c r="Q46" s="595"/>
      <c r="R46" s="595"/>
      <c r="S46" s="595"/>
      <c r="T46" s="595"/>
      <c r="U46" s="595"/>
      <c r="V46" s="595"/>
      <c r="W46" s="595"/>
      <c r="X46" s="596"/>
      <c r="Y46" s="596"/>
      <c r="Z46" s="596"/>
      <c r="AA46" s="596"/>
      <c r="AB46" s="596"/>
      <c r="AC46" s="596"/>
      <c r="AD46" s="596"/>
      <c r="AE46" s="596"/>
      <c r="AF46" s="596"/>
      <c r="AG46" s="596"/>
    </row>
    <row r="47" spans="1:35" ht="17.25" customHeight="1">
      <c r="A47" s="592"/>
      <c r="B47" s="593"/>
      <c r="C47" s="593"/>
      <c r="D47" s="593"/>
      <c r="E47" s="593"/>
      <c r="F47" s="593"/>
      <c r="G47" s="593"/>
      <c r="H47" s="593"/>
      <c r="I47" s="593"/>
      <c r="J47" s="593"/>
      <c r="K47" s="593"/>
      <c r="L47" s="593"/>
      <c r="M47" s="594"/>
      <c r="N47" s="594"/>
      <c r="O47" s="594"/>
      <c r="P47" s="594"/>
      <c r="Q47" s="595"/>
      <c r="R47" s="595"/>
      <c r="S47" s="595"/>
      <c r="T47" s="595"/>
      <c r="U47" s="595"/>
      <c r="V47" s="595"/>
      <c r="W47" s="595"/>
      <c r="X47" s="596"/>
      <c r="Y47" s="596"/>
      <c r="Z47" s="596"/>
      <c r="AA47" s="596"/>
      <c r="AB47" s="596"/>
      <c r="AC47" s="596"/>
      <c r="AD47" s="596"/>
      <c r="AE47" s="596"/>
      <c r="AF47" s="596"/>
      <c r="AG47" s="596"/>
    </row>
    <row r="48" spans="1:35" ht="12.75" customHeight="1">
      <c r="AG48" s="597" t="s">
        <v>300</v>
      </c>
      <c r="AH48" s="598">
        <f>MAX('Parte3 '!AH7:AH36)</f>
        <v>0.05</v>
      </c>
      <c r="AI48" s="599"/>
    </row>
    <row r="49" spans="1:35" ht="12.75" customHeight="1">
      <c r="W49" s="600"/>
      <c r="AG49" s="597" t="s">
        <v>301</v>
      </c>
      <c r="AH49" s="598">
        <f>MIN('Parte3 '!AH7:AH36)</f>
        <v>0</v>
      </c>
      <c r="AI49" s="599"/>
    </row>
    <row r="50" spans="1:35" ht="12.75" customHeight="1">
      <c r="W50" s="600"/>
      <c r="AG50" s="597" t="s">
        <v>302</v>
      </c>
      <c r="AH50" s="598">
        <f>AVERAGE('Parte3 '!AH7:AH36)</f>
        <v>3.500000000000001E-2</v>
      </c>
      <c r="AI50" s="599"/>
    </row>
    <row r="51" spans="1:35" ht="12.75" customHeight="1">
      <c r="A51" s="500"/>
      <c r="B51" s="1210" t="s">
        <v>303</v>
      </c>
      <c r="C51" s="1210"/>
      <c r="D51" s="1210"/>
      <c r="W51" s="600"/>
      <c r="AI51" s="122"/>
    </row>
    <row r="52" spans="1:35" ht="12.75" customHeight="1">
      <c r="A52" s="601"/>
      <c r="B52" s="602" t="s">
        <v>225</v>
      </c>
      <c r="C52" s="602" t="s">
        <v>304</v>
      </c>
      <c r="D52" s="603" t="s">
        <v>43</v>
      </c>
      <c r="W52" s="600"/>
    </row>
    <row r="53" spans="1:35" ht="12.75" customHeight="1">
      <c r="A53" s="604">
        <v>1</v>
      </c>
      <c r="B53" s="605">
        <v>59.8</v>
      </c>
      <c r="C53" s="605">
        <v>29.9</v>
      </c>
      <c r="D53" s="524">
        <v>27.9</v>
      </c>
      <c r="I53" s="606"/>
      <c r="J53" s="606"/>
      <c r="K53" s="606"/>
      <c r="W53" s="600"/>
    </row>
    <row r="54" spans="1:35" ht="12.75" customHeight="1">
      <c r="A54" s="430">
        <v>2</v>
      </c>
      <c r="B54" s="605">
        <v>57.8</v>
      </c>
      <c r="C54" s="605">
        <v>30.9</v>
      </c>
      <c r="D54" s="524">
        <v>26.9</v>
      </c>
      <c r="I54" s="606"/>
      <c r="J54" s="606"/>
      <c r="K54" s="606"/>
      <c r="W54" s="600"/>
    </row>
    <row r="55" spans="1:35" ht="12.75" customHeight="1">
      <c r="A55" s="430">
        <v>3</v>
      </c>
      <c r="B55" s="605">
        <v>63.7</v>
      </c>
      <c r="C55" s="605">
        <v>39.799999999999997</v>
      </c>
      <c r="D55" s="524">
        <v>37.799999999999997</v>
      </c>
      <c r="I55" s="606"/>
      <c r="J55" s="606"/>
      <c r="K55" s="606"/>
      <c r="W55" s="600"/>
    </row>
    <row r="56" spans="1:35" ht="12.75" customHeight="1">
      <c r="A56" s="430">
        <v>4</v>
      </c>
      <c r="B56" s="605">
        <v>60.7</v>
      </c>
      <c r="C56" s="605">
        <v>38.799999999999997</v>
      </c>
      <c r="D56" s="524">
        <v>35.799999999999997</v>
      </c>
      <c r="I56" s="606"/>
      <c r="J56" s="606"/>
      <c r="K56" s="606"/>
      <c r="W56" s="600"/>
    </row>
    <row r="57" spans="1:35" ht="12.75" customHeight="1">
      <c r="A57" s="430">
        <v>5</v>
      </c>
      <c r="B57" s="605">
        <v>59.8</v>
      </c>
      <c r="C57" s="605">
        <v>36.799999999999997</v>
      </c>
      <c r="D57" s="524">
        <v>33.799999999999997</v>
      </c>
      <c r="I57" s="606"/>
      <c r="J57" s="606"/>
      <c r="K57" s="606"/>
      <c r="W57" s="600"/>
    </row>
    <row r="58" spans="1:35" ht="12.75" customHeight="1">
      <c r="A58" s="430">
        <v>6</v>
      </c>
      <c r="B58" s="605">
        <v>61.7</v>
      </c>
      <c r="C58" s="605">
        <v>31.9</v>
      </c>
      <c r="D58" s="524">
        <v>31.9</v>
      </c>
      <c r="I58" s="606"/>
      <c r="J58" s="606"/>
      <c r="K58" s="606"/>
      <c r="W58" s="600"/>
    </row>
    <row r="59" spans="1:35" ht="12.75" customHeight="1">
      <c r="A59" s="430">
        <v>7</v>
      </c>
      <c r="B59" s="605">
        <v>58.7</v>
      </c>
      <c r="C59" s="605">
        <v>33.9</v>
      </c>
      <c r="D59" s="524">
        <v>31.9</v>
      </c>
      <c r="I59" s="606"/>
      <c r="J59" s="606"/>
      <c r="K59" s="606"/>
      <c r="W59" s="600"/>
    </row>
    <row r="60" spans="1:35" ht="12.75" customHeight="1">
      <c r="A60" s="430">
        <v>8</v>
      </c>
      <c r="B60" s="605">
        <v>60.7</v>
      </c>
      <c r="C60" s="605">
        <v>35.799999999999997</v>
      </c>
      <c r="D60" s="524">
        <v>34.9</v>
      </c>
      <c r="I60" s="606"/>
      <c r="J60" s="606"/>
      <c r="K60" s="606"/>
      <c r="W60" s="600"/>
    </row>
    <row r="61" spans="1:35" ht="12.75" customHeight="1">
      <c r="A61" s="430">
        <v>9</v>
      </c>
      <c r="B61" s="605">
        <v>61.7</v>
      </c>
      <c r="C61" s="605">
        <v>33.9</v>
      </c>
      <c r="D61" s="524">
        <v>27.9</v>
      </c>
      <c r="I61" s="606"/>
      <c r="J61" s="606"/>
      <c r="K61" s="606"/>
      <c r="W61" s="600"/>
    </row>
    <row r="62" spans="1:35" ht="12.75" customHeight="1">
      <c r="A62" s="430">
        <v>10</v>
      </c>
      <c r="B62" s="605">
        <v>60.7</v>
      </c>
      <c r="C62" s="605">
        <v>34.9</v>
      </c>
      <c r="D62" s="524">
        <v>29.9</v>
      </c>
      <c r="I62" s="606"/>
      <c r="J62" s="606"/>
      <c r="K62" s="606"/>
      <c r="W62" s="600"/>
    </row>
    <row r="63" spans="1:35" ht="12.75" customHeight="1">
      <c r="A63" s="430">
        <v>11</v>
      </c>
      <c r="B63" s="605">
        <v>61.7</v>
      </c>
      <c r="C63" s="605">
        <v>35.799999999999997</v>
      </c>
      <c r="D63" s="524">
        <v>31.9</v>
      </c>
      <c r="I63" s="606"/>
      <c r="J63" s="606"/>
      <c r="K63" s="606"/>
      <c r="W63" s="600"/>
    </row>
    <row r="64" spans="1:35" ht="12.75" customHeight="1">
      <c r="A64" s="430">
        <v>12</v>
      </c>
      <c r="B64" s="605">
        <v>57.8</v>
      </c>
      <c r="C64" s="605">
        <v>33.799999999999997</v>
      </c>
      <c r="D64" s="524">
        <v>29.9</v>
      </c>
      <c r="I64" s="606"/>
      <c r="J64" s="606"/>
      <c r="K64" s="606"/>
      <c r="W64" s="600"/>
    </row>
    <row r="65" spans="1:23" ht="12.75" customHeight="1">
      <c r="A65" s="430">
        <v>13</v>
      </c>
      <c r="B65" s="605">
        <v>59.8</v>
      </c>
      <c r="C65" s="605">
        <v>34.9</v>
      </c>
      <c r="D65" s="524">
        <v>30.9</v>
      </c>
      <c r="I65" s="606"/>
      <c r="J65" s="606"/>
      <c r="K65" s="606"/>
      <c r="W65" s="600"/>
    </row>
    <row r="66" spans="1:23" ht="12.75" customHeight="1">
      <c r="A66" s="430">
        <v>14</v>
      </c>
      <c r="B66" s="605">
        <v>57.7</v>
      </c>
      <c r="C66" s="605">
        <v>27.8</v>
      </c>
      <c r="D66" s="524">
        <v>25.8</v>
      </c>
      <c r="I66" s="606"/>
      <c r="J66" s="606"/>
      <c r="K66" s="606"/>
      <c r="W66" s="600"/>
    </row>
    <row r="67" spans="1:23" ht="12.75" customHeight="1">
      <c r="A67" s="430">
        <v>15</v>
      </c>
      <c r="B67" s="605">
        <v>60.7</v>
      </c>
      <c r="C67" s="605">
        <v>33.9</v>
      </c>
      <c r="D67" s="605">
        <v>29.9</v>
      </c>
      <c r="I67" s="606"/>
      <c r="J67" s="606"/>
      <c r="K67" s="606"/>
      <c r="W67" s="600"/>
    </row>
    <row r="68" spans="1:23" ht="12.75" customHeight="1">
      <c r="A68" s="430">
        <v>16</v>
      </c>
      <c r="B68" s="494"/>
      <c r="C68" s="494"/>
      <c r="D68" s="494"/>
      <c r="I68" s="606"/>
      <c r="J68" s="606"/>
      <c r="K68" s="606"/>
      <c r="W68" s="600"/>
    </row>
    <row r="69" spans="1:23" ht="12.75" customHeight="1">
      <c r="A69" s="430">
        <v>17</v>
      </c>
      <c r="B69" s="494"/>
      <c r="C69" s="494"/>
      <c r="D69" s="494"/>
      <c r="I69" s="606"/>
      <c r="J69" s="606"/>
      <c r="K69" s="606"/>
      <c r="W69" s="600"/>
    </row>
    <row r="70" spans="1:23" ht="12.75" customHeight="1">
      <c r="A70" s="430">
        <v>18</v>
      </c>
      <c r="B70" s="494"/>
      <c r="C70" s="494"/>
      <c r="D70" s="494"/>
      <c r="I70" s="606"/>
      <c r="J70" s="606"/>
      <c r="K70" s="606"/>
      <c r="W70" s="600"/>
    </row>
    <row r="71" spans="1:23" ht="12.75" customHeight="1">
      <c r="A71" s="430">
        <v>19</v>
      </c>
      <c r="B71" s="494"/>
      <c r="C71" s="494"/>
      <c r="D71" s="494"/>
      <c r="I71" s="606"/>
      <c r="J71" s="606"/>
      <c r="K71" s="606"/>
      <c r="W71" s="600"/>
    </row>
    <row r="72" spans="1:23" ht="12.75" customHeight="1">
      <c r="A72" s="430">
        <v>20</v>
      </c>
      <c r="B72" s="494"/>
      <c r="C72" s="494"/>
      <c r="D72" s="494"/>
      <c r="I72" s="606"/>
      <c r="J72" s="606"/>
      <c r="K72" s="606"/>
      <c r="W72" s="600"/>
    </row>
    <row r="73" spans="1:23" ht="12.75" customHeight="1">
      <c r="A73" s="430">
        <v>21</v>
      </c>
      <c r="B73" s="494"/>
      <c r="C73" s="494"/>
      <c r="D73" s="494"/>
      <c r="I73" s="606"/>
      <c r="J73" s="606"/>
      <c r="K73" s="606"/>
      <c r="W73" s="600"/>
    </row>
    <row r="74" spans="1:23" ht="12.75" customHeight="1">
      <c r="A74" s="430">
        <v>22</v>
      </c>
      <c r="B74" s="494"/>
      <c r="C74" s="494"/>
      <c r="D74" s="494"/>
      <c r="I74" s="606"/>
      <c r="J74" s="606"/>
      <c r="K74" s="606"/>
      <c r="W74" s="600"/>
    </row>
    <row r="75" spans="1:23" ht="12.75" customHeight="1">
      <c r="A75" s="430">
        <v>23</v>
      </c>
      <c r="B75" s="494"/>
      <c r="C75" s="494"/>
      <c r="D75" s="494"/>
      <c r="I75" s="606"/>
      <c r="J75" s="606"/>
      <c r="K75" s="606"/>
      <c r="W75" s="600"/>
    </row>
    <row r="76" spans="1:23" ht="12.75" customHeight="1">
      <c r="A76" s="430">
        <v>24</v>
      </c>
      <c r="B76" s="494"/>
      <c r="C76" s="494"/>
      <c r="D76" s="494"/>
      <c r="I76" s="606"/>
      <c r="J76" s="606"/>
      <c r="K76" s="606"/>
      <c r="W76" s="600"/>
    </row>
    <row r="77" spans="1:23" ht="12.75" customHeight="1">
      <c r="A77" s="430">
        <v>25</v>
      </c>
      <c r="B77" s="494"/>
      <c r="C77" s="494"/>
      <c r="D77" s="494"/>
      <c r="I77" s="606"/>
      <c r="J77" s="606"/>
      <c r="K77" s="606"/>
      <c r="W77" s="600"/>
    </row>
    <row r="78" spans="1:23" ht="12.75" customHeight="1">
      <c r="A78" s="430">
        <v>26</v>
      </c>
      <c r="B78" s="494"/>
      <c r="C78" s="494"/>
      <c r="D78" s="494"/>
      <c r="I78" s="606"/>
      <c r="J78" s="606"/>
      <c r="K78" s="606"/>
      <c r="W78" s="600"/>
    </row>
    <row r="79" spans="1:23" ht="12.75" customHeight="1">
      <c r="A79" s="430">
        <v>27</v>
      </c>
      <c r="B79" s="494"/>
      <c r="C79" s="494"/>
      <c r="D79" s="494"/>
      <c r="I79" s="606"/>
      <c r="J79" s="606"/>
      <c r="K79" s="606"/>
      <c r="W79" s="600"/>
    </row>
    <row r="80" spans="1:23" ht="12.75" customHeight="1">
      <c r="A80" s="430">
        <v>28</v>
      </c>
      <c r="B80" s="500"/>
      <c r="C80" s="500"/>
      <c r="D80" s="500"/>
      <c r="W80" s="600"/>
    </row>
    <row r="81" spans="1:23" ht="12.75" customHeight="1">
      <c r="A81" s="430">
        <v>29</v>
      </c>
      <c r="B81" s="500"/>
      <c r="C81" s="500"/>
      <c r="D81" s="500"/>
      <c r="W81" s="600"/>
    </row>
    <row r="82" spans="1:23" ht="12.75" customHeight="1">
      <c r="A82" s="430">
        <v>30</v>
      </c>
      <c r="B82" s="500"/>
      <c r="C82" s="500"/>
      <c r="D82" s="500"/>
      <c r="W82" s="600"/>
    </row>
    <row r="83" spans="1:23" ht="12.75" customHeight="1">
      <c r="A83" s="528">
        <v>31</v>
      </c>
      <c r="B83" s="500"/>
      <c r="C83" s="500"/>
      <c r="D83" s="500"/>
      <c r="W83" s="600"/>
    </row>
    <row r="84" spans="1:23" ht="12.75" customHeight="1">
      <c r="B84" s="607" t="s">
        <v>305</v>
      </c>
      <c r="C84" s="608" t="s">
        <v>306</v>
      </c>
      <c r="D84" s="608" t="s">
        <v>207</v>
      </c>
      <c r="W84" s="600"/>
    </row>
    <row r="85" spans="1:23" ht="12.75" customHeight="1">
      <c r="A85" s="607" t="s">
        <v>225</v>
      </c>
      <c r="B85" s="609">
        <f>MAX('Parte3 '!B53:B83)</f>
        <v>63.7</v>
      </c>
      <c r="C85" s="609">
        <f>MIN('Parte3 '!B52:B83)</f>
        <v>57.7</v>
      </c>
      <c r="D85" s="609">
        <f>AVERAGE('Parte3 '!B51:B83)</f>
        <v>60.20000000000001</v>
      </c>
      <c r="W85" s="600"/>
    </row>
    <row r="86" spans="1:23" ht="12.75" customHeight="1">
      <c r="A86" s="608" t="s">
        <v>304</v>
      </c>
      <c r="B86" s="609">
        <f>MAX('Parte3 '!C53:C83)</f>
        <v>39.799999999999997</v>
      </c>
      <c r="C86" s="609">
        <f>MIN('Parte3 '!C53:C83)</f>
        <v>27.8</v>
      </c>
      <c r="D86" s="609">
        <f>AVERAGE('Parte3 '!C52:C83)</f>
        <v>34.18666666666666</v>
      </c>
      <c r="W86" s="600"/>
    </row>
    <row r="87" spans="1:23" ht="13.5" customHeight="1">
      <c r="A87" s="608" t="s">
        <v>43</v>
      </c>
      <c r="B87" s="610">
        <f>MAX('Parte3 '!D54:D83)</f>
        <v>37.799999999999997</v>
      </c>
      <c r="C87" s="610">
        <f>MIN('Parte3 '!D54:D83)</f>
        <v>25.8</v>
      </c>
      <c r="D87" s="610">
        <f>AVERAGE('Parte3 '!D53:D83)</f>
        <v>31.13999999999999</v>
      </c>
      <c r="W87" s="600"/>
    </row>
    <row r="88" spans="1:23" ht="13.5" customHeight="1">
      <c r="B88" s="1165" t="s">
        <v>303</v>
      </c>
      <c r="C88" s="1165"/>
      <c r="D88" s="1165"/>
      <c r="E88" s="1165"/>
      <c r="F88" s="1165"/>
      <c r="G88" s="1165"/>
      <c r="H88" s="1165"/>
      <c r="I88" s="1165"/>
      <c r="J88" s="1165"/>
      <c r="W88" s="600"/>
    </row>
    <row r="89" spans="1:23" ht="13.5" customHeight="1">
      <c r="B89" s="1211" t="s">
        <v>225</v>
      </c>
      <c r="C89" s="1211"/>
      <c r="D89" s="1211"/>
      <c r="E89" s="1211" t="s">
        <v>226</v>
      </c>
      <c r="F89" s="1211"/>
      <c r="G89" s="1211"/>
      <c r="H89" s="1211" t="s">
        <v>307</v>
      </c>
      <c r="I89" s="1211"/>
      <c r="J89" s="1211"/>
      <c r="W89" s="600"/>
    </row>
    <row r="90" spans="1:23" ht="13.5" customHeight="1">
      <c r="B90" s="611">
        <f>'Parte3 '!B85</f>
        <v>63.7</v>
      </c>
      <c r="C90" s="612">
        <f>'Parte3 '!C85</f>
        <v>57.7</v>
      </c>
      <c r="D90" s="612">
        <f>'Parte3 '!D85</f>
        <v>60.20000000000001</v>
      </c>
      <c r="E90" s="612">
        <f>'Parte3 '!B86</f>
        <v>39.799999999999997</v>
      </c>
      <c r="F90" s="612">
        <f>'Parte3 '!C86</f>
        <v>27.8</v>
      </c>
      <c r="G90" s="612">
        <f>'Parte3 '!D86</f>
        <v>34.18666666666666</v>
      </c>
      <c r="H90" s="612">
        <f>'Parte3 '!B87</f>
        <v>37.799999999999997</v>
      </c>
      <c r="I90" s="612">
        <f>'Parte3 '!C87</f>
        <v>25.8</v>
      </c>
      <c r="J90" s="613">
        <f>'Parte3 '!D87</f>
        <v>31.13999999999999</v>
      </c>
      <c r="W90" s="600"/>
    </row>
  </sheetData>
  <sheetProtection password="E1DF" sheet="1" objects="1" scenarios="1" selectLockedCells="1"/>
  <mergeCells count="52">
    <mergeCell ref="N45:AB45"/>
    <mergeCell ref="B51:D51"/>
    <mergeCell ref="B88:J88"/>
    <mergeCell ref="B89:D89"/>
    <mergeCell ref="E89:G89"/>
    <mergeCell ref="H89:J89"/>
    <mergeCell ref="F40:G40"/>
    <mergeCell ref="N41:AB41"/>
    <mergeCell ref="P42:Q42"/>
    <mergeCell ref="U42:X42"/>
    <mergeCell ref="N43:AB43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21" t="s">
        <v>308</v>
      </c>
      <c r="B1" s="1221"/>
      <c r="C1" s="1221"/>
      <c r="D1" s="1221"/>
      <c r="E1" s="1221"/>
      <c r="F1" s="1221"/>
      <c r="G1" s="1222" t="s">
        <v>219</v>
      </c>
      <c r="H1" s="1222"/>
      <c r="I1" s="1222"/>
      <c r="J1" s="1222"/>
      <c r="K1" s="1222"/>
      <c r="L1" s="1222"/>
      <c r="M1" s="1222"/>
      <c r="N1" s="1222"/>
      <c r="O1" s="1222"/>
      <c r="P1" s="1222"/>
      <c r="Q1" s="1222"/>
      <c r="R1" s="1222"/>
      <c r="S1" s="1222"/>
      <c r="T1" s="1222"/>
      <c r="U1" s="1222"/>
      <c r="V1" s="1212" t="s">
        <v>249</v>
      </c>
      <c r="W1" s="1212"/>
      <c r="X1" s="1212"/>
      <c r="Y1" s="1212"/>
    </row>
    <row r="2" spans="1:29" ht="18" customHeight="1">
      <c r="A2" s="1221"/>
      <c r="B2" s="1221"/>
      <c r="C2" s="1221"/>
      <c r="D2" s="1221"/>
      <c r="E2" s="1221"/>
      <c r="F2" s="1221"/>
      <c r="G2" s="1222"/>
      <c r="H2" s="1222"/>
      <c r="I2" s="1222"/>
      <c r="J2" s="1222"/>
      <c r="K2" s="1222"/>
      <c r="L2" s="1222"/>
      <c r="M2" s="1222"/>
      <c r="N2" s="1222"/>
      <c r="O2" s="1222"/>
      <c r="P2" s="1222"/>
      <c r="Q2" s="1222"/>
      <c r="R2" s="1222"/>
      <c r="S2" s="1222"/>
      <c r="T2" s="1222"/>
      <c r="U2" s="1222"/>
      <c r="V2" s="1213">
        <f>'1'!$U$25</f>
        <v>43891</v>
      </c>
      <c r="W2" s="1213"/>
      <c r="X2" s="1213">
        <f>'1'!$U$25</f>
        <v>43891</v>
      </c>
      <c r="Y2" s="1213"/>
      <c r="Z2" s="528"/>
      <c r="AA2" s="528"/>
      <c r="AB2" s="528"/>
      <c r="AC2" s="528"/>
    </row>
    <row r="3" spans="1:29" ht="3.75" customHeight="1">
      <c r="A3" s="428"/>
      <c r="B3" s="428"/>
      <c r="C3" s="428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  <c r="Z3" s="528"/>
      <c r="AA3" s="528"/>
      <c r="AB3" s="528"/>
      <c r="AC3" s="528"/>
    </row>
    <row r="4" spans="1:29" s="429" customFormat="1" ht="27.75" customHeight="1">
      <c r="A4" s="1214" t="s">
        <v>221</v>
      </c>
      <c r="B4" s="1215" t="s">
        <v>309</v>
      </c>
      <c r="C4" s="1215"/>
      <c r="D4" s="1215"/>
      <c r="E4" s="1215"/>
      <c r="F4" s="1215"/>
      <c r="G4" s="1215"/>
      <c r="H4" s="1215"/>
      <c r="I4" s="1215"/>
      <c r="J4" s="1215"/>
      <c r="K4" s="1215"/>
      <c r="L4" s="1215"/>
      <c r="M4" s="1215"/>
      <c r="N4" s="1215"/>
      <c r="O4" s="1215"/>
      <c r="P4" s="1215"/>
      <c r="Q4" s="1215"/>
      <c r="R4" s="1215"/>
      <c r="S4" s="1215"/>
      <c r="T4" s="1215"/>
      <c r="U4" s="1215"/>
      <c r="V4" s="1215"/>
      <c r="W4" s="1215"/>
      <c r="X4" s="1215"/>
      <c r="Y4" s="1215"/>
      <c r="Z4" s="614"/>
      <c r="AA4" s="614"/>
      <c r="AB4" s="614"/>
      <c r="AC4" s="614"/>
    </row>
    <row r="5" spans="1:29" ht="22.35" customHeight="1">
      <c r="A5" s="1214"/>
      <c r="B5" s="1216" t="s">
        <v>310</v>
      </c>
      <c r="C5" s="1216"/>
      <c r="D5" s="1216"/>
      <c r="E5" s="1216"/>
      <c r="F5" s="1216"/>
      <c r="G5" s="1216"/>
      <c r="H5" s="1216"/>
      <c r="I5" s="1216"/>
      <c r="J5" s="1216"/>
      <c r="K5" s="1216"/>
      <c r="L5" s="1216"/>
      <c r="M5" s="1216"/>
      <c r="N5" s="1216"/>
      <c r="O5" s="1216"/>
      <c r="P5" s="1216"/>
      <c r="Q5" s="1216"/>
      <c r="R5" s="1216"/>
      <c r="S5" s="1216"/>
      <c r="T5" s="1216"/>
      <c r="U5" s="1216"/>
      <c r="V5" s="1216"/>
      <c r="W5" s="1216"/>
      <c r="X5" s="1216"/>
      <c r="Y5" s="1216"/>
      <c r="Z5" s="614"/>
      <c r="AA5" s="614"/>
      <c r="AB5" s="614"/>
      <c r="AC5" s="614"/>
    </row>
    <row r="6" spans="1:29" ht="17.25" customHeight="1">
      <c r="A6" s="1214"/>
      <c r="B6" s="1217" t="s">
        <v>311</v>
      </c>
      <c r="C6" s="1217"/>
      <c r="D6" s="1217"/>
      <c r="E6" s="1218" t="s">
        <v>312</v>
      </c>
      <c r="F6" s="1218"/>
      <c r="G6" s="1218"/>
      <c r="H6" s="1218" t="s">
        <v>313</v>
      </c>
      <c r="I6" s="1218"/>
      <c r="J6" s="1218"/>
      <c r="K6" s="1218" t="s">
        <v>314</v>
      </c>
      <c r="L6" s="1218"/>
      <c r="M6" s="1218"/>
      <c r="N6" s="1218" t="s">
        <v>315</v>
      </c>
      <c r="O6" s="1218"/>
      <c r="P6" s="1218"/>
      <c r="Q6" s="1218" t="s">
        <v>316</v>
      </c>
      <c r="R6" s="1218"/>
      <c r="S6" s="1218"/>
      <c r="T6" s="1218" t="s">
        <v>317</v>
      </c>
      <c r="U6" s="1218"/>
      <c r="V6" s="1218"/>
      <c r="W6" s="1219" t="s">
        <v>318</v>
      </c>
      <c r="X6" s="1219"/>
      <c r="Y6" s="1219"/>
      <c r="Z6" s="614"/>
      <c r="AA6" s="614"/>
      <c r="AB6" s="614"/>
      <c r="AC6" s="614"/>
    </row>
    <row r="7" spans="1:29" ht="17.25" customHeight="1">
      <c r="A7" s="1214"/>
      <c r="B7" s="615" t="s">
        <v>229</v>
      </c>
      <c r="C7" s="616" t="s">
        <v>230</v>
      </c>
      <c r="D7" s="616" t="s">
        <v>231</v>
      </c>
      <c r="E7" s="616" t="s">
        <v>229</v>
      </c>
      <c r="F7" s="616" t="s">
        <v>230</v>
      </c>
      <c r="G7" s="616" t="s">
        <v>231</v>
      </c>
      <c r="H7" s="616" t="s">
        <v>229</v>
      </c>
      <c r="I7" s="616" t="s">
        <v>230</v>
      </c>
      <c r="J7" s="616" t="s">
        <v>231</v>
      </c>
      <c r="K7" s="616" t="s">
        <v>229</v>
      </c>
      <c r="L7" s="616" t="s">
        <v>230</v>
      </c>
      <c r="M7" s="616" t="s">
        <v>231</v>
      </c>
      <c r="N7" s="617" t="s">
        <v>229</v>
      </c>
      <c r="O7" s="617" t="s">
        <v>230</v>
      </c>
      <c r="P7" s="617" t="s">
        <v>231</v>
      </c>
      <c r="Q7" s="617" t="s">
        <v>229</v>
      </c>
      <c r="R7" s="617" t="s">
        <v>230</v>
      </c>
      <c r="S7" s="617" t="s">
        <v>231</v>
      </c>
      <c r="T7" s="616" t="s">
        <v>319</v>
      </c>
      <c r="U7" s="616" t="s">
        <v>230</v>
      </c>
      <c r="V7" s="616" t="s">
        <v>231</v>
      </c>
      <c r="W7" s="616" t="s">
        <v>229</v>
      </c>
      <c r="X7" s="616" t="s">
        <v>230</v>
      </c>
      <c r="Y7" s="618" t="s">
        <v>231</v>
      </c>
      <c r="Z7" s="614"/>
      <c r="AA7" s="614"/>
      <c r="AB7" s="614"/>
      <c r="AC7" s="614"/>
    </row>
    <row r="8" spans="1:29" ht="18.75" customHeight="1">
      <c r="A8" s="619">
        <v>1</v>
      </c>
      <c r="B8" s="620">
        <v>0</v>
      </c>
      <c r="C8" s="621">
        <v>0</v>
      </c>
      <c r="D8" s="621">
        <v>0</v>
      </c>
      <c r="E8" s="620">
        <v>0</v>
      </c>
      <c r="F8" s="621">
        <v>0</v>
      </c>
      <c r="G8" s="621">
        <v>0</v>
      </c>
      <c r="H8" s="620">
        <v>0</v>
      </c>
      <c r="I8" s="621">
        <v>0</v>
      </c>
      <c r="J8" s="621">
        <v>0</v>
      </c>
      <c r="K8" s="620">
        <v>0</v>
      </c>
      <c r="L8" s="621">
        <v>0</v>
      </c>
      <c r="M8" s="621">
        <v>0</v>
      </c>
      <c r="N8" s="620">
        <v>0</v>
      </c>
      <c r="O8" s="621">
        <v>0</v>
      </c>
      <c r="P8" s="621">
        <v>0</v>
      </c>
      <c r="Q8" s="620">
        <v>0</v>
      </c>
      <c r="R8" s="621">
        <v>0</v>
      </c>
      <c r="S8" s="621">
        <v>0</v>
      </c>
      <c r="T8" s="620">
        <v>0</v>
      </c>
      <c r="U8" s="621">
        <v>0</v>
      </c>
      <c r="V8" s="621">
        <v>0</v>
      </c>
      <c r="W8" s="620">
        <v>0</v>
      </c>
      <c r="X8" s="621">
        <v>0</v>
      </c>
      <c r="Y8" s="622">
        <v>0</v>
      </c>
      <c r="Z8" s="614"/>
      <c r="AA8" s="614"/>
      <c r="AB8" s="614"/>
      <c r="AC8" s="614"/>
    </row>
    <row r="9" spans="1:29" ht="18.75" customHeight="1">
      <c r="A9" s="619">
        <v>2</v>
      </c>
      <c r="B9" s="620">
        <v>0</v>
      </c>
      <c r="C9" s="621">
        <v>0</v>
      </c>
      <c r="D9" s="621">
        <v>0</v>
      </c>
      <c r="E9" s="620">
        <v>0</v>
      </c>
      <c r="F9" s="621">
        <v>0</v>
      </c>
      <c r="G9" s="621">
        <v>0</v>
      </c>
      <c r="H9" s="620">
        <v>0</v>
      </c>
      <c r="I9" s="621">
        <v>0</v>
      </c>
      <c r="J9" s="621">
        <v>0</v>
      </c>
      <c r="K9" s="620">
        <v>0</v>
      </c>
      <c r="L9" s="621">
        <v>0</v>
      </c>
      <c r="M9" s="621">
        <v>0</v>
      </c>
      <c r="N9" s="620">
        <v>0</v>
      </c>
      <c r="O9" s="621">
        <v>0</v>
      </c>
      <c r="P9" s="621">
        <v>0</v>
      </c>
      <c r="Q9" s="620">
        <v>0</v>
      </c>
      <c r="R9" s="621">
        <v>0</v>
      </c>
      <c r="S9" s="621">
        <v>0</v>
      </c>
      <c r="T9" s="620">
        <v>0</v>
      </c>
      <c r="U9" s="621">
        <v>0</v>
      </c>
      <c r="V9" s="621">
        <v>0</v>
      </c>
      <c r="W9" s="620">
        <v>0</v>
      </c>
      <c r="X9" s="621">
        <v>0</v>
      </c>
      <c r="Y9" s="622">
        <v>0</v>
      </c>
      <c r="Z9" s="614"/>
      <c r="AA9" s="614"/>
      <c r="AB9" s="614"/>
      <c r="AC9" s="614"/>
    </row>
    <row r="10" spans="1:29" ht="18.75" customHeight="1">
      <c r="A10" s="619">
        <v>3</v>
      </c>
      <c r="B10" s="620">
        <v>0</v>
      </c>
      <c r="C10" s="621">
        <v>0</v>
      </c>
      <c r="D10" s="621">
        <v>0</v>
      </c>
      <c r="E10" s="620">
        <v>0</v>
      </c>
      <c r="F10" s="621">
        <v>0</v>
      </c>
      <c r="G10" s="621">
        <v>0</v>
      </c>
      <c r="H10" s="620">
        <v>0</v>
      </c>
      <c r="I10" s="621">
        <v>0</v>
      </c>
      <c r="J10" s="621">
        <v>0</v>
      </c>
      <c r="K10" s="620">
        <v>0</v>
      </c>
      <c r="L10" s="621">
        <v>0</v>
      </c>
      <c r="M10" s="621">
        <v>0</v>
      </c>
      <c r="N10" s="620">
        <v>0</v>
      </c>
      <c r="O10" s="621">
        <v>0</v>
      </c>
      <c r="P10" s="621">
        <v>0</v>
      </c>
      <c r="Q10" s="620">
        <v>0</v>
      </c>
      <c r="R10" s="621">
        <v>0</v>
      </c>
      <c r="S10" s="621">
        <v>0</v>
      </c>
      <c r="T10" s="620">
        <v>0</v>
      </c>
      <c r="U10" s="621">
        <v>0</v>
      </c>
      <c r="V10" s="621">
        <v>0</v>
      </c>
      <c r="W10" s="620">
        <v>0</v>
      </c>
      <c r="X10" s="621">
        <v>0</v>
      </c>
      <c r="Y10" s="622">
        <v>0</v>
      </c>
      <c r="Z10" s="614"/>
      <c r="AA10" s="614"/>
      <c r="AB10" s="614"/>
      <c r="AC10" s="614"/>
    </row>
    <row r="11" spans="1:29" ht="18.75" customHeight="1">
      <c r="A11" s="619">
        <v>4</v>
      </c>
      <c r="B11" s="620">
        <v>0</v>
      </c>
      <c r="C11" s="621">
        <v>0</v>
      </c>
      <c r="D11" s="621">
        <v>0</v>
      </c>
      <c r="E11" s="620">
        <v>0</v>
      </c>
      <c r="F11" s="621">
        <v>0</v>
      </c>
      <c r="G11" s="621">
        <v>0</v>
      </c>
      <c r="H11" s="620">
        <v>0</v>
      </c>
      <c r="I11" s="621">
        <v>0</v>
      </c>
      <c r="J11" s="621">
        <v>0</v>
      </c>
      <c r="K11" s="620">
        <v>0</v>
      </c>
      <c r="L11" s="621">
        <v>0</v>
      </c>
      <c r="M11" s="621">
        <v>0</v>
      </c>
      <c r="N11" s="620">
        <v>0</v>
      </c>
      <c r="O11" s="621">
        <v>0</v>
      </c>
      <c r="P11" s="621">
        <v>0</v>
      </c>
      <c r="Q11" s="620">
        <v>0</v>
      </c>
      <c r="R11" s="621">
        <v>0</v>
      </c>
      <c r="S11" s="621">
        <v>0</v>
      </c>
      <c r="T11" s="620">
        <v>0</v>
      </c>
      <c r="U11" s="621">
        <v>0</v>
      </c>
      <c r="V11" s="621">
        <v>0</v>
      </c>
      <c r="W11" s="620">
        <v>0</v>
      </c>
      <c r="X11" s="621">
        <v>0</v>
      </c>
      <c r="Y11" s="622">
        <v>0</v>
      </c>
      <c r="Z11" s="614"/>
      <c r="AA11" s="614"/>
      <c r="AB11" s="614"/>
      <c r="AC11" s="614"/>
    </row>
    <row r="12" spans="1:29" ht="18.75" customHeight="1">
      <c r="A12" s="623">
        <v>5</v>
      </c>
      <c r="B12" s="620">
        <v>0</v>
      </c>
      <c r="C12" s="621">
        <v>0</v>
      </c>
      <c r="D12" s="621">
        <v>0</v>
      </c>
      <c r="E12" s="620">
        <v>0</v>
      </c>
      <c r="F12" s="621">
        <v>0</v>
      </c>
      <c r="G12" s="621">
        <v>0</v>
      </c>
      <c r="H12" s="620">
        <v>0</v>
      </c>
      <c r="I12" s="621">
        <v>0</v>
      </c>
      <c r="J12" s="621">
        <v>0</v>
      </c>
      <c r="K12" s="620">
        <v>0</v>
      </c>
      <c r="L12" s="621">
        <v>0</v>
      </c>
      <c r="M12" s="621">
        <v>0</v>
      </c>
      <c r="N12" s="620">
        <v>0</v>
      </c>
      <c r="O12" s="621">
        <v>0</v>
      </c>
      <c r="P12" s="621">
        <v>0</v>
      </c>
      <c r="Q12" s="620">
        <v>0</v>
      </c>
      <c r="R12" s="621">
        <v>0</v>
      </c>
      <c r="S12" s="621">
        <v>0</v>
      </c>
      <c r="T12" s="620">
        <v>0</v>
      </c>
      <c r="U12" s="621">
        <v>0</v>
      </c>
      <c r="V12" s="621">
        <v>0</v>
      </c>
      <c r="W12" s="620">
        <v>0</v>
      </c>
      <c r="X12" s="621">
        <v>0</v>
      </c>
      <c r="Y12" s="622">
        <v>0</v>
      </c>
      <c r="Z12" s="614"/>
      <c r="AA12" s="614"/>
      <c r="AB12" s="614"/>
      <c r="AC12" s="614"/>
    </row>
    <row r="13" spans="1:29" ht="18.75" customHeight="1">
      <c r="A13" s="522">
        <v>6</v>
      </c>
      <c r="B13" s="620">
        <v>0</v>
      </c>
      <c r="C13" s="621">
        <v>0</v>
      </c>
      <c r="D13" s="621">
        <v>0</v>
      </c>
      <c r="E13" s="620">
        <v>0</v>
      </c>
      <c r="F13" s="621">
        <v>0</v>
      </c>
      <c r="G13" s="621">
        <v>0</v>
      </c>
      <c r="H13" s="620">
        <v>0</v>
      </c>
      <c r="I13" s="621">
        <v>0</v>
      </c>
      <c r="J13" s="621">
        <v>0</v>
      </c>
      <c r="K13" s="620">
        <v>0</v>
      </c>
      <c r="L13" s="621">
        <v>0</v>
      </c>
      <c r="M13" s="621">
        <v>0</v>
      </c>
      <c r="N13" s="620">
        <v>0</v>
      </c>
      <c r="O13" s="621">
        <v>0</v>
      </c>
      <c r="P13" s="621">
        <v>0</v>
      </c>
      <c r="Q13" s="620">
        <v>0</v>
      </c>
      <c r="R13" s="621">
        <v>0</v>
      </c>
      <c r="S13" s="621">
        <v>0</v>
      </c>
      <c r="T13" s="620">
        <v>0</v>
      </c>
      <c r="U13" s="621">
        <v>0</v>
      </c>
      <c r="V13" s="621">
        <v>0</v>
      </c>
      <c r="W13" s="620">
        <v>0</v>
      </c>
      <c r="X13" s="621">
        <v>0</v>
      </c>
      <c r="Y13" s="622">
        <v>0</v>
      </c>
      <c r="Z13" s="614"/>
      <c r="AA13" s="614"/>
      <c r="AB13" s="614"/>
      <c r="AC13" s="614"/>
    </row>
    <row r="14" spans="1:29" ht="18.75" customHeight="1">
      <c r="A14" s="522">
        <v>7</v>
      </c>
      <c r="B14" s="620">
        <v>0</v>
      </c>
      <c r="C14" s="621">
        <v>0</v>
      </c>
      <c r="D14" s="621">
        <v>0</v>
      </c>
      <c r="E14" s="620">
        <v>0</v>
      </c>
      <c r="F14" s="621">
        <v>0</v>
      </c>
      <c r="G14" s="621">
        <v>0</v>
      </c>
      <c r="H14" s="620">
        <v>0</v>
      </c>
      <c r="I14" s="621">
        <v>0</v>
      </c>
      <c r="J14" s="621">
        <v>0</v>
      </c>
      <c r="K14" s="620">
        <v>0</v>
      </c>
      <c r="L14" s="621">
        <v>0</v>
      </c>
      <c r="M14" s="621">
        <v>0</v>
      </c>
      <c r="N14" s="620">
        <v>0</v>
      </c>
      <c r="O14" s="621">
        <v>0</v>
      </c>
      <c r="P14" s="621">
        <v>0</v>
      </c>
      <c r="Q14" s="620">
        <v>0</v>
      </c>
      <c r="R14" s="621">
        <v>0</v>
      </c>
      <c r="S14" s="621">
        <v>0</v>
      </c>
      <c r="T14" s="620">
        <v>0</v>
      </c>
      <c r="U14" s="621">
        <v>0</v>
      </c>
      <c r="V14" s="621">
        <v>0</v>
      </c>
      <c r="W14" s="620">
        <v>0</v>
      </c>
      <c r="X14" s="621">
        <v>0</v>
      </c>
      <c r="Y14" s="622">
        <v>0</v>
      </c>
      <c r="Z14" s="614"/>
      <c r="AA14" s="614"/>
      <c r="AB14" s="614"/>
      <c r="AC14" s="614"/>
    </row>
    <row r="15" spans="1:29" ht="18.75" customHeight="1">
      <c r="A15" s="522">
        <v>8</v>
      </c>
      <c r="B15" s="620">
        <v>0</v>
      </c>
      <c r="C15" s="621">
        <v>0</v>
      </c>
      <c r="D15" s="621">
        <v>0</v>
      </c>
      <c r="E15" s="620">
        <v>0</v>
      </c>
      <c r="F15" s="621">
        <v>0</v>
      </c>
      <c r="G15" s="621">
        <v>0</v>
      </c>
      <c r="H15" s="620">
        <v>0</v>
      </c>
      <c r="I15" s="621">
        <v>0</v>
      </c>
      <c r="J15" s="621">
        <v>0</v>
      </c>
      <c r="K15" s="620">
        <v>0</v>
      </c>
      <c r="L15" s="621">
        <v>0</v>
      </c>
      <c r="M15" s="621">
        <v>0</v>
      </c>
      <c r="N15" s="620">
        <v>0</v>
      </c>
      <c r="O15" s="621">
        <v>0</v>
      </c>
      <c r="P15" s="621">
        <v>0</v>
      </c>
      <c r="Q15" s="620">
        <v>0</v>
      </c>
      <c r="R15" s="621">
        <v>0</v>
      </c>
      <c r="S15" s="621">
        <v>0</v>
      </c>
      <c r="T15" s="620">
        <v>0</v>
      </c>
      <c r="U15" s="621">
        <v>0</v>
      </c>
      <c r="V15" s="621">
        <v>0</v>
      </c>
      <c r="W15" s="620">
        <v>0</v>
      </c>
      <c r="X15" s="621">
        <v>0</v>
      </c>
      <c r="Y15" s="622">
        <v>0</v>
      </c>
      <c r="Z15" s="614"/>
      <c r="AA15" s="614"/>
      <c r="AB15" s="614"/>
      <c r="AC15" s="614"/>
    </row>
    <row r="16" spans="1:29" ht="18.75" customHeight="1">
      <c r="A16" s="522">
        <v>9</v>
      </c>
      <c r="B16" s="620">
        <v>0</v>
      </c>
      <c r="C16" s="621">
        <v>0</v>
      </c>
      <c r="D16" s="621">
        <v>0</v>
      </c>
      <c r="E16" s="620">
        <v>0</v>
      </c>
      <c r="F16" s="621">
        <v>0</v>
      </c>
      <c r="G16" s="621">
        <v>0</v>
      </c>
      <c r="H16" s="620">
        <v>0</v>
      </c>
      <c r="I16" s="621">
        <v>0</v>
      </c>
      <c r="J16" s="621">
        <v>0</v>
      </c>
      <c r="K16" s="620">
        <v>0</v>
      </c>
      <c r="L16" s="621">
        <v>0</v>
      </c>
      <c r="M16" s="621">
        <v>0</v>
      </c>
      <c r="N16" s="620">
        <v>0</v>
      </c>
      <c r="O16" s="621">
        <v>0</v>
      </c>
      <c r="P16" s="621">
        <v>0</v>
      </c>
      <c r="Q16" s="620">
        <v>0</v>
      </c>
      <c r="R16" s="621">
        <v>0</v>
      </c>
      <c r="S16" s="621">
        <v>0</v>
      </c>
      <c r="T16" s="620">
        <v>0</v>
      </c>
      <c r="U16" s="621">
        <v>0</v>
      </c>
      <c r="V16" s="621">
        <v>0</v>
      </c>
      <c r="W16" s="620">
        <v>0</v>
      </c>
      <c r="X16" s="621">
        <v>0</v>
      </c>
      <c r="Y16" s="622">
        <v>0</v>
      </c>
      <c r="Z16" s="614"/>
      <c r="AA16" s="614"/>
      <c r="AB16" s="614"/>
      <c r="AC16" s="614"/>
    </row>
    <row r="17" spans="1:29" ht="18.75" customHeight="1">
      <c r="A17" s="522">
        <v>10</v>
      </c>
      <c r="B17" s="620">
        <v>0</v>
      </c>
      <c r="C17" s="621">
        <v>0</v>
      </c>
      <c r="D17" s="621">
        <v>0</v>
      </c>
      <c r="E17" s="620">
        <v>0</v>
      </c>
      <c r="F17" s="621">
        <v>0</v>
      </c>
      <c r="G17" s="621">
        <v>0</v>
      </c>
      <c r="H17" s="620">
        <v>0</v>
      </c>
      <c r="I17" s="621">
        <v>0</v>
      </c>
      <c r="J17" s="621">
        <v>0</v>
      </c>
      <c r="K17" s="620">
        <v>0</v>
      </c>
      <c r="L17" s="621">
        <v>0</v>
      </c>
      <c r="M17" s="621">
        <v>0</v>
      </c>
      <c r="N17" s="620">
        <v>0</v>
      </c>
      <c r="O17" s="621">
        <v>0</v>
      </c>
      <c r="P17" s="621">
        <v>0</v>
      </c>
      <c r="Q17" s="620">
        <v>0</v>
      </c>
      <c r="R17" s="621">
        <v>0</v>
      </c>
      <c r="S17" s="621">
        <v>0</v>
      </c>
      <c r="T17" s="620">
        <v>0</v>
      </c>
      <c r="U17" s="621">
        <v>0</v>
      </c>
      <c r="V17" s="621">
        <v>0</v>
      </c>
      <c r="W17" s="620">
        <v>0</v>
      </c>
      <c r="X17" s="621">
        <v>0</v>
      </c>
      <c r="Y17" s="622">
        <v>0</v>
      </c>
      <c r="Z17" s="614"/>
      <c r="AA17" s="614"/>
      <c r="AB17" s="614"/>
      <c r="AC17" s="614"/>
    </row>
    <row r="18" spans="1:29" ht="18.75" customHeight="1">
      <c r="A18" s="522">
        <v>11</v>
      </c>
      <c r="B18" s="620">
        <v>0</v>
      </c>
      <c r="C18" s="621">
        <v>0</v>
      </c>
      <c r="D18" s="621">
        <v>0</v>
      </c>
      <c r="E18" s="620">
        <v>0</v>
      </c>
      <c r="F18" s="621">
        <v>0</v>
      </c>
      <c r="G18" s="621">
        <v>0</v>
      </c>
      <c r="H18" s="620">
        <v>0</v>
      </c>
      <c r="I18" s="621">
        <v>0</v>
      </c>
      <c r="J18" s="621">
        <v>0</v>
      </c>
      <c r="K18" s="620">
        <v>0</v>
      </c>
      <c r="L18" s="621">
        <v>0</v>
      </c>
      <c r="M18" s="621">
        <v>0</v>
      </c>
      <c r="N18" s="620">
        <v>0</v>
      </c>
      <c r="O18" s="621">
        <v>0</v>
      </c>
      <c r="P18" s="621">
        <v>0</v>
      </c>
      <c r="Q18" s="620">
        <v>0</v>
      </c>
      <c r="R18" s="621">
        <v>0</v>
      </c>
      <c r="S18" s="621">
        <v>0</v>
      </c>
      <c r="T18" s="620">
        <v>0</v>
      </c>
      <c r="U18" s="621">
        <v>0</v>
      </c>
      <c r="V18" s="621">
        <v>0</v>
      </c>
      <c r="W18" s="620">
        <v>0</v>
      </c>
      <c r="X18" s="621">
        <v>0</v>
      </c>
      <c r="Y18" s="622">
        <v>0</v>
      </c>
      <c r="Z18" s="614"/>
      <c r="AA18" s="614"/>
      <c r="AB18" s="614"/>
      <c r="AC18" s="614"/>
    </row>
    <row r="19" spans="1:29" ht="18.75" customHeight="1">
      <c r="A19" s="522">
        <v>12</v>
      </c>
      <c r="B19" s="620">
        <v>0</v>
      </c>
      <c r="C19" s="621">
        <v>0</v>
      </c>
      <c r="D19" s="621">
        <v>0</v>
      </c>
      <c r="E19" s="620">
        <v>0</v>
      </c>
      <c r="F19" s="621">
        <v>0</v>
      </c>
      <c r="G19" s="621">
        <v>0</v>
      </c>
      <c r="H19" s="620">
        <v>0</v>
      </c>
      <c r="I19" s="621">
        <v>0</v>
      </c>
      <c r="J19" s="621">
        <v>0</v>
      </c>
      <c r="K19" s="620">
        <v>0</v>
      </c>
      <c r="L19" s="621">
        <v>0</v>
      </c>
      <c r="M19" s="621">
        <v>0</v>
      </c>
      <c r="N19" s="620">
        <v>0</v>
      </c>
      <c r="O19" s="621">
        <v>0</v>
      </c>
      <c r="P19" s="621">
        <v>0</v>
      </c>
      <c r="Q19" s="620">
        <v>0</v>
      </c>
      <c r="R19" s="621">
        <v>0</v>
      </c>
      <c r="S19" s="621">
        <v>0</v>
      </c>
      <c r="T19" s="620">
        <v>0</v>
      </c>
      <c r="U19" s="621">
        <v>0</v>
      </c>
      <c r="V19" s="621">
        <v>0</v>
      </c>
      <c r="W19" s="620">
        <v>0</v>
      </c>
      <c r="X19" s="621">
        <v>0</v>
      </c>
      <c r="Y19" s="622">
        <v>0</v>
      </c>
      <c r="Z19" s="614"/>
      <c r="AA19" s="614"/>
      <c r="AB19" s="614"/>
      <c r="AC19" s="614"/>
    </row>
    <row r="20" spans="1:29" ht="18.75" customHeight="1">
      <c r="A20" s="522">
        <v>13</v>
      </c>
      <c r="B20" s="620">
        <v>0</v>
      </c>
      <c r="C20" s="621">
        <v>0</v>
      </c>
      <c r="D20" s="621">
        <v>0</v>
      </c>
      <c r="E20" s="620">
        <v>0</v>
      </c>
      <c r="F20" s="621">
        <v>0</v>
      </c>
      <c r="G20" s="621">
        <v>0</v>
      </c>
      <c r="H20" s="620">
        <v>0</v>
      </c>
      <c r="I20" s="621">
        <v>0</v>
      </c>
      <c r="J20" s="621">
        <v>0</v>
      </c>
      <c r="K20" s="620">
        <v>0</v>
      </c>
      <c r="L20" s="621">
        <v>0</v>
      </c>
      <c r="M20" s="621">
        <v>0</v>
      </c>
      <c r="N20" s="620">
        <v>0</v>
      </c>
      <c r="O20" s="621">
        <v>0</v>
      </c>
      <c r="P20" s="621">
        <v>0</v>
      </c>
      <c r="Q20" s="620">
        <v>0</v>
      </c>
      <c r="R20" s="621">
        <v>0</v>
      </c>
      <c r="S20" s="621">
        <v>0</v>
      </c>
      <c r="T20" s="620">
        <v>0</v>
      </c>
      <c r="U20" s="621">
        <v>0</v>
      </c>
      <c r="V20" s="621">
        <v>0</v>
      </c>
      <c r="W20" s="620">
        <v>0</v>
      </c>
      <c r="X20" s="621">
        <v>0</v>
      </c>
      <c r="Y20" s="622">
        <v>0</v>
      </c>
      <c r="Z20" s="614"/>
      <c r="AA20" s="614"/>
      <c r="AB20" s="614"/>
      <c r="AC20" s="614"/>
    </row>
    <row r="21" spans="1:29" ht="18.75" customHeight="1">
      <c r="A21" s="522">
        <v>14</v>
      </c>
      <c r="B21" s="620">
        <v>0</v>
      </c>
      <c r="C21" s="621">
        <v>0</v>
      </c>
      <c r="D21" s="621">
        <v>0</v>
      </c>
      <c r="E21" s="620">
        <v>0</v>
      </c>
      <c r="F21" s="621">
        <v>0</v>
      </c>
      <c r="G21" s="621">
        <v>0</v>
      </c>
      <c r="H21" s="620">
        <v>0</v>
      </c>
      <c r="I21" s="621">
        <v>0</v>
      </c>
      <c r="J21" s="621">
        <v>0</v>
      </c>
      <c r="K21" s="620">
        <v>0</v>
      </c>
      <c r="L21" s="621">
        <v>0</v>
      </c>
      <c r="M21" s="621">
        <v>0</v>
      </c>
      <c r="N21" s="620">
        <v>0</v>
      </c>
      <c r="O21" s="621">
        <v>0</v>
      </c>
      <c r="P21" s="621">
        <v>0</v>
      </c>
      <c r="Q21" s="620">
        <v>0</v>
      </c>
      <c r="R21" s="621">
        <v>0</v>
      </c>
      <c r="S21" s="621">
        <v>0</v>
      </c>
      <c r="T21" s="620">
        <v>0</v>
      </c>
      <c r="U21" s="621">
        <v>0</v>
      </c>
      <c r="V21" s="621">
        <v>0</v>
      </c>
      <c r="W21" s="620">
        <v>0</v>
      </c>
      <c r="X21" s="621">
        <v>0</v>
      </c>
      <c r="Y21" s="622">
        <v>0</v>
      </c>
      <c r="Z21" s="614"/>
      <c r="AA21" s="614"/>
      <c r="AB21" s="614"/>
      <c r="AC21" s="614"/>
    </row>
    <row r="22" spans="1:29" ht="18.75" customHeight="1">
      <c r="A22" s="522">
        <v>15</v>
      </c>
      <c r="B22" s="620">
        <v>0</v>
      </c>
      <c r="C22" s="621">
        <v>0</v>
      </c>
      <c r="D22" s="621">
        <v>0</v>
      </c>
      <c r="E22" s="620">
        <v>0</v>
      </c>
      <c r="F22" s="621">
        <v>0</v>
      </c>
      <c r="G22" s="621">
        <v>0</v>
      </c>
      <c r="H22" s="620">
        <v>0</v>
      </c>
      <c r="I22" s="621">
        <v>0</v>
      </c>
      <c r="J22" s="621">
        <v>0</v>
      </c>
      <c r="K22" s="620">
        <v>0</v>
      </c>
      <c r="L22" s="621">
        <v>0</v>
      </c>
      <c r="M22" s="621">
        <v>0</v>
      </c>
      <c r="N22" s="620">
        <v>0</v>
      </c>
      <c r="O22" s="621">
        <v>0</v>
      </c>
      <c r="P22" s="621">
        <v>0</v>
      </c>
      <c r="Q22" s="620">
        <v>0</v>
      </c>
      <c r="R22" s="621">
        <v>0</v>
      </c>
      <c r="S22" s="621">
        <v>0</v>
      </c>
      <c r="T22" s="620">
        <v>0</v>
      </c>
      <c r="U22" s="621">
        <v>0</v>
      </c>
      <c r="V22" s="621">
        <v>0</v>
      </c>
      <c r="W22" s="620">
        <v>0</v>
      </c>
      <c r="X22" s="621">
        <v>0</v>
      </c>
      <c r="Y22" s="622">
        <v>0</v>
      </c>
      <c r="Z22" s="614"/>
      <c r="AA22" s="614"/>
      <c r="AB22" s="614"/>
      <c r="AC22" s="614"/>
    </row>
    <row r="23" spans="1:29" ht="18.75" customHeight="1">
      <c r="A23" s="522">
        <v>16</v>
      </c>
      <c r="B23" s="620">
        <v>0</v>
      </c>
      <c r="C23" s="621">
        <v>0</v>
      </c>
      <c r="D23" s="621">
        <v>0</v>
      </c>
      <c r="E23" s="620">
        <v>0</v>
      </c>
      <c r="F23" s="621">
        <v>0</v>
      </c>
      <c r="G23" s="621">
        <v>0</v>
      </c>
      <c r="H23" s="620">
        <v>0</v>
      </c>
      <c r="I23" s="621">
        <v>0</v>
      </c>
      <c r="J23" s="621">
        <v>0</v>
      </c>
      <c r="K23" s="620">
        <v>0</v>
      </c>
      <c r="L23" s="621">
        <v>0</v>
      </c>
      <c r="M23" s="621">
        <v>0</v>
      </c>
      <c r="N23" s="620">
        <v>0</v>
      </c>
      <c r="O23" s="621">
        <v>0</v>
      </c>
      <c r="P23" s="621">
        <v>0</v>
      </c>
      <c r="Q23" s="620">
        <v>0</v>
      </c>
      <c r="R23" s="621">
        <v>0</v>
      </c>
      <c r="S23" s="621">
        <v>0</v>
      </c>
      <c r="T23" s="620">
        <v>0</v>
      </c>
      <c r="U23" s="621">
        <v>0</v>
      </c>
      <c r="V23" s="621">
        <v>0</v>
      </c>
      <c r="W23" s="620">
        <v>0</v>
      </c>
      <c r="X23" s="621">
        <v>0</v>
      </c>
      <c r="Y23" s="622">
        <v>0</v>
      </c>
      <c r="Z23" s="614"/>
      <c r="AA23" s="614"/>
      <c r="AB23" s="614"/>
      <c r="AC23" s="614"/>
    </row>
    <row r="24" spans="1:29" ht="18.75" customHeight="1">
      <c r="A24" s="522">
        <v>17</v>
      </c>
      <c r="B24" s="620">
        <v>0</v>
      </c>
      <c r="C24" s="621">
        <v>0</v>
      </c>
      <c r="D24" s="621">
        <v>0</v>
      </c>
      <c r="E24" s="620">
        <v>0</v>
      </c>
      <c r="F24" s="621">
        <v>0</v>
      </c>
      <c r="G24" s="621">
        <v>0</v>
      </c>
      <c r="H24" s="620">
        <v>0</v>
      </c>
      <c r="I24" s="621">
        <v>0</v>
      </c>
      <c r="J24" s="621">
        <v>0</v>
      </c>
      <c r="K24" s="620">
        <v>0</v>
      </c>
      <c r="L24" s="621">
        <v>0</v>
      </c>
      <c r="M24" s="621">
        <v>0</v>
      </c>
      <c r="N24" s="620">
        <v>0</v>
      </c>
      <c r="O24" s="621">
        <v>0</v>
      </c>
      <c r="P24" s="621">
        <v>0</v>
      </c>
      <c r="Q24" s="620">
        <v>0</v>
      </c>
      <c r="R24" s="621">
        <v>0</v>
      </c>
      <c r="S24" s="621">
        <v>0</v>
      </c>
      <c r="T24" s="620">
        <v>0</v>
      </c>
      <c r="U24" s="621">
        <v>0</v>
      </c>
      <c r="V24" s="621">
        <v>0</v>
      </c>
      <c r="W24" s="620">
        <v>0</v>
      </c>
      <c r="X24" s="621">
        <v>0</v>
      </c>
      <c r="Y24" s="622">
        <v>0</v>
      </c>
      <c r="Z24" s="614"/>
      <c r="AA24" s="614"/>
      <c r="AB24" s="614"/>
      <c r="AC24" s="614"/>
    </row>
    <row r="25" spans="1:29" ht="18.75" customHeight="1">
      <c r="A25" s="522">
        <v>18</v>
      </c>
      <c r="B25" s="620">
        <v>0</v>
      </c>
      <c r="C25" s="621">
        <v>0</v>
      </c>
      <c r="D25" s="621">
        <v>0</v>
      </c>
      <c r="E25" s="620">
        <v>0</v>
      </c>
      <c r="F25" s="621">
        <v>0</v>
      </c>
      <c r="G25" s="621">
        <v>0</v>
      </c>
      <c r="H25" s="620">
        <v>0</v>
      </c>
      <c r="I25" s="621">
        <v>0</v>
      </c>
      <c r="J25" s="621">
        <v>0</v>
      </c>
      <c r="K25" s="620">
        <v>0</v>
      </c>
      <c r="L25" s="621">
        <v>0</v>
      </c>
      <c r="M25" s="621">
        <v>0</v>
      </c>
      <c r="N25" s="620">
        <v>0</v>
      </c>
      <c r="O25" s="621">
        <v>0</v>
      </c>
      <c r="P25" s="621">
        <v>0</v>
      </c>
      <c r="Q25" s="620">
        <v>0</v>
      </c>
      <c r="R25" s="621">
        <v>0</v>
      </c>
      <c r="S25" s="621">
        <v>0</v>
      </c>
      <c r="T25" s="620">
        <v>0</v>
      </c>
      <c r="U25" s="621">
        <v>0</v>
      </c>
      <c r="V25" s="621">
        <v>0</v>
      </c>
      <c r="W25" s="620">
        <v>0</v>
      </c>
      <c r="X25" s="621">
        <v>0</v>
      </c>
      <c r="Y25" s="622">
        <v>0</v>
      </c>
      <c r="Z25" s="614"/>
      <c r="AA25" s="614"/>
      <c r="AB25" s="614"/>
      <c r="AC25" s="614"/>
    </row>
    <row r="26" spans="1:29" ht="18.75" customHeight="1">
      <c r="A26" s="522">
        <v>19</v>
      </c>
      <c r="B26" s="620">
        <v>0</v>
      </c>
      <c r="C26" s="621">
        <v>0</v>
      </c>
      <c r="D26" s="621">
        <v>0</v>
      </c>
      <c r="E26" s="620">
        <v>0</v>
      </c>
      <c r="F26" s="621">
        <v>0</v>
      </c>
      <c r="G26" s="621">
        <v>0</v>
      </c>
      <c r="H26" s="620">
        <v>0</v>
      </c>
      <c r="I26" s="621">
        <v>0</v>
      </c>
      <c r="J26" s="621">
        <v>0</v>
      </c>
      <c r="K26" s="620">
        <v>0</v>
      </c>
      <c r="L26" s="621">
        <v>0</v>
      </c>
      <c r="M26" s="621">
        <v>0</v>
      </c>
      <c r="N26" s="620">
        <v>0</v>
      </c>
      <c r="O26" s="621">
        <v>0</v>
      </c>
      <c r="P26" s="621">
        <v>0</v>
      </c>
      <c r="Q26" s="620">
        <v>0</v>
      </c>
      <c r="R26" s="621">
        <v>0</v>
      </c>
      <c r="S26" s="621">
        <v>0</v>
      </c>
      <c r="T26" s="620">
        <v>0</v>
      </c>
      <c r="U26" s="621">
        <v>0</v>
      </c>
      <c r="V26" s="621">
        <v>0</v>
      </c>
      <c r="W26" s="620">
        <v>0</v>
      </c>
      <c r="X26" s="621">
        <v>0</v>
      </c>
      <c r="Y26" s="622">
        <v>0</v>
      </c>
      <c r="Z26" s="614"/>
      <c r="AA26" s="614"/>
      <c r="AB26" s="614"/>
      <c r="AC26" s="614"/>
    </row>
    <row r="27" spans="1:29" ht="18.75" customHeight="1">
      <c r="A27" s="522">
        <v>20</v>
      </c>
      <c r="B27" s="620">
        <v>0</v>
      </c>
      <c r="C27" s="621">
        <v>0</v>
      </c>
      <c r="D27" s="621">
        <v>0</v>
      </c>
      <c r="E27" s="620">
        <v>0</v>
      </c>
      <c r="F27" s="621">
        <v>0</v>
      </c>
      <c r="G27" s="621">
        <v>0</v>
      </c>
      <c r="H27" s="620">
        <v>0</v>
      </c>
      <c r="I27" s="621">
        <v>0</v>
      </c>
      <c r="J27" s="621">
        <v>0</v>
      </c>
      <c r="K27" s="620">
        <v>0</v>
      </c>
      <c r="L27" s="621">
        <v>0</v>
      </c>
      <c r="M27" s="621">
        <v>0</v>
      </c>
      <c r="N27" s="620">
        <v>0</v>
      </c>
      <c r="O27" s="621">
        <v>0</v>
      </c>
      <c r="P27" s="621">
        <v>0</v>
      </c>
      <c r="Q27" s="620">
        <v>0</v>
      </c>
      <c r="R27" s="621">
        <v>0</v>
      </c>
      <c r="S27" s="621">
        <v>0</v>
      </c>
      <c r="T27" s="620">
        <v>0</v>
      </c>
      <c r="U27" s="621">
        <v>0</v>
      </c>
      <c r="V27" s="621">
        <v>0</v>
      </c>
      <c r="W27" s="620">
        <v>0</v>
      </c>
      <c r="X27" s="621">
        <v>0</v>
      </c>
      <c r="Y27" s="622">
        <v>0</v>
      </c>
      <c r="Z27" s="614"/>
      <c r="AA27" s="614"/>
      <c r="AB27" s="614"/>
      <c r="AC27" s="614"/>
    </row>
    <row r="28" spans="1:29" ht="18.75" customHeight="1">
      <c r="A28" s="522">
        <v>21</v>
      </c>
      <c r="B28" s="620">
        <v>0</v>
      </c>
      <c r="C28" s="621">
        <v>0</v>
      </c>
      <c r="D28" s="621">
        <v>0</v>
      </c>
      <c r="E28" s="620">
        <v>0</v>
      </c>
      <c r="F28" s="621">
        <v>0</v>
      </c>
      <c r="G28" s="621">
        <v>0</v>
      </c>
      <c r="H28" s="620">
        <v>0</v>
      </c>
      <c r="I28" s="621">
        <v>0</v>
      </c>
      <c r="J28" s="621">
        <v>0</v>
      </c>
      <c r="K28" s="620">
        <v>0</v>
      </c>
      <c r="L28" s="621">
        <v>0</v>
      </c>
      <c r="M28" s="621">
        <v>0</v>
      </c>
      <c r="N28" s="620">
        <v>0</v>
      </c>
      <c r="O28" s="621">
        <v>0</v>
      </c>
      <c r="P28" s="621">
        <v>0</v>
      </c>
      <c r="Q28" s="620">
        <v>0</v>
      </c>
      <c r="R28" s="621">
        <v>0</v>
      </c>
      <c r="S28" s="621">
        <v>0</v>
      </c>
      <c r="T28" s="620">
        <v>0</v>
      </c>
      <c r="U28" s="621">
        <v>0</v>
      </c>
      <c r="V28" s="621">
        <v>0</v>
      </c>
      <c r="W28" s="620">
        <v>0</v>
      </c>
      <c r="X28" s="621">
        <v>0</v>
      </c>
      <c r="Y28" s="622">
        <v>0</v>
      </c>
      <c r="Z28" s="614"/>
      <c r="AA28" s="614"/>
      <c r="AB28" s="614"/>
      <c r="AC28" s="614"/>
    </row>
    <row r="29" spans="1:29" ht="18.75" customHeight="1">
      <c r="A29" s="522">
        <v>22</v>
      </c>
      <c r="B29" s="620">
        <v>0</v>
      </c>
      <c r="C29" s="621">
        <v>0</v>
      </c>
      <c r="D29" s="621">
        <v>0</v>
      </c>
      <c r="E29" s="620">
        <v>0</v>
      </c>
      <c r="F29" s="621">
        <v>0</v>
      </c>
      <c r="G29" s="621">
        <v>0</v>
      </c>
      <c r="H29" s="620">
        <v>0</v>
      </c>
      <c r="I29" s="621">
        <v>0</v>
      </c>
      <c r="J29" s="621">
        <v>0</v>
      </c>
      <c r="K29" s="620">
        <v>0</v>
      </c>
      <c r="L29" s="621">
        <v>0</v>
      </c>
      <c r="M29" s="621">
        <v>0</v>
      </c>
      <c r="N29" s="620">
        <v>0</v>
      </c>
      <c r="O29" s="621">
        <v>0</v>
      </c>
      <c r="P29" s="621">
        <v>0</v>
      </c>
      <c r="Q29" s="620">
        <v>0</v>
      </c>
      <c r="R29" s="621">
        <v>0</v>
      </c>
      <c r="S29" s="621">
        <v>0</v>
      </c>
      <c r="T29" s="620">
        <v>0</v>
      </c>
      <c r="U29" s="621">
        <v>0</v>
      </c>
      <c r="V29" s="621">
        <v>0</v>
      </c>
      <c r="W29" s="620">
        <v>0</v>
      </c>
      <c r="X29" s="621">
        <v>0</v>
      </c>
      <c r="Y29" s="622">
        <v>0</v>
      </c>
      <c r="Z29" s="614"/>
      <c r="AA29" s="614"/>
      <c r="AB29" s="614"/>
      <c r="AC29" s="614"/>
    </row>
    <row r="30" spans="1:29" ht="18.75" customHeight="1">
      <c r="A30" s="522">
        <v>23</v>
      </c>
      <c r="B30" s="620">
        <v>0</v>
      </c>
      <c r="C30" s="621">
        <v>0</v>
      </c>
      <c r="D30" s="621">
        <v>0</v>
      </c>
      <c r="E30" s="620">
        <v>0</v>
      </c>
      <c r="F30" s="621">
        <v>0</v>
      </c>
      <c r="G30" s="621">
        <v>0</v>
      </c>
      <c r="H30" s="620">
        <v>0</v>
      </c>
      <c r="I30" s="621">
        <v>0</v>
      </c>
      <c r="J30" s="621">
        <v>0</v>
      </c>
      <c r="K30" s="620">
        <v>0</v>
      </c>
      <c r="L30" s="621">
        <v>0</v>
      </c>
      <c r="M30" s="621">
        <v>0</v>
      </c>
      <c r="N30" s="620">
        <v>0</v>
      </c>
      <c r="O30" s="621">
        <v>0</v>
      </c>
      <c r="P30" s="621">
        <v>0</v>
      </c>
      <c r="Q30" s="620">
        <v>0</v>
      </c>
      <c r="R30" s="621">
        <v>0</v>
      </c>
      <c r="S30" s="621">
        <v>0</v>
      </c>
      <c r="T30" s="620">
        <v>0</v>
      </c>
      <c r="U30" s="621">
        <v>0</v>
      </c>
      <c r="V30" s="621">
        <v>0</v>
      </c>
      <c r="W30" s="620">
        <v>0</v>
      </c>
      <c r="X30" s="621">
        <v>0</v>
      </c>
      <c r="Y30" s="622">
        <v>0</v>
      </c>
      <c r="Z30" s="614"/>
      <c r="AA30" s="614"/>
      <c r="AB30" s="614"/>
      <c r="AC30" s="614"/>
    </row>
    <row r="31" spans="1:29" ht="18.75" customHeight="1">
      <c r="A31" s="522">
        <v>24</v>
      </c>
      <c r="B31" s="620">
        <v>0</v>
      </c>
      <c r="C31" s="621">
        <v>0</v>
      </c>
      <c r="D31" s="621">
        <v>0</v>
      </c>
      <c r="E31" s="620">
        <v>0</v>
      </c>
      <c r="F31" s="621">
        <v>0</v>
      </c>
      <c r="G31" s="621">
        <v>0</v>
      </c>
      <c r="H31" s="620">
        <v>0</v>
      </c>
      <c r="I31" s="621">
        <v>0</v>
      </c>
      <c r="J31" s="621">
        <v>0</v>
      </c>
      <c r="K31" s="620">
        <v>0</v>
      </c>
      <c r="L31" s="621">
        <v>0</v>
      </c>
      <c r="M31" s="621">
        <v>0</v>
      </c>
      <c r="N31" s="620">
        <v>0</v>
      </c>
      <c r="O31" s="621">
        <v>0</v>
      </c>
      <c r="P31" s="621">
        <v>0</v>
      </c>
      <c r="Q31" s="620">
        <v>0</v>
      </c>
      <c r="R31" s="621">
        <v>0</v>
      </c>
      <c r="S31" s="621">
        <v>0</v>
      </c>
      <c r="T31" s="620">
        <v>0</v>
      </c>
      <c r="U31" s="621">
        <v>0</v>
      </c>
      <c r="V31" s="621">
        <v>0</v>
      </c>
      <c r="W31" s="620">
        <v>0</v>
      </c>
      <c r="X31" s="621">
        <v>0</v>
      </c>
      <c r="Y31" s="622">
        <v>0</v>
      </c>
      <c r="Z31" s="614"/>
      <c r="AA31" s="614"/>
      <c r="AB31" s="614"/>
      <c r="AC31" s="614"/>
    </row>
    <row r="32" spans="1:29" ht="18.75" customHeight="1">
      <c r="A32" s="522">
        <v>25</v>
      </c>
      <c r="B32" s="620">
        <v>0</v>
      </c>
      <c r="C32" s="621">
        <v>0</v>
      </c>
      <c r="D32" s="621">
        <v>0</v>
      </c>
      <c r="E32" s="620">
        <v>0</v>
      </c>
      <c r="F32" s="621">
        <v>0</v>
      </c>
      <c r="G32" s="621">
        <v>0</v>
      </c>
      <c r="H32" s="620">
        <v>0</v>
      </c>
      <c r="I32" s="621">
        <v>0</v>
      </c>
      <c r="J32" s="621">
        <v>0</v>
      </c>
      <c r="K32" s="620">
        <v>0</v>
      </c>
      <c r="L32" s="621">
        <v>0</v>
      </c>
      <c r="M32" s="621">
        <v>0</v>
      </c>
      <c r="N32" s="620">
        <v>0</v>
      </c>
      <c r="O32" s="621">
        <v>0</v>
      </c>
      <c r="P32" s="621">
        <v>0</v>
      </c>
      <c r="Q32" s="620">
        <v>0</v>
      </c>
      <c r="R32" s="621">
        <v>0</v>
      </c>
      <c r="S32" s="621">
        <v>0</v>
      </c>
      <c r="T32" s="620">
        <v>0</v>
      </c>
      <c r="U32" s="621">
        <v>0</v>
      </c>
      <c r="V32" s="621">
        <v>0</v>
      </c>
      <c r="W32" s="620">
        <v>0</v>
      </c>
      <c r="X32" s="621">
        <v>0</v>
      </c>
      <c r="Y32" s="622">
        <v>0</v>
      </c>
      <c r="Z32" s="614"/>
      <c r="AA32" s="614"/>
      <c r="AB32" s="614"/>
      <c r="AC32" s="614"/>
    </row>
    <row r="33" spans="1:29" ht="18.75" customHeight="1">
      <c r="A33" s="522">
        <v>26</v>
      </c>
      <c r="B33" s="620">
        <v>0</v>
      </c>
      <c r="C33" s="621">
        <v>0</v>
      </c>
      <c r="D33" s="621">
        <v>0</v>
      </c>
      <c r="E33" s="620">
        <v>0</v>
      </c>
      <c r="F33" s="621">
        <v>0</v>
      </c>
      <c r="G33" s="621">
        <v>0</v>
      </c>
      <c r="H33" s="620">
        <v>0</v>
      </c>
      <c r="I33" s="621">
        <v>0</v>
      </c>
      <c r="J33" s="621">
        <v>0</v>
      </c>
      <c r="K33" s="620">
        <v>0</v>
      </c>
      <c r="L33" s="621">
        <v>0</v>
      </c>
      <c r="M33" s="621">
        <v>0</v>
      </c>
      <c r="N33" s="620">
        <v>0</v>
      </c>
      <c r="O33" s="621">
        <v>0</v>
      </c>
      <c r="P33" s="621">
        <v>0</v>
      </c>
      <c r="Q33" s="620">
        <v>0</v>
      </c>
      <c r="R33" s="621">
        <v>0</v>
      </c>
      <c r="S33" s="621">
        <v>0</v>
      </c>
      <c r="T33" s="620">
        <v>0</v>
      </c>
      <c r="U33" s="621">
        <v>0</v>
      </c>
      <c r="V33" s="621">
        <v>0</v>
      </c>
      <c r="W33" s="620">
        <v>0</v>
      </c>
      <c r="X33" s="621">
        <v>0</v>
      </c>
      <c r="Y33" s="622">
        <v>0</v>
      </c>
      <c r="Z33" s="614"/>
      <c r="AA33" s="614"/>
      <c r="AB33" s="614"/>
      <c r="AC33" s="614"/>
    </row>
    <row r="34" spans="1:29" ht="18.75" customHeight="1">
      <c r="A34" s="522">
        <v>27</v>
      </c>
      <c r="B34" s="620">
        <v>0</v>
      </c>
      <c r="C34" s="621">
        <v>0</v>
      </c>
      <c r="D34" s="621">
        <v>0</v>
      </c>
      <c r="E34" s="620">
        <v>0</v>
      </c>
      <c r="F34" s="621">
        <v>0</v>
      </c>
      <c r="G34" s="621">
        <v>0</v>
      </c>
      <c r="H34" s="620">
        <v>0</v>
      </c>
      <c r="I34" s="621">
        <v>0</v>
      </c>
      <c r="J34" s="621">
        <v>0</v>
      </c>
      <c r="K34" s="620">
        <v>0</v>
      </c>
      <c r="L34" s="621">
        <v>0</v>
      </c>
      <c r="M34" s="621">
        <v>0</v>
      </c>
      <c r="N34" s="620">
        <v>0</v>
      </c>
      <c r="O34" s="621">
        <v>0</v>
      </c>
      <c r="P34" s="621">
        <v>0</v>
      </c>
      <c r="Q34" s="620">
        <v>0</v>
      </c>
      <c r="R34" s="621">
        <v>0</v>
      </c>
      <c r="S34" s="621">
        <v>0</v>
      </c>
      <c r="T34" s="620">
        <v>0</v>
      </c>
      <c r="U34" s="621">
        <v>0</v>
      </c>
      <c r="V34" s="621">
        <v>0</v>
      </c>
      <c r="W34" s="620">
        <v>0</v>
      </c>
      <c r="X34" s="621">
        <v>0</v>
      </c>
      <c r="Y34" s="622">
        <v>0</v>
      </c>
      <c r="Z34" s="624"/>
      <c r="AA34" s="624"/>
      <c r="AB34" s="624"/>
      <c r="AC34" s="624"/>
    </row>
    <row r="35" spans="1:29" ht="18.75" customHeight="1">
      <c r="A35" s="522">
        <v>28</v>
      </c>
      <c r="B35" s="620">
        <v>0</v>
      </c>
      <c r="C35" s="621">
        <v>0</v>
      </c>
      <c r="D35" s="621">
        <v>0</v>
      </c>
      <c r="E35" s="620">
        <v>0</v>
      </c>
      <c r="F35" s="621">
        <v>0</v>
      </c>
      <c r="G35" s="621">
        <v>0</v>
      </c>
      <c r="H35" s="620">
        <v>0</v>
      </c>
      <c r="I35" s="621">
        <v>0</v>
      </c>
      <c r="J35" s="621">
        <v>0</v>
      </c>
      <c r="K35" s="620">
        <v>0</v>
      </c>
      <c r="L35" s="621">
        <v>0</v>
      </c>
      <c r="M35" s="621">
        <v>0</v>
      </c>
      <c r="N35" s="620">
        <v>0</v>
      </c>
      <c r="O35" s="621">
        <v>0</v>
      </c>
      <c r="P35" s="621">
        <v>0</v>
      </c>
      <c r="Q35" s="620">
        <v>0</v>
      </c>
      <c r="R35" s="621">
        <v>0</v>
      </c>
      <c r="S35" s="621">
        <v>0</v>
      </c>
      <c r="T35" s="620">
        <v>0</v>
      </c>
      <c r="U35" s="621">
        <v>0</v>
      </c>
      <c r="V35" s="621">
        <v>0</v>
      </c>
      <c r="W35" s="620">
        <v>0</v>
      </c>
      <c r="X35" s="621">
        <v>0</v>
      </c>
      <c r="Y35" s="622">
        <v>0</v>
      </c>
      <c r="Z35" s="600"/>
    </row>
    <row r="36" spans="1:29" ht="18.75" customHeight="1">
      <c r="A36" s="522">
        <v>29</v>
      </c>
      <c r="B36" s="620">
        <v>0</v>
      </c>
      <c r="C36" s="621">
        <v>0</v>
      </c>
      <c r="D36" s="621">
        <v>0</v>
      </c>
      <c r="E36" s="620">
        <v>0</v>
      </c>
      <c r="F36" s="621">
        <v>0</v>
      </c>
      <c r="G36" s="621">
        <v>0</v>
      </c>
      <c r="H36" s="620">
        <v>0</v>
      </c>
      <c r="I36" s="621">
        <v>0</v>
      </c>
      <c r="J36" s="621">
        <v>0</v>
      </c>
      <c r="K36" s="620">
        <v>0</v>
      </c>
      <c r="L36" s="621">
        <v>0</v>
      </c>
      <c r="M36" s="621">
        <v>0</v>
      </c>
      <c r="N36" s="620">
        <v>0</v>
      </c>
      <c r="O36" s="621">
        <v>0</v>
      </c>
      <c r="P36" s="621">
        <v>0</v>
      </c>
      <c r="Q36" s="620">
        <v>0</v>
      </c>
      <c r="R36" s="621">
        <v>0</v>
      </c>
      <c r="S36" s="621">
        <v>0</v>
      </c>
      <c r="T36" s="620">
        <v>0</v>
      </c>
      <c r="U36" s="621">
        <v>0</v>
      </c>
      <c r="V36" s="621">
        <v>0</v>
      </c>
      <c r="W36" s="620">
        <v>0</v>
      </c>
      <c r="X36" s="621">
        <v>0</v>
      </c>
      <c r="Y36" s="622">
        <v>0</v>
      </c>
      <c r="Z36" s="600"/>
    </row>
    <row r="37" spans="1:29" ht="18.75" customHeight="1">
      <c r="A37" s="522">
        <v>30</v>
      </c>
      <c r="B37" s="620">
        <v>0</v>
      </c>
      <c r="C37" s="621">
        <v>0</v>
      </c>
      <c r="D37" s="621">
        <v>0</v>
      </c>
      <c r="E37" s="620">
        <v>0</v>
      </c>
      <c r="F37" s="621">
        <v>0</v>
      </c>
      <c r="G37" s="621">
        <v>0</v>
      </c>
      <c r="H37" s="620">
        <v>0</v>
      </c>
      <c r="I37" s="621">
        <v>0</v>
      </c>
      <c r="J37" s="621">
        <v>0</v>
      </c>
      <c r="K37" s="620">
        <v>0</v>
      </c>
      <c r="L37" s="621">
        <v>0</v>
      </c>
      <c r="M37" s="621">
        <v>0</v>
      </c>
      <c r="N37" s="620">
        <v>0</v>
      </c>
      <c r="O37" s="621">
        <v>0</v>
      </c>
      <c r="P37" s="621">
        <v>0</v>
      </c>
      <c r="Q37" s="620">
        <v>0</v>
      </c>
      <c r="R37" s="621">
        <v>0</v>
      </c>
      <c r="S37" s="621">
        <v>0</v>
      </c>
      <c r="T37" s="620">
        <v>0</v>
      </c>
      <c r="U37" s="621">
        <v>0</v>
      </c>
      <c r="V37" s="621">
        <v>0</v>
      </c>
      <c r="W37" s="620">
        <v>0</v>
      </c>
      <c r="X37" s="621">
        <v>0</v>
      </c>
      <c r="Y37" s="622">
        <v>0</v>
      </c>
      <c r="Z37" s="600"/>
    </row>
    <row r="38" spans="1:29" ht="19.5" customHeight="1">
      <c r="A38" s="1230" t="s">
        <v>257</v>
      </c>
      <c r="B38" s="1230"/>
      <c r="C38" s="1230"/>
      <c r="D38" s="625">
        <f>AVERAGE('Parte4 '!D8:D37)</f>
        <v>0</v>
      </c>
      <c r="E38" s="1220"/>
      <c r="F38" s="1220"/>
      <c r="G38" s="625">
        <f>AVERAGE('Parte4 '!D7:D37)</f>
        <v>0</v>
      </c>
      <c r="H38" s="1220"/>
      <c r="I38" s="1220"/>
      <c r="J38" s="625">
        <f>AVERAGE('Parte4 '!D7:D37)</f>
        <v>0</v>
      </c>
      <c r="K38" s="1220"/>
      <c r="L38" s="1220"/>
      <c r="M38" s="625">
        <f>AVERAGE('Parte4 '!D7:D37)</f>
        <v>0</v>
      </c>
      <c r="N38" s="1220"/>
      <c r="O38" s="1220"/>
      <c r="P38" s="625">
        <f>AVERAGE('Parte4 '!D7:D37)</f>
        <v>0</v>
      </c>
      <c r="Q38" s="1220"/>
      <c r="R38" s="1220"/>
      <c r="S38" s="625">
        <f>AVERAGE('Parte4 '!D7:D37)</f>
        <v>0</v>
      </c>
      <c r="T38" s="1220"/>
      <c r="U38" s="1220"/>
      <c r="V38" s="625">
        <f>AVERAGE('Parte4 '!D7:D37)</f>
        <v>0</v>
      </c>
      <c r="W38" s="1223"/>
      <c r="X38" s="1223"/>
      <c r="Y38" s="625">
        <f>AVERAGE('Parte4 '!D7:D37)</f>
        <v>0</v>
      </c>
      <c r="Z38" s="600"/>
    </row>
    <row r="39" spans="1:29" ht="12.75" customHeight="1">
      <c r="Z39" s="600"/>
    </row>
    <row r="40" spans="1:29" ht="13.5" customHeight="1">
      <c r="Z40" s="600"/>
    </row>
    <row r="41" spans="1:29" ht="13.5" customHeight="1">
      <c r="B41" s="1224" t="s">
        <v>88</v>
      </c>
      <c r="C41" s="1224"/>
      <c r="D41" s="1224"/>
      <c r="E41" s="1224"/>
      <c r="F41" s="1224"/>
      <c r="G41" s="1224"/>
      <c r="I41" s="1225"/>
      <c r="J41" s="1225"/>
      <c r="K41" s="1226" t="s">
        <v>320</v>
      </c>
      <c r="L41" s="1226"/>
      <c r="M41" s="1226"/>
      <c r="N41" s="1226"/>
      <c r="O41" s="1224" t="s">
        <v>321</v>
      </c>
      <c r="P41" s="1224"/>
      <c r="Q41" s="1224"/>
      <c r="R41" s="1224"/>
      <c r="Z41" s="600"/>
    </row>
    <row r="42" spans="1:29" ht="13.5" customHeight="1">
      <c r="B42" s="1227"/>
      <c r="C42" s="1227"/>
      <c r="D42" s="1224" t="s">
        <v>205</v>
      </c>
      <c r="E42" s="1224"/>
      <c r="F42" s="1224" t="s">
        <v>206</v>
      </c>
      <c r="G42" s="1224"/>
      <c r="I42" s="1225"/>
      <c r="J42" s="1225"/>
      <c r="K42" s="1228" t="s">
        <v>205</v>
      </c>
      <c r="L42" s="1228"/>
      <c r="M42" s="1229" t="s">
        <v>206</v>
      </c>
      <c r="N42" s="1229"/>
      <c r="O42" s="1228" t="s">
        <v>205</v>
      </c>
      <c r="P42" s="1228"/>
      <c r="Q42" s="1229" t="s">
        <v>206</v>
      </c>
      <c r="R42" s="1229"/>
    </row>
    <row r="43" spans="1:29" ht="13.5" customHeight="1">
      <c r="B43" s="1224" t="s">
        <v>322</v>
      </c>
      <c r="C43" s="1224"/>
      <c r="D43" s="1232">
        <f>MAX('Parte4 '!B8:B37)</f>
        <v>0</v>
      </c>
      <c r="E43" s="1232"/>
      <c r="F43" s="1232">
        <f>MIN('Parte4 '!C8:C37)</f>
        <v>0</v>
      </c>
      <c r="G43" s="1232"/>
      <c r="I43" s="1224" t="s">
        <v>225</v>
      </c>
      <c r="J43" s="1224"/>
      <c r="K43" s="1228">
        <f>MAX('Parte4 '!U8:U37)</f>
        <v>0</v>
      </c>
      <c r="L43" s="1228"/>
      <c r="M43" s="1231">
        <f>MIN('Parte4 '!U8:U37)</f>
        <v>0</v>
      </c>
      <c r="N43" s="1231"/>
      <c r="O43" s="1228">
        <f>MAX('Parte4 '!W8:W37)</f>
        <v>0</v>
      </c>
      <c r="P43" s="1228"/>
      <c r="Q43" s="1229">
        <f>MIN('Parte4 '!W8:W37)</f>
        <v>0</v>
      </c>
      <c r="R43" s="1229"/>
    </row>
    <row r="44" spans="1:29" ht="13.5" customHeight="1">
      <c r="B44" s="1224" t="s">
        <v>323</v>
      </c>
      <c r="C44" s="1224"/>
      <c r="D44" s="1232">
        <f>MAX('Parte4 '!E8:E37)</f>
        <v>0</v>
      </c>
      <c r="E44" s="1232"/>
      <c r="F44" s="1232">
        <f>MIN('Parte4 '!F8:F37)</f>
        <v>0</v>
      </c>
      <c r="G44" s="1232"/>
      <c r="I44" s="1224" t="s">
        <v>227</v>
      </c>
      <c r="J44" s="1224"/>
      <c r="K44" s="1228">
        <f>MAX('Parte4 '!V8:V37)</f>
        <v>0</v>
      </c>
      <c r="L44" s="1228"/>
      <c r="M44" s="1229">
        <f>MIN('Parte4 '!V8:V37)</f>
        <v>0</v>
      </c>
      <c r="N44" s="1229"/>
      <c r="O44" s="1228">
        <f>MAX('Parte4 '!X8:X37)</f>
        <v>0</v>
      </c>
      <c r="P44" s="1228"/>
      <c r="Q44" s="1229">
        <f>MIN('Parte4 '!X8:X37)</f>
        <v>0</v>
      </c>
      <c r="R44" s="1229"/>
    </row>
    <row r="45" spans="1:29" ht="13.5" customHeight="1">
      <c r="B45" s="1224" t="s">
        <v>324</v>
      </c>
      <c r="C45" s="1224"/>
      <c r="D45" s="1232">
        <f>MAX('Parte4 '!H8:H37)</f>
        <v>0</v>
      </c>
      <c r="E45" s="1232"/>
      <c r="F45" s="1232">
        <f>MIN('Parte4 '!I8:I37)</f>
        <v>0</v>
      </c>
      <c r="G45" s="1232"/>
    </row>
    <row r="46" spans="1:29" ht="13.5" customHeight="1">
      <c r="B46" s="1224" t="s">
        <v>325</v>
      </c>
      <c r="C46" s="1224"/>
      <c r="D46" s="1232">
        <f>MAX('Parte4 '!K8:K37)</f>
        <v>0</v>
      </c>
      <c r="E46" s="1232"/>
      <c r="F46" s="1232">
        <f>MIN('Parte4 '!L8:L37)</f>
        <v>0</v>
      </c>
      <c r="G46" s="1232"/>
    </row>
    <row r="47" spans="1:29" ht="13.5" customHeight="1">
      <c r="B47" s="1224" t="s">
        <v>326</v>
      </c>
      <c r="C47" s="1224"/>
      <c r="D47" s="1232">
        <f>MAX('Parte4 '!N8:N37)</f>
        <v>0</v>
      </c>
      <c r="E47" s="1232"/>
      <c r="F47" s="1232">
        <f>MIN('Parte4 '!O8:O37)</f>
        <v>0</v>
      </c>
      <c r="G47" s="1232"/>
    </row>
    <row r="48" spans="1:29" ht="13.5" customHeight="1">
      <c r="B48" s="1224" t="s">
        <v>327</v>
      </c>
      <c r="C48" s="1224"/>
      <c r="D48" s="1232">
        <f>MAX('Parte4 '!Q8:Q37)</f>
        <v>0</v>
      </c>
      <c r="E48" s="1232"/>
      <c r="F48" s="1232">
        <f>MIN('Parte4 '!R8:R37)</f>
        <v>0</v>
      </c>
      <c r="G48" s="1232"/>
    </row>
  </sheetData>
  <mergeCells count="62"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N38:O38"/>
    <mergeCell ref="A1:F2"/>
    <mergeCell ref="G1:U2"/>
    <mergeCell ref="Q38:R38"/>
    <mergeCell ref="T38:U38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21" t="s">
        <v>308</v>
      </c>
      <c r="B1" s="1221"/>
      <c r="C1" s="1221"/>
      <c r="D1" s="1221"/>
      <c r="E1" s="1221"/>
      <c r="F1" s="1221"/>
      <c r="G1" s="1222" t="s">
        <v>219</v>
      </c>
      <c r="H1" s="1222"/>
      <c r="I1" s="1222"/>
      <c r="J1" s="1222"/>
      <c r="K1" s="1222"/>
      <c r="L1" s="1222"/>
      <c r="M1" s="1222"/>
      <c r="N1" s="1222"/>
      <c r="O1" s="1222"/>
      <c r="P1" s="1222"/>
      <c r="Q1" s="1222"/>
      <c r="R1" s="1222"/>
      <c r="S1" s="1222"/>
      <c r="T1" s="1222"/>
      <c r="U1" s="1222"/>
      <c r="V1" s="1233" t="s">
        <v>249</v>
      </c>
      <c r="W1" s="1233"/>
      <c r="X1" s="1233"/>
      <c r="Y1" s="1233"/>
    </row>
    <row r="2" spans="1:25" ht="18" customHeight="1">
      <c r="A2" s="1221"/>
      <c r="B2" s="1221"/>
      <c r="C2" s="1221"/>
      <c r="D2" s="1221"/>
      <c r="E2" s="1221"/>
      <c r="F2" s="1221"/>
      <c r="G2" s="1222"/>
      <c r="H2" s="1222"/>
      <c r="I2" s="1222"/>
      <c r="J2" s="1222"/>
      <c r="K2" s="1222"/>
      <c r="L2" s="1222"/>
      <c r="M2" s="1222"/>
      <c r="N2" s="1222"/>
      <c r="O2" s="1222"/>
      <c r="P2" s="1222"/>
      <c r="Q2" s="1222"/>
      <c r="R2" s="1222"/>
      <c r="S2" s="1222"/>
      <c r="T2" s="1222"/>
      <c r="U2" s="1222"/>
      <c r="V2" s="1234">
        <f>'1'!$U$25</f>
        <v>43891</v>
      </c>
      <c r="W2" s="1234"/>
      <c r="X2" s="1234">
        <f>'1'!$U$25</f>
        <v>43891</v>
      </c>
      <c r="Y2" s="1234"/>
    </row>
    <row r="3" spans="1:25" ht="3" customHeight="1">
      <c r="A3" s="428"/>
      <c r="B3" s="428"/>
      <c r="C3" s="428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</row>
    <row r="4" spans="1:25" s="429" customFormat="1" ht="27.75" customHeight="1">
      <c r="A4" s="1150" t="s">
        <v>221</v>
      </c>
      <c r="B4" s="1215" t="s">
        <v>328</v>
      </c>
      <c r="C4" s="1215"/>
      <c r="D4" s="1215"/>
      <c r="E4" s="1215"/>
      <c r="F4" s="1215"/>
      <c r="G4" s="1215"/>
      <c r="H4" s="1215"/>
      <c r="I4" s="1215"/>
      <c r="J4" s="1215"/>
      <c r="K4" s="1215"/>
      <c r="L4" s="1215"/>
      <c r="M4" s="1215"/>
      <c r="N4" s="1215"/>
      <c r="O4" s="1215"/>
      <c r="P4" s="1215"/>
      <c r="Q4" s="1215"/>
      <c r="R4" s="1215"/>
      <c r="S4" s="1215"/>
      <c r="T4" s="1215"/>
      <c r="U4" s="1215"/>
      <c r="V4" s="1215"/>
      <c r="W4" s="1215"/>
      <c r="X4" s="1215"/>
      <c r="Y4" s="1215"/>
    </row>
    <row r="5" spans="1:25" ht="22.35" customHeight="1">
      <c r="A5" s="1150"/>
      <c r="B5" s="1216" t="s">
        <v>310</v>
      </c>
      <c r="C5" s="1216"/>
      <c r="D5" s="1216"/>
      <c r="E5" s="1216"/>
      <c r="F5" s="1216"/>
      <c r="G5" s="1216"/>
      <c r="H5" s="1216"/>
      <c r="I5" s="1216"/>
      <c r="J5" s="1216"/>
      <c r="K5" s="1216"/>
      <c r="L5" s="1216"/>
      <c r="M5" s="1216"/>
      <c r="N5" s="1216"/>
      <c r="O5" s="1216"/>
      <c r="P5" s="1216"/>
      <c r="Q5" s="1216"/>
      <c r="R5" s="1216"/>
      <c r="S5" s="1216"/>
      <c r="T5" s="1216"/>
      <c r="U5" s="1216"/>
      <c r="V5" s="1216"/>
      <c r="W5" s="1216"/>
      <c r="X5" s="1216"/>
      <c r="Y5" s="1216"/>
    </row>
    <row r="6" spans="1:25" ht="17.25" customHeight="1">
      <c r="A6" s="1150"/>
      <c r="B6" s="1217" t="s">
        <v>329</v>
      </c>
      <c r="C6" s="1217"/>
      <c r="D6" s="1217"/>
      <c r="E6" s="1218" t="s">
        <v>330</v>
      </c>
      <c r="F6" s="1218"/>
      <c r="G6" s="1218"/>
      <c r="H6" s="1218" t="s">
        <v>331</v>
      </c>
      <c r="I6" s="1218"/>
      <c r="J6" s="1218"/>
      <c r="K6" s="1218" t="s">
        <v>332</v>
      </c>
      <c r="L6" s="1218"/>
      <c r="M6" s="1218"/>
      <c r="N6" s="1218" t="s">
        <v>333</v>
      </c>
      <c r="O6" s="1218"/>
      <c r="P6" s="1218"/>
      <c r="Q6" s="1218" t="s">
        <v>334</v>
      </c>
      <c r="R6" s="1218"/>
      <c r="S6" s="1218"/>
      <c r="T6" s="1218" t="s">
        <v>335</v>
      </c>
      <c r="U6" s="1218"/>
      <c r="V6" s="1218"/>
      <c r="W6" s="1219" t="s">
        <v>336</v>
      </c>
      <c r="X6" s="1219"/>
      <c r="Y6" s="1219"/>
    </row>
    <row r="7" spans="1:25" ht="17.25" customHeight="1">
      <c r="A7" s="1150"/>
      <c r="B7" s="434" t="s">
        <v>229</v>
      </c>
      <c r="C7" s="432" t="s">
        <v>230</v>
      </c>
      <c r="D7" s="432" t="s">
        <v>231</v>
      </c>
      <c r="E7" s="432" t="s">
        <v>229</v>
      </c>
      <c r="F7" s="432" t="s">
        <v>230</v>
      </c>
      <c r="G7" s="432" t="s">
        <v>231</v>
      </c>
      <c r="H7" s="432" t="s">
        <v>229</v>
      </c>
      <c r="I7" s="432" t="s">
        <v>230</v>
      </c>
      <c r="J7" s="432" t="s">
        <v>231</v>
      </c>
      <c r="K7" s="432" t="s">
        <v>229</v>
      </c>
      <c r="L7" s="432" t="s">
        <v>230</v>
      </c>
      <c r="M7" s="432" t="s">
        <v>231</v>
      </c>
      <c r="N7" s="435" t="s">
        <v>229</v>
      </c>
      <c r="O7" s="435" t="s">
        <v>230</v>
      </c>
      <c r="P7" s="435" t="s">
        <v>231</v>
      </c>
      <c r="Q7" s="435" t="s">
        <v>229</v>
      </c>
      <c r="R7" s="435" t="s">
        <v>230</v>
      </c>
      <c r="S7" s="435" t="s">
        <v>231</v>
      </c>
      <c r="T7" s="435" t="s">
        <v>229</v>
      </c>
      <c r="U7" s="432" t="s">
        <v>230</v>
      </c>
      <c r="V7" s="432" t="s">
        <v>231</v>
      </c>
      <c r="W7" s="432" t="s">
        <v>229</v>
      </c>
      <c r="X7" s="432" t="s">
        <v>230</v>
      </c>
      <c r="Y7" s="436" t="s">
        <v>231</v>
      </c>
    </row>
    <row r="8" spans="1:25" ht="19.5" customHeight="1">
      <c r="A8" s="516">
        <v>1</v>
      </c>
      <c r="B8" s="620">
        <f>MAX('1'!$J$22:$J$23)</f>
        <v>0</v>
      </c>
      <c r="C8" s="621" t="e">
        <f>#VALUE!</f>
        <v>#VALUE!</v>
      </c>
      <c r="D8" s="621" t="e">
        <f>#VALUE!</f>
        <v>#VALUE!</v>
      </c>
      <c r="E8" s="621" t="e">
        <f>#VALUE!</f>
        <v>#VALUE!</v>
      </c>
      <c r="F8" s="621" t="e">
        <f>#VALUE!</f>
        <v>#VALUE!</v>
      </c>
      <c r="G8" s="621" t="e">
        <f>#VALUE!</f>
        <v>#VALUE!</v>
      </c>
      <c r="H8" s="621" t="e">
        <f>#VALUE!</f>
        <v>#VALUE!</v>
      </c>
      <c r="I8" s="621" t="e">
        <f>#VALUE!</f>
        <v>#VALUE!</v>
      </c>
      <c r="J8" s="621" t="e">
        <f>#VALUE!</f>
        <v>#VALUE!</v>
      </c>
      <c r="K8" s="621" t="e">
        <f>#VALUE!</f>
        <v>#VALUE!</v>
      </c>
      <c r="L8" s="621" t="e">
        <f>#VALUE!</f>
        <v>#VALUE!</v>
      </c>
      <c r="M8" s="621" t="e">
        <f>#VALUE!</f>
        <v>#VALUE!</v>
      </c>
      <c r="N8" s="621" t="e">
        <f>#VALUE!</f>
        <v>#VALUE!</v>
      </c>
      <c r="O8" s="621" t="e">
        <f>#VALUE!</f>
        <v>#VALUE!</v>
      </c>
      <c r="P8" s="621" t="e">
        <f>#VALUE!</f>
        <v>#VALUE!</v>
      </c>
      <c r="Q8" s="621" t="e">
        <f>#VALUE!</f>
        <v>#VALUE!</v>
      </c>
      <c r="R8" s="621" t="e">
        <f>#VALUE!</f>
        <v>#VALUE!</v>
      </c>
      <c r="S8" s="621" t="e">
        <f>#VALUE!</f>
        <v>#VALUE!</v>
      </c>
      <c r="T8" s="621" t="e">
        <f>#VALUE!</f>
        <v>#VALUE!</v>
      </c>
      <c r="U8" s="621" t="e">
        <f>#VALUE!</f>
        <v>#VALUE!</v>
      </c>
      <c r="V8" s="621" t="e">
        <f>#VALUE!</f>
        <v>#VALUE!</v>
      </c>
      <c r="W8" s="621" t="e">
        <f>#VALUE!</f>
        <v>#VALUE!</v>
      </c>
      <c r="X8" s="621" t="e">
        <f>#VALUE!</f>
        <v>#VALUE!</v>
      </c>
      <c r="Y8" s="621" t="e">
        <f>#VALUE!</f>
        <v>#VALUE!</v>
      </c>
    </row>
    <row r="9" spans="1:25" ht="19.5" customHeight="1">
      <c r="A9" s="522">
        <v>2</v>
      </c>
      <c r="B9" s="626" t="e">
        <f>#VALUE!</f>
        <v>#VALUE!</v>
      </c>
      <c r="C9" s="457" t="e">
        <f>#VALUE!</f>
        <v>#VALUE!</v>
      </c>
      <c r="D9" s="457" t="e">
        <f>#VALUE!</f>
        <v>#VALUE!</v>
      </c>
      <c r="E9" s="457" t="e">
        <f>#VALUE!</f>
        <v>#VALUE!</v>
      </c>
      <c r="F9" s="457" t="e">
        <f>#VALUE!</f>
        <v>#VALUE!</v>
      </c>
      <c r="G9" s="457" t="e">
        <f>#VALUE!</f>
        <v>#VALUE!</v>
      </c>
      <c r="H9" s="457" t="e">
        <f>#VALUE!</f>
        <v>#VALUE!</v>
      </c>
      <c r="I9" s="457" t="e">
        <f>#VALUE!</f>
        <v>#VALUE!</v>
      </c>
      <c r="J9" s="457" t="e">
        <f>#VALUE!</f>
        <v>#VALUE!</v>
      </c>
      <c r="K9" s="457" t="e">
        <f>#VALUE!</f>
        <v>#VALUE!</v>
      </c>
      <c r="L9" s="457" t="e">
        <f>#VALUE!</f>
        <v>#VALUE!</v>
      </c>
      <c r="M9" s="457" t="e">
        <f>#VALUE!</f>
        <v>#VALUE!</v>
      </c>
      <c r="N9" s="457" t="e">
        <f>#VALUE!</f>
        <v>#VALUE!</v>
      </c>
      <c r="O9" s="457" t="e">
        <f>#VALUE!</f>
        <v>#VALUE!</v>
      </c>
      <c r="P9" s="457" t="e">
        <f>#VALUE!</f>
        <v>#VALUE!</v>
      </c>
      <c r="Q9" s="457" t="e">
        <f>#VALUE!</f>
        <v>#VALUE!</v>
      </c>
      <c r="R9" s="457" t="e">
        <f>#VALUE!</f>
        <v>#VALUE!</v>
      </c>
      <c r="S9" s="457" t="e">
        <f>#VALUE!</f>
        <v>#VALUE!</v>
      </c>
      <c r="T9" s="457" t="e">
        <f>#VALUE!</f>
        <v>#VALUE!</v>
      </c>
      <c r="U9" s="457" t="e">
        <f>#VALUE!</f>
        <v>#VALUE!</v>
      </c>
      <c r="V9" s="457" t="e">
        <f>#VALUE!</f>
        <v>#VALUE!</v>
      </c>
      <c r="W9" s="457" t="e">
        <f>#VALUE!</f>
        <v>#VALUE!</v>
      </c>
      <c r="X9" s="457" t="e">
        <f>#VALUE!</f>
        <v>#VALUE!</v>
      </c>
      <c r="Y9" s="457" t="e">
        <f>#VALUE!</f>
        <v>#VALUE!</v>
      </c>
    </row>
    <row r="10" spans="1:25" ht="19.5" customHeight="1">
      <c r="A10" s="522">
        <v>3</v>
      </c>
      <c r="B10" s="626">
        <f>MAX('3'!$J$25)</f>
        <v>0</v>
      </c>
      <c r="C10" s="457">
        <f>MIN('3'!$J$26)</f>
        <v>0</v>
      </c>
      <c r="D10" s="457">
        <f>MIN('3'!$J$26)</f>
        <v>0</v>
      </c>
      <c r="E10" s="457" t="e">
        <f>#VALUE!</f>
        <v>#VALUE!</v>
      </c>
      <c r="F10" s="457" t="e">
        <f>#VALUE!</f>
        <v>#VALUE!</v>
      </c>
      <c r="G10" s="457" t="e">
        <f>#VALUE!</f>
        <v>#VALUE!</v>
      </c>
      <c r="H10" s="457" t="e">
        <f>#VALUE!</f>
        <v>#VALUE!</v>
      </c>
      <c r="I10" s="457" t="e">
        <f>#VALUE!</f>
        <v>#VALUE!</v>
      </c>
      <c r="J10" s="457" t="e">
        <f>#VALUE!</f>
        <v>#VALUE!</v>
      </c>
      <c r="K10" s="457" t="e">
        <f>#VALUE!</f>
        <v>#VALUE!</v>
      </c>
      <c r="L10" s="457" t="e">
        <f>#VALUE!</f>
        <v>#VALUE!</v>
      </c>
      <c r="M10" s="457" t="e">
        <f>#VALUE!</f>
        <v>#VALUE!</v>
      </c>
      <c r="N10" s="457" t="e">
        <f>#VALUE!</f>
        <v>#VALUE!</v>
      </c>
      <c r="O10" s="457" t="e">
        <f>#VALUE!</f>
        <v>#VALUE!</v>
      </c>
      <c r="P10" s="457" t="e">
        <f>#VALUE!</f>
        <v>#VALUE!</v>
      </c>
      <c r="Q10" s="457" t="e">
        <f>#VALUE!</f>
        <v>#VALUE!</v>
      </c>
      <c r="R10" s="457" t="e">
        <f>#VALUE!</f>
        <v>#VALUE!</v>
      </c>
      <c r="S10" s="457" t="e">
        <f>#VALUE!</f>
        <v>#VALUE!</v>
      </c>
      <c r="T10" s="457" t="e">
        <f>#VALUE!</f>
        <v>#VALUE!</v>
      </c>
      <c r="U10" s="457" t="e">
        <f>#VALUE!</f>
        <v>#VALUE!</v>
      </c>
      <c r="V10" s="457" t="e">
        <f>#VALUE!</f>
        <v>#VALUE!</v>
      </c>
      <c r="W10" s="457" t="e">
        <f>#VALUE!</f>
        <v>#VALUE!</v>
      </c>
      <c r="X10" s="457" t="e">
        <f>#VALUE!</f>
        <v>#VALUE!</v>
      </c>
      <c r="Y10" s="457" t="e">
        <f>#VALUE!</f>
        <v>#VALUE!</v>
      </c>
    </row>
    <row r="11" spans="1:25" ht="19.5" customHeight="1">
      <c r="A11" s="522">
        <v>4</v>
      </c>
      <c r="B11" s="626" t="e">
        <f>#VALUE!</f>
        <v>#VALUE!</v>
      </c>
      <c r="C11" s="457" t="e">
        <f>#VALUE!</f>
        <v>#VALUE!</v>
      </c>
      <c r="D11" s="457" t="e">
        <f>#VALUE!</f>
        <v>#VALUE!</v>
      </c>
      <c r="E11" s="457" t="e">
        <f>#VALUE!</f>
        <v>#VALUE!</v>
      </c>
      <c r="F11" s="457" t="e">
        <f>#VALUE!</f>
        <v>#VALUE!</v>
      </c>
      <c r="G11" s="457" t="e">
        <f>#VALUE!</f>
        <v>#VALUE!</v>
      </c>
      <c r="H11" s="457" t="e">
        <f>#VALUE!</f>
        <v>#VALUE!</v>
      </c>
      <c r="I11" s="457" t="e">
        <f>#VALUE!</f>
        <v>#VALUE!</v>
      </c>
      <c r="J11" s="457" t="e">
        <f>#VALUE!</f>
        <v>#VALUE!</v>
      </c>
      <c r="K11" s="457" t="e">
        <f>#VALUE!</f>
        <v>#VALUE!</v>
      </c>
      <c r="L11" s="457" t="e">
        <f>#VALUE!</f>
        <v>#VALUE!</v>
      </c>
      <c r="M11" s="457" t="e">
        <f>#VALUE!</f>
        <v>#VALUE!</v>
      </c>
      <c r="N11" s="457" t="e">
        <f>#VALUE!</f>
        <v>#VALUE!</v>
      </c>
      <c r="O11" s="457" t="e">
        <f>#VALUE!</f>
        <v>#VALUE!</v>
      </c>
      <c r="P11" s="457" t="e">
        <f>#VALUE!</f>
        <v>#VALUE!</v>
      </c>
      <c r="Q11" s="457" t="e">
        <f>#VALUE!</f>
        <v>#VALUE!</v>
      </c>
      <c r="R11" s="457" t="e">
        <f>#VALUE!</f>
        <v>#VALUE!</v>
      </c>
      <c r="S11" s="457" t="e">
        <f>#VALUE!</f>
        <v>#VALUE!</v>
      </c>
      <c r="T11" s="457" t="e">
        <f>#VALUE!</f>
        <v>#VALUE!</v>
      </c>
      <c r="U11" s="457" t="e">
        <f>#VALUE!</f>
        <v>#VALUE!</v>
      </c>
      <c r="V11" s="457" t="e">
        <f>#VALUE!</f>
        <v>#VALUE!</v>
      </c>
      <c r="W11" s="457" t="e">
        <f>#VALUE!</f>
        <v>#VALUE!</v>
      </c>
      <c r="X11" s="457" t="e">
        <f>#VALUE!</f>
        <v>#VALUE!</v>
      </c>
      <c r="Y11" s="457" t="e">
        <f>#VALUE!</f>
        <v>#VALUE!</v>
      </c>
    </row>
    <row r="12" spans="1:25" ht="19.5" customHeight="1">
      <c r="A12" s="522">
        <v>5</v>
      </c>
      <c r="B12" s="451" t="e">
        <f>#VALUE!</f>
        <v>#VALUE!</v>
      </c>
      <c r="C12" s="440" t="e">
        <f>#VALUE!</f>
        <v>#VALUE!</v>
      </c>
      <c r="D12" s="440" t="e">
        <f>#VALUE!</f>
        <v>#VALUE!</v>
      </c>
      <c r="E12" s="440" t="e">
        <f>#VALUE!</f>
        <v>#VALUE!</v>
      </c>
      <c r="F12" s="440" t="e">
        <f>#VALUE!</f>
        <v>#VALUE!</v>
      </c>
      <c r="G12" s="440" t="e">
        <f>#VALUE!</f>
        <v>#VALUE!</v>
      </c>
      <c r="H12" s="440" t="e">
        <f>#VALUE!</f>
        <v>#VALUE!</v>
      </c>
      <c r="I12" s="440" t="e">
        <f>#VALUE!</f>
        <v>#VALUE!</v>
      </c>
      <c r="J12" s="440" t="e">
        <f>#VALUE!</f>
        <v>#VALUE!</v>
      </c>
      <c r="K12" s="440" t="e">
        <f>#VALUE!</f>
        <v>#VALUE!</v>
      </c>
      <c r="L12" s="440" t="e">
        <f>#VALUE!</f>
        <v>#VALUE!</v>
      </c>
      <c r="M12" s="440" t="e">
        <f>#VALUE!</f>
        <v>#VALUE!</v>
      </c>
      <c r="N12" s="440" t="e">
        <f>#VALUE!</f>
        <v>#VALUE!</v>
      </c>
      <c r="O12" s="440" t="e">
        <f>#VALUE!</f>
        <v>#VALUE!</v>
      </c>
      <c r="P12" s="440" t="e">
        <f>#VALUE!</f>
        <v>#VALUE!</v>
      </c>
      <c r="Q12" s="440" t="e">
        <f>#VALUE!</f>
        <v>#VALUE!</v>
      </c>
      <c r="R12" s="440" t="e">
        <f>#VALUE!</f>
        <v>#VALUE!</v>
      </c>
      <c r="S12" s="440" t="e">
        <f>#VALUE!</f>
        <v>#VALUE!</v>
      </c>
      <c r="T12" s="440" t="e">
        <f>#VALUE!</f>
        <v>#VALUE!</v>
      </c>
      <c r="U12" s="440" t="e">
        <f>#VALUE!</f>
        <v>#VALUE!</v>
      </c>
      <c r="V12" s="440" t="e">
        <f>#VALUE!</f>
        <v>#VALUE!</v>
      </c>
      <c r="W12" s="440" t="e">
        <f>#VALUE!</f>
        <v>#VALUE!</v>
      </c>
      <c r="X12" s="457" t="e">
        <f>#VALUE!</f>
        <v>#VALUE!</v>
      </c>
      <c r="Y12" s="457" t="e">
        <f>#VALUE!</f>
        <v>#VALUE!</v>
      </c>
    </row>
    <row r="13" spans="1:25" ht="19.5" customHeight="1">
      <c r="A13" s="522">
        <v>6</v>
      </c>
      <c r="B13" s="451" t="e">
        <f>#VALUE!</f>
        <v>#VALUE!</v>
      </c>
      <c r="C13" s="440" t="e">
        <f>#VALUE!</f>
        <v>#VALUE!</v>
      </c>
      <c r="D13" s="440" t="e">
        <f>#VALUE!</f>
        <v>#VALUE!</v>
      </c>
      <c r="E13" s="440" t="e">
        <f>#VALUE!</f>
        <v>#VALUE!</v>
      </c>
      <c r="F13" s="440" t="e">
        <f>#VALUE!</f>
        <v>#VALUE!</v>
      </c>
      <c r="G13" s="440" t="e">
        <f>#VALUE!</f>
        <v>#VALUE!</v>
      </c>
      <c r="H13" s="440" t="e">
        <f>#VALUE!</f>
        <v>#VALUE!</v>
      </c>
      <c r="I13" s="440" t="e">
        <f>#VALUE!</f>
        <v>#VALUE!</v>
      </c>
      <c r="J13" s="440" t="e">
        <f>#VALUE!</f>
        <v>#VALUE!</v>
      </c>
      <c r="K13" s="440" t="e">
        <f>#VALUE!</f>
        <v>#VALUE!</v>
      </c>
      <c r="L13" s="440" t="e">
        <f>#VALUE!</f>
        <v>#VALUE!</v>
      </c>
      <c r="M13" s="440" t="e">
        <f>#VALUE!</f>
        <v>#VALUE!</v>
      </c>
      <c r="N13" s="440" t="e">
        <f>#VALUE!</f>
        <v>#VALUE!</v>
      </c>
      <c r="O13" s="440" t="e">
        <f>#VALUE!</f>
        <v>#VALUE!</v>
      </c>
      <c r="P13" s="440" t="e">
        <f>#VALUE!</f>
        <v>#VALUE!</v>
      </c>
      <c r="Q13" s="440" t="e">
        <f>#VALUE!</f>
        <v>#VALUE!</v>
      </c>
      <c r="R13" s="440" t="e">
        <f>#VALUE!</f>
        <v>#VALUE!</v>
      </c>
      <c r="S13" s="440" t="e">
        <f>#VALUE!</f>
        <v>#VALUE!</v>
      </c>
      <c r="T13" s="440" t="e">
        <f>#VALUE!</f>
        <v>#VALUE!</v>
      </c>
      <c r="U13" s="440" t="e">
        <f>#VALUE!</f>
        <v>#VALUE!</v>
      </c>
      <c r="V13" s="440" t="e">
        <f>#VALUE!</f>
        <v>#VALUE!</v>
      </c>
      <c r="W13" s="440" t="e">
        <f>#VALUE!</f>
        <v>#VALUE!</v>
      </c>
      <c r="X13" s="440" t="e">
        <f>#VALUE!</f>
        <v>#VALUE!</v>
      </c>
      <c r="Y13" s="440" t="e">
        <f>#VALUE!</f>
        <v>#VALUE!</v>
      </c>
    </row>
    <row r="14" spans="1:25" ht="19.5" customHeight="1">
      <c r="A14" s="522">
        <v>7</v>
      </c>
      <c r="B14" s="626" t="e">
        <f>#VALUE!</f>
        <v>#VALUE!</v>
      </c>
      <c r="C14" s="457" t="e">
        <f>#VALUE!</f>
        <v>#VALUE!</v>
      </c>
      <c r="D14" s="457" t="e">
        <f>#VALUE!</f>
        <v>#VALUE!</v>
      </c>
      <c r="E14" s="440" t="e">
        <f>#VALUE!</f>
        <v>#VALUE!</v>
      </c>
      <c r="F14" s="440" t="e">
        <f>#VALUE!</f>
        <v>#VALUE!</v>
      </c>
      <c r="G14" s="440" t="e">
        <f>#VALUE!</f>
        <v>#VALUE!</v>
      </c>
      <c r="H14" s="457" t="e">
        <f>#VALUE!</f>
        <v>#VALUE!</v>
      </c>
      <c r="I14" s="457" t="e">
        <f>#VALUE!</f>
        <v>#VALUE!</v>
      </c>
      <c r="J14" s="457" t="e">
        <f>#VALUE!</f>
        <v>#VALUE!</v>
      </c>
      <c r="K14" s="440" t="e">
        <f>#VALUE!</f>
        <v>#VALUE!</v>
      </c>
      <c r="L14" s="440" t="e">
        <f>#VALUE!</f>
        <v>#VALUE!</v>
      </c>
      <c r="M14" s="440" t="e">
        <f>#VALUE!</f>
        <v>#VALUE!</v>
      </c>
      <c r="N14" s="440" t="e">
        <f>#VALUE!</f>
        <v>#VALUE!</v>
      </c>
      <c r="O14" s="440" t="e">
        <f>#VALUE!</f>
        <v>#VALUE!</v>
      </c>
      <c r="P14" s="440" t="e">
        <f>#VALUE!</f>
        <v>#VALUE!</v>
      </c>
      <c r="Q14" s="440" t="e">
        <f>#VALUE!</f>
        <v>#VALUE!</v>
      </c>
      <c r="R14" s="440" t="e">
        <f>#VALUE!</f>
        <v>#VALUE!</v>
      </c>
      <c r="S14" s="440" t="e">
        <f>#VALUE!</f>
        <v>#VALUE!</v>
      </c>
      <c r="T14" s="440" t="e">
        <f>#VALUE!</f>
        <v>#VALUE!</v>
      </c>
      <c r="U14" s="440" t="e">
        <f>#VALUE!</f>
        <v>#VALUE!</v>
      </c>
      <c r="V14" s="440" t="e">
        <f>#VALUE!</f>
        <v>#VALUE!</v>
      </c>
      <c r="W14" s="440" t="e">
        <f>#VALUE!</f>
        <v>#VALUE!</v>
      </c>
      <c r="X14" s="440" t="e">
        <f>#VALUE!</f>
        <v>#VALUE!</v>
      </c>
      <c r="Y14" s="440" t="e">
        <f>#VALUE!</f>
        <v>#VALUE!</v>
      </c>
    </row>
    <row r="15" spans="1:25" ht="19.5" customHeight="1">
      <c r="A15" s="522">
        <v>8</v>
      </c>
      <c r="B15" s="451" t="e">
        <f>#VALUE!</f>
        <v>#VALUE!</v>
      </c>
      <c r="C15" s="440" t="e">
        <f>#VALUE!</f>
        <v>#VALUE!</v>
      </c>
      <c r="D15" s="440" t="e">
        <f>#VALUE!</f>
        <v>#VALUE!</v>
      </c>
      <c r="E15" s="440" t="e">
        <f>#VALUE!</f>
        <v>#VALUE!</v>
      </c>
      <c r="F15" s="440" t="e">
        <f>#VALUE!</f>
        <v>#VALUE!</v>
      </c>
      <c r="G15" s="440" t="e">
        <f>#VALUE!</f>
        <v>#VALUE!</v>
      </c>
      <c r="H15" s="440" t="e">
        <f>#VALUE!</f>
        <v>#VALUE!</v>
      </c>
      <c r="I15" s="440" t="e">
        <f>#VALUE!</f>
        <v>#VALUE!</v>
      </c>
      <c r="J15" s="440" t="e">
        <f>#VALUE!</f>
        <v>#VALUE!</v>
      </c>
      <c r="K15" s="440" t="e">
        <f>#VALUE!</f>
        <v>#VALUE!</v>
      </c>
      <c r="L15" s="440" t="e">
        <f>#VALUE!</f>
        <v>#VALUE!</v>
      </c>
      <c r="M15" s="440" t="e">
        <f>#VALUE!</f>
        <v>#VALUE!</v>
      </c>
      <c r="N15" s="440" t="e">
        <f>#VALUE!</f>
        <v>#VALUE!</v>
      </c>
      <c r="O15" s="440" t="e">
        <f>#VALUE!</f>
        <v>#VALUE!</v>
      </c>
      <c r="P15" s="440" t="e">
        <f>#VALUE!</f>
        <v>#VALUE!</v>
      </c>
      <c r="Q15" s="440" t="e">
        <f>#VALUE!</f>
        <v>#VALUE!</v>
      </c>
      <c r="R15" s="440" t="e">
        <f>#VALUE!</f>
        <v>#VALUE!</v>
      </c>
      <c r="S15" s="440" t="e">
        <f>#VALUE!</f>
        <v>#VALUE!</v>
      </c>
      <c r="T15" s="440" t="e">
        <f>#VALUE!</f>
        <v>#VALUE!</v>
      </c>
      <c r="U15" s="440" t="e">
        <f>#VALUE!</f>
        <v>#VALUE!</v>
      </c>
      <c r="V15" s="440" t="e">
        <f>#VALUE!</f>
        <v>#VALUE!</v>
      </c>
      <c r="W15" s="440" t="e">
        <f>#VALUE!</f>
        <v>#VALUE!</v>
      </c>
      <c r="X15" s="440" t="e">
        <f>#VALUE!</f>
        <v>#VALUE!</v>
      </c>
      <c r="Y15" s="440" t="e">
        <f>#VALUE!</f>
        <v>#VALUE!</v>
      </c>
    </row>
    <row r="16" spans="1:25" ht="19.5" customHeight="1">
      <c r="A16" s="522">
        <v>9</v>
      </c>
      <c r="B16" s="451" t="e">
        <f>#VALUE!</f>
        <v>#VALUE!</v>
      </c>
      <c r="C16" s="440" t="e">
        <f>#VALUE!</f>
        <v>#VALUE!</v>
      </c>
      <c r="D16" s="440" t="e">
        <f>#VALUE!</f>
        <v>#VALUE!</v>
      </c>
      <c r="E16" s="440" t="e">
        <f>#VALUE!</f>
        <v>#VALUE!</v>
      </c>
      <c r="F16" s="440" t="e">
        <f>#VALUE!</f>
        <v>#VALUE!</v>
      </c>
      <c r="G16" s="440" t="e">
        <f>#VALUE!</f>
        <v>#VALUE!</v>
      </c>
      <c r="H16" s="440" t="e">
        <f>#VALUE!</f>
        <v>#VALUE!</v>
      </c>
      <c r="I16" s="440" t="e">
        <f>#VALUE!</f>
        <v>#VALUE!</v>
      </c>
      <c r="J16" s="440" t="e">
        <f>#VALUE!</f>
        <v>#VALUE!</v>
      </c>
      <c r="K16" s="440" t="e">
        <f>#VALUE!</f>
        <v>#VALUE!</v>
      </c>
      <c r="L16" s="440" t="e">
        <f>#VALUE!</f>
        <v>#VALUE!</v>
      </c>
      <c r="M16" s="440" t="e">
        <f>#VALUE!</f>
        <v>#VALUE!</v>
      </c>
      <c r="N16" s="440" t="e">
        <f>#VALUE!</f>
        <v>#VALUE!</v>
      </c>
      <c r="O16" s="440" t="e">
        <f>#VALUE!</f>
        <v>#VALUE!</v>
      </c>
      <c r="P16" s="440" t="e">
        <f>#VALUE!</f>
        <v>#VALUE!</v>
      </c>
      <c r="Q16" s="440" t="e">
        <f>#VALUE!</f>
        <v>#VALUE!</v>
      </c>
      <c r="R16" s="440" t="e">
        <f>#VALUE!</f>
        <v>#VALUE!</v>
      </c>
      <c r="S16" s="440" t="e">
        <f>#VALUE!</f>
        <v>#VALUE!</v>
      </c>
      <c r="T16" s="440" t="e">
        <f>#VALUE!</f>
        <v>#VALUE!</v>
      </c>
      <c r="U16" s="440" t="e">
        <f>#VALUE!</f>
        <v>#VALUE!</v>
      </c>
      <c r="V16" s="440" t="e">
        <f>#VALUE!</f>
        <v>#VALUE!</v>
      </c>
      <c r="W16" s="440" t="e">
        <f>#VALUE!</f>
        <v>#VALUE!</v>
      </c>
      <c r="X16" s="440" t="e">
        <f>#VALUE!</f>
        <v>#VALUE!</v>
      </c>
      <c r="Y16" s="440" t="e">
        <f>#VALUE!</f>
        <v>#VALUE!</v>
      </c>
    </row>
    <row r="17" spans="1:25" ht="19.5" customHeight="1">
      <c r="A17" s="522">
        <v>10</v>
      </c>
      <c r="B17" s="451" t="e">
        <f>#VALUE!</f>
        <v>#VALUE!</v>
      </c>
      <c r="C17" s="440" t="e">
        <f>#VALUE!</f>
        <v>#VALUE!</v>
      </c>
      <c r="D17" s="440" t="e">
        <f>#VALUE!</f>
        <v>#VALUE!</v>
      </c>
      <c r="E17" s="440" t="e">
        <f>#VALUE!</f>
        <v>#VALUE!</v>
      </c>
      <c r="F17" s="440" t="e">
        <f>#VALUE!</f>
        <v>#VALUE!</v>
      </c>
      <c r="G17" s="440" t="e">
        <f>#VALUE!</f>
        <v>#VALUE!</v>
      </c>
      <c r="H17" s="440" t="e">
        <f>#VALUE!</f>
        <v>#VALUE!</v>
      </c>
      <c r="I17" s="440" t="e">
        <f>#VALUE!</f>
        <v>#VALUE!</v>
      </c>
      <c r="J17" s="440" t="e">
        <f>#VALUE!</f>
        <v>#VALUE!</v>
      </c>
      <c r="K17" s="440" t="e">
        <f>#VALUE!</f>
        <v>#VALUE!</v>
      </c>
      <c r="L17" s="440" t="e">
        <f>#VALUE!</f>
        <v>#VALUE!</v>
      </c>
      <c r="M17" s="440" t="e">
        <f>#VALUE!</f>
        <v>#VALUE!</v>
      </c>
      <c r="N17" s="440" t="e">
        <f>#VALUE!</f>
        <v>#VALUE!</v>
      </c>
      <c r="O17" s="440" t="e">
        <f>#VALUE!</f>
        <v>#VALUE!</v>
      </c>
      <c r="P17" s="440" t="e">
        <f>#VALUE!</f>
        <v>#VALUE!</v>
      </c>
      <c r="Q17" s="440" t="e">
        <f>#VALUE!</f>
        <v>#VALUE!</v>
      </c>
      <c r="R17" s="440" t="e">
        <f>#VALUE!</f>
        <v>#VALUE!</v>
      </c>
      <c r="S17" s="440" t="e">
        <f>#VALUE!</f>
        <v>#VALUE!</v>
      </c>
      <c r="T17" s="440" t="e">
        <f>#VALUE!</f>
        <v>#VALUE!</v>
      </c>
      <c r="U17" s="440" t="e">
        <f>#VALUE!</f>
        <v>#VALUE!</v>
      </c>
      <c r="V17" s="440" t="e">
        <f>#VALUE!</f>
        <v>#VALUE!</v>
      </c>
      <c r="W17" s="440" t="e">
        <f>#VALUE!</f>
        <v>#VALUE!</v>
      </c>
      <c r="X17" s="440" t="e">
        <f>#VALUE!</f>
        <v>#VALUE!</v>
      </c>
      <c r="Y17" s="440" t="e">
        <f>#VALUE!</f>
        <v>#VALUE!</v>
      </c>
    </row>
    <row r="18" spans="1:25" ht="19.5" customHeight="1">
      <c r="A18" s="522">
        <v>11</v>
      </c>
      <c r="B18" s="451" t="e">
        <f>#VALUE!</f>
        <v>#VALUE!</v>
      </c>
      <c r="C18" s="440" t="e">
        <f>#VALUE!</f>
        <v>#VALUE!</v>
      </c>
      <c r="D18" s="440" t="e">
        <f>#VALUE!</f>
        <v>#VALUE!</v>
      </c>
      <c r="E18" s="440" t="e">
        <f>#VALUE!</f>
        <v>#VALUE!</v>
      </c>
      <c r="F18" s="440" t="e">
        <f>#VALUE!</f>
        <v>#VALUE!</v>
      </c>
      <c r="G18" s="440" t="e">
        <f>#VALUE!</f>
        <v>#VALUE!</v>
      </c>
      <c r="H18" s="440" t="e">
        <f>#VALUE!</f>
        <v>#VALUE!</v>
      </c>
      <c r="I18" s="440" t="e">
        <f>#VALUE!</f>
        <v>#VALUE!</v>
      </c>
      <c r="J18" s="440" t="e">
        <f>#VALUE!</f>
        <v>#VALUE!</v>
      </c>
      <c r="K18" s="440" t="e">
        <f>#VALUE!</f>
        <v>#VALUE!</v>
      </c>
      <c r="L18" s="440" t="e">
        <f>#VALUE!</f>
        <v>#VALUE!</v>
      </c>
      <c r="M18" s="440" t="e">
        <f>#VALUE!</f>
        <v>#VALUE!</v>
      </c>
      <c r="N18" s="440" t="e">
        <f>#VALUE!</f>
        <v>#VALUE!</v>
      </c>
      <c r="O18" s="440" t="e">
        <f>#VALUE!</f>
        <v>#VALUE!</v>
      </c>
      <c r="P18" s="440" t="e">
        <f>#VALUE!</f>
        <v>#VALUE!</v>
      </c>
      <c r="Q18" s="440" t="e">
        <f>#VALUE!</f>
        <v>#VALUE!</v>
      </c>
      <c r="R18" s="440" t="e">
        <f>#VALUE!</f>
        <v>#VALUE!</v>
      </c>
      <c r="S18" s="440" t="e">
        <f>#VALUE!</f>
        <v>#VALUE!</v>
      </c>
      <c r="T18" s="440" t="e">
        <f>#VALUE!</f>
        <v>#VALUE!</v>
      </c>
      <c r="U18" s="440" t="e">
        <f>#VALUE!</f>
        <v>#VALUE!</v>
      </c>
      <c r="V18" s="440" t="e">
        <f>#VALUE!</f>
        <v>#VALUE!</v>
      </c>
      <c r="W18" s="440" t="e">
        <f>#VALUE!</f>
        <v>#VALUE!</v>
      </c>
      <c r="X18" s="440" t="e">
        <f>#VALUE!</f>
        <v>#VALUE!</v>
      </c>
      <c r="Y18" s="440" t="e">
        <f>#VALUE!</f>
        <v>#VALUE!</v>
      </c>
    </row>
    <row r="19" spans="1:25" ht="19.5" customHeight="1">
      <c r="A19" s="522">
        <v>12</v>
      </c>
      <c r="B19" s="451" t="e">
        <f>#VALUE!</f>
        <v>#VALUE!</v>
      </c>
      <c r="C19" s="440" t="e">
        <f>#VALUE!</f>
        <v>#VALUE!</v>
      </c>
      <c r="D19" s="440" t="e">
        <f>#VALUE!</f>
        <v>#VALUE!</v>
      </c>
      <c r="E19" s="440" t="e">
        <f>#VALUE!</f>
        <v>#VALUE!</v>
      </c>
      <c r="F19" s="440" t="e">
        <f>#VALUE!</f>
        <v>#VALUE!</v>
      </c>
      <c r="G19" s="440" t="e">
        <f>#VALUE!</f>
        <v>#VALUE!</v>
      </c>
      <c r="H19" s="440" t="e">
        <f>#VALUE!</f>
        <v>#VALUE!</v>
      </c>
      <c r="I19" s="440" t="e">
        <f>#VALUE!</f>
        <v>#VALUE!</v>
      </c>
      <c r="J19" s="440" t="e">
        <f>#VALUE!</f>
        <v>#VALUE!</v>
      </c>
      <c r="K19" s="440" t="e">
        <f>#VALUE!</f>
        <v>#VALUE!</v>
      </c>
      <c r="L19" s="440" t="e">
        <f>#VALUE!</f>
        <v>#VALUE!</v>
      </c>
      <c r="M19" s="440" t="e">
        <f>#VALUE!</f>
        <v>#VALUE!</v>
      </c>
      <c r="N19" s="440" t="e">
        <f>#VALUE!</f>
        <v>#VALUE!</v>
      </c>
      <c r="O19" s="440" t="e">
        <f>#VALUE!</f>
        <v>#VALUE!</v>
      </c>
      <c r="P19" s="440" t="e">
        <f>#VALUE!</f>
        <v>#VALUE!</v>
      </c>
      <c r="Q19" s="440" t="e">
        <f>#VALUE!</f>
        <v>#VALUE!</v>
      </c>
      <c r="R19" s="440" t="e">
        <f>#VALUE!</f>
        <v>#VALUE!</v>
      </c>
      <c r="S19" s="440" t="e">
        <f>#VALUE!</f>
        <v>#VALUE!</v>
      </c>
      <c r="T19" s="440" t="e">
        <f>#VALUE!</f>
        <v>#VALUE!</v>
      </c>
      <c r="U19" s="440" t="e">
        <f>#VALUE!</f>
        <v>#VALUE!</v>
      </c>
      <c r="V19" s="440" t="e">
        <f>#VALUE!</f>
        <v>#VALUE!</v>
      </c>
      <c r="W19" s="440" t="e">
        <f>#VALUE!</f>
        <v>#VALUE!</v>
      </c>
      <c r="X19" s="440" t="e">
        <f>#VALUE!</f>
        <v>#VALUE!</v>
      </c>
      <c r="Y19" s="440" t="e">
        <f>#VALUE!</f>
        <v>#VALUE!</v>
      </c>
    </row>
    <row r="20" spans="1:25" ht="19.5" customHeight="1">
      <c r="A20" s="522">
        <v>13</v>
      </c>
      <c r="B20" s="451" t="e">
        <f>#VALUE!</f>
        <v>#VALUE!</v>
      </c>
      <c r="C20" s="440" t="e">
        <f>#VALUE!</f>
        <v>#VALUE!</v>
      </c>
      <c r="D20" s="440" t="e">
        <f>#VALUE!</f>
        <v>#VALUE!</v>
      </c>
      <c r="E20" s="440" t="e">
        <f>#VALUE!</f>
        <v>#VALUE!</v>
      </c>
      <c r="F20" s="440" t="e">
        <f>#VALUE!</f>
        <v>#VALUE!</v>
      </c>
      <c r="G20" s="440" t="e">
        <f>#VALUE!</f>
        <v>#VALUE!</v>
      </c>
      <c r="H20" s="440" t="e">
        <f>#VALUE!</f>
        <v>#VALUE!</v>
      </c>
      <c r="I20" s="440" t="e">
        <f>#VALUE!</f>
        <v>#VALUE!</v>
      </c>
      <c r="J20" s="440" t="e">
        <f>#VALUE!</f>
        <v>#VALUE!</v>
      </c>
      <c r="K20" s="440" t="e">
        <f>#VALUE!</f>
        <v>#VALUE!</v>
      </c>
      <c r="L20" s="440" t="e">
        <f>#VALUE!</f>
        <v>#VALUE!</v>
      </c>
      <c r="M20" s="440" t="e">
        <f>#VALUE!</f>
        <v>#VALUE!</v>
      </c>
      <c r="N20" s="440" t="e">
        <f>#VALUE!</f>
        <v>#VALUE!</v>
      </c>
      <c r="O20" s="440" t="e">
        <f>#VALUE!</f>
        <v>#VALUE!</v>
      </c>
      <c r="P20" s="440" t="e">
        <f>#VALUE!</f>
        <v>#VALUE!</v>
      </c>
      <c r="Q20" s="440" t="e">
        <f>#VALUE!</f>
        <v>#VALUE!</v>
      </c>
      <c r="R20" s="440" t="e">
        <f>#VALUE!</f>
        <v>#VALUE!</v>
      </c>
      <c r="S20" s="440" t="e">
        <f>#VALUE!</f>
        <v>#VALUE!</v>
      </c>
      <c r="T20" s="440" t="e">
        <f>#VALUE!</f>
        <v>#VALUE!</v>
      </c>
      <c r="U20" s="440" t="e">
        <f>#VALUE!</f>
        <v>#VALUE!</v>
      </c>
      <c r="V20" s="440" t="e">
        <f>#VALUE!</f>
        <v>#VALUE!</v>
      </c>
      <c r="W20" s="440" t="e">
        <f>#VALUE!</f>
        <v>#VALUE!</v>
      </c>
      <c r="X20" s="440" t="e">
        <f>#VALUE!</f>
        <v>#VALUE!</v>
      </c>
      <c r="Y20" s="440" t="e">
        <f>#VALUE!</f>
        <v>#VALUE!</v>
      </c>
    </row>
    <row r="21" spans="1:25" ht="19.5" customHeight="1">
      <c r="A21" s="522">
        <v>14</v>
      </c>
      <c r="B21" s="451" t="e">
        <f>#VALUE!</f>
        <v>#VALUE!</v>
      </c>
      <c r="C21" s="440" t="e">
        <f>#VALUE!</f>
        <v>#VALUE!</v>
      </c>
      <c r="D21" s="440" t="e">
        <f>#VALUE!</f>
        <v>#VALUE!</v>
      </c>
      <c r="E21" s="440" t="e">
        <f>#VALUE!</f>
        <v>#VALUE!</v>
      </c>
      <c r="F21" s="440" t="e">
        <f>#VALUE!</f>
        <v>#VALUE!</v>
      </c>
      <c r="G21" s="440" t="e">
        <f>#VALUE!</f>
        <v>#VALUE!</v>
      </c>
      <c r="H21" s="440" t="e">
        <f>#VALUE!</f>
        <v>#VALUE!</v>
      </c>
      <c r="I21" s="440" t="e">
        <f>#VALUE!</f>
        <v>#VALUE!</v>
      </c>
      <c r="J21" s="440" t="e">
        <f>#VALUE!</f>
        <v>#VALUE!</v>
      </c>
      <c r="K21" s="440" t="e">
        <f>#VALUE!</f>
        <v>#VALUE!</v>
      </c>
      <c r="L21" s="440" t="e">
        <f>#VALUE!</f>
        <v>#VALUE!</v>
      </c>
      <c r="M21" s="440" t="e">
        <f>#VALUE!</f>
        <v>#VALUE!</v>
      </c>
      <c r="N21" s="440" t="e">
        <f>#VALUE!</f>
        <v>#VALUE!</v>
      </c>
      <c r="O21" s="440" t="e">
        <f>#VALUE!</f>
        <v>#VALUE!</v>
      </c>
      <c r="P21" s="440" t="e">
        <f>#VALUE!</f>
        <v>#VALUE!</v>
      </c>
      <c r="Q21" s="440" t="e">
        <f>#VALUE!</f>
        <v>#VALUE!</v>
      </c>
      <c r="R21" s="440" t="e">
        <f>#VALUE!</f>
        <v>#VALUE!</v>
      </c>
      <c r="S21" s="440" t="e">
        <f>#VALUE!</f>
        <v>#VALUE!</v>
      </c>
      <c r="T21" s="440" t="e">
        <f>#VALUE!</f>
        <v>#VALUE!</v>
      </c>
      <c r="U21" s="440" t="e">
        <f>#VALUE!</f>
        <v>#VALUE!</v>
      </c>
      <c r="V21" s="440" t="e">
        <f>#VALUE!</f>
        <v>#VALUE!</v>
      </c>
      <c r="W21" s="440" t="e">
        <f>#VALUE!</f>
        <v>#VALUE!</v>
      </c>
      <c r="X21" s="440" t="e">
        <f>#VALUE!</f>
        <v>#VALUE!</v>
      </c>
      <c r="Y21" s="440" t="e">
        <f>#VALUE!</f>
        <v>#VALUE!</v>
      </c>
    </row>
    <row r="22" spans="1:25" ht="19.5" customHeight="1">
      <c r="A22" s="522">
        <v>15</v>
      </c>
      <c r="B22" s="451" t="e">
        <f>#VALUE!</f>
        <v>#VALUE!</v>
      </c>
      <c r="C22" s="440" t="e">
        <f>#VALUE!</f>
        <v>#VALUE!</v>
      </c>
      <c r="D22" s="440" t="e">
        <f>#VALUE!</f>
        <v>#VALUE!</v>
      </c>
      <c r="E22" s="440" t="e">
        <f>#VALUE!</f>
        <v>#VALUE!</v>
      </c>
      <c r="F22" s="440" t="e">
        <f>#VALUE!</f>
        <v>#VALUE!</v>
      </c>
      <c r="G22" s="440" t="e">
        <f>#VALUE!</f>
        <v>#VALUE!</v>
      </c>
      <c r="H22" s="440" t="e">
        <f>#VALUE!</f>
        <v>#VALUE!</v>
      </c>
      <c r="I22" s="440" t="e">
        <f>#VALUE!</f>
        <v>#VALUE!</v>
      </c>
      <c r="J22" s="440" t="e">
        <f>#VALUE!</f>
        <v>#VALUE!</v>
      </c>
      <c r="K22" s="440" t="e">
        <f>#VALUE!</f>
        <v>#VALUE!</v>
      </c>
      <c r="L22" s="440" t="e">
        <f>#VALUE!</f>
        <v>#VALUE!</v>
      </c>
      <c r="M22" s="440" t="e">
        <f>#VALUE!</f>
        <v>#VALUE!</v>
      </c>
      <c r="N22" s="440" t="e">
        <f>#VALUE!</f>
        <v>#VALUE!</v>
      </c>
      <c r="O22" s="440" t="e">
        <f>#VALUE!</f>
        <v>#VALUE!</v>
      </c>
      <c r="P22" s="440" t="e">
        <f>#VALUE!</f>
        <v>#VALUE!</v>
      </c>
      <c r="Q22" s="440" t="e">
        <f>#VALUE!</f>
        <v>#VALUE!</v>
      </c>
      <c r="R22" s="440" t="e">
        <f>#VALUE!</f>
        <v>#VALUE!</v>
      </c>
      <c r="S22" s="440" t="e">
        <f>#VALUE!</f>
        <v>#VALUE!</v>
      </c>
      <c r="T22" s="440" t="e">
        <f>#VALUE!</f>
        <v>#VALUE!</v>
      </c>
      <c r="U22" s="440" t="e">
        <f>#VALUE!</f>
        <v>#VALUE!</v>
      </c>
      <c r="V22" s="440" t="e">
        <f>#VALUE!</f>
        <v>#VALUE!</v>
      </c>
      <c r="W22" s="440" t="e">
        <f>#VALUE!</f>
        <v>#VALUE!</v>
      </c>
      <c r="X22" s="440" t="e">
        <f>#VALUE!</f>
        <v>#VALUE!</v>
      </c>
      <c r="Y22" s="440" t="e">
        <f>#VALUE!</f>
        <v>#VALUE!</v>
      </c>
    </row>
    <row r="23" spans="1:25" ht="19.5" customHeight="1">
      <c r="A23" s="522">
        <v>16</v>
      </c>
      <c r="B23" s="451" t="e">
        <f>#VALUE!</f>
        <v>#VALUE!</v>
      </c>
      <c r="C23" s="440" t="e">
        <f>#VALUE!</f>
        <v>#VALUE!</v>
      </c>
      <c r="D23" s="440" t="e">
        <f>#VALUE!</f>
        <v>#VALUE!</v>
      </c>
      <c r="E23" s="440" t="e">
        <f>#VALUE!</f>
        <v>#VALUE!</v>
      </c>
      <c r="F23" s="440" t="e">
        <f>#VALUE!</f>
        <v>#VALUE!</v>
      </c>
      <c r="G23" s="440" t="e">
        <f>#VALUE!</f>
        <v>#VALUE!</v>
      </c>
      <c r="H23" s="440" t="e">
        <f>#VALUE!</f>
        <v>#VALUE!</v>
      </c>
      <c r="I23" s="440" t="e">
        <f>#VALUE!</f>
        <v>#VALUE!</v>
      </c>
      <c r="J23" s="440" t="e">
        <f>#VALUE!</f>
        <v>#VALUE!</v>
      </c>
      <c r="K23" s="440" t="e">
        <f>#VALUE!</f>
        <v>#VALUE!</v>
      </c>
      <c r="L23" s="440" t="e">
        <f>#VALUE!</f>
        <v>#VALUE!</v>
      </c>
      <c r="M23" s="440" t="e">
        <f>#VALUE!</f>
        <v>#VALUE!</v>
      </c>
      <c r="N23" s="440" t="e">
        <f>#VALUE!</f>
        <v>#VALUE!</v>
      </c>
      <c r="O23" s="440" t="e">
        <f>#VALUE!</f>
        <v>#VALUE!</v>
      </c>
      <c r="P23" s="440" t="e">
        <f>#VALUE!</f>
        <v>#VALUE!</v>
      </c>
      <c r="Q23" s="440" t="e">
        <f>#VALUE!</f>
        <v>#VALUE!</v>
      </c>
      <c r="R23" s="440" t="e">
        <f>#VALUE!</f>
        <v>#VALUE!</v>
      </c>
      <c r="S23" s="440" t="e">
        <f>#VALUE!</f>
        <v>#VALUE!</v>
      </c>
      <c r="T23" s="440" t="e">
        <f>#VALUE!</f>
        <v>#VALUE!</v>
      </c>
      <c r="U23" s="440" t="e">
        <f>#VALUE!</f>
        <v>#VALUE!</v>
      </c>
      <c r="V23" s="440" t="e">
        <f>#VALUE!</f>
        <v>#VALUE!</v>
      </c>
      <c r="W23" s="440" t="e">
        <f>#VALUE!</f>
        <v>#VALUE!</v>
      </c>
      <c r="X23" s="440" t="e">
        <f>#VALUE!</f>
        <v>#VALUE!</v>
      </c>
      <c r="Y23" s="440" t="e">
        <f>#VALUE!</f>
        <v>#VALUE!</v>
      </c>
    </row>
    <row r="24" spans="1:25" ht="19.5" customHeight="1">
      <c r="A24" s="522">
        <v>17</v>
      </c>
      <c r="B24" s="451" t="e">
        <f>#VALUE!</f>
        <v>#VALUE!</v>
      </c>
      <c r="C24" s="440" t="e">
        <f>#VALUE!</f>
        <v>#VALUE!</v>
      </c>
      <c r="D24" s="440" t="e">
        <f>#VALUE!</f>
        <v>#VALUE!</v>
      </c>
      <c r="E24" s="440" t="e">
        <f>#VALUE!</f>
        <v>#VALUE!</v>
      </c>
      <c r="F24" s="440" t="e">
        <f>#VALUE!</f>
        <v>#VALUE!</v>
      </c>
      <c r="G24" s="440" t="e">
        <f>#VALUE!</f>
        <v>#VALUE!</v>
      </c>
      <c r="H24" s="440" t="e">
        <f>#VALUE!</f>
        <v>#VALUE!</v>
      </c>
      <c r="I24" s="440" t="e">
        <f>#VALUE!</f>
        <v>#VALUE!</v>
      </c>
      <c r="J24" s="440" t="e">
        <f>#VALUE!</f>
        <v>#VALUE!</v>
      </c>
      <c r="K24" s="440" t="e">
        <f>#VALUE!</f>
        <v>#VALUE!</v>
      </c>
      <c r="L24" s="440" t="e">
        <f>#VALUE!</f>
        <v>#VALUE!</v>
      </c>
      <c r="M24" s="440" t="e">
        <f>#VALUE!</f>
        <v>#VALUE!</v>
      </c>
      <c r="N24" s="440" t="e">
        <f>#VALUE!</f>
        <v>#VALUE!</v>
      </c>
      <c r="O24" s="440" t="e">
        <f>#VALUE!</f>
        <v>#VALUE!</v>
      </c>
      <c r="P24" s="440" t="e">
        <f>#VALUE!</f>
        <v>#VALUE!</v>
      </c>
      <c r="Q24" s="440" t="e">
        <f>#VALUE!</f>
        <v>#VALUE!</v>
      </c>
      <c r="R24" s="440" t="e">
        <f>#VALUE!</f>
        <v>#VALUE!</v>
      </c>
      <c r="S24" s="440" t="e">
        <f>#VALUE!</f>
        <v>#VALUE!</v>
      </c>
      <c r="T24" s="440" t="e">
        <f>#VALUE!</f>
        <v>#VALUE!</v>
      </c>
      <c r="U24" s="440" t="e">
        <f>#VALUE!</f>
        <v>#VALUE!</v>
      </c>
      <c r="V24" s="440" t="e">
        <f>#VALUE!</f>
        <v>#VALUE!</v>
      </c>
      <c r="W24" s="440" t="e">
        <f>#VALUE!</f>
        <v>#VALUE!</v>
      </c>
      <c r="X24" s="440" t="e">
        <f>#VALUE!</f>
        <v>#VALUE!</v>
      </c>
      <c r="Y24" s="440" t="e">
        <f>#VALUE!</f>
        <v>#VALUE!</v>
      </c>
    </row>
    <row r="25" spans="1:25" ht="19.5" customHeight="1">
      <c r="A25" s="522">
        <v>18</v>
      </c>
      <c r="B25" s="451" t="e">
        <f>#VALUE!</f>
        <v>#VALUE!</v>
      </c>
      <c r="C25" s="440" t="e">
        <f>#VALUE!</f>
        <v>#VALUE!</v>
      </c>
      <c r="D25" s="440" t="e">
        <f>#VALUE!</f>
        <v>#VALUE!</v>
      </c>
      <c r="E25" s="440" t="e">
        <f>#VALUE!</f>
        <v>#VALUE!</v>
      </c>
      <c r="F25" s="440" t="e">
        <f>#VALUE!</f>
        <v>#VALUE!</v>
      </c>
      <c r="G25" s="440" t="e">
        <f>#VALUE!</f>
        <v>#VALUE!</v>
      </c>
      <c r="H25" s="440" t="e">
        <f>#VALUE!</f>
        <v>#VALUE!</v>
      </c>
      <c r="I25" s="440" t="e">
        <f>#VALUE!</f>
        <v>#VALUE!</v>
      </c>
      <c r="J25" s="440" t="e">
        <f>#VALUE!</f>
        <v>#VALUE!</v>
      </c>
      <c r="K25" s="440" t="e">
        <f>#VALUE!</f>
        <v>#VALUE!</v>
      </c>
      <c r="L25" s="440" t="e">
        <f>#VALUE!</f>
        <v>#VALUE!</v>
      </c>
      <c r="M25" s="440" t="e">
        <f>#VALUE!</f>
        <v>#VALUE!</v>
      </c>
      <c r="N25" s="440" t="e">
        <f>#VALUE!</f>
        <v>#VALUE!</v>
      </c>
      <c r="O25" s="440" t="e">
        <f>#VALUE!</f>
        <v>#VALUE!</v>
      </c>
      <c r="P25" s="440" t="e">
        <f>#VALUE!</f>
        <v>#VALUE!</v>
      </c>
      <c r="Q25" s="440" t="e">
        <f>#VALUE!</f>
        <v>#VALUE!</v>
      </c>
      <c r="R25" s="440" t="e">
        <f>#VALUE!</f>
        <v>#VALUE!</v>
      </c>
      <c r="S25" s="440" t="e">
        <f>#VALUE!</f>
        <v>#VALUE!</v>
      </c>
      <c r="T25" s="440" t="e">
        <f>#VALUE!</f>
        <v>#VALUE!</v>
      </c>
      <c r="U25" s="440" t="e">
        <f>#VALUE!</f>
        <v>#VALUE!</v>
      </c>
      <c r="V25" s="440" t="e">
        <f>#VALUE!</f>
        <v>#VALUE!</v>
      </c>
      <c r="W25" s="440" t="e">
        <f>#VALUE!</f>
        <v>#VALUE!</v>
      </c>
      <c r="X25" s="440" t="e">
        <f>#VALUE!</f>
        <v>#VALUE!</v>
      </c>
      <c r="Y25" s="440" t="e">
        <f>#VALUE!</f>
        <v>#VALUE!</v>
      </c>
    </row>
    <row r="26" spans="1:25" ht="19.5" customHeight="1">
      <c r="A26" s="522">
        <v>19</v>
      </c>
      <c r="B26" s="451" t="e">
        <f>#VALUE!</f>
        <v>#VALUE!</v>
      </c>
      <c r="C26" s="440" t="e">
        <f>#VALUE!</f>
        <v>#VALUE!</v>
      </c>
      <c r="D26" s="440" t="e">
        <f>#VALUE!</f>
        <v>#VALUE!</v>
      </c>
      <c r="E26" s="440" t="e">
        <f>#VALUE!</f>
        <v>#VALUE!</v>
      </c>
      <c r="F26" s="440" t="e">
        <f>#VALUE!</f>
        <v>#VALUE!</v>
      </c>
      <c r="G26" s="440" t="e">
        <f>#VALUE!</f>
        <v>#VALUE!</v>
      </c>
      <c r="H26" s="440" t="e">
        <f>#VALUE!</f>
        <v>#VALUE!</v>
      </c>
      <c r="I26" s="440" t="e">
        <f>#VALUE!</f>
        <v>#VALUE!</v>
      </c>
      <c r="J26" s="440" t="e">
        <f>#VALUE!</f>
        <v>#VALUE!</v>
      </c>
      <c r="K26" s="440" t="e">
        <f>#VALUE!</f>
        <v>#VALUE!</v>
      </c>
      <c r="L26" s="440" t="e">
        <f>#VALUE!</f>
        <v>#VALUE!</v>
      </c>
      <c r="M26" s="440" t="e">
        <f>#VALUE!</f>
        <v>#VALUE!</v>
      </c>
      <c r="N26" s="440" t="e">
        <f>#VALUE!</f>
        <v>#VALUE!</v>
      </c>
      <c r="O26" s="440" t="e">
        <f>#VALUE!</f>
        <v>#VALUE!</v>
      </c>
      <c r="P26" s="440" t="e">
        <f>#VALUE!</f>
        <v>#VALUE!</v>
      </c>
      <c r="Q26" s="440" t="e">
        <f>#VALUE!</f>
        <v>#VALUE!</v>
      </c>
      <c r="R26" s="440" t="e">
        <f>#VALUE!</f>
        <v>#VALUE!</v>
      </c>
      <c r="S26" s="440" t="e">
        <f>#VALUE!</f>
        <v>#VALUE!</v>
      </c>
      <c r="T26" s="440" t="e">
        <f>#VALUE!</f>
        <v>#VALUE!</v>
      </c>
      <c r="U26" s="440" t="e">
        <f>#VALUE!</f>
        <v>#VALUE!</v>
      </c>
      <c r="V26" s="440" t="e">
        <f>#VALUE!</f>
        <v>#VALUE!</v>
      </c>
      <c r="W26" s="440" t="e">
        <f>#VALUE!</f>
        <v>#VALUE!</v>
      </c>
      <c r="X26" s="440" t="e">
        <f>#VALUE!</f>
        <v>#VALUE!</v>
      </c>
      <c r="Y26" s="440" t="e">
        <f>#VALUE!</f>
        <v>#VALUE!</v>
      </c>
    </row>
    <row r="27" spans="1:25" ht="19.5" customHeight="1">
      <c r="A27" s="522">
        <v>20</v>
      </c>
      <c r="B27" s="451" t="e">
        <f>#VALUE!</f>
        <v>#VALUE!</v>
      </c>
      <c r="C27" s="440" t="e">
        <f>#VALUE!</f>
        <v>#VALUE!</v>
      </c>
      <c r="D27" s="440" t="e">
        <f>#VALUE!</f>
        <v>#VALUE!</v>
      </c>
      <c r="E27" s="440" t="e">
        <f>#VALUE!</f>
        <v>#VALUE!</v>
      </c>
      <c r="F27" s="440" t="e">
        <f>#VALUE!</f>
        <v>#VALUE!</v>
      </c>
      <c r="G27" s="440" t="e">
        <f>#VALUE!</f>
        <v>#VALUE!</v>
      </c>
      <c r="H27" s="440" t="e">
        <f>#VALUE!</f>
        <v>#VALUE!</v>
      </c>
      <c r="I27" s="440" t="e">
        <f>#VALUE!</f>
        <v>#VALUE!</v>
      </c>
      <c r="J27" s="440" t="e">
        <f>#VALUE!</f>
        <v>#VALUE!</v>
      </c>
      <c r="K27" s="440" t="e">
        <f>#VALUE!</f>
        <v>#VALUE!</v>
      </c>
      <c r="L27" s="440" t="e">
        <f>#VALUE!</f>
        <v>#VALUE!</v>
      </c>
      <c r="M27" s="440" t="e">
        <f>#VALUE!</f>
        <v>#VALUE!</v>
      </c>
      <c r="N27" s="440" t="e">
        <f>#VALUE!</f>
        <v>#VALUE!</v>
      </c>
      <c r="O27" s="440" t="e">
        <f>#VALUE!</f>
        <v>#VALUE!</v>
      </c>
      <c r="P27" s="440" t="e">
        <f>#VALUE!</f>
        <v>#VALUE!</v>
      </c>
      <c r="Q27" s="440" t="e">
        <f>#VALUE!</f>
        <v>#VALUE!</v>
      </c>
      <c r="R27" s="440" t="e">
        <f>#VALUE!</f>
        <v>#VALUE!</v>
      </c>
      <c r="S27" s="440" t="e">
        <f>#VALUE!</f>
        <v>#VALUE!</v>
      </c>
      <c r="T27" s="440" t="e">
        <f>#VALUE!</f>
        <v>#VALUE!</v>
      </c>
      <c r="U27" s="440" t="e">
        <f>#VALUE!</f>
        <v>#VALUE!</v>
      </c>
      <c r="V27" s="440" t="e">
        <f>#VALUE!</f>
        <v>#VALUE!</v>
      </c>
      <c r="W27" s="440" t="e">
        <f>#VALUE!</f>
        <v>#VALUE!</v>
      </c>
      <c r="X27" s="440" t="e">
        <f>#VALUE!</f>
        <v>#VALUE!</v>
      </c>
      <c r="Y27" s="440" t="e">
        <f>#VALUE!</f>
        <v>#VALUE!</v>
      </c>
    </row>
    <row r="28" spans="1:25" ht="19.5" customHeight="1">
      <c r="A28" s="522">
        <v>21</v>
      </c>
      <c r="B28" s="451" t="e">
        <f>#VALUE!</f>
        <v>#VALUE!</v>
      </c>
      <c r="C28" s="440" t="e">
        <f>#VALUE!</f>
        <v>#VALUE!</v>
      </c>
      <c r="D28" s="440" t="e">
        <f>#VALUE!</f>
        <v>#VALUE!</v>
      </c>
      <c r="E28" s="440" t="e">
        <f>#VALUE!</f>
        <v>#VALUE!</v>
      </c>
      <c r="F28" s="440" t="e">
        <f>#VALUE!</f>
        <v>#VALUE!</v>
      </c>
      <c r="G28" s="440" t="e">
        <f>#VALUE!</f>
        <v>#VALUE!</v>
      </c>
      <c r="H28" s="440" t="e">
        <f>#VALUE!</f>
        <v>#VALUE!</v>
      </c>
      <c r="I28" s="440" t="e">
        <f>#VALUE!</f>
        <v>#VALUE!</v>
      </c>
      <c r="J28" s="440" t="e">
        <f>#VALUE!</f>
        <v>#VALUE!</v>
      </c>
      <c r="K28" s="440" t="e">
        <f>#VALUE!</f>
        <v>#VALUE!</v>
      </c>
      <c r="L28" s="440" t="e">
        <f>#VALUE!</f>
        <v>#VALUE!</v>
      </c>
      <c r="M28" s="440" t="e">
        <f>#VALUE!</f>
        <v>#VALUE!</v>
      </c>
      <c r="N28" s="440" t="e">
        <f>#VALUE!</f>
        <v>#VALUE!</v>
      </c>
      <c r="O28" s="440" t="e">
        <f>#VALUE!</f>
        <v>#VALUE!</v>
      </c>
      <c r="P28" s="440" t="e">
        <f>#VALUE!</f>
        <v>#VALUE!</v>
      </c>
      <c r="Q28" s="440" t="e">
        <f>#VALUE!</f>
        <v>#VALUE!</v>
      </c>
      <c r="R28" s="440" t="e">
        <f>#VALUE!</f>
        <v>#VALUE!</v>
      </c>
      <c r="S28" s="440" t="e">
        <f>#VALUE!</f>
        <v>#VALUE!</v>
      </c>
      <c r="T28" s="440" t="e">
        <f>#VALUE!</f>
        <v>#VALUE!</v>
      </c>
      <c r="U28" s="440" t="e">
        <f>#VALUE!</f>
        <v>#VALUE!</v>
      </c>
      <c r="V28" s="440" t="e">
        <f>#VALUE!</f>
        <v>#VALUE!</v>
      </c>
      <c r="W28" s="440" t="e">
        <f>#VALUE!</f>
        <v>#VALUE!</v>
      </c>
      <c r="X28" s="440" t="e">
        <f>#VALUE!</f>
        <v>#VALUE!</v>
      </c>
      <c r="Y28" s="440" t="e">
        <f>#VALUE!</f>
        <v>#VALUE!</v>
      </c>
    </row>
    <row r="29" spans="1:25" ht="19.5" customHeight="1">
      <c r="A29" s="522">
        <v>22</v>
      </c>
      <c r="B29" s="451" t="e">
        <f>#VALUE!</f>
        <v>#VALUE!</v>
      </c>
      <c r="C29" s="440" t="e">
        <f>#VALUE!</f>
        <v>#VALUE!</v>
      </c>
      <c r="D29" s="440" t="e">
        <f>#VALUE!</f>
        <v>#VALUE!</v>
      </c>
      <c r="E29" s="440" t="e">
        <f>#VALUE!</f>
        <v>#VALUE!</v>
      </c>
      <c r="F29" s="440" t="e">
        <f>#VALUE!</f>
        <v>#VALUE!</v>
      </c>
      <c r="G29" s="440" t="e">
        <f>#VALUE!</f>
        <v>#VALUE!</v>
      </c>
      <c r="H29" s="440" t="e">
        <f>#VALUE!</f>
        <v>#VALUE!</v>
      </c>
      <c r="I29" s="440" t="e">
        <f>#VALUE!</f>
        <v>#VALUE!</v>
      </c>
      <c r="J29" s="440" t="e">
        <f>#VALUE!</f>
        <v>#VALUE!</v>
      </c>
      <c r="K29" s="440" t="e">
        <f>#VALUE!</f>
        <v>#VALUE!</v>
      </c>
      <c r="L29" s="440" t="e">
        <f>#VALUE!</f>
        <v>#VALUE!</v>
      </c>
      <c r="M29" s="440" t="e">
        <f>#VALUE!</f>
        <v>#VALUE!</v>
      </c>
      <c r="N29" s="440" t="e">
        <f>#VALUE!</f>
        <v>#VALUE!</v>
      </c>
      <c r="O29" s="440" t="e">
        <f>#VALUE!</f>
        <v>#VALUE!</v>
      </c>
      <c r="P29" s="440" t="e">
        <f>#VALUE!</f>
        <v>#VALUE!</v>
      </c>
      <c r="Q29" s="440" t="e">
        <f>#VALUE!</f>
        <v>#VALUE!</v>
      </c>
      <c r="R29" s="440" t="e">
        <f>#VALUE!</f>
        <v>#VALUE!</v>
      </c>
      <c r="S29" s="440" t="e">
        <f>#VALUE!</f>
        <v>#VALUE!</v>
      </c>
      <c r="T29" s="440" t="e">
        <f>#VALUE!</f>
        <v>#VALUE!</v>
      </c>
      <c r="U29" s="440" t="e">
        <f>#VALUE!</f>
        <v>#VALUE!</v>
      </c>
      <c r="V29" s="440" t="e">
        <f>#VALUE!</f>
        <v>#VALUE!</v>
      </c>
      <c r="W29" s="440" t="e">
        <f>#VALUE!</f>
        <v>#VALUE!</v>
      </c>
      <c r="X29" s="440" t="e">
        <f>#VALUE!</f>
        <v>#VALUE!</v>
      </c>
      <c r="Y29" s="440" t="e">
        <f>#VALUE!</f>
        <v>#VALUE!</v>
      </c>
    </row>
    <row r="30" spans="1:25" ht="19.5" customHeight="1">
      <c r="A30" s="522">
        <v>23</v>
      </c>
      <c r="B30" s="451" t="e">
        <f>#VALUE!</f>
        <v>#VALUE!</v>
      </c>
      <c r="C30" s="440" t="e">
        <f>#VALUE!</f>
        <v>#VALUE!</v>
      </c>
      <c r="D30" s="440" t="e">
        <f>#VALUE!</f>
        <v>#VALUE!</v>
      </c>
      <c r="E30" s="440" t="e">
        <f>#VALUE!</f>
        <v>#VALUE!</v>
      </c>
      <c r="F30" s="440" t="e">
        <f>#VALUE!</f>
        <v>#VALUE!</v>
      </c>
      <c r="G30" s="440" t="e">
        <f>#VALUE!</f>
        <v>#VALUE!</v>
      </c>
      <c r="H30" s="440" t="e">
        <f>#VALUE!</f>
        <v>#VALUE!</v>
      </c>
      <c r="I30" s="440" t="e">
        <f>#VALUE!</f>
        <v>#VALUE!</v>
      </c>
      <c r="J30" s="440" t="e">
        <f>#VALUE!</f>
        <v>#VALUE!</v>
      </c>
      <c r="K30" s="440" t="e">
        <f>#VALUE!</f>
        <v>#VALUE!</v>
      </c>
      <c r="L30" s="440" t="e">
        <f>#VALUE!</f>
        <v>#VALUE!</v>
      </c>
      <c r="M30" s="440" t="e">
        <f>#VALUE!</f>
        <v>#VALUE!</v>
      </c>
      <c r="N30" s="440" t="e">
        <f>#VALUE!</f>
        <v>#VALUE!</v>
      </c>
      <c r="O30" s="440" t="e">
        <f>#VALUE!</f>
        <v>#VALUE!</v>
      </c>
      <c r="P30" s="440" t="e">
        <f>#VALUE!</f>
        <v>#VALUE!</v>
      </c>
      <c r="Q30" s="440" t="e">
        <f>#VALUE!</f>
        <v>#VALUE!</v>
      </c>
      <c r="R30" s="440" t="e">
        <f>#VALUE!</f>
        <v>#VALUE!</v>
      </c>
      <c r="S30" s="440" t="e">
        <f>#VALUE!</f>
        <v>#VALUE!</v>
      </c>
      <c r="T30" s="440" t="e">
        <f>#VALUE!</f>
        <v>#VALUE!</v>
      </c>
      <c r="U30" s="440" t="e">
        <f>#VALUE!</f>
        <v>#VALUE!</v>
      </c>
      <c r="V30" s="440" t="e">
        <f>#VALUE!</f>
        <v>#VALUE!</v>
      </c>
      <c r="W30" s="440" t="e">
        <f>#VALUE!</f>
        <v>#VALUE!</v>
      </c>
      <c r="X30" s="440" t="e">
        <f>#VALUE!</f>
        <v>#VALUE!</v>
      </c>
      <c r="Y30" s="440" t="e">
        <f>#VALUE!</f>
        <v>#VALUE!</v>
      </c>
    </row>
    <row r="31" spans="1:25" ht="19.5" customHeight="1">
      <c r="A31" s="522">
        <v>24</v>
      </c>
      <c r="B31" s="451" t="e">
        <f>#VALUE!</f>
        <v>#VALUE!</v>
      </c>
      <c r="C31" s="440" t="e">
        <f>#VALUE!</f>
        <v>#VALUE!</v>
      </c>
      <c r="D31" s="440" t="e">
        <f>#VALUE!</f>
        <v>#VALUE!</v>
      </c>
      <c r="E31" s="440" t="e">
        <f>#VALUE!</f>
        <v>#VALUE!</v>
      </c>
      <c r="F31" s="440" t="e">
        <f>#VALUE!</f>
        <v>#VALUE!</v>
      </c>
      <c r="G31" s="440" t="e">
        <f>#VALUE!</f>
        <v>#VALUE!</v>
      </c>
      <c r="H31" s="440" t="e">
        <f>#VALUE!</f>
        <v>#VALUE!</v>
      </c>
      <c r="I31" s="440" t="e">
        <f>#VALUE!</f>
        <v>#VALUE!</v>
      </c>
      <c r="J31" s="440" t="e">
        <f>#VALUE!</f>
        <v>#VALUE!</v>
      </c>
      <c r="K31" s="440" t="e">
        <f>#VALUE!</f>
        <v>#VALUE!</v>
      </c>
      <c r="L31" s="440" t="e">
        <f>#VALUE!</f>
        <v>#VALUE!</v>
      </c>
      <c r="M31" s="440" t="e">
        <f>#VALUE!</f>
        <v>#VALUE!</v>
      </c>
      <c r="N31" s="440" t="e">
        <f>#VALUE!</f>
        <v>#VALUE!</v>
      </c>
      <c r="O31" s="440" t="e">
        <f>#VALUE!</f>
        <v>#VALUE!</v>
      </c>
      <c r="P31" s="440" t="e">
        <f>#VALUE!</f>
        <v>#VALUE!</v>
      </c>
      <c r="Q31" s="440" t="e">
        <f>#VALUE!</f>
        <v>#VALUE!</v>
      </c>
      <c r="R31" s="440" t="e">
        <f>#VALUE!</f>
        <v>#VALUE!</v>
      </c>
      <c r="S31" s="440" t="e">
        <f>#VALUE!</f>
        <v>#VALUE!</v>
      </c>
      <c r="T31" s="440" t="e">
        <f>#VALUE!</f>
        <v>#VALUE!</v>
      </c>
      <c r="U31" s="440" t="e">
        <f>#VALUE!</f>
        <v>#VALUE!</v>
      </c>
      <c r="V31" s="440" t="e">
        <f>#VALUE!</f>
        <v>#VALUE!</v>
      </c>
      <c r="W31" s="440" t="e">
        <f>#VALUE!</f>
        <v>#VALUE!</v>
      </c>
      <c r="X31" s="440" t="e">
        <f>#VALUE!</f>
        <v>#VALUE!</v>
      </c>
      <c r="Y31" s="440" t="e">
        <f>#VALUE!</f>
        <v>#VALUE!</v>
      </c>
    </row>
    <row r="32" spans="1:25" ht="19.5" customHeight="1">
      <c r="A32" s="522">
        <v>25</v>
      </c>
      <c r="B32" s="451" t="e">
        <f>#VALUE!</f>
        <v>#VALUE!</v>
      </c>
      <c r="C32" s="440" t="e">
        <f>#VALUE!</f>
        <v>#VALUE!</v>
      </c>
      <c r="D32" s="440" t="e">
        <f>#VALUE!</f>
        <v>#VALUE!</v>
      </c>
      <c r="E32" s="440" t="e">
        <f>#VALUE!</f>
        <v>#VALUE!</v>
      </c>
      <c r="F32" s="440" t="e">
        <f>#VALUE!</f>
        <v>#VALUE!</v>
      </c>
      <c r="G32" s="440" t="e">
        <f>#VALUE!</f>
        <v>#VALUE!</v>
      </c>
      <c r="H32" s="440" t="e">
        <f>#VALUE!</f>
        <v>#VALUE!</v>
      </c>
      <c r="I32" s="440" t="e">
        <f>#VALUE!</f>
        <v>#VALUE!</v>
      </c>
      <c r="J32" s="440" t="e">
        <f>#VALUE!</f>
        <v>#VALUE!</v>
      </c>
      <c r="K32" s="440" t="e">
        <f>#VALUE!</f>
        <v>#VALUE!</v>
      </c>
      <c r="L32" s="440" t="e">
        <f>#VALUE!</f>
        <v>#VALUE!</v>
      </c>
      <c r="M32" s="440" t="e">
        <f>#VALUE!</f>
        <v>#VALUE!</v>
      </c>
      <c r="N32" s="440" t="e">
        <f>#VALUE!</f>
        <v>#VALUE!</v>
      </c>
      <c r="O32" s="440" t="e">
        <f>#VALUE!</f>
        <v>#VALUE!</v>
      </c>
      <c r="P32" s="440" t="e">
        <f>#VALUE!</f>
        <v>#VALUE!</v>
      </c>
      <c r="Q32" s="440" t="e">
        <f>#VALUE!</f>
        <v>#VALUE!</v>
      </c>
      <c r="R32" s="440" t="e">
        <f>#VALUE!</f>
        <v>#VALUE!</v>
      </c>
      <c r="S32" s="440" t="e">
        <f>#VALUE!</f>
        <v>#VALUE!</v>
      </c>
      <c r="T32" s="440" t="e">
        <f>#VALUE!</f>
        <v>#VALUE!</v>
      </c>
      <c r="U32" s="440" t="e">
        <f>#VALUE!</f>
        <v>#VALUE!</v>
      </c>
      <c r="V32" s="440" t="e">
        <f>#VALUE!</f>
        <v>#VALUE!</v>
      </c>
      <c r="W32" s="440" t="e">
        <f>#VALUE!</f>
        <v>#VALUE!</v>
      </c>
      <c r="X32" s="440" t="e">
        <f>#VALUE!</f>
        <v>#VALUE!</v>
      </c>
      <c r="Y32" s="440" t="e">
        <f>#VALUE!</f>
        <v>#VALUE!</v>
      </c>
    </row>
    <row r="33" spans="1:25" ht="19.5" customHeight="1">
      <c r="A33" s="522">
        <v>26</v>
      </c>
      <c r="B33" s="451" t="e">
        <f>#VALUE!</f>
        <v>#VALUE!</v>
      </c>
      <c r="C33" s="440" t="e">
        <f>#VALUE!</f>
        <v>#VALUE!</v>
      </c>
      <c r="D33" s="440" t="e">
        <f>#VALUE!</f>
        <v>#VALUE!</v>
      </c>
      <c r="E33" s="440" t="e">
        <f>#VALUE!</f>
        <v>#VALUE!</v>
      </c>
      <c r="F33" s="440" t="e">
        <f>#VALUE!</f>
        <v>#VALUE!</v>
      </c>
      <c r="G33" s="440" t="e">
        <f>#VALUE!</f>
        <v>#VALUE!</v>
      </c>
      <c r="H33" s="440" t="e">
        <f>#VALUE!</f>
        <v>#VALUE!</v>
      </c>
      <c r="I33" s="440" t="e">
        <f>#VALUE!</f>
        <v>#VALUE!</v>
      </c>
      <c r="J33" s="440" t="e">
        <f>#VALUE!</f>
        <v>#VALUE!</v>
      </c>
      <c r="K33" s="440" t="e">
        <f>#VALUE!</f>
        <v>#VALUE!</v>
      </c>
      <c r="L33" s="440" t="e">
        <f>#VALUE!</f>
        <v>#VALUE!</v>
      </c>
      <c r="M33" s="440" t="e">
        <f>#VALUE!</f>
        <v>#VALUE!</v>
      </c>
      <c r="N33" s="440" t="e">
        <f>#VALUE!</f>
        <v>#VALUE!</v>
      </c>
      <c r="O33" s="440" t="e">
        <f>#VALUE!</f>
        <v>#VALUE!</v>
      </c>
      <c r="P33" s="440" t="e">
        <f>#VALUE!</f>
        <v>#VALUE!</v>
      </c>
      <c r="Q33" s="440" t="e">
        <f>#VALUE!</f>
        <v>#VALUE!</v>
      </c>
      <c r="R33" s="440" t="e">
        <f>#VALUE!</f>
        <v>#VALUE!</v>
      </c>
      <c r="S33" s="440" t="e">
        <f>#VALUE!</f>
        <v>#VALUE!</v>
      </c>
      <c r="T33" s="440" t="e">
        <f>#VALUE!</f>
        <v>#VALUE!</v>
      </c>
      <c r="U33" s="440" t="e">
        <f>#VALUE!</f>
        <v>#VALUE!</v>
      </c>
      <c r="V33" s="440" t="e">
        <f>#VALUE!</f>
        <v>#VALUE!</v>
      </c>
      <c r="W33" s="440" t="e">
        <f>#VALUE!</f>
        <v>#VALUE!</v>
      </c>
      <c r="X33" s="440" t="e">
        <f>#VALUE!</f>
        <v>#VALUE!</v>
      </c>
      <c r="Y33" s="440" t="e">
        <f>#VALUE!</f>
        <v>#VALUE!</v>
      </c>
    </row>
    <row r="34" spans="1:25" ht="19.5" customHeight="1">
      <c r="A34" s="522">
        <v>27</v>
      </c>
      <c r="B34" s="451" t="e">
        <f>#VALUE!</f>
        <v>#VALUE!</v>
      </c>
      <c r="C34" s="440" t="e">
        <f>#VALUE!</f>
        <v>#VALUE!</v>
      </c>
      <c r="D34" s="440" t="e">
        <f>#VALUE!</f>
        <v>#VALUE!</v>
      </c>
      <c r="E34" s="440" t="e">
        <f>#VALUE!</f>
        <v>#VALUE!</v>
      </c>
      <c r="F34" s="440" t="e">
        <f>#VALUE!</f>
        <v>#VALUE!</v>
      </c>
      <c r="G34" s="440" t="e">
        <f>#VALUE!</f>
        <v>#VALUE!</v>
      </c>
      <c r="H34" s="440" t="e">
        <f>#VALUE!</f>
        <v>#VALUE!</v>
      </c>
      <c r="I34" s="440" t="e">
        <f>#VALUE!</f>
        <v>#VALUE!</v>
      </c>
      <c r="J34" s="440" t="e">
        <f>#VALUE!</f>
        <v>#VALUE!</v>
      </c>
      <c r="K34" s="440" t="e">
        <f>#VALUE!</f>
        <v>#VALUE!</v>
      </c>
      <c r="L34" s="440" t="e">
        <f>#VALUE!</f>
        <v>#VALUE!</v>
      </c>
      <c r="M34" s="440" t="e">
        <f>#VALUE!</f>
        <v>#VALUE!</v>
      </c>
      <c r="N34" s="440" t="e">
        <f>#VALUE!</f>
        <v>#VALUE!</v>
      </c>
      <c r="O34" s="440" t="e">
        <f>#VALUE!</f>
        <v>#VALUE!</v>
      </c>
      <c r="P34" s="440" t="e">
        <f>#VALUE!</f>
        <v>#VALUE!</v>
      </c>
      <c r="Q34" s="440" t="e">
        <f>#VALUE!</f>
        <v>#VALUE!</v>
      </c>
      <c r="R34" s="440" t="e">
        <f>#VALUE!</f>
        <v>#VALUE!</v>
      </c>
      <c r="S34" s="440" t="e">
        <f>#VALUE!</f>
        <v>#VALUE!</v>
      </c>
      <c r="T34" s="440" t="e">
        <f>#VALUE!</f>
        <v>#VALUE!</v>
      </c>
      <c r="U34" s="440" t="e">
        <f>#VALUE!</f>
        <v>#VALUE!</v>
      </c>
      <c r="V34" s="440" t="e">
        <f>#VALUE!</f>
        <v>#VALUE!</v>
      </c>
      <c r="W34" s="440" t="e">
        <f>#VALUE!</f>
        <v>#VALUE!</v>
      </c>
      <c r="X34" s="440" t="e">
        <f>#VALUE!</f>
        <v>#VALUE!</v>
      </c>
      <c r="Y34" s="440" t="e">
        <f>#VALUE!</f>
        <v>#VALUE!</v>
      </c>
    </row>
    <row r="35" spans="1:25" ht="19.5" customHeight="1">
      <c r="A35" s="522">
        <v>28</v>
      </c>
      <c r="B35" s="451" t="e">
        <f>#VALUE!</f>
        <v>#VALUE!</v>
      </c>
      <c r="C35" s="440" t="e">
        <f>#VALUE!</f>
        <v>#VALUE!</v>
      </c>
      <c r="D35" s="440" t="e">
        <f>#VALUE!</f>
        <v>#VALUE!</v>
      </c>
      <c r="E35" s="440" t="e">
        <f>#VALUE!</f>
        <v>#VALUE!</v>
      </c>
      <c r="F35" s="440" t="e">
        <f>#VALUE!</f>
        <v>#VALUE!</v>
      </c>
      <c r="G35" s="440" t="e">
        <f>#VALUE!</f>
        <v>#VALUE!</v>
      </c>
      <c r="H35" s="440" t="e">
        <f>#VALUE!</f>
        <v>#VALUE!</v>
      </c>
      <c r="I35" s="440" t="e">
        <f>#VALUE!</f>
        <v>#VALUE!</v>
      </c>
      <c r="J35" s="440" t="e">
        <f>#VALUE!</f>
        <v>#VALUE!</v>
      </c>
      <c r="K35" s="440" t="e">
        <f>#VALUE!</f>
        <v>#VALUE!</v>
      </c>
      <c r="L35" s="440" t="e">
        <f>#VALUE!</f>
        <v>#VALUE!</v>
      </c>
      <c r="M35" s="440" t="e">
        <f>#VALUE!</f>
        <v>#VALUE!</v>
      </c>
      <c r="N35" s="440" t="e">
        <f>#VALUE!</f>
        <v>#VALUE!</v>
      </c>
      <c r="O35" s="440" t="e">
        <f>#VALUE!</f>
        <v>#VALUE!</v>
      </c>
      <c r="P35" s="440" t="e">
        <f>#VALUE!</f>
        <v>#VALUE!</v>
      </c>
      <c r="Q35" s="440" t="e">
        <f>#VALUE!</f>
        <v>#VALUE!</v>
      </c>
      <c r="R35" s="440" t="e">
        <f>#VALUE!</f>
        <v>#VALUE!</v>
      </c>
      <c r="S35" s="440" t="e">
        <f>#VALUE!</f>
        <v>#VALUE!</v>
      </c>
      <c r="T35" s="440" t="e">
        <f>#VALUE!</f>
        <v>#VALUE!</v>
      </c>
      <c r="U35" s="440" t="e">
        <f>#VALUE!</f>
        <v>#VALUE!</v>
      </c>
      <c r="V35" s="440" t="e">
        <f>#VALUE!</f>
        <v>#VALUE!</v>
      </c>
      <c r="W35" s="440" t="e">
        <f>#VALUE!</f>
        <v>#VALUE!</v>
      </c>
      <c r="X35" s="440" t="e">
        <f>#VALUE!</f>
        <v>#VALUE!</v>
      </c>
      <c r="Y35" s="440" t="e">
        <f>#VALUE!</f>
        <v>#VALUE!</v>
      </c>
    </row>
    <row r="36" spans="1:25" ht="19.5" customHeight="1">
      <c r="A36" s="522">
        <v>29</v>
      </c>
      <c r="B36" s="451" t="e">
        <f>#VALUE!</f>
        <v>#VALUE!</v>
      </c>
      <c r="C36" s="440" t="e">
        <f>#VALUE!</f>
        <v>#VALUE!</v>
      </c>
      <c r="D36" s="440" t="e">
        <f>#VALUE!</f>
        <v>#VALUE!</v>
      </c>
      <c r="E36" s="440" t="e">
        <f>#VALUE!</f>
        <v>#VALUE!</v>
      </c>
      <c r="F36" s="440" t="e">
        <f>#VALUE!</f>
        <v>#VALUE!</v>
      </c>
      <c r="G36" s="440" t="e">
        <f>#VALUE!</f>
        <v>#VALUE!</v>
      </c>
      <c r="H36" s="440" t="e">
        <f>#VALUE!</f>
        <v>#VALUE!</v>
      </c>
      <c r="I36" s="440" t="e">
        <f>#VALUE!</f>
        <v>#VALUE!</v>
      </c>
      <c r="J36" s="440" t="e">
        <f>#VALUE!</f>
        <v>#VALUE!</v>
      </c>
      <c r="K36" s="440" t="e">
        <f>#VALUE!</f>
        <v>#VALUE!</v>
      </c>
      <c r="L36" s="440" t="e">
        <f>#VALUE!</f>
        <v>#VALUE!</v>
      </c>
      <c r="M36" s="440" t="e">
        <f>#VALUE!</f>
        <v>#VALUE!</v>
      </c>
      <c r="N36" s="440" t="e">
        <f>#VALUE!</f>
        <v>#VALUE!</v>
      </c>
      <c r="O36" s="440" t="e">
        <f>#VALUE!</f>
        <v>#VALUE!</v>
      </c>
      <c r="P36" s="440" t="e">
        <f>#VALUE!</f>
        <v>#VALUE!</v>
      </c>
      <c r="Q36" s="440" t="e">
        <f>#VALUE!</f>
        <v>#VALUE!</v>
      </c>
      <c r="R36" s="440" t="e">
        <f>#VALUE!</f>
        <v>#VALUE!</v>
      </c>
      <c r="S36" s="440" t="e">
        <f>#VALUE!</f>
        <v>#VALUE!</v>
      </c>
      <c r="T36" s="440" t="e">
        <f>#VALUE!</f>
        <v>#VALUE!</v>
      </c>
      <c r="U36" s="440" t="e">
        <f>#VALUE!</f>
        <v>#VALUE!</v>
      </c>
      <c r="V36" s="440" t="e">
        <f>#VALUE!</f>
        <v>#VALUE!</v>
      </c>
      <c r="W36" s="440" t="e">
        <f>#VALUE!</f>
        <v>#VALUE!</v>
      </c>
      <c r="X36" s="440" t="e">
        <f>#VALUE!</f>
        <v>#VALUE!</v>
      </c>
      <c r="Y36" s="440" t="e">
        <f>#VALUE!</f>
        <v>#VALUE!</v>
      </c>
    </row>
    <row r="37" spans="1:25" ht="19.5" customHeight="1">
      <c r="A37" s="627">
        <v>30</v>
      </c>
      <c r="B37" s="451" t="e">
        <f>#VALUE!</f>
        <v>#VALUE!</v>
      </c>
      <c r="C37" s="440" t="e">
        <f>#VALUE!</f>
        <v>#VALUE!</v>
      </c>
      <c r="D37" s="440" t="e">
        <f>#VALUE!</f>
        <v>#VALUE!</v>
      </c>
      <c r="E37" s="440" t="e">
        <f>#VALUE!</f>
        <v>#VALUE!</v>
      </c>
      <c r="F37" s="440" t="e">
        <f>#VALUE!</f>
        <v>#VALUE!</v>
      </c>
      <c r="G37" s="440" t="e">
        <f>#VALUE!</f>
        <v>#VALUE!</v>
      </c>
      <c r="H37" s="440" t="e">
        <f>#VALUE!</f>
        <v>#VALUE!</v>
      </c>
      <c r="I37" s="440" t="e">
        <f>#VALUE!</f>
        <v>#VALUE!</v>
      </c>
      <c r="J37" s="440" t="e">
        <f>#VALUE!</f>
        <v>#VALUE!</v>
      </c>
      <c r="K37" s="440" t="e">
        <f>#VALUE!</f>
        <v>#VALUE!</v>
      </c>
      <c r="L37" s="440" t="e">
        <f>#VALUE!</f>
        <v>#VALUE!</v>
      </c>
      <c r="M37" s="440" t="e">
        <f>#VALUE!</f>
        <v>#VALUE!</v>
      </c>
      <c r="N37" s="440" t="e">
        <f>#VALUE!</f>
        <v>#VALUE!</v>
      </c>
      <c r="O37" s="440" t="e">
        <f>#VALUE!</f>
        <v>#VALUE!</v>
      </c>
      <c r="P37" s="440" t="e">
        <f>#VALUE!</f>
        <v>#VALUE!</v>
      </c>
      <c r="Q37" s="440" t="e">
        <f>#VALUE!</f>
        <v>#VALUE!</v>
      </c>
      <c r="R37" s="440" t="e">
        <f>#VALUE!</f>
        <v>#VALUE!</v>
      </c>
      <c r="S37" s="440" t="e">
        <f>#VALUE!</f>
        <v>#VALUE!</v>
      </c>
      <c r="T37" s="440" t="e">
        <f>#VALUE!</f>
        <v>#VALUE!</v>
      </c>
      <c r="U37" s="440" t="e">
        <f>#VALUE!</f>
        <v>#VALUE!</v>
      </c>
      <c r="V37" s="440" t="e">
        <f>#VALUE!</f>
        <v>#VALUE!</v>
      </c>
      <c r="W37" s="440" t="e">
        <f>#VALUE!</f>
        <v>#VALUE!</v>
      </c>
      <c r="X37" s="440" t="e">
        <f>#VALUE!</f>
        <v>#VALUE!</v>
      </c>
      <c r="Y37" s="440" t="e">
        <f>#VALUE!</f>
        <v>#VALUE!</v>
      </c>
    </row>
    <row r="38" spans="1:25" ht="19.5" customHeight="1">
      <c r="A38" s="1230" t="s">
        <v>257</v>
      </c>
      <c r="B38" s="1230"/>
      <c r="C38" s="1230"/>
      <c r="D38" s="625" t="e">
        <f>AVERAGE('Parte5 '!D8:D37)</f>
        <v>#VALUE!</v>
      </c>
      <c r="E38" s="1220"/>
      <c r="F38" s="1220"/>
      <c r="G38" s="625" t="e">
        <f>AVERAGE('Parte5 '!G8:G37)</f>
        <v>#VALUE!</v>
      </c>
      <c r="H38" s="1220"/>
      <c r="I38" s="1220"/>
      <c r="J38" s="625" t="e">
        <f>AVERAGE('Parte5 '!J8:J37)</f>
        <v>#VALUE!</v>
      </c>
      <c r="K38" s="1220"/>
      <c r="L38" s="1220"/>
      <c r="M38" s="625" t="e">
        <f>AVERAGE('Parte5 '!M8:M37)</f>
        <v>#VALUE!</v>
      </c>
      <c r="N38" s="1220"/>
      <c r="O38" s="1220"/>
      <c r="P38" s="625" t="e">
        <f>AVERAGE('Parte5 '!P8:P37)</f>
        <v>#VALUE!</v>
      </c>
      <c r="Q38" s="1220"/>
      <c r="R38" s="1220"/>
      <c r="S38" s="625" t="e">
        <f>AVERAGE('Parte5 '!S8:S37)</f>
        <v>#VALUE!</v>
      </c>
      <c r="T38" s="1220"/>
      <c r="U38" s="1220"/>
      <c r="V38" s="625" t="e">
        <f>AVERAGE('Parte5 '!V8:V37)</f>
        <v>#VALUE!</v>
      </c>
      <c r="W38" s="1223"/>
      <c r="X38" s="1223"/>
      <c r="Y38" s="625" t="e">
        <f>AVERAGE('Parte5 '!Y8:Y37)</f>
        <v>#VALUE!</v>
      </c>
    </row>
    <row r="39" spans="1:25" ht="13.5" customHeight="1"/>
    <row r="40" spans="1:25" ht="13.5" customHeight="1">
      <c r="C40" s="1224" t="s">
        <v>87</v>
      </c>
      <c r="D40" s="1224"/>
      <c r="E40" s="1224"/>
      <c r="F40" s="1224"/>
      <c r="G40" s="1224"/>
      <c r="H40" s="1224"/>
    </row>
    <row r="41" spans="1:25" ht="13.5" customHeight="1">
      <c r="C41" s="1225"/>
      <c r="D41" s="1225"/>
      <c r="E41" s="1224" t="s">
        <v>205</v>
      </c>
      <c r="F41" s="1224"/>
      <c r="G41" s="1224" t="s">
        <v>206</v>
      </c>
      <c r="H41" s="1224"/>
    </row>
    <row r="42" spans="1:25" ht="13.5" customHeight="1">
      <c r="C42" s="1235" t="s">
        <v>322</v>
      </c>
      <c r="D42" s="1235"/>
      <c r="E42" s="1232" t="e">
        <f>MAX('Parte5 '!B8:B37)</f>
        <v>#VALUE!</v>
      </c>
      <c r="F42" s="1232"/>
      <c r="G42" s="1232" t="e">
        <f>MIN('Parte5 '!C8:C37)</f>
        <v>#VALUE!</v>
      </c>
      <c r="H42" s="1232"/>
    </row>
    <row r="43" spans="1:25" ht="13.5" customHeight="1">
      <c r="C43" s="1235" t="s">
        <v>323</v>
      </c>
      <c r="D43" s="1235"/>
      <c r="E43" s="1232" t="e">
        <f>MAX('Parte5 '!E8:E37)</f>
        <v>#VALUE!</v>
      </c>
      <c r="F43" s="1232"/>
      <c r="G43" s="1232" t="e">
        <f>MIN('Parte5 '!F8:F37)</f>
        <v>#VALUE!</v>
      </c>
      <c r="H43" s="1232"/>
    </row>
    <row r="44" spans="1:25" ht="13.5" customHeight="1">
      <c r="C44" s="1235" t="s">
        <v>324</v>
      </c>
      <c r="D44" s="1235"/>
      <c r="E44" s="1232" t="e">
        <f>MAX('Parte5 '!H8:H37)</f>
        <v>#VALUE!</v>
      </c>
      <c r="F44" s="1232"/>
      <c r="G44" s="1232" t="e">
        <f>MIN('Parte5 '!I8:I37)</f>
        <v>#VALUE!</v>
      </c>
      <c r="H44" s="1232"/>
    </row>
    <row r="45" spans="1:25" ht="13.5" customHeight="1">
      <c r="C45" s="1235" t="s">
        <v>325</v>
      </c>
      <c r="D45" s="1235"/>
      <c r="E45" s="1232" t="e">
        <f>MAX('Parte5 '!K8:K37)</f>
        <v>#VALUE!</v>
      </c>
      <c r="F45" s="1232"/>
      <c r="G45" s="1232" t="e">
        <f>MIN('Parte5 '!L8:L37)</f>
        <v>#VALUE!</v>
      </c>
      <c r="H45" s="1232"/>
    </row>
    <row r="46" spans="1:25" ht="13.5" customHeight="1">
      <c r="C46" s="1235" t="s">
        <v>326</v>
      </c>
      <c r="D46" s="1235"/>
      <c r="E46" s="1232" t="e">
        <f>MAX('Parte5 '!N8:N37)</f>
        <v>#VALUE!</v>
      </c>
      <c r="F46" s="1232"/>
      <c r="G46" s="1232" t="e">
        <f>MIN('Parte5 '!O8:O37)</f>
        <v>#VALUE!</v>
      </c>
      <c r="H46" s="1232"/>
    </row>
    <row r="47" spans="1:25" ht="13.5" customHeight="1">
      <c r="C47" s="1235" t="s">
        <v>327</v>
      </c>
      <c r="D47" s="1235"/>
      <c r="E47" s="1232" t="e">
        <f>MAX('Parte5 '!Q8:Q37)</f>
        <v>#VALUE!</v>
      </c>
      <c r="F47" s="1232"/>
      <c r="G47" s="1232" t="e">
        <f>MIN('Parte5 '!R8:R37)</f>
        <v>#VALUE!</v>
      </c>
      <c r="H47" s="1232"/>
    </row>
  </sheetData>
  <mergeCells count="45">
    <mergeCell ref="C46:D46"/>
    <mergeCell ref="E46:F46"/>
    <mergeCell ref="G46:H46"/>
    <mergeCell ref="C47:D47"/>
    <mergeCell ref="E47:F47"/>
    <mergeCell ref="G47:H47"/>
    <mergeCell ref="C44:D44"/>
    <mergeCell ref="E44:F44"/>
    <mergeCell ref="G44:H44"/>
    <mergeCell ref="C45:D45"/>
    <mergeCell ref="E45:F45"/>
    <mergeCell ref="G45:H45"/>
    <mergeCell ref="C42:D42"/>
    <mergeCell ref="E42:F42"/>
    <mergeCell ref="G42:H42"/>
    <mergeCell ref="C43:D43"/>
    <mergeCell ref="E43:F43"/>
    <mergeCell ref="G43:H43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zoomScaleNormal="100" workbookViewId="0">
      <selection activeCell="C45" sqref="C45:E4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36"/>
      <c r="B1" s="1236"/>
      <c r="C1" s="1237" t="s">
        <v>337</v>
      </c>
      <c r="D1" s="1237"/>
      <c r="E1" s="1237"/>
      <c r="F1" s="1237"/>
      <c r="G1" s="1237"/>
      <c r="H1" s="1237"/>
      <c r="I1" s="1237"/>
      <c r="J1" s="1237"/>
      <c r="K1" s="1237"/>
      <c r="L1" s="1237"/>
      <c r="M1" s="1237" t="s">
        <v>338</v>
      </c>
    </row>
    <row r="2" spans="1:17" ht="12.75" customHeight="1">
      <c r="A2" s="1236"/>
      <c r="B2" s="1236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</row>
    <row r="3" spans="1:17" ht="21.75" customHeight="1">
      <c r="A3" s="1236"/>
      <c r="B3" s="1236"/>
      <c r="C3" s="1237"/>
      <c r="D3" s="1237"/>
      <c r="E3" s="1237"/>
      <c r="F3" s="1237"/>
      <c r="G3" s="1237"/>
      <c r="H3" s="1237"/>
      <c r="I3" s="1237"/>
      <c r="J3" s="1237"/>
      <c r="K3" s="1237"/>
      <c r="L3" s="1237"/>
      <c r="M3" s="628">
        <f>'1'!$U$25</f>
        <v>43891</v>
      </c>
    </row>
    <row r="4" spans="1:17" ht="12.75" customHeight="1">
      <c r="A4" s="1238" t="s">
        <v>339</v>
      </c>
      <c r="B4" s="1238"/>
      <c r="C4" s="1238"/>
      <c r="D4" s="1238"/>
      <c r="E4" s="1238"/>
      <c r="F4" s="1238"/>
      <c r="G4" s="1238"/>
      <c r="H4" s="1238"/>
      <c r="I4" s="1238"/>
      <c r="J4" s="1238"/>
      <c r="K4" s="1239" t="s">
        <v>340</v>
      </c>
      <c r="L4" s="1240" t="s">
        <v>341</v>
      </c>
      <c r="M4" s="1240"/>
    </row>
    <row r="5" spans="1:17" ht="12.75" customHeight="1">
      <c r="A5" s="1238"/>
      <c r="B5" s="1238"/>
      <c r="C5" s="1238"/>
      <c r="D5" s="1238"/>
      <c r="E5" s="1238"/>
      <c r="F5" s="1238"/>
      <c r="G5" s="1238"/>
      <c r="H5" s="1238"/>
      <c r="I5" s="1238"/>
      <c r="J5" s="1238"/>
      <c r="K5" s="1239"/>
      <c r="L5" s="1240"/>
      <c r="M5" s="1240"/>
    </row>
    <row r="6" spans="1:17" ht="15.75" customHeight="1">
      <c r="A6" s="1241" t="s">
        <v>342</v>
      </c>
      <c r="B6" s="1242" t="s">
        <v>343</v>
      </c>
      <c r="C6" s="1243" t="s">
        <v>344</v>
      </c>
      <c r="D6" s="1244" t="s">
        <v>345</v>
      </c>
      <c r="E6" s="1244"/>
      <c r="F6" s="1244"/>
      <c r="G6" s="1244"/>
      <c r="H6" s="1244"/>
      <c r="I6" s="1244"/>
      <c r="J6" s="1244"/>
      <c r="K6" s="1244"/>
      <c r="L6" s="1244"/>
      <c r="M6" s="630" t="s">
        <v>346</v>
      </c>
      <c r="N6" s="631"/>
      <c r="O6" s="632"/>
      <c r="P6" s="632"/>
      <c r="Q6" s="632"/>
    </row>
    <row r="7" spans="1:17" ht="15.75" customHeight="1">
      <c r="A7" s="1241"/>
      <c r="B7" s="1242"/>
      <c r="C7" s="1243" t="s">
        <v>347</v>
      </c>
      <c r="D7" s="1244" t="s">
        <v>261</v>
      </c>
      <c r="E7" s="1244"/>
      <c r="F7" s="1244" t="s">
        <v>348</v>
      </c>
      <c r="G7" s="1244"/>
      <c r="H7" s="1244" t="s">
        <v>349</v>
      </c>
      <c r="I7" s="1244"/>
      <c r="J7" s="1244" t="s">
        <v>350</v>
      </c>
      <c r="K7" s="1244"/>
      <c r="L7" s="629" t="s">
        <v>351</v>
      </c>
      <c r="M7" s="566" t="s">
        <v>352</v>
      </c>
      <c r="N7" s="633"/>
      <c r="O7" s="632"/>
      <c r="P7" s="632"/>
      <c r="Q7" s="632"/>
    </row>
    <row r="8" spans="1:17" ht="15.75" customHeight="1">
      <c r="A8" s="1241"/>
      <c r="B8" s="1242"/>
      <c r="C8" s="1243"/>
      <c r="D8" s="629" t="s">
        <v>353</v>
      </c>
      <c r="E8" s="629" t="s">
        <v>46</v>
      </c>
      <c r="F8" s="629" t="s">
        <v>353</v>
      </c>
      <c r="G8" s="629" t="s">
        <v>46</v>
      </c>
      <c r="H8" s="629" t="s">
        <v>353</v>
      </c>
      <c r="I8" s="629" t="s">
        <v>46</v>
      </c>
      <c r="J8" s="629" t="s">
        <v>353</v>
      </c>
      <c r="K8" s="629" t="s">
        <v>46</v>
      </c>
      <c r="L8" s="629" t="s">
        <v>353</v>
      </c>
      <c r="M8" s="629" t="s">
        <v>46</v>
      </c>
    </row>
    <row r="9" spans="1:17" ht="16.5" customHeight="1">
      <c r="A9" s="634">
        <v>1</v>
      </c>
      <c r="B9" s="635">
        <f>'1'!$Z$37</f>
        <v>24</v>
      </c>
      <c r="C9" s="636">
        <f>'1'!Y30</f>
        <v>242650.80000000002</v>
      </c>
      <c r="D9" s="636">
        <f>'1'!AA32</f>
        <v>31505.040000000001</v>
      </c>
      <c r="E9" s="637">
        <f>'1'!$AB$32</f>
        <v>64.932122636121505</v>
      </c>
      <c r="F9" s="636">
        <f>'1'!AA33</f>
        <v>0</v>
      </c>
      <c r="G9" s="638" t="e">
        <f>'1'!AB33</f>
        <v>#DIV/0!</v>
      </c>
      <c r="H9" s="639">
        <f>'1'!$AK$38</f>
        <v>0</v>
      </c>
      <c r="I9" s="638">
        <f>'1'!$AK$39</f>
        <v>0</v>
      </c>
      <c r="J9" s="639">
        <f>'1'!$AQ$40</f>
        <v>2360.7999999999993</v>
      </c>
      <c r="K9" s="638">
        <f>'1'!$AQ$41</f>
        <v>9.7292075690663253</v>
      </c>
      <c r="L9" s="638"/>
      <c r="M9" s="640">
        <f>'1'!$O$19</f>
        <v>3.1999999999999997</v>
      </c>
      <c r="O9" s="641"/>
      <c r="P9" s="122"/>
    </row>
    <row r="10" spans="1:17" ht="16.5" customHeight="1">
      <c r="A10" s="634">
        <v>2</v>
      </c>
      <c r="B10" s="635">
        <f>'2'!$Z$37</f>
        <v>24</v>
      </c>
      <c r="C10" s="636">
        <f>'2'!Y30</f>
        <v>241945.2</v>
      </c>
      <c r="D10" s="636">
        <f>'2'!AA32</f>
        <v>30504.880000000001</v>
      </c>
      <c r="E10" s="637">
        <f>'2'!$AB$32</f>
        <v>63.063086650504914</v>
      </c>
      <c r="F10" s="636">
        <f>'2'!AA33</f>
        <v>0</v>
      </c>
      <c r="G10" s="638" t="e">
        <f>'2'!AB33</f>
        <v>#DIV/0!</v>
      </c>
      <c r="H10" s="639">
        <f>'2'!$AK$38</f>
        <v>0</v>
      </c>
      <c r="I10" s="638">
        <f>'2'!$AK$39</f>
        <v>0</v>
      </c>
      <c r="J10" s="639">
        <f>'2'!$AQ$40</f>
        <v>1778.1666666666665</v>
      </c>
      <c r="K10" s="638">
        <f>'2'!$AQ$41</f>
        <v>7.3494604012258415</v>
      </c>
      <c r="L10" s="638"/>
      <c r="M10" s="640">
        <f>'2'!$O$19</f>
        <v>3.1166666666666671</v>
      </c>
      <c r="O10" s="641"/>
      <c r="P10" s="122"/>
    </row>
    <row r="11" spans="1:17" ht="16.5" customHeight="1">
      <c r="A11" s="634">
        <v>3</v>
      </c>
      <c r="B11" s="635">
        <f>'3'!$Z$37</f>
        <v>24</v>
      </c>
      <c r="C11" s="636">
        <f>'3'!Y30</f>
        <v>241214.4</v>
      </c>
      <c r="D11" s="636">
        <f>'3'!AA32</f>
        <v>30004.800000000003</v>
      </c>
      <c r="E11" s="637">
        <f>'3'!$AB$32</f>
        <v>62.212284904285646</v>
      </c>
      <c r="F11" s="636">
        <f>'3'!AA33</f>
        <v>0</v>
      </c>
      <c r="G11" s="638" t="e">
        <f>'3'!AB33</f>
        <v>#DIV/0!</v>
      </c>
      <c r="H11" s="639">
        <f>'3'!$AK$38</f>
        <v>0</v>
      </c>
      <c r="I11" s="638">
        <f>'3'!$AK$39</f>
        <v>0</v>
      </c>
      <c r="J11" s="639">
        <f>'3'!$AQ$40</f>
        <v>2270</v>
      </c>
      <c r="K11" s="638">
        <f>'3'!$AQ$41</f>
        <v>9.4107151148521808</v>
      </c>
      <c r="L11" s="638"/>
      <c r="M11" s="640">
        <f>'3'!$O$19</f>
        <v>3.0083333333333342</v>
      </c>
      <c r="O11" s="641"/>
      <c r="P11" s="122"/>
    </row>
    <row r="12" spans="1:17" ht="16.5" customHeight="1">
      <c r="A12" s="634">
        <v>4</v>
      </c>
      <c r="B12" s="635">
        <f>'4'!$Z$37</f>
        <v>24</v>
      </c>
      <c r="C12" s="636">
        <f>'4'!Y30</f>
        <v>242341.2</v>
      </c>
      <c r="D12" s="636">
        <f>'4'!AA32</f>
        <v>30004.800000000003</v>
      </c>
      <c r="E12" s="637">
        <f>'4'!$AB$32</f>
        <v>61.918990542299461</v>
      </c>
      <c r="F12" s="636">
        <f>'4'!AA33</f>
        <v>0</v>
      </c>
      <c r="G12" s="638" t="e">
        <f>'4'!AB33</f>
        <v>#DIV/0!</v>
      </c>
      <c r="H12" s="639">
        <f>'4'!$AK$38</f>
        <v>0</v>
      </c>
      <c r="I12" s="638">
        <f>'4'!$AK$39</f>
        <v>0</v>
      </c>
      <c r="J12" s="639">
        <f>'4'!$AQ$40</f>
        <v>2397.3470000000002</v>
      </c>
      <c r="K12" s="638">
        <f>'4'!$AQ$41</f>
        <v>9.8924450320457264</v>
      </c>
      <c r="L12" s="638"/>
      <c r="M12" s="640">
        <f>'4'!$O$19</f>
        <v>3.0083333333333342</v>
      </c>
      <c r="O12" s="641"/>
      <c r="P12" s="122"/>
    </row>
    <row r="13" spans="1:17" ht="16.5" customHeight="1">
      <c r="A13" s="634">
        <v>5</v>
      </c>
      <c r="B13" s="635">
        <f>'5'!$Z$37</f>
        <v>24</v>
      </c>
      <c r="C13" s="636">
        <f>'5'!Y30</f>
        <v>239472</v>
      </c>
      <c r="D13" s="636">
        <f>'5'!AA32</f>
        <v>30004.800000000003</v>
      </c>
      <c r="E13" s="637">
        <f>'5'!$AB$32</f>
        <v>62.667025382007523</v>
      </c>
      <c r="F13" s="636">
        <f>'5'!AA33</f>
        <v>0</v>
      </c>
      <c r="G13" s="638" t="e">
        <f>'5'!AB33</f>
        <v>#DIV/0!</v>
      </c>
      <c r="H13" s="639">
        <f>'5'!$AK$38</f>
        <v>0</v>
      </c>
      <c r="I13" s="638">
        <f>'5'!$AK$39</f>
        <v>0</v>
      </c>
      <c r="J13" s="639">
        <f>'5'!$AQ$40</f>
        <v>2270</v>
      </c>
      <c r="K13" s="638">
        <f>'5'!$AQ$41</f>
        <v>9.4791875459343906</v>
      </c>
      <c r="L13" s="638"/>
      <c r="M13" s="640">
        <f>'5'!$O$19</f>
        <v>3.0916666666666668</v>
      </c>
      <c r="O13" s="641"/>
      <c r="P13" s="122"/>
    </row>
    <row r="14" spans="1:17" ht="15" customHeight="1">
      <c r="A14" s="634">
        <v>6</v>
      </c>
      <c r="B14" s="635">
        <f>'6'!$Z$37</f>
        <v>24</v>
      </c>
      <c r="C14" s="636">
        <f>'6'!Y30</f>
        <v>237880.80000000002</v>
      </c>
      <c r="D14" s="636">
        <f>'6'!AA32</f>
        <v>30004.800000000003</v>
      </c>
      <c r="E14" s="637">
        <f>'6'!$AB$32</f>
        <v>63.218262561030905</v>
      </c>
      <c r="F14" s="636">
        <f>'6'!AA33</f>
        <v>0</v>
      </c>
      <c r="G14" s="638" t="e">
        <f>'6'!AB33</f>
        <v>#DIV/0!</v>
      </c>
      <c r="H14" s="639">
        <f>'6'!$AK$38</f>
        <v>0</v>
      </c>
      <c r="I14" s="638">
        <f>'6'!$AK$39</f>
        <v>0</v>
      </c>
      <c r="J14" s="639">
        <f>'6'!$AQ$40</f>
        <v>1814.1083333333327</v>
      </c>
      <c r="K14" s="638">
        <f>'6'!$AQ$41</f>
        <v>7.6261233917715616</v>
      </c>
      <c r="L14" s="638"/>
      <c r="M14" s="640">
        <f>'6'!$O$19</f>
        <v>2.7166666666666668</v>
      </c>
      <c r="O14" s="641"/>
      <c r="P14" s="122"/>
    </row>
    <row r="15" spans="1:17" ht="15" customHeight="1">
      <c r="A15" s="634">
        <v>7</v>
      </c>
      <c r="B15" s="635">
        <f>'7'!$Z$37</f>
        <v>24</v>
      </c>
      <c r="C15" s="636">
        <f>'7'!Y30</f>
        <v>235202.4</v>
      </c>
      <c r="D15" s="636">
        <f>'7'!AA32</f>
        <v>30004.800000000003</v>
      </c>
      <c r="E15" s="637">
        <f>'7'!$AB$32</f>
        <v>63.218262561030905</v>
      </c>
      <c r="F15" s="636">
        <f>'7'!AA33</f>
        <v>0</v>
      </c>
      <c r="G15" s="638" t="e">
        <f>'7'!AB33</f>
        <v>#DIV/0!</v>
      </c>
      <c r="H15" s="639">
        <f>'7'!$AK$38</f>
        <v>0</v>
      </c>
      <c r="I15" s="638">
        <f>'7'!$AK$39</f>
        <v>0</v>
      </c>
      <c r="J15" s="639">
        <f>'7'!$AQ$40</f>
        <v>2152.7166666666658</v>
      </c>
      <c r="K15" s="638">
        <f>'7'!$AQ$41</f>
        <v>9.1526135220842395</v>
      </c>
      <c r="L15" s="638"/>
      <c r="M15" s="640">
        <f>'7'!$O$19</f>
        <v>3.3249999999999993</v>
      </c>
      <c r="O15" s="641"/>
      <c r="P15" s="122"/>
    </row>
    <row r="16" spans="1:17" ht="16.5" customHeight="1">
      <c r="A16" s="634">
        <v>8</v>
      </c>
      <c r="B16" s="635">
        <f>'8'!$Z$37</f>
        <v>24</v>
      </c>
      <c r="C16" s="636">
        <f>'8'!Y30</f>
        <v>235681.2</v>
      </c>
      <c r="D16" s="636">
        <f>'8'!AA32</f>
        <v>30004.800000000003</v>
      </c>
      <c r="E16" s="637">
        <f>'8'!$AB$32</f>
        <v>63.683412338018194</v>
      </c>
      <c r="F16" s="636">
        <f>'8'!AA33</f>
        <v>0</v>
      </c>
      <c r="G16" s="638" t="e">
        <f>'8'!AB33</f>
        <v>#DIV/0!</v>
      </c>
      <c r="H16" s="639">
        <f>'8'!$AK$38</f>
        <v>0</v>
      </c>
      <c r="I16" s="638">
        <f>'8'!$AK$39</f>
        <v>0</v>
      </c>
      <c r="J16" s="639">
        <f>'8'!$AQ$40</f>
        <v>2111.099999999999</v>
      </c>
      <c r="K16" s="638">
        <f>'8'!$AQ$41</f>
        <v>8.9574391169087679</v>
      </c>
      <c r="L16" s="638"/>
      <c r="M16" s="640">
        <f>'8'!$O$19</f>
        <v>2.9750000000000001</v>
      </c>
      <c r="O16" s="641"/>
      <c r="P16" s="122"/>
      <c r="Q16" s="642" t="s">
        <v>155</v>
      </c>
    </row>
    <row r="17" spans="1:16" ht="16.5" customHeight="1">
      <c r="A17" s="634">
        <v>9</v>
      </c>
      <c r="B17" s="635">
        <f>'9'!$Z$37</f>
        <v>24</v>
      </c>
      <c r="C17" s="636">
        <f>'9'!Y30</f>
        <v>232844.4</v>
      </c>
      <c r="D17" s="636">
        <f>'9'!AA32</f>
        <v>30004.800000000003</v>
      </c>
      <c r="E17" s="637">
        <f>'9'!$AB$32</f>
        <v>64.486580637654512</v>
      </c>
      <c r="F17" s="636">
        <f>'9'!AA33</f>
        <v>0</v>
      </c>
      <c r="G17" s="638" t="e">
        <f>'9'!AB33</f>
        <v>#DIV/0!</v>
      </c>
      <c r="H17" s="639">
        <f>'9'!$AK$38</f>
        <v>0</v>
      </c>
      <c r="I17" s="638">
        <f>'9'!$AK$39</f>
        <v>0</v>
      </c>
      <c r="J17" s="639">
        <f>'9'!$AQ$40</f>
        <v>2126.2333333333327</v>
      </c>
      <c r="K17" s="638">
        <f>'9'!$AQ$41</f>
        <v>9.1315631096703758</v>
      </c>
      <c r="L17" s="638"/>
      <c r="M17" s="640">
        <f>'9'!$O$19</f>
        <v>2.7750000000000004</v>
      </c>
      <c r="O17" s="641"/>
      <c r="P17" s="122"/>
    </row>
    <row r="18" spans="1:16" ht="16.5" customHeight="1">
      <c r="A18" s="634">
        <v>10</v>
      </c>
      <c r="B18" s="635">
        <f>'10'!$Z$37</f>
        <v>24</v>
      </c>
      <c r="C18" s="636">
        <f>'10'!Y30</f>
        <v>229881.60000000001</v>
      </c>
      <c r="D18" s="636">
        <f>'10'!AA32</f>
        <v>30004.800000000003</v>
      </c>
      <c r="E18" s="637">
        <f>'10'!$AB$32</f>
        <v>65.313680513920119</v>
      </c>
      <c r="F18" s="636">
        <f>'10'!AA33</f>
        <v>0</v>
      </c>
      <c r="G18" s="638" t="e">
        <f>'10'!AB33</f>
        <v>#DIV/0!</v>
      </c>
      <c r="H18" s="639">
        <f>'10'!$AK$38</f>
        <v>0</v>
      </c>
      <c r="I18" s="638">
        <f>'10'!$AK$39</f>
        <v>0</v>
      </c>
      <c r="J18" s="639">
        <f>'10'!$AQ$40</f>
        <v>2322.9666666666662</v>
      </c>
      <c r="K18" s="638">
        <f>'10'!$AQ$41</f>
        <v>10.105056980056977</v>
      </c>
      <c r="L18" s="638"/>
      <c r="M18" s="640">
        <f>'10'!$O$19</f>
        <v>3.5</v>
      </c>
      <c r="O18" s="641"/>
      <c r="P18" s="122"/>
    </row>
    <row r="19" spans="1:16" ht="16.5" customHeight="1">
      <c r="A19" s="634">
        <v>11</v>
      </c>
      <c r="B19" s="635">
        <f>'11'!$Z$37</f>
        <v>24</v>
      </c>
      <c r="C19" s="636">
        <f>'11'!Y30</f>
        <v>224888.4</v>
      </c>
      <c r="D19" s="636">
        <f>'11'!AA32</f>
        <v>29226.75</v>
      </c>
      <c r="E19" s="637">
        <f>'11'!$AB$32</f>
        <v>64.998979557274467</v>
      </c>
      <c r="F19" s="636">
        <f>'11'!AA33</f>
        <v>0</v>
      </c>
      <c r="G19" s="638" t="e">
        <f>'11'!AB33</f>
        <v>#DIV/0!</v>
      </c>
      <c r="H19" s="639">
        <f>'11'!$AK$38</f>
        <v>0</v>
      </c>
      <c r="I19" s="638">
        <f>'11'!$AK$39</f>
        <v>0</v>
      </c>
      <c r="J19" s="639">
        <f>'11'!$AQ$40</f>
        <v>2270</v>
      </c>
      <c r="K19" s="638">
        <f>'11'!$AQ$41</f>
        <v>10.093895461037564</v>
      </c>
      <c r="L19" s="638"/>
      <c r="M19" s="640">
        <f>'11'!$O$19</f>
        <v>3.4833333333333338</v>
      </c>
      <c r="O19" s="641"/>
      <c r="P19" s="122"/>
    </row>
    <row r="20" spans="1:16" ht="16.5" customHeight="1">
      <c r="A20" s="634">
        <v>12</v>
      </c>
      <c r="B20" s="635">
        <f>'12'!$Z$37</f>
        <v>24</v>
      </c>
      <c r="C20" s="636">
        <f>'12'!Y30</f>
        <v>215809.2</v>
      </c>
      <c r="D20" s="636">
        <f>'12'!AA32</f>
        <v>28759.920000000002</v>
      </c>
      <c r="E20" s="637">
        <f>'12'!$AB$32</f>
        <v>66.842230784295012</v>
      </c>
      <c r="F20" s="636">
        <f>'12'!AA33</f>
        <v>0</v>
      </c>
      <c r="G20" s="638" t="e">
        <f>'12'!AB33</f>
        <v>#DIV/0!</v>
      </c>
      <c r="H20" s="639">
        <f>'12'!$AK$38</f>
        <v>0</v>
      </c>
      <c r="I20" s="638">
        <f>'12'!$AK$39</f>
        <v>0</v>
      </c>
      <c r="J20" s="639">
        <f>'12'!$AQ$40</f>
        <v>2232.166666666667</v>
      </c>
      <c r="K20" s="638">
        <f>'12'!$AQ$41</f>
        <v>10.343241468235213</v>
      </c>
      <c r="L20" s="638"/>
      <c r="M20" s="640">
        <f>'12'!$O$19</f>
        <v>3.6500000000000008</v>
      </c>
      <c r="O20" s="641"/>
      <c r="P20" s="122"/>
    </row>
    <row r="21" spans="1:16" ht="16.5" customHeight="1">
      <c r="A21" s="634">
        <v>13</v>
      </c>
      <c r="B21" s="635">
        <f>'13'!$Z$38</f>
        <v>24</v>
      </c>
      <c r="C21" s="636">
        <f>'13'!Y31</f>
        <v>216554.4</v>
      </c>
      <c r="D21" s="636">
        <f>'13'!AA33</f>
        <v>28100.240000000002</v>
      </c>
      <c r="E21" s="637">
        <f>'13'!$AB$33</f>
        <v>64.955557835088626</v>
      </c>
      <c r="F21" s="636">
        <f>'13'!AA34</f>
        <v>0</v>
      </c>
      <c r="G21" s="638" t="e">
        <f>'13'!AB34</f>
        <v>#DIV/0!</v>
      </c>
      <c r="H21" s="639">
        <f>'13'!$AK$39</f>
        <v>0</v>
      </c>
      <c r="I21" s="638">
        <f>'13'!$AK$40</f>
        <v>0</v>
      </c>
      <c r="J21" s="639">
        <f>'13'!$AQ$41</f>
        <v>1997.6000000000001</v>
      </c>
      <c r="K21" s="638">
        <f>'13'!$AQ$42</f>
        <v>9.224472003339578</v>
      </c>
      <c r="L21" s="638"/>
      <c r="M21" s="640">
        <f>'13'!$O$19</f>
        <v>3.3666666666666671</v>
      </c>
      <c r="O21" s="641"/>
      <c r="P21" s="122"/>
    </row>
    <row r="22" spans="1:16" ht="16.5" customHeight="1">
      <c r="A22" s="634">
        <v>14</v>
      </c>
      <c r="B22" s="635">
        <f>'14'!$Z$37</f>
        <v>24</v>
      </c>
      <c r="C22" s="636">
        <f>'14'!Y30</f>
        <v>211089.6</v>
      </c>
      <c r="D22" s="636">
        <f>'14'!AA32</f>
        <v>26780.880000000001</v>
      </c>
      <c r="E22" s="637">
        <f>'14'!$AB$32</f>
        <v>63.600896721114367</v>
      </c>
      <c r="F22" s="636">
        <f>'14'!AA33</f>
        <v>0</v>
      </c>
      <c r="G22" s="638" t="e">
        <f>'14'!AB33</f>
        <v>#DIV/0!</v>
      </c>
      <c r="H22" s="639">
        <f>'14'!$AK$38</f>
        <v>0</v>
      </c>
      <c r="I22" s="638">
        <f>'14'!$AK$39</f>
        <v>0</v>
      </c>
      <c r="J22" s="639">
        <f>'14'!$AQ$40</f>
        <v>1717.6333333333337</v>
      </c>
      <c r="K22" s="638">
        <f>'14'!$AQ$41</f>
        <v>8.1369870108870046</v>
      </c>
      <c r="L22" s="638"/>
      <c r="M22" s="640">
        <f>'14'!$O$19</f>
        <v>3.2166666666666663</v>
      </c>
      <c r="O22" s="641"/>
      <c r="P22" s="122"/>
    </row>
    <row r="23" spans="1:16" ht="16.5" customHeight="1">
      <c r="A23" s="634">
        <v>15</v>
      </c>
      <c r="B23" s="635">
        <f>'15'!$Z$37</f>
        <v>24</v>
      </c>
      <c r="C23" s="636">
        <f>'15'!Y30</f>
        <v>209167.2</v>
      </c>
      <c r="D23" s="636">
        <f>'15'!AA32</f>
        <v>26780.880000000001</v>
      </c>
      <c r="E23" s="637">
        <f>'15'!$AB$32</f>
        <v>64.034465392586569</v>
      </c>
      <c r="F23" s="636">
        <f>'15'!AA33</f>
        <v>0</v>
      </c>
      <c r="G23" s="638" t="e">
        <f>'15'!AB33</f>
        <v>#DIV/0!</v>
      </c>
      <c r="H23" s="639">
        <f>'15'!$AK$38</f>
        <v>0</v>
      </c>
      <c r="I23" s="638">
        <f>'15'!$AK$39</f>
        <v>0</v>
      </c>
      <c r="J23" s="639">
        <f>'15'!$AQ$40</f>
        <v>1997.6000000000001</v>
      </c>
      <c r="K23" s="638">
        <f>'15'!$AQ$41</f>
        <v>9.5502545332155329</v>
      </c>
      <c r="L23" s="638"/>
      <c r="M23" s="640">
        <f>'15'!$O$19</f>
        <v>3.15</v>
      </c>
      <c r="O23" s="641"/>
      <c r="P23" s="643"/>
    </row>
    <row r="24" spans="1:16" ht="16.5" customHeight="1">
      <c r="A24" s="634">
        <v>16</v>
      </c>
      <c r="B24" s="635">
        <f>'16'!$Z$37</f>
        <v>24</v>
      </c>
      <c r="C24" s="636">
        <f>'16'!Y30</f>
        <v>209736</v>
      </c>
      <c r="D24" s="636">
        <f>'16'!AA32</f>
        <v>26780.880000000001</v>
      </c>
      <c r="E24" s="637">
        <f>'16'!$AB$32</f>
        <v>63.878509885432408</v>
      </c>
      <c r="F24" s="636">
        <f>'16'!AA33</f>
        <v>0</v>
      </c>
      <c r="G24" s="638" t="e">
        <f>'16'!AB33</f>
        <v>#DIV/0!</v>
      </c>
      <c r="H24" s="639">
        <f>'16'!$AK$38</f>
        <v>0</v>
      </c>
      <c r="I24" s="638">
        <f>'16'!$AK$39</f>
        <v>0</v>
      </c>
      <c r="J24" s="639">
        <f>'16'!$AQ$40</f>
        <v>1997.6000000000001</v>
      </c>
      <c r="K24" s="638">
        <f>'16'!$AQ$41</f>
        <v>9.5243544265171476</v>
      </c>
      <c r="L24" s="638"/>
      <c r="M24" s="640">
        <f>'16'!$O$19</f>
        <v>3.2083333333333335</v>
      </c>
      <c r="O24" s="641"/>
      <c r="P24" s="643"/>
    </row>
    <row r="25" spans="1:16" ht="16.5" customHeight="1">
      <c r="A25" s="634">
        <v>17</v>
      </c>
      <c r="B25" s="635">
        <f>'17'!$Z$37</f>
        <v>24</v>
      </c>
      <c r="C25" s="636">
        <f>'17'!Y30</f>
        <v>212428.80000000002</v>
      </c>
      <c r="D25" s="636">
        <f>'17'!AA32</f>
        <v>26780.880000000001</v>
      </c>
      <c r="E25" s="637">
        <f>'17'!$AB$32</f>
        <v>63.03937428595836</v>
      </c>
      <c r="F25" s="636">
        <f>'17'!AA33</f>
        <v>0</v>
      </c>
      <c r="G25" s="638" t="e">
        <f>'17'!AB33</f>
        <v>#DIV/0!</v>
      </c>
      <c r="H25" s="639">
        <f>'17'!$AK$38</f>
        <v>0</v>
      </c>
      <c r="I25" s="638">
        <f>'17'!$AK$39</f>
        <v>0</v>
      </c>
      <c r="J25" s="639">
        <f>'17'!$AQ$40</f>
        <v>1827.35</v>
      </c>
      <c r="K25" s="638">
        <f>'17'!$AQ$41</f>
        <v>8.6021763527355972</v>
      </c>
      <c r="L25" s="638"/>
      <c r="M25" s="640">
        <f>'17'!$O$19</f>
        <v>2.8083333333333336</v>
      </c>
      <c r="N25" t="s">
        <v>354</v>
      </c>
      <c r="O25" s="641"/>
      <c r="P25" s="643"/>
    </row>
    <row r="26" spans="1:16" ht="16.5" customHeight="1">
      <c r="A26" s="634">
        <v>18</v>
      </c>
      <c r="B26" s="635">
        <f>'18'!$Z$37</f>
        <v>24</v>
      </c>
      <c r="C26" s="636">
        <f>'18'!Y30</f>
        <v>224038.80000000002</v>
      </c>
      <c r="D26" s="636">
        <f>'18'!AA32</f>
        <v>27687.940000000002</v>
      </c>
      <c r="E26" s="637">
        <f>'18'!$AB$32</f>
        <v>61.885530381021994</v>
      </c>
      <c r="F26" s="636">
        <f>'18'!AA33</f>
        <v>0</v>
      </c>
      <c r="G26" s="638" t="e">
        <f>'18'!AB33</f>
        <v>#DIV/0!</v>
      </c>
      <c r="H26" s="639">
        <f>'18'!$AK$38</f>
        <v>0</v>
      </c>
      <c r="I26" s="638">
        <f>'18'!$AK$39</f>
        <v>0</v>
      </c>
      <c r="J26" s="639">
        <f>'18'!$AQ$40</f>
        <v>1997.6000000000001</v>
      </c>
      <c r="K26" s="638">
        <f>'18'!$AQ$41</f>
        <v>8.916312710119854</v>
      </c>
      <c r="L26" s="638"/>
      <c r="M26" s="640">
        <f>'18'!$O$19</f>
        <v>3</v>
      </c>
      <c r="O26" s="641"/>
      <c r="P26" s="122"/>
    </row>
    <row r="27" spans="1:16" ht="16.5" customHeight="1">
      <c r="A27" s="634">
        <v>19</v>
      </c>
      <c r="B27" s="635">
        <f>'19'!$Z$37</f>
        <v>24</v>
      </c>
      <c r="C27" s="636">
        <f>'19'!Y30</f>
        <v>222570</v>
      </c>
      <c r="D27" s="636">
        <f>'19'!AA32</f>
        <v>29166.9</v>
      </c>
      <c r="E27" s="637">
        <f>'19'!$AB$32</f>
        <v>65.651403137528817</v>
      </c>
      <c r="F27" s="636">
        <f>'19'!AA33</f>
        <v>0</v>
      </c>
      <c r="G27" s="638" t="e">
        <f>'19'!AB33</f>
        <v>#DIV/0!</v>
      </c>
      <c r="H27" s="639">
        <f>'19'!$AK$38</f>
        <v>0</v>
      </c>
      <c r="I27" s="638">
        <f>'19'!$AK$39</f>
        <v>0</v>
      </c>
      <c r="J27" s="639">
        <f>'19'!$AQ$40</f>
        <v>1997.6000000000001</v>
      </c>
      <c r="K27" s="638">
        <f>'19'!$AQ$41</f>
        <v>8.9751538841712719</v>
      </c>
      <c r="L27" s="638"/>
      <c r="M27" s="640">
        <f>'19'!$O$19</f>
        <v>2.8083333333333336</v>
      </c>
      <c r="O27" s="641"/>
      <c r="P27" s="122"/>
    </row>
    <row r="28" spans="1:16" ht="16.5" customHeight="1">
      <c r="A28" s="634">
        <v>20</v>
      </c>
      <c r="B28" s="635">
        <f>'20'!$Z$37</f>
        <v>24</v>
      </c>
      <c r="C28" s="636">
        <f>'20'!Y30</f>
        <v>227278.80000000002</v>
      </c>
      <c r="D28" s="636">
        <f>'20'!AA32</f>
        <v>29166.9</v>
      </c>
      <c r="E28" s="637">
        <f>'20'!$AB$32</f>
        <v>64.184607009052215</v>
      </c>
      <c r="F28" s="636">
        <f>'20'!AA33</f>
        <v>0</v>
      </c>
      <c r="G28" s="638" t="e">
        <f>'20'!AB33</f>
        <v>#DIV/0!</v>
      </c>
      <c r="H28" s="639">
        <f>'20'!$AK$38</f>
        <v>0</v>
      </c>
      <c r="I28" s="638">
        <f>'20'!$AK$39</f>
        <v>0</v>
      </c>
      <c r="J28" s="639">
        <f>'20'!$AQ$40</f>
        <v>2239.7333333333322</v>
      </c>
      <c r="K28" s="638">
        <f>'20'!$AQ$41</f>
        <v>9.8545633527338747</v>
      </c>
      <c r="L28" s="638"/>
      <c r="M28" s="640">
        <f>'20'!$O$19</f>
        <v>2.7583333333333333</v>
      </c>
      <c r="O28" s="641"/>
      <c r="P28" s="122"/>
    </row>
    <row r="29" spans="1:16" ht="16.5" customHeight="1">
      <c r="A29" s="634">
        <v>21</v>
      </c>
      <c r="B29" s="635">
        <f>'21'!$Z$37</f>
        <v>24</v>
      </c>
      <c r="C29" s="636">
        <f>'21'!Y30</f>
        <v>232066.80000000002</v>
      </c>
      <c r="D29" s="636">
        <f>'21'!AA32</f>
        <v>29845.200000000001</v>
      </c>
      <c r="E29" s="637">
        <f>'21'!$AB$32</f>
        <v>64.312140722948982</v>
      </c>
      <c r="F29" s="636">
        <f>'21'!AA33</f>
        <v>0</v>
      </c>
      <c r="G29" s="638" t="e">
        <f>'21'!AB33</f>
        <v>#DIV/0!</v>
      </c>
      <c r="H29" s="639">
        <f>'21'!$AK$38</f>
        <v>0</v>
      </c>
      <c r="I29" s="638">
        <f>'21'!$AK$39</f>
        <v>0</v>
      </c>
      <c r="J29" s="639">
        <f>'21'!$AQ$40</f>
        <v>2360.7999999999993</v>
      </c>
      <c r="K29" s="638">
        <f>'21'!$AQ$41</f>
        <v>10.172932965852931</v>
      </c>
      <c r="L29" s="638"/>
      <c r="M29" s="640">
        <f>'21'!$O$19</f>
        <v>3.15</v>
      </c>
      <c r="O29" s="641"/>
      <c r="P29" s="122"/>
    </row>
    <row r="30" spans="1:16" ht="16.5" customHeight="1">
      <c r="A30" s="634">
        <v>22</v>
      </c>
      <c r="B30" s="635">
        <f>'22'!$Z$37</f>
        <v>24</v>
      </c>
      <c r="C30" s="636">
        <f>'22'!Y30</f>
        <v>230338.80000000002</v>
      </c>
      <c r="D30" s="636">
        <f>'22'!AA32</f>
        <v>29845.200000000001</v>
      </c>
      <c r="E30" s="637">
        <f>'22'!$AB$32</f>
        <v>64.79661946787904</v>
      </c>
      <c r="F30" s="636">
        <f>'22'!AA33</f>
        <v>0</v>
      </c>
      <c r="G30" s="638" t="e">
        <f>'22'!AB33</f>
        <v>#DIV/0!</v>
      </c>
      <c r="H30" s="639">
        <f>'22'!$AK$38</f>
        <v>0</v>
      </c>
      <c r="I30" s="638">
        <f>'22'!$AK$39</f>
        <v>0</v>
      </c>
      <c r="J30" s="639">
        <f>'22'!$AQ$40</f>
        <v>2462.9499999999998</v>
      </c>
      <c r="K30" s="638">
        <f>'22'!$AQ$41</f>
        <v>10.692727408495658</v>
      </c>
      <c r="L30" s="638"/>
      <c r="M30" s="640">
        <f>'22'!$O$19</f>
        <v>2.9916666666666667</v>
      </c>
      <c r="O30" s="641"/>
      <c r="P30" s="122"/>
    </row>
    <row r="31" spans="1:16" ht="16.5" customHeight="1">
      <c r="A31" s="634">
        <v>23</v>
      </c>
      <c r="B31" s="635">
        <f>'23'!$Z$37</f>
        <v>24</v>
      </c>
      <c r="C31" s="636">
        <f>'23'!Y30</f>
        <v>230090.4</v>
      </c>
      <c r="D31" s="636">
        <f>'23'!AA32</f>
        <v>30211.640000000003</v>
      </c>
      <c r="E31" s="637">
        <f>'23'!$AB$32</f>
        <v>65.659074870938056</v>
      </c>
      <c r="F31" s="636">
        <f>'23'!AA33</f>
        <v>0</v>
      </c>
      <c r="G31" s="638" t="e">
        <f>'23'!AB33</f>
        <v>#DIV/0!</v>
      </c>
      <c r="H31" s="639">
        <f>'23'!$AK$38</f>
        <v>851.24999999999989</v>
      </c>
      <c r="I31" s="638">
        <f>'23'!$AK$39</f>
        <v>3.6996328399620317</v>
      </c>
      <c r="J31" s="639">
        <f>'23'!$AQ$40</f>
        <v>2389.1750000000002</v>
      </c>
      <c r="K31" s="638">
        <f>'23'!$AQ$41</f>
        <v>10.383636170826771</v>
      </c>
      <c r="L31" s="638"/>
      <c r="M31" s="640">
        <f>'23'!$O$19</f>
        <v>3.3249999999999997</v>
      </c>
      <c r="N31" t="s">
        <v>145</v>
      </c>
      <c r="O31" s="641"/>
      <c r="P31" s="122"/>
    </row>
    <row r="32" spans="1:16" ht="16.5" customHeight="1">
      <c r="A32" s="634">
        <v>24</v>
      </c>
      <c r="B32" s="635">
        <f>'24'!$Z$37</f>
        <v>24</v>
      </c>
      <c r="C32" s="636">
        <f>'24'!Y30</f>
        <v>228776.4</v>
      </c>
      <c r="D32" s="636">
        <f>'24'!AA32</f>
        <v>31249.68</v>
      </c>
      <c r="E32" s="637">
        <f>'24'!$AB$32</f>
        <v>68.309117809023249</v>
      </c>
      <c r="F32" s="636">
        <f>'24'!AA33</f>
        <v>0</v>
      </c>
      <c r="G32" s="638" t="e">
        <f>'24'!AB33</f>
        <v>#DIV/0!</v>
      </c>
      <c r="H32" s="639">
        <f>'24'!$AK$38</f>
        <v>0</v>
      </c>
      <c r="I32" s="638">
        <f>'24'!$AK$39</f>
        <v>0</v>
      </c>
      <c r="J32" s="639">
        <f>'24'!AQ40</f>
        <v>2451.6000000000008</v>
      </c>
      <c r="K32" s="638">
        <f>'24'!$AQ$41</f>
        <v>10.716140301184916</v>
      </c>
      <c r="L32" s="638"/>
      <c r="M32" s="640">
        <f>'24'!$O$19</f>
        <v>2.8916666666666671</v>
      </c>
      <c r="O32" s="641"/>
      <c r="P32" s="122"/>
    </row>
    <row r="33" spans="1:16" ht="16.5" customHeight="1">
      <c r="A33" s="634">
        <v>25</v>
      </c>
      <c r="B33" s="635">
        <f>'25'!$Z$37</f>
        <v>24</v>
      </c>
      <c r="C33" s="636">
        <f>'25'!Y30</f>
        <v>228510</v>
      </c>
      <c r="D33" s="636">
        <f>'25'!AA32</f>
        <v>31249.68</v>
      </c>
      <c r="E33" s="637">
        <f>'25'!$AB$32</f>
        <v>68.4223930142347</v>
      </c>
      <c r="F33" s="636">
        <f>'25'!AA33</f>
        <v>0</v>
      </c>
      <c r="G33" s="638" t="e">
        <f>'25'!AB33</f>
        <v>#DIV/0!</v>
      </c>
      <c r="H33" s="639">
        <f>'25'!$AK$38</f>
        <v>331.04166666666674</v>
      </c>
      <c r="I33" s="638">
        <f>'25'!$AK$39</f>
        <v>1.44869662888568</v>
      </c>
      <c r="J33" s="639">
        <f>'25'!$AQ$40</f>
        <v>2451.6000000000008</v>
      </c>
      <c r="K33" s="638">
        <f>'25'!$AQ$41</f>
        <v>10.728633320204809</v>
      </c>
      <c r="L33" s="638"/>
      <c r="M33" s="640">
        <f>'25'!$O$19</f>
        <v>2.9000000000000004</v>
      </c>
      <c r="O33" s="641"/>
      <c r="P33" s="122"/>
    </row>
    <row r="34" spans="1:16" ht="16.5" customHeight="1">
      <c r="A34" s="634">
        <v>26</v>
      </c>
      <c r="B34" s="635">
        <f>'26'!$Z$37</f>
        <v>24</v>
      </c>
      <c r="C34" s="636">
        <f>'26'!Y30</f>
        <v>225482.4</v>
      </c>
      <c r="D34" s="636">
        <f>'26'!AA32</f>
        <v>31249.68</v>
      </c>
      <c r="E34" s="637">
        <f>'26'!$AB$32</f>
        <v>69.30497700204036</v>
      </c>
      <c r="F34" s="636">
        <f>'26'!AA33</f>
        <v>0</v>
      </c>
      <c r="G34" s="638" t="e">
        <f>'26'!AB33</f>
        <v>#DIV/0!</v>
      </c>
      <c r="H34" s="639">
        <f>'26'!$AK$38</f>
        <v>0</v>
      </c>
      <c r="I34" s="638">
        <f>'26'!$AK$39</f>
        <v>0</v>
      </c>
      <c r="J34" s="639">
        <f>'26'!$AQ$40</f>
        <v>2375.9333333333334</v>
      </c>
      <c r="K34" s="638">
        <f>'26'!$AQ$41</f>
        <v>10.537112135285652</v>
      </c>
      <c r="L34" s="638"/>
      <c r="M34" s="640">
        <f>'26'!$O$19</f>
        <v>3.5666666666666669</v>
      </c>
      <c r="O34" s="641"/>
      <c r="P34" s="122"/>
    </row>
    <row r="35" spans="1:16" ht="16.5" customHeight="1">
      <c r="A35" s="634">
        <v>27</v>
      </c>
      <c r="B35" s="635">
        <f>'27'!$Z$37</f>
        <v>24</v>
      </c>
      <c r="C35" s="636">
        <f>'27'!Y30</f>
        <v>224042.4</v>
      </c>
      <c r="D35" s="636">
        <f>'27'!AA32</f>
        <v>33867.120000000003</v>
      </c>
      <c r="E35" s="637">
        <f>'27'!$AB$32</f>
        <v>75.199870035488871</v>
      </c>
      <c r="F35" s="636">
        <f>'27'!AA33</f>
        <v>0</v>
      </c>
      <c r="G35" s="638" t="e">
        <f>'27'!AB33</f>
        <v>#DIV/0!</v>
      </c>
      <c r="H35" s="639">
        <f>'27'!$AK$38</f>
        <v>0</v>
      </c>
      <c r="I35" s="638">
        <f>'27'!$AK$39</f>
        <v>0</v>
      </c>
      <c r="J35" s="639">
        <f>'27'!$AQ$40</f>
        <v>2451.6000000000008</v>
      </c>
      <c r="K35" s="638">
        <f>'27'!$AQ$41</f>
        <v>10.942571584664336</v>
      </c>
      <c r="L35" s="638"/>
      <c r="M35" s="640">
        <f>'27'!$O$19</f>
        <v>3.3181818181818183</v>
      </c>
      <c r="O35" s="641"/>
      <c r="P35" s="644"/>
    </row>
    <row r="36" spans="1:16" ht="16.5" customHeight="1">
      <c r="A36" s="634">
        <v>28</v>
      </c>
      <c r="B36" s="635">
        <f>'28'!$Z$37</f>
        <v>24</v>
      </c>
      <c r="C36" s="636">
        <f>'28'!Y30</f>
        <v>225201.6</v>
      </c>
      <c r="D36" s="636">
        <f>'28'!AA32</f>
        <v>33867.120000000003</v>
      </c>
      <c r="E36" s="637">
        <f>'28'!$AB$32</f>
        <v>75.199870035488871</v>
      </c>
      <c r="F36" s="636">
        <f>'28'!AA33</f>
        <v>0</v>
      </c>
      <c r="G36" s="638" t="e">
        <f>'28'!AB33</f>
        <v>#DIV/0!</v>
      </c>
      <c r="H36" s="639">
        <f>'28'!$AK$38</f>
        <v>0</v>
      </c>
      <c r="I36" s="638">
        <f>'28'!$AK$39</f>
        <v>0</v>
      </c>
      <c r="J36" s="639">
        <f>'28'!$AQ$40</f>
        <v>2451.6000000000008</v>
      </c>
      <c r="K36" s="638">
        <f>'28'!$AQ$41</f>
        <v>10.88624592365241</v>
      </c>
      <c r="L36" s="638"/>
      <c r="M36" s="640">
        <f>'28'!$O$19</f>
        <v>3.1416666666666671</v>
      </c>
      <c r="O36" s="641"/>
      <c r="P36" s="122"/>
    </row>
    <row r="37" spans="1:16" ht="16.5" customHeight="1">
      <c r="A37" s="634">
        <v>29</v>
      </c>
      <c r="B37" s="635">
        <f>'29'!$Z$37</f>
        <v>24</v>
      </c>
      <c r="C37" s="636">
        <f>'29'!Y30</f>
        <v>225136.80000000002</v>
      </c>
      <c r="D37" s="636">
        <f>'29'!AA32</f>
        <v>33867.120000000003</v>
      </c>
      <c r="E37" s="637">
        <f>'29'!$AB$32</f>
        <v>75.234841328067333</v>
      </c>
      <c r="F37" s="636">
        <f>'29'!AA33</f>
        <v>0</v>
      </c>
      <c r="G37" s="638" t="e">
        <f>'29'!AB33</f>
        <v>#DIV/0!</v>
      </c>
      <c r="H37" s="639">
        <f>'29'!$AK$38</f>
        <v>567.50000000000011</v>
      </c>
      <c r="I37" s="638">
        <f>'29'!$AK$39</f>
        <v>2.5206896429193275</v>
      </c>
      <c r="J37" s="639">
        <f>'29'!$AQ$40</f>
        <v>2345.6666666666661</v>
      </c>
      <c r="K37" s="638">
        <f>'29'!$AQ$41</f>
        <v>10.418850524066549</v>
      </c>
      <c r="L37" s="638"/>
      <c r="M37" s="640">
        <f>'29'!$O$19</f>
        <v>3.1583333333333332</v>
      </c>
      <c r="O37" s="641"/>
      <c r="P37" s="122"/>
    </row>
    <row r="38" spans="1:16" ht="16.5" customHeight="1">
      <c r="A38" s="634">
        <v>30</v>
      </c>
      <c r="B38" s="635">
        <f>'30'!$Z$37</f>
        <v>24</v>
      </c>
      <c r="C38" s="636">
        <f>'30'!Y30</f>
        <v>223711.2</v>
      </c>
      <c r="D38" s="636">
        <f>'30'!AA32</f>
        <v>33867.120000000003</v>
      </c>
      <c r="E38" s="637">
        <f>'30'!$AB$32</f>
        <v>75.701546708059809</v>
      </c>
      <c r="F38" s="636">
        <f>'30'!AA33</f>
        <v>0</v>
      </c>
      <c r="G38" s="638" t="e">
        <f>'30'!AB33</f>
        <v>#DIV/0!</v>
      </c>
      <c r="H38" s="639">
        <f>'30'!$AK$38</f>
        <v>261.05</v>
      </c>
      <c r="I38" s="638">
        <f>'30'!$AK$39</f>
        <v>1.1669062612868732</v>
      </c>
      <c r="J38" s="639">
        <f>'30'!$AQ$40</f>
        <v>2383.5000000000005</v>
      </c>
      <c r="K38" s="638">
        <f>'30'!$AQ$41</f>
        <v>10.654361516097541</v>
      </c>
      <c r="L38" s="638"/>
      <c r="M38" s="640">
        <f>'30'!$O$19</f>
        <v>3.4249999999999994</v>
      </c>
      <c r="O38" s="641"/>
      <c r="P38" s="122"/>
    </row>
    <row r="39" spans="1:16" ht="16.5" customHeight="1">
      <c r="A39" s="634">
        <v>31</v>
      </c>
      <c r="B39" s="635">
        <f>'31'!$Z$37</f>
        <v>24</v>
      </c>
      <c r="C39" s="636">
        <f>'31'!Y30</f>
        <v>221148</v>
      </c>
      <c r="D39" s="636">
        <f>'31'!AA32</f>
        <v>33867.120000000003</v>
      </c>
      <c r="E39" s="637">
        <f>'31'!$AB$32</f>
        <v>76.57863898029197</v>
      </c>
      <c r="F39" s="636">
        <f>'31'!AA33</f>
        <v>0</v>
      </c>
      <c r="G39" s="638" t="e">
        <f>'31'!AB33</f>
        <v>#DIV/0!</v>
      </c>
      <c r="H39" s="639">
        <f>'31'!$AK$38</f>
        <v>845.57500000000027</v>
      </c>
      <c r="I39" s="638">
        <f>'31'!$AK$39</f>
        <v>3.8235706404760625</v>
      </c>
      <c r="J39" s="639">
        <f>'31'!$AQ$40</f>
        <v>2375.9333333333348</v>
      </c>
      <c r="K39" s="638">
        <f>'31'!$AQ$41</f>
        <v>10.74363473028621</v>
      </c>
      <c r="L39" s="638"/>
      <c r="M39" s="640">
        <f>'31'!$O$19</f>
        <v>3.2250000000000001</v>
      </c>
      <c r="O39" s="641"/>
      <c r="P39" s="122"/>
    </row>
    <row r="40" spans="1:16" ht="15.75" customHeight="1">
      <c r="A40" s="645" t="s">
        <v>129</v>
      </c>
      <c r="B40" s="646">
        <f>SUM('PROD. QUÍM.'!B9:B39)</f>
        <v>744</v>
      </c>
      <c r="C40" s="646">
        <f>SUM('PROD. QUÍM.'!C10:C39)</f>
        <v>6804529.2000000002</v>
      </c>
      <c r="D40" s="646">
        <f>SUM('PROD. QUÍM.'!D9:D39)</f>
        <v>934267.17</v>
      </c>
      <c r="E40" s="647"/>
      <c r="F40" s="647">
        <f>SUM('PROD. QUÍM.'!F9:F39)</f>
        <v>0</v>
      </c>
      <c r="G40" s="647"/>
      <c r="H40" s="646">
        <f>SUM('PROD. QUÍM.'!H9:H38)</f>
        <v>2010.8416666666665</v>
      </c>
      <c r="I40" s="638">
        <f>'6'!$AF$37</f>
        <v>0</v>
      </c>
      <c r="J40" s="646">
        <f>SUM('PROD. QUÍM.'!J9:J39)</f>
        <v>68378.680333333323</v>
      </c>
      <c r="K40" s="647"/>
      <c r="L40" s="646"/>
      <c r="M40" s="647"/>
      <c r="N40" s="648"/>
      <c r="O40" s="122"/>
      <c r="P40" s="122"/>
    </row>
    <row r="41" spans="1:16" ht="15.75" customHeight="1">
      <c r="A41" s="645" t="s">
        <v>207</v>
      </c>
      <c r="B41" s="646">
        <f>AVERAGE('PROD. QUÍM.'!B10:B38)</f>
        <v>24</v>
      </c>
      <c r="C41" s="646">
        <f>AVERAGE('PROD. QUÍM.'!C10:C38)</f>
        <v>227013.14482758622</v>
      </c>
      <c r="D41" s="646">
        <f>AVERAGE('PROD. QUÍM.'!D10:D38)</f>
        <v>29961.896896551723</v>
      </c>
      <c r="E41" s="647">
        <f>AVERAGE('PROD. QUÍM.'!E9:E16)</f>
        <v>63.114180946912377</v>
      </c>
      <c r="F41" s="647">
        <f>AVERAGE('PROD. QUÍM.'!F9:F38)</f>
        <v>0</v>
      </c>
      <c r="G41" s="647" t="e">
        <f>AVERAGE('PROD. QUÍM.'!G16:G39)</f>
        <v>#DIV/0!</v>
      </c>
      <c r="H41" s="646">
        <f>AVERAGE('PROD. QUÍM.'!H9:H38)</f>
        <v>67.028055555555554</v>
      </c>
      <c r="I41" s="638">
        <f>'6'!$AF$37</f>
        <v>0</v>
      </c>
      <c r="J41" s="646">
        <f>AVERAGE('PROD. QUÍM.'!J9:J38)</f>
        <v>2200.0915666666665</v>
      </c>
      <c r="K41" s="647">
        <f>AVERAGE('PROD. QUÍM.'!K9:K38)</f>
        <v>9.6729478278980192</v>
      </c>
      <c r="L41" s="646" t="s">
        <v>355</v>
      </c>
      <c r="M41" s="647">
        <f>AVERAGE('PROD. QUÍM.'!M9:M38)</f>
        <v>3.1344949494949494</v>
      </c>
      <c r="O41" s="122"/>
      <c r="P41" s="122"/>
    </row>
    <row r="42" spans="1:16" ht="15.75" customHeight="1">
      <c r="A42" s="645" t="s">
        <v>205</v>
      </c>
      <c r="B42" s="646">
        <f>MAX('PROD. QUÍM.'!B9:B38)</f>
        <v>24</v>
      </c>
      <c r="C42" s="646">
        <f>MAX('PROD. QUÍM.'!C9:C38)</f>
        <v>242650.80000000002</v>
      </c>
      <c r="D42" s="646">
        <f>MAX('PROD. QUÍM.'!D9:D38)</f>
        <v>33867.120000000003</v>
      </c>
      <c r="E42" s="647">
        <f>MAX('PROD. QUÍM.'!E9:E16)</f>
        <v>64.932122636121505</v>
      </c>
      <c r="F42" s="647">
        <f>MAX('PROD. QUÍM.'!F9:F38)</f>
        <v>0</v>
      </c>
      <c r="G42" s="647" t="e">
        <f>MAX('PROD. QUÍM.'!G16:G39)</f>
        <v>#DIV/0!</v>
      </c>
      <c r="H42" s="646">
        <f>MAX('PROD. QUÍM.'!H9:H38)</f>
        <v>851.24999999999989</v>
      </c>
      <c r="I42" s="638">
        <f>'6'!$AF$37</f>
        <v>0</v>
      </c>
      <c r="J42" s="646">
        <f>MAX('PROD. QUÍM.'!J9:J38)</f>
        <v>2462.9499999999998</v>
      </c>
      <c r="K42" s="647">
        <f>MAX('PROD. QUÍM.'!K9:K38)</f>
        <v>10.942571584664336</v>
      </c>
      <c r="L42" s="646" t="s">
        <v>355</v>
      </c>
      <c r="M42" s="647">
        <f>MAX('PROD. QUÍM.'!M9:M38)</f>
        <v>3.6500000000000008</v>
      </c>
    </row>
    <row r="43" spans="1:16" ht="16.5" customHeight="1">
      <c r="A43" s="645" t="s">
        <v>206</v>
      </c>
      <c r="B43" s="646">
        <f>MIN('PROD. QUÍM.'!B9:B38)</f>
        <v>24</v>
      </c>
      <c r="C43" s="646">
        <f>MIN('PROD. QUÍM.'!C9:C38)</f>
        <v>209167.2</v>
      </c>
      <c r="D43" s="646">
        <f>MIN('PROD. QUÍM.'!D9:D38)</f>
        <v>26780.880000000001</v>
      </c>
      <c r="E43" s="647">
        <f>MIN('PROD. QUÍM.'!E9:E16)</f>
        <v>61.918990542299461</v>
      </c>
      <c r="F43" s="647">
        <f>MIN('PROD. QUÍM.'!F9:F38)</f>
        <v>0</v>
      </c>
      <c r="G43" s="647" t="e">
        <f>MIN('PROD. QUÍM.'!G16:G39)</f>
        <v>#DIV/0!</v>
      </c>
      <c r="H43" s="646">
        <f>MIN('PROD. QUÍM.'!H9:H38)</f>
        <v>0</v>
      </c>
      <c r="I43" s="638">
        <f>'6'!$AF$37</f>
        <v>0</v>
      </c>
      <c r="J43" s="646">
        <f>MIN('PROD. QUÍM.'!J9:J38)</f>
        <v>1717.6333333333337</v>
      </c>
      <c r="K43" s="647">
        <f>MIN('PROD. QUÍM.'!K9:K38)</f>
        <v>7.3494604012258415</v>
      </c>
      <c r="L43" s="646" t="s">
        <v>355</v>
      </c>
      <c r="M43" s="647">
        <f>MIN('PROD. QUÍM.'!M9:M38)</f>
        <v>2.7166666666666668</v>
      </c>
    </row>
    <row r="44" spans="1:16" ht="16.5" customHeight="1">
      <c r="A44" s="1245" t="s">
        <v>356</v>
      </c>
      <c r="B44" s="1245"/>
      <c r="C44" s="1245" t="s">
        <v>93</v>
      </c>
      <c r="D44" s="1245"/>
      <c r="E44" s="1245"/>
      <c r="F44" s="1245" t="s">
        <v>357</v>
      </c>
      <c r="G44" s="1245"/>
      <c r="H44" s="1245" t="s">
        <v>346</v>
      </c>
      <c r="I44" s="1245">
        <f>'6'!$AF$37</f>
        <v>0</v>
      </c>
      <c r="J44" s="1245"/>
      <c r="K44" s="1245"/>
      <c r="L44" s="649" t="s">
        <v>351</v>
      </c>
      <c r="M44" s="650"/>
    </row>
    <row r="45" spans="1:16" ht="16.5" customHeight="1">
      <c r="A45" s="1246" t="s">
        <v>358</v>
      </c>
      <c r="B45" s="1246"/>
      <c r="C45" s="1247">
        <v>0</v>
      </c>
      <c r="D45" s="1247"/>
      <c r="E45" s="1247"/>
      <c r="F45" s="1248">
        <v>0</v>
      </c>
      <c r="G45" s="1248"/>
      <c r="H45" s="1247"/>
      <c r="I45" s="1247">
        <f>'6'!$AF$37</f>
        <v>0</v>
      </c>
      <c r="J45" s="1247"/>
      <c r="K45" s="1247"/>
      <c r="L45" s="649"/>
      <c r="M45" s="651"/>
    </row>
    <row r="46" spans="1:16" ht="16.5" customHeight="1">
      <c r="A46" s="1246" t="s">
        <v>122</v>
      </c>
      <c r="B46" s="1246"/>
      <c r="C46" s="1248">
        <f>RECEBIMENTO!$C$160</f>
        <v>417690</v>
      </c>
      <c r="D46" s="1248"/>
      <c r="E46" s="1248"/>
      <c r="F46" s="1248">
        <f>RECEBIMENTO!$H$44</f>
        <v>0</v>
      </c>
      <c r="G46" s="1248"/>
      <c r="H46" s="1248">
        <f>RECEBIMENTO!$L$44</f>
        <v>60190</v>
      </c>
      <c r="I46" s="1248">
        <f>'6'!$AF$37</f>
        <v>0</v>
      </c>
      <c r="J46" s="1248"/>
      <c r="K46" s="1248"/>
      <c r="L46" s="649"/>
      <c r="M46" s="651"/>
    </row>
    <row r="47" spans="1:16" ht="16.5" customHeight="1">
      <c r="A47" s="1246" t="s">
        <v>359</v>
      </c>
      <c r="B47" s="1246"/>
      <c r="C47" s="1248">
        <f>'PROD. QUÍM.'!D40</f>
        <v>934267.17</v>
      </c>
      <c r="D47" s="1248"/>
      <c r="E47" s="1248"/>
      <c r="F47" s="1248">
        <f>'PROD. QUÍM.'!F40</f>
        <v>0</v>
      </c>
      <c r="G47" s="1248"/>
      <c r="H47" s="1248">
        <f>'PROD. QUÍM.'!J40</f>
        <v>68378.680333333323</v>
      </c>
      <c r="I47" s="1248">
        <f>'6'!$AF$37</f>
        <v>0</v>
      </c>
      <c r="J47" s="1248">
        <f>SUM('PROD. QUÍM.'!J45,'PROD. QUÍM.'!J46)-'PROD. QUÍM.'!J48</f>
        <v>0</v>
      </c>
      <c r="K47" s="1248"/>
      <c r="L47" s="649"/>
      <c r="M47" s="651"/>
    </row>
    <row r="48" spans="1:16" ht="16.5" customHeight="1">
      <c r="A48" s="1246" t="s">
        <v>360</v>
      </c>
      <c r="B48" s="1246"/>
      <c r="C48" s="1249">
        <f>'PROD. QUÍM.'!C45+'PROD. QUÍM.'!C46-'PROD. QUÍM.'!C47</f>
        <v>-516577.17000000004</v>
      </c>
      <c r="D48" s="1249"/>
      <c r="E48" s="1249"/>
      <c r="F48" s="1248">
        <f>'PROD. QUÍM.'!F45+'PROD. QUÍM.'!F46-'PROD. QUÍM.'!F47</f>
        <v>0</v>
      </c>
      <c r="G48" s="1248"/>
      <c r="H48" s="1248">
        <f>'PROD. QUÍM.'!H45+'PROD. QUÍM.'!H46-'PROD. QUÍM.'!H47</f>
        <v>-8188.6803333333228</v>
      </c>
      <c r="I48" s="1248">
        <f>'6'!$AF$37</f>
        <v>0</v>
      </c>
      <c r="J48" s="1248"/>
      <c r="K48" s="1248"/>
      <c r="L48" s="649"/>
      <c r="M48" s="651"/>
    </row>
    <row r="49" spans="1:13" ht="12.75" customHeight="1">
      <c r="A49" s="1250" t="s">
        <v>361</v>
      </c>
      <c r="B49" s="1250"/>
      <c r="C49" s="1250"/>
      <c r="D49" s="1250"/>
      <c r="E49" s="1250"/>
      <c r="F49" s="1250"/>
      <c r="G49" s="1250"/>
      <c r="H49" s="1250"/>
      <c r="I49" s="1250"/>
      <c r="J49" s="1250"/>
      <c r="K49" s="1250"/>
      <c r="L49" s="1250"/>
      <c r="M49" s="1250"/>
    </row>
    <row r="50" spans="1:13" ht="50.1" customHeight="1">
      <c r="A50" s="1251"/>
      <c r="B50" s="1251"/>
      <c r="C50" s="1251"/>
      <c r="D50" s="1251"/>
      <c r="E50" s="1251"/>
      <c r="F50" s="1251"/>
      <c r="G50" s="1251"/>
      <c r="H50" s="1251"/>
      <c r="I50" s="1251"/>
      <c r="J50" s="1251"/>
      <c r="K50" s="1251"/>
      <c r="L50" s="1251"/>
      <c r="M50" s="1251"/>
    </row>
    <row r="52" spans="1:13" ht="15.75" customHeight="1">
      <c r="C52" s="642"/>
      <c r="K52" s="1252" t="s">
        <v>362</v>
      </c>
      <c r="L52" s="1252"/>
      <c r="M52" s="1252"/>
    </row>
    <row r="53" spans="1:13" ht="16.5" customHeight="1">
      <c r="A53" s="652">
        <v>1</v>
      </c>
      <c r="C53" s="653" t="s">
        <v>356</v>
      </c>
      <c r="D53" s="654"/>
      <c r="E53" s="1253" t="s">
        <v>93</v>
      </c>
      <c r="F53" s="1253"/>
      <c r="G53" s="1253"/>
      <c r="K53" s="78"/>
      <c r="L53" s="78"/>
      <c r="M53" s="184">
        <v>3.0833333333333299</v>
      </c>
    </row>
    <row r="54" spans="1:13" ht="16.5" customHeight="1">
      <c r="A54" s="652">
        <v>2</v>
      </c>
      <c r="C54" s="1254" t="s">
        <v>358</v>
      </c>
      <c r="D54" s="1254"/>
      <c r="E54" s="1255" t="e">
        <f>#VALUE!</f>
        <v>#VALUE!</v>
      </c>
      <c r="F54" s="1255"/>
      <c r="G54" s="1255"/>
      <c r="K54" s="78"/>
      <c r="L54" s="78"/>
      <c r="M54" s="184">
        <v>3.05</v>
      </c>
    </row>
    <row r="55" spans="1:13" ht="16.5" customHeight="1">
      <c r="A55" s="652">
        <v>3</v>
      </c>
      <c r="C55" s="1254" t="s">
        <v>122</v>
      </c>
      <c r="D55" s="1254"/>
      <c r="E55" s="1259">
        <f>RECEBIMENTO!$C$44</f>
        <v>0</v>
      </c>
      <c r="F55" s="1259"/>
      <c r="G55" s="1259"/>
      <c r="K55" s="78"/>
      <c r="L55" s="78"/>
      <c r="M55" s="184">
        <v>2.9916666666666698</v>
      </c>
    </row>
    <row r="56" spans="1:13" ht="16.5" customHeight="1">
      <c r="A56" s="652">
        <v>4</v>
      </c>
      <c r="C56" s="1254" t="s">
        <v>359</v>
      </c>
      <c r="D56" s="1254"/>
      <c r="E56" s="1259">
        <f>'PROD. QUÍM.'!D40</f>
        <v>934267.17</v>
      </c>
      <c r="F56" s="1259"/>
      <c r="G56" s="1259"/>
      <c r="K56" s="78"/>
      <c r="L56" s="78"/>
      <c r="M56" s="184">
        <v>3</v>
      </c>
    </row>
    <row r="57" spans="1:13" ht="16.5" customHeight="1">
      <c r="A57" s="652">
        <v>5</v>
      </c>
      <c r="C57" s="1254" t="s">
        <v>360</v>
      </c>
      <c r="D57" s="1254"/>
      <c r="E57" s="1260" t="e">
        <f>SUM('PROD. QUÍM.'!E54:E55)-'PROD. QUÍM.'!E56</f>
        <v>#VALUE!</v>
      </c>
      <c r="F57" s="1260"/>
      <c r="G57" s="1260"/>
      <c r="K57" s="78"/>
      <c r="L57" s="78"/>
      <c r="M57" s="184">
        <v>3.1333333333333302</v>
      </c>
    </row>
    <row r="58" spans="1:13" ht="16.5" customHeight="1">
      <c r="A58" s="652">
        <v>6</v>
      </c>
      <c r="C58" s="1256" t="s">
        <v>363</v>
      </c>
      <c r="D58" s="1256"/>
      <c r="E58" s="1257">
        <v>97215</v>
      </c>
      <c r="F58" s="1257"/>
      <c r="G58" s="1257"/>
      <c r="K58" s="78"/>
      <c r="L58" s="78"/>
      <c r="M58" s="184">
        <v>3.0249999999999999</v>
      </c>
    </row>
    <row r="59" spans="1:13" ht="15.75" customHeight="1">
      <c r="A59" s="652">
        <v>7</v>
      </c>
      <c r="C59" s="1258"/>
      <c r="D59" s="1258"/>
      <c r="K59" s="78"/>
      <c r="L59" s="78"/>
      <c r="M59" s="184">
        <v>3.3666666666666698</v>
      </c>
    </row>
    <row r="60" spans="1:13" ht="15.75" customHeight="1">
      <c r="A60" s="652">
        <v>8</v>
      </c>
      <c r="C60" s="642"/>
      <c r="K60" s="78"/>
      <c r="L60" s="78"/>
      <c r="M60" s="184">
        <v>2.94166666666667</v>
      </c>
    </row>
    <row r="61" spans="1:13" ht="15.75" customHeight="1">
      <c r="A61" s="652">
        <v>9</v>
      </c>
      <c r="C61" s="642"/>
      <c r="K61" s="78"/>
      <c r="L61" s="78"/>
      <c r="M61" s="184">
        <v>3.3416666666666699</v>
      </c>
    </row>
    <row r="62" spans="1:13" ht="15.75" customHeight="1">
      <c r="A62" s="652">
        <v>10</v>
      </c>
      <c r="C62" s="642"/>
      <c r="K62" s="78"/>
      <c r="L62" s="78"/>
      <c r="M62" s="184">
        <v>3.31666666666667</v>
      </c>
    </row>
    <row r="63" spans="1:13" ht="15.75" customHeight="1">
      <c r="A63" s="652">
        <v>11</v>
      </c>
      <c r="C63" s="642"/>
      <c r="K63" s="78"/>
      <c r="L63" s="78"/>
      <c r="M63" s="184">
        <v>3.1</v>
      </c>
    </row>
    <row r="64" spans="1:13" ht="15.75" customHeight="1">
      <c r="A64" s="652">
        <v>12</v>
      </c>
      <c r="C64" s="642"/>
      <c r="K64" s="78"/>
      <c r="L64" s="78"/>
      <c r="M64" s="184">
        <v>3.2583333333333302</v>
      </c>
    </row>
    <row r="65" spans="1:13" ht="15.75" customHeight="1">
      <c r="A65" s="652">
        <v>13</v>
      </c>
      <c r="C65" s="642"/>
      <c r="K65" s="78"/>
      <c r="L65" s="78"/>
      <c r="M65" s="184">
        <v>3.0166666666666702</v>
      </c>
    </row>
    <row r="66" spans="1:13" ht="15.75" customHeight="1">
      <c r="A66" s="652">
        <v>14</v>
      </c>
      <c r="C66" s="642"/>
      <c r="K66" s="78"/>
      <c r="L66" s="78"/>
      <c r="M66" s="184">
        <v>3.0249999999999999</v>
      </c>
    </row>
    <row r="67" spans="1:13" ht="15.75" customHeight="1">
      <c r="A67" s="652">
        <v>15</v>
      </c>
      <c r="C67" s="642"/>
      <c r="K67" s="78"/>
      <c r="L67" s="78"/>
      <c r="M67" s="184">
        <v>3.1583333333333301</v>
      </c>
    </row>
    <row r="68" spans="1:13" ht="15.75" customHeight="1">
      <c r="A68" s="652">
        <v>16</v>
      </c>
      <c r="C68" s="642"/>
      <c r="K68" s="78"/>
      <c r="L68" s="78"/>
      <c r="M68" s="184"/>
    </row>
    <row r="69" spans="1:13" ht="15.75" customHeight="1">
      <c r="A69" s="652">
        <v>17</v>
      </c>
      <c r="C69" s="642"/>
      <c r="K69" s="78"/>
      <c r="L69" s="78"/>
      <c r="M69" s="184"/>
    </row>
    <row r="70" spans="1:13" ht="15.75" customHeight="1">
      <c r="A70" s="652">
        <v>18</v>
      </c>
      <c r="C70" s="642"/>
      <c r="K70" s="78"/>
      <c r="L70" s="78"/>
      <c r="M70" s="184"/>
    </row>
    <row r="71" spans="1:13" ht="15.75" customHeight="1">
      <c r="A71" s="652">
        <v>19</v>
      </c>
      <c r="C71" s="642"/>
      <c r="K71" s="78"/>
      <c r="L71" s="78"/>
      <c r="M71" s="184"/>
    </row>
    <row r="72" spans="1:13" ht="15.75" customHeight="1">
      <c r="A72" s="652">
        <v>20</v>
      </c>
      <c r="C72" s="642"/>
      <c r="K72" s="78"/>
      <c r="L72" s="78"/>
      <c r="M72" s="184"/>
    </row>
    <row r="73" spans="1:13" ht="15.75" customHeight="1">
      <c r="A73" s="652">
        <v>21</v>
      </c>
      <c r="C73" s="642"/>
      <c r="K73" s="78"/>
      <c r="L73" s="78"/>
      <c r="M73" s="184"/>
    </row>
    <row r="74" spans="1:13" ht="15.75" customHeight="1">
      <c r="A74" s="652">
        <v>22</v>
      </c>
      <c r="C74" s="642"/>
      <c r="K74" s="78"/>
      <c r="L74" s="78"/>
      <c r="M74" s="184"/>
    </row>
    <row r="75" spans="1:13" ht="15.75" customHeight="1">
      <c r="A75" s="652">
        <v>23</v>
      </c>
      <c r="C75" s="642"/>
      <c r="K75" s="78"/>
      <c r="L75" s="78"/>
      <c r="M75" s="184"/>
    </row>
    <row r="76" spans="1:13" ht="15.75" customHeight="1">
      <c r="A76" s="652">
        <v>24</v>
      </c>
      <c r="C76" s="642"/>
      <c r="K76" s="78"/>
      <c r="L76" s="78"/>
      <c r="M76" s="184"/>
    </row>
    <row r="77" spans="1:13" ht="15.75" customHeight="1">
      <c r="A77" s="652">
        <v>25</v>
      </c>
      <c r="C77" s="642"/>
      <c r="K77" s="78"/>
      <c r="L77" s="78"/>
      <c r="M77" s="184"/>
    </row>
    <row r="78" spans="1:13" ht="15.75" customHeight="1">
      <c r="A78" s="652">
        <v>26</v>
      </c>
      <c r="C78" s="642"/>
      <c r="K78" s="78"/>
      <c r="L78" s="78"/>
      <c r="M78" s="184"/>
    </row>
    <row r="79" spans="1:13" ht="15.75" customHeight="1">
      <c r="A79" s="652">
        <v>27</v>
      </c>
      <c r="C79" s="642"/>
      <c r="K79" s="78"/>
      <c r="L79" s="78"/>
      <c r="M79" s="184"/>
    </row>
    <row r="80" spans="1:13" ht="15.75" customHeight="1">
      <c r="A80" s="652">
        <v>28</v>
      </c>
      <c r="C80" s="642"/>
      <c r="K80" s="78"/>
      <c r="L80" s="78"/>
      <c r="M80" s="184"/>
    </row>
    <row r="81" spans="1:13" ht="15.75" customHeight="1">
      <c r="A81" s="652">
        <v>29</v>
      </c>
      <c r="C81" s="642"/>
      <c r="K81" s="78"/>
      <c r="L81" s="78"/>
      <c r="M81" s="184"/>
    </row>
    <row r="82" spans="1:13" ht="15.75" customHeight="1">
      <c r="A82" s="652">
        <v>30</v>
      </c>
      <c r="C82" s="642"/>
      <c r="K82" s="78"/>
      <c r="L82" s="78"/>
      <c r="M82" s="184"/>
    </row>
    <row r="83" spans="1:13" ht="16.5" customHeight="1">
      <c r="A83" s="652">
        <v>31</v>
      </c>
      <c r="C83" s="642"/>
      <c r="K83" s="78"/>
      <c r="L83" s="78"/>
      <c r="M83" s="184"/>
    </row>
    <row r="84" spans="1:13" ht="15" customHeight="1">
      <c r="C84" s="642"/>
      <c r="K84" s="655" t="s">
        <v>305</v>
      </c>
      <c r="L84" s="656" t="s">
        <v>207</v>
      </c>
      <c r="M84" s="657" t="s">
        <v>206</v>
      </c>
    </row>
    <row r="85" spans="1:13" ht="15" customHeight="1">
      <c r="C85" s="642"/>
      <c r="K85" s="184">
        <f>MAX('PROD. QUÍM.'!M53:M83)</f>
        <v>3.3666666666666698</v>
      </c>
      <c r="L85" s="184">
        <f>AVERAGE('PROD. QUÍM.'!M52:M83)</f>
        <v>3.1205555555555562</v>
      </c>
      <c r="M85" s="184">
        <f>MIN('PROD. QUÍM.'!M53:M83)</f>
        <v>2.94166666666667</v>
      </c>
    </row>
    <row r="86" spans="1:13" ht="15" customHeight="1">
      <c r="C86" s="642"/>
      <c r="K86" s="78"/>
      <c r="L86" s="184"/>
      <c r="M86" s="184"/>
    </row>
    <row r="87" spans="1:13" ht="15" customHeight="1">
      <c r="C87" s="642"/>
      <c r="K87" s="78"/>
      <c r="L87" s="658" t="s">
        <v>248</v>
      </c>
      <c r="M87" s="184">
        <f>COUNTA('PROD. QUÍM.'!M53:M83)*12</f>
        <v>180</v>
      </c>
    </row>
    <row r="88" spans="1:13" ht="15" customHeight="1">
      <c r="C88" s="642"/>
    </row>
    <row r="89" spans="1:13" ht="15" customHeight="1">
      <c r="C89" s="642"/>
      <c r="M89" s="184"/>
    </row>
  </sheetData>
  <sheetProtection password="E1DF" sheet="1" objects="1" scenarios="1" selectLockedCells="1"/>
  <mergeCells count="49"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  <mergeCell ref="A50:M50"/>
    <mergeCell ref="K52:M52"/>
    <mergeCell ref="E53:G53"/>
    <mergeCell ref="C54:D54"/>
    <mergeCell ref="E54:G54"/>
    <mergeCell ref="A48:B48"/>
    <mergeCell ref="C48:E48"/>
    <mergeCell ref="F48:G48"/>
    <mergeCell ref="H48:K48"/>
    <mergeCell ref="A49:M49"/>
    <mergeCell ref="A46:B46"/>
    <mergeCell ref="C46:E46"/>
    <mergeCell ref="F46:G46"/>
    <mergeCell ref="H46:K46"/>
    <mergeCell ref="A47:B47"/>
    <mergeCell ref="C47:E47"/>
    <mergeCell ref="F47:G47"/>
    <mergeCell ref="H47:K47"/>
    <mergeCell ref="A44:B44"/>
    <mergeCell ref="C44:E44"/>
    <mergeCell ref="F44:G44"/>
    <mergeCell ref="H44:K44"/>
    <mergeCell ref="A45:B45"/>
    <mergeCell ref="C45:E45"/>
    <mergeCell ref="F45:G45"/>
    <mergeCell ref="H45:K45"/>
    <mergeCell ref="A6:A8"/>
    <mergeCell ref="B6:B8"/>
    <mergeCell ref="C6:C8"/>
    <mergeCell ref="D6:L6"/>
    <mergeCell ref="D7:E7"/>
    <mergeCell ref="F7:G7"/>
    <mergeCell ref="H7:I7"/>
    <mergeCell ref="J7:K7"/>
    <mergeCell ref="A1:B3"/>
    <mergeCell ref="C1:L3"/>
    <mergeCell ref="M1:M2"/>
    <mergeCell ref="A4:J5"/>
    <mergeCell ref="K4:K5"/>
    <mergeCell ref="L4:M5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61"/>
      <c r="B1" s="1261"/>
      <c r="C1" s="1262" t="s">
        <v>364</v>
      </c>
      <c r="D1" s="1262"/>
      <c r="E1" s="1262"/>
      <c r="F1" s="1262"/>
      <c r="G1" s="1262"/>
      <c r="H1" s="1262"/>
      <c r="I1" s="659"/>
      <c r="J1" s="659"/>
      <c r="K1" s="659"/>
      <c r="L1" s="659"/>
      <c r="M1" s="659"/>
      <c r="N1" s="659"/>
      <c r="O1" s="659"/>
      <c r="P1" s="659"/>
      <c r="Q1" s="659"/>
      <c r="R1" s="659"/>
      <c r="S1" s="659"/>
      <c r="T1" s="659"/>
      <c r="U1" s="659"/>
      <c r="V1" s="659" t="s">
        <v>365</v>
      </c>
      <c r="W1" s="659"/>
      <c r="X1" s="659"/>
      <c r="Y1" s="659"/>
      <c r="Z1" s="659"/>
      <c r="AA1" s="659"/>
      <c r="AB1" s="659"/>
      <c r="AC1" s="659"/>
      <c r="AD1" s="659"/>
      <c r="AE1" s="659"/>
      <c r="AF1" s="659"/>
      <c r="AG1" s="659"/>
      <c r="AH1" s="659"/>
      <c r="AI1" s="659"/>
      <c r="AJ1" s="659"/>
      <c r="AK1" s="659"/>
      <c r="AL1" s="659"/>
      <c r="AM1" s="659"/>
      <c r="AN1" s="659"/>
      <c r="AO1" s="659"/>
      <c r="AP1" s="659"/>
      <c r="AQ1" s="659"/>
      <c r="AR1" s="659"/>
      <c r="AS1" s="659"/>
      <c r="AT1" s="659"/>
      <c r="AU1" s="659"/>
      <c r="AV1" s="659"/>
      <c r="AW1" s="659"/>
      <c r="AX1" s="659"/>
      <c r="AY1" s="1263" t="s">
        <v>366</v>
      </c>
      <c r="AZ1" s="1263"/>
      <c r="BA1" s="1264">
        <f>'PROD. QUÍM.'!M3</f>
        <v>43891</v>
      </c>
      <c r="BB1" s="1264"/>
      <c r="BC1" s="1264"/>
      <c r="BD1" s="660"/>
      <c r="BE1" s="660"/>
      <c r="BF1" s="660"/>
      <c r="BG1" s="660"/>
      <c r="BH1" s="660"/>
      <c r="BI1" s="661"/>
    </row>
    <row r="2" spans="1:61" ht="27" customHeight="1">
      <c r="A2" s="662"/>
      <c r="B2" s="1265" t="s">
        <v>367</v>
      </c>
      <c r="C2" s="1265"/>
      <c r="D2" s="1265"/>
      <c r="E2" s="1265"/>
      <c r="F2" s="1265"/>
      <c r="G2" s="1265"/>
      <c r="H2" s="1265"/>
      <c r="I2" s="1266" t="s">
        <v>368</v>
      </c>
      <c r="J2" s="1266"/>
      <c r="K2" s="1266"/>
      <c r="L2" s="1266"/>
      <c r="M2" s="1267" t="s">
        <v>369</v>
      </c>
      <c r="N2" s="1267"/>
      <c r="O2" s="1268" t="s">
        <v>370</v>
      </c>
      <c r="P2" s="1268"/>
      <c r="Q2" s="1269" t="s">
        <v>371</v>
      </c>
      <c r="R2" s="1269"/>
      <c r="S2" s="1269"/>
      <c r="T2" s="1270" t="s">
        <v>372</v>
      </c>
      <c r="U2" s="1270"/>
      <c r="V2" s="1270"/>
      <c r="W2" s="1270"/>
      <c r="X2" s="1270"/>
      <c r="Y2" s="1270"/>
      <c r="Z2" s="1270"/>
      <c r="AA2" s="1270"/>
      <c r="AB2" s="1270"/>
      <c r="AC2" s="1270" t="s">
        <v>251</v>
      </c>
      <c r="AD2" s="1270"/>
      <c r="AE2" s="1270"/>
      <c r="AF2" s="1270"/>
      <c r="AG2" s="1270"/>
      <c r="AH2" s="1270"/>
      <c r="AI2" s="1270"/>
      <c r="AJ2" s="1270"/>
      <c r="AK2" s="1270"/>
      <c r="AL2" s="1270"/>
      <c r="AM2" s="1270"/>
      <c r="AN2" s="1270"/>
      <c r="AO2" s="1271" t="s">
        <v>224</v>
      </c>
      <c r="AP2" s="1271"/>
      <c r="AQ2" s="1271"/>
      <c r="AR2" s="1271"/>
      <c r="AS2" s="1271"/>
      <c r="AT2" s="1271"/>
      <c r="AU2" s="1270" t="s">
        <v>373</v>
      </c>
      <c r="AV2" s="1270"/>
      <c r="AW2" s="1270"/>
      <c r="AX2" s="1270"/>
      <c r="AY2" s="1270"/>
      <c r="AZ2" s="1270"/>
      <c r="BA2" s="1270"/>
      <c r="BB2" s="1270"/>
      <c r="BC2" s="1270"/>
      <c r="BD2" s="1272" t="s">
        <v>374</v>
      </c>
      <c r="BE2" s="1272"/>
      <c r="BF2" s="1272"/>
      <c r="BG2" s="1273" t="s">
        <v>11</v>
      </c>
      <c r="BH2" s="1273"/>
      <c r="BI2" s="1273"/>
    </row>
    <row r="3" spans="1:61" ht="33.75" customHeight="1">
      <c r="A3" s="1274" t="s">
        <v>375</v>
      </c>
      <c r="B3" s="1275" t="s">
        <v>376</v>
      </c>
      <c r="C3" s="1276" t="s">
        <v>377</v>
      </c>
      <c r="D3" s="1277" t="s">
        <v>378</v>
      </c>
      <c r="E3" s="1278" t="s">
        <v>379</v>
      </c>
      <c r="F3" s="1278" t="s">
        <v>380</v>
      </c>
      <c r="G3" s="1279" t="s">
        <v>381</v>
      </c>
      <c r="H3" s="1280" t="s">
        <v>382</v>
      </c>
      <c r="I3" s="1281" t="s">
        <v>376</v>
      </c>
      <c r="J3" s="1282" t="s">
        <v>379</v>
      </c>
      <c r="K3" s="1282" t="s">
        <v>383</v>
      </c>
      <c r="L3" s="1283" t="s">
        <v>384</v>
      </c>
      <c r="M3" s="1284" t="s">
        <v>385</v>
      </c>
      <c r="N3" s="1285" t="s">
        <v>386</v>
      </c>
      <c r="O3" s="1287" t="s">
        <v>376</v>
      </c>
      <c r="P3" s="1288" t="s">
        <v>387</v>
      </c>
      <c r="Q3" s="1289" t="s">
        <v>376</v>
      </c>
      <c r="R3" s="1290" t="s">
        <v>387</v>
      </c>
      <c r="S3" s="1291" t="s">
        <v>388</v>
      </c>
      <c r="T3" s="1299" t="s">
        <v>225</v>
      </c>
      <c r="U3" s="1299"/>
      <c r="V3" s="1299"/>
      <c r="W3" s="1286" t="s">
        <v>389</v>
      </c>
      <c r="X3" s="1286"/>
      <c r="Y3" s="1286"/>
      <c r="Z3" s="1293" t="s">
        <v>227</v>
      </c>
      <c r="AA3" s="1293"/>
      <c r="AB3" s="1293"/>
      <c r="AC3" s="1299" t="s">
        <v>225</v>
      </c>
      <c r="AD3" s="1299"/>
      <c r="AE3" s="1299"/>
      <c r="AF3" s="1286" t="s">
        <v>389</v>
      </c>
      <c r="AG3" s="1286"/>
      <c r="AH3" s="1286"/>
      <c r="AI3" s="1293" t="s">
        <v>227</v>
      </c>
      <c r="AJ3" s="1293"/>
      <c r="AK3" s="1293"/>
      <c r="AL3" s="1293" t="s">
        <v>228</v>
      </c>
      <c r="AM3" s="1293"/>
      <c r="AN3" s="1293"/>
      <c r="AO3" s="1297" t="s">
        <v>225</v>
      </c>
      <c r="AP3" s="1297"/>
      <c r="AQ3" s="1297"/>
      <c r="AR3" s="1298" t="s">
        <v>227</v>
      </c>
      <c r="AS3" s="1298"/>
      <c r="AT3" s="1298"/>
      <c r="AU3" s="1299" t="s">
        <v>225</v>
      </c>
      <c r="AV3" s="1299"/>
      <c r="AW3" s="1299"/>
      <c r="AX3" s="1286" t="s">
        <v>226</v>
      </c>
      <c r="AY3" s="1286"/>
      <c r="AZ3" s="1286"/>
      <c r="BA3" s="1293" t="s">
        <v>227</v>
      </c>
      <c r="BB3" s="1293"/>
      <c r="BC3" s="1293"/>
      <c r="BD3" s="1294" t="s">
        <v>227</v>
      </c>
      <c r="BE3" s="1294"/>
      <c r="BF3" s="1294"/>
      <c r="BG3" s="1273"/>
      <c r="BH3" s="1273"/>
      <c r="BI3" s="1273"/>
    </row>
    <row r="4" spans="1:61" ht="50.25" customHeight="1">
      <c r="A4" s="1274"/>
      <c r="B4" s="1275"/>
      <c r="C4" s="1276"/>
      <c r="D4" s="1277"/>
      <c r="E4" s="1278"/>
      <c r="F4" s="1278"/>
      <c r="G4" s="1279"/>
      <c r="H4" s="1280"/>
      <c r="I4" s="1281"/>
      <c r="J4" s="1282"/>
      <c r="K4" s="1282"/>
      <c r="L4" s="1283"/>
      <c r="M4" s="1284"/>
      <c r="N4" s="1285"/>
      <c r="O4" s="1287"/>
      <c r="P4" s="1288"/>
      <c r="Q4" s="1289"/>
      <c r="R4" s="1290"/>
      <c r="S4" s="1291"/>
      <c r="T4" s="665" t="s">
        <v>390</v>
      </c>
      <c r="U4" s="664" t="s">
        <v>391</v>
      </c>
      <c r="V4" s="664" t="s">
        <v>392</v>
      </c>
      <c r="W4" s="664" t="s">
        <v>390</v>
      </c>
      <c r="X4" s="664" t="s">
        <v>391</v>
      </c>
      <c r="Y4" s="664" t="s">
        <v>392</v>
      </c>
      <c r="Z4" s="664" t="s">
        <v>390</v>
      </c>
      <c r="AA4" s="664" t="s">
        <v>391</v>
      </c>
      <c r="AB4" s="666" t="s">
        <v>392</v>
      </c>
      <c r="AC4" s="665" t="s">
        <v>390</v>
      </c>
      <c r="AD4" s="664" t="s">
        <v>391</v>
      </c>
      <c r="AE4" s="664" t="s">
        <v>392</v>
      </c>
      <c r="AF4" s="664" t="s">
        <v>390</v>
      </c>
      <c r="AG4" s="664" t="s">
        <v>391</v>
      </c>
      <c r="AH4" s="664" t="s">
        <v>392</v>
      </c>
      <c r="AI4" s="664" t="s">
        <v>390</v>
      </c>
      <c r="AJ4" s="664" t="s">
        <v>391</v>
      </c>
      <c r="AK4" s="664" t="s">
        <v>392</v>
      </c>
      <c r="AL4" s="664" t="s">
        <v>390</v>
      </c>
      <c r="AM4" s="664" t="s">
        <v>391</v>
      </c>
      <c r="AN4" s="666" t="s">
        <v>392</v>
      </c>
      <c r="AO4" s="663" t="s">
        <v>390</v>
      </c>
      <c r="AP4" s="664" t="s">
        <v>391</v>
      </c>
      <c r="AQ4" s="664" t="s">
        <v>392</v>
      </c>
      <c r="AR4" s="664" t="s">
        <v>390</v>
      </c>
      <c r="AS4" s="664" t="s">
        <v>391</v>
      </c>
      <c r="AT4" s="667" t="s">
        <v>392</v>
      </c>
      <c r="AU4" s="665" t="s">
        <v>390</v>
      </c>
      <c r="AV4" s="664" t="s">
        <v>391</v>
      </c>
      <c r="AW4" s="664" t="s">
        <v>392</v>
      </c>
      <c r="AX4" s="664" t="s">
        <v>390</v>
      </c>
      <c r="AY4" s="664" t="s">
        <v>391</v>
      </c>
      <c r="AZ4" s="664" t="s">
        <v>392</v>
      </c>
      <c r="BA4" s="668" t="s">
        <v>390</v>
      </c>
      <c r="BB4" s="668" t="s">
        <v>391</v>
      </c>
      <c r="BC4" s="669" t="s">
        <v>392</v>
      </c>
      <c r="BD4" s="670" t="s">
        <v>390</v>
      </c>
      <c r="BE4" s="671" t="s">
        <v>232</v>
      </c>
      <c r="BF4" s="672" t="s">
        <v>231</v>
      </c>
      <c r="BG4" s="673" t="s">
        <v>390</v>
      </c>
      <c r="BH4" s="674" t="s">
        <v>232</v>
      </c>
      <c r="BI4" s="675" t="s">
        <v>393</v>
      </c>
    </row>
    <row r="5" spans="1:61" ht="15.75" customHeight="1">
      <c r="A5" s="676" t="s">
        <v>201</v>
      </c>
      <c r="B5" s="677">
        <f>'Parte3 '!V39</f>
        <v>372</v>
      </c>
      <c r="C5" s="678">
        <f>'Parte3 '!V40</f>
        <v>372</v>
      </c>
      <c r="D5" s="678">
        <f>'Parte3 '!W40</f>
        <v>372</v>
      </c>
      <c r="E5" s="679">
        <f>'Parte3 '!X40</f>
        <v>372</v>
      </c>
      <c r="F5" s="680">
        <f>'Parte3 '!Y40</f>
        <v>372</v>
      </c>
      <c r="G5" s="681">
        <f>'Parte3 '!AC40</f>
        <v>372</v>
      </c>
      <c r="H5" s="682">
        <f>'Parte3 '!AD40</f>
        <v>372</v>
      </c>
      <c r="I5" s="683">
        <f>'Parte3 '!Z39</f>
        <v>372</v>
      </c>
      <c r="J5" s="684">
        <f>'Parte3 '!Z40</f>
        <v>372</v>
      </c>
      <c r="K5" s="685">
        <f>'Parte3 '!AA40</f>
        <v>266</v>
      </c>
      <c r="L5" s="686">
        <f>'Parte3 '!AB40</f>
        <v>106</v>
      </c>
      <c r="M5" s="687">
        <f>'Parte3 '!AE39</f>
        <v>372</v>
      </c>
      <c r="N5" s="687">
        <f>'Parte3 '!AF40</f>
        <v>372</v>
      </c>
      <c r="O5" s="688">
        <f>'Parte3 '!AG39</f>
        <v>8</v>
      </c>
      <c r="P5" s="689">
        <f>'Parte3 '!AG40</f>
        <v>31</v>
      </c>
      <c r="Q5" s="690"/>
      <c r="R5" s="691"/>
      <c r="S5" s="692"/>
      <c r="T5" s="693">
        <f>'Parte 1'!B39</f>
        <v>80</v>
      </c>
      <c r="U5" s="693">
        <f>'Parte 1'!C39</f>
        <v>50</v>
      </c>
      <c r="V5" s="693">
        <f>'Parte 1'!D39</f>
        <v>72.111111111111114</v>
      </c>
      <c r="W5" s="694"/>
      <c r="X5" s="694"/>
      <c r="Y5" s="695"/>
      <c r="Z5" s="696">
        <f>'Parte 1'!H39</f>
        <v>2.5</v>
      </c>
      <c r="AA5" s="696">
        <f>'Parte 1'!I39</f>
        <v>2.5</v>
      </c>
      <c r="AB5" s="696">
        <f>'Parte 1'!J39</f>
        <v>2.5</v>
      </c>
      <c r="AC5" s="696">
        <f>'Parte 1'!K39</f>
        <v>22</v>
      </c>
      <c r="AD5" s="696">
        <f>'Parte 1'!L39</f>
        <v>6.5</v>
      </c>
      <c r="AE5" s="696">
        <f>'Parte 1'!M39</f>
        <v>10.733277777777777</v>
      </c>
      <c r="AF5" s="697"/>
      <c r="AG5" s="697"/>
      <c r="AH5" s="698"/>
      <c r="AI5" s="696">
        <f>'Parte 1'!Q39</f>
        <v>0.7</v>
      </c>
      <c r="AJ5" s="696">
        <f>'Parte 1'!R39</f>
        <v>0.3</v>
      </c>
      <c r="AK5" s="696">
        <f>'Parte 1'!S39</f>
        <v>0.43918434343434348</v>
      </c>
      <c r="AL5" s="696">
        <f>'Parte 1'!T39</f>
        <v>0.9</v>
      </c>
      <c r="AM5" s="696">
        <f>'Parte 1'!U39</f>
        <v>0.3</v>
      </c>
      <c r="AN5" s="696">
        <f>'Parte 1'!V39</f>
        <v>0.53382070707070706</v>
      </c>
      <c r="AO5" s="696">
        <f>'Parte 1'!W39</f>
        <v>7.3</v>
      </c>
      <c r="AP5" s="696">
        <f>'Parte 1'!X39</f>
        <v>6.5</v>
      </c>
      <c r="AQ5" s="696">
        <f>'Parte 1'!Y39</f>
        <v>7.2902777777777805</v>
      </c>
      <c r="AR5" s="696">
        <f>'Parte 1'!AC39</f>
        <v>6.6</v>
      </c>
      <c r="AS5" s="696">
        <f>'Parte 1'!AD39</f>
        <v>6</v>
      </c>
      <c r="AT5" s="696">
        <f>'Parte 1'!AE39</f>
        <v>6.4297979797979794</v>
      </c>
      <c r="AU5" s="699">
        <f>'Parte3 '!B36</f>
        <v>85.7</v>
      </c>
      <c r="AV5" s="699">
        <f>'Parte3 '!B39</f>
        <v>74.8</v>
      </c>
      <c r="AW5" s="699">
        <f>'Parte3 '!B40</f>
        <v>83.454838709677432</v>
      </c>
      <c r="AX5" s="699">
        <f>'Parte3 '!C38</f>
        <v>74.599999999999994</v>
      </c>
      <c r="AY5" s="699">
        <f>'Parte3 '!C39</f>
        <v>50.4</v>
      </c>
      <c r="AZ5" s="699">
        <f>'Parte3 '!C40</f>
        <v>59.096774193548384</v>
      </c>
      <c r="BA5" s="700">
        <f>'Parte3 '!D38</f>
        <v>60.5</v>
      </c>
      <c r="BB5" s="700">
        <f>'Parte3 '!D39</f>
        <v>35</v>
      </c>
      <c r="BC5" s="701">
        <f>'Parte3 '!D40</f>
        <v>51.090322580645172</v>
      </c>
      <c r="BD5" s="702">
        <f>MAX('Parte3 '!AH7:AH37)</f>
        <v>0.05</v>
      </c>
      <c r="BE5" s="703">
        <f>MIN('Parte3 '!AH7:AH37)</f>
        <v>0</v>
      </c>
      <c r="BF5" s="703">
        <f>AVERAGE('Parte3 '!AH7:AH37)</f>
        <v>3.3870967741935494E-2</v>
      </c>
      <c r="BG5" s="704">
        <f>MAX('PROD. QUÍM.'!M9:M37)</f>
        <v>3.6500000000000008</v>
      </c>
      <c r="BH5" s="705">
        <f>MIN('PROD. QUÍM.'!M9:M37)</f>
        <v>2.7166666666666668</v>
      </c>
      <c r="BI5" s="706">
        <f>AVERAGE('PROD. QUÍM.'!M9:M37)</f>
        <v>3.1244775339602926</v>
      </c>
    </row>
    <row r="6" spans="1:61" ht="15.75" customHeight="1">
      <c r="A6" s="707" t="s">
        <v>129</v>
      </c>
      <c r="B6" s="708">
        <f>'Controle qualidade GQL '!B5</f>
        <v>372</v>
      </c>
      <c r="C6" s="709">
        <f>'Controle qualidade GQL '!C5</f>
        <v>372</v>
      </c>
      <c r="D6" s="709">
        <f>'Controle qualidade GQL '!D5</f>
        <v>372</v>
      </c>
      <c r="E6" s="710">
        <f>'Controle qualidade GQL '!E5</f>
        <v>372</v>
      </c>
      <c r="F6" s="710">
        <f>'Controle qualidade GQL '!F5</f>
        <v>372</v>
      </c>
      <c r="G6" s="711">
        <f>'Controle qualidade GQL '!G5</f>
        <v>372</v>
      </c>
      <c r="H6" s="711">
        <f>'Controle qualidade GQL '!H5</f>
        <v>372</v>
      </c>
      <c r="I6" s="712">
        <f>'Controle qualidade GQL '!I5</f>
        <v>372</v>
      </c>
      <c r="J6" s="712">
        <f>'Controle qualidade GQL '!J5</f>
        <v>372</v>
      </c>
      <c r="K6" s="712">
        <f>'Controle qualidade GQL '!K5</f>
        <v>266</v>
      </c>
      <c r="L6" s="713">
        <f>'Controle qualidade GQL '!L5</f>
        <v>106</v>
      </c>
      <c r="M6" s="714">
        <f>M5</f>
        <v>372</v>
      </c>
      <c r="N6" s="714">
        <f>N5</f>
        <v>372</v>
      </c>
      <c r="O6" s="688">
        <f>'Controle qualidade GQL '!O5</f>
        <v>8</v>
      </c>
      <c r="P6" s="715">
        <f>'Controle qualidade GQL '!P5</f>
        <v>31</v>
      </c>
      <c r="Q6" s="716"/>
      <c r="R6" s="717"/>
      <c r="S6" s="718"/>
      <c r="T6" s="719"/>
      <c r="U6" s="720"/>
      <c r="V6" s="720"/>
      <c r="W6" s="721"/>
      <c r="X6" s="721"/>
      <c r="Y6" s="721"/>
      <c r="Z6" s="721"/>
      <c r="AA6" s="721"/>
      <c r="AB6" s="722"/>
      <c r="AC6" s="723"/>
      <c r="AD6" s="721"/>
      <c r="AE6" s="721"/>
      <c r="AF6" s="721"/>
      <c r="AG6" s="721"/>
      <c r="AH6" s="721"/>
      <c r="AI6" s="721"/>
      <c r="AJ6" s="721"/>
      <c r="AK6" s="721"/>
      <c r="AL6" s="721"/>
      <c r="AM6" s="721"/>
      <c r="AN6" s="722"/>
      <c r="AO6" s="723"/>
      <c r="AP6" s="721"/>
      <c r="AQ6" s="721"/>
      <c r="AR6" s="721"/>
      <c r="AS6" s="721"/>
      <c r="AT6" s="722"/>
      <c r="AU6" s="723"/>
      <c r="AV6" s="721"/>
      <c r="AW6" s="721"/>
      <c r="AX6" s="721"/>
      <c r="AY6" s="721"/>
      <c r="AZ6" s="721"/>
      <c r="BA6" s="721"/>
      <c r="BB6" s="721"/>
      <c r="BC6" s="722"/>
      <c r="BD6" s="723"/>
      <c r="BE6" s="721"/>
      <c r="BF6" s="722"/>
      <c r="BG6" s="723"/>
      <c r="BH6" s="721"/>
      <c r="BI6" s="722"/>
    </row>
    <row r="7" spans="1:61" ht="15" customHeight="1">
      <c r="A7" s="724" t="s">
        <v>394</v>
      </c>
      <c r="B7" s="725"/>
      <c r="C7" s="725"/>
      <c r="D7" s="725"/>
      <c r="E7" s="725"/>
      <c r="F7" s="725"/>
      <c r="G7" s="726"/>
      <c r="H7" s="726"/>
      <c r="I7" s="726"/>
      <c r="J7" s="726"/>
      <c r="K7" s="726"/>
      <c r="L7" s="726"/>
      <c r="M7" s="726"/>
      <c r="N7" s="726"/>
      <c r="O7" s="726"/>
      <c r="P7" s="726"/>
      <c r="Q7" s="726"/>
      <c r="R7" s="726"/>
      <c r="S7" s="725"/>
      <c r="T7" s="725"/>
      <c r="U7" s="725"/>
      <c r="V7" s="725"/>
      <c r="W7" s="725"/>
      <c r="X7" s="725"/>
      <c r="Y7" s="122"/>
      <c r="Z7" s="122"/>
      <c r="AA7" s="122"/>
      <c r="AB7" s="122"/>
      <c r="AC7" s="122"/>
      <c r="AD7" s="725"/>
      <c r="AE7" s="725"/>
      <c r="AF7" s="725"/>
      <c r="AG7" s="725"/>
      <c r="AH7" s="725"/>
      <c r="AI7" s="725"/>
      <c r="AJ7" s="725"/>
      <c r="AK7" s="725"/>
      <c r="AL7" s="725"/>
      <c r="AM7" s="725"/>
      <c r="AN7" s="725"/>
      <c r="AO7" s="725"/>
      <c r="AP7" s="725"/>
      <c r="AQ7" s="725"/>
      <c r="AR7" s="725"/>
      <c r="AS7" s="725"/>
      <c r="AT7" s="725"/>
      <c r="AU7" s="725"/>
      <c r="AV7" s="725"/>
      <c r="AW7" s="725"/>
      <c r="AX7" s="725"/>
      <c r="AY7" s="725"/>
      <c r="AZ7" s="725"/>
      <c r="BA7" s="725"/>
      <c r="BB7" s="725"/>
      <c r="BC7" s="725"/>
      <c r="BD7" s="725"/>
      <c r="BE7" s="725"/>
      <c r="BF7" s="725"/>
      <c r="BG7" s="725"/>
      <c r="BH7" s="725"/>
      <c r="BI7" s="727"/>
    </row>
    <row r="8" spans="1:61" ht="15" customHeight="1">
      <c r="A8" s="724" t="s">
        <v>395</v>
      </c>
      <c r="B8" s="725"/>
      <c r="C8" s="725"/>
      <c r="D8" s="725"/>
      <c r="E8" s="725"/>
      <c r="F8" s="725"/>
      <c r="G8" s="725"/>
      <c r="H8" s="725"/>
      <c r="I8" s="725"/>
      <c r="J8" s="725"/>
      <c r="K8" s="725"/>
      <c r="L8" s="725"/>
      <c r="M8" s="725"/>
      <c r="N8" s="725"/>
      <c r="O8" s="725"/>
      <c r="P8" s="725"/>
      <c r="Q8" s="725"/>
      <c r="R8" s="725"/>
      <c r="S8" s="725"/>
      <c r="T8" s="725"/>
      <c r="U8" s="725"/>
      <c r="V8" s="725"/>
      <c r="W8" s="725"/>
      <c r="X8" s="725"/>
      <c r="Y8" s="122"/>
      <c r="Z8" s="122"/>
      <c r="AA8" s="122"/>
      <c r="AB8" s="122"/>
      <c r="AC8" s="122"/>
      <c r="AD8" s="725"/>
      <c r="AE8" s="725"/>
      <c r="AF8" s="725"/>
      <c r="AG8" s="725"/>
      <c r="AH8" s="725"/>
      <c r="AI8" s="725"/>
      <c r="AJ8" s="725"/>
      <c r="AK8" s="725"/>
      <c r="AL8" s="725"/>
      <c r="AM8" s="725"/>
      <c r="AN8" s="725"/>
      <c r="AO8" s="725"/>
      <c r="AP8" s="725"/>
      <c r="AQ8" s="725"/>
      <c r="AR8" s="725"/>
      <c r="AS8" s="725"/>
      <c r="AT8" s="725"/>
      <c r="AU8" s="725"/>
      <c r="AV8" s="725"/>
      <c r="AW8" s="725"/>
      <c r="AX8" s="725"/>
      <c r="AY8" s="725"/>
      <c r="AZ8" s="725"/>
      <c r="BA8" s="725"/>
      <c r="BB8" s="725"/>
      <c r="BC8" s="725"/>
      <c r="BD8" s="725"/>
      <c r="BE8" s="725"/>
      <c r="BF8" s="725"/>
      <c r="BG8" s="725"/>
      <c r="BH8" s="725"/>
      <c r="BI8" s="727"/>
    </row>
    <row r="9" spans="1:61" ht="15" customHeight="1">
      <c r="A9" s="728" t="s">
        <v>396</v>
      </c>
      <c r="B9" s="725"/>
      <c r="C9" s="725"/>
      <c r="D9" s="725"/>
      <c r="E9" s="725"/>
      <c r="F9" s="725"/>
      <c r="G9" s="725"/>
      <c r="H9" s="725"/>
      <c r="I9" s="725"/>
      <c r="J9" s="725"/>
      <c r="K9" s="725"/>
      <c r="L9" s="725"/>
      <c r="M9" s="725"/>
      <c r="N9" s="725"/>
      <c r="O9" s="725"/>
      <c r="P9" s="725"/>
      <c r="Q9" s="725"/>
      <c r="R9" s="725"/>
      <c r="S9" s="725"/>
      <c r="T9" s="725"/>
      <c r="U9" s="725"/>
      <c r="V9" s="725"/>
      <c r="W9" s="725"/>
      <c r="X9" s="725"/>
      <c r="Y9" s="122"/>
      <c r="Z9" s="122"/>
      <c r="AA9" s="122"/>
      <c r="AB9" s="122"/>
      <c r="AC9" s="122"/>
      <c r="AD9" s="725"/>
      <c r="AE9" s="725"/>
      <c r="AF9" s="725"/>
      <c r="AG9" s="725"/>
      <c r="AH9" s="725"/>
      <c r="AI9" s="725"/>
      <c r="AJ9" s="725"/>
      <c r="AK9" s="725"/>
      <c r="AL9" s="725"/>
      <c r="AM9" s="725"/>
      <c r="AN9" s="725"/>
      <c r="AO9" s="725"/>
      <c r="AP9" s="725"/>
      <c r="AQ9" s="725"/>
      <c r="AR9" s="725"/>
      <c r="AS9" s="725"/>
      <c r="AT9" s="725"/>
      <c r="AU9" s="725"/>
      <c r="AV9" s="725"/>
      <c r="AW9" s="725"/>
      <c r="AX9" s="725"/>
      <c r="AY9" s="725"/>
      <c r="AZ9" s="725"/>
      <c r="BA9" s="729"/>
      <c r="BB9" s="725"/>
      <c r="BC9" s="730"/>
      <c r="BD9" s="730"/>
      <c r="BE9" s="730"/>
      <c r="BF9" s="725"/>
      <c r="BG9" s="730"/>
      <c r="BH9" s="730"/>
      <c r="BI9" s="727"/>
    </row>
    <row r="10" spans="1:61" ht="15" customHeight="1">
      <c r="A10" s="724"/>
      <c r="B10" s="725"/>
      <c r="C10" s="725"/>
      <c r="D10" s="725"/>
      <c r="E10" s="725"/>
      <c r="F10" s="725"/>
      <c r="G10" s="725"/>
      <c r="H10" s="725"/>
      <c r="I10" s="725"/>
      <c r="J10" s="725"/>
      <c r="K10" s="725"/>
      <c r="L10" s="725"/>
      <c r="M10" s="725"/>
      <c r="N10" s="725"/>
      <c r="O10" s="725"/>
      <c r="P10" s="725"/>
      <c r="Q10" s="725"/>
      <c r="R10" s="725"/>
      <c r="S10" s="725"/>
      <c r="T10" s="725"/>
      <c r="U10" s="725"/>
      <c r="V10" s="725"/>
      <c r="W10" s="725"/>
      <c r="X10" s="725"/>
      <c r="Y10" s="122"/>
      <c r="Z10" s="122"/>
      <c r="AA10" s="122"/>
      <c r="AB10" s="122"/>
      <c r="AC10" s="122"/>
      <c r="AD10" s="725"/>
      <c r="AE10" s="725"/>
      <c r="AF10" s="725"/>
      <c r="AG10" s="725"/>
      <c r="AH10" s="725"/>
      <c r="AI10" s="725"/>
      <c r="AJ10" s="725"/>
      <c r="AK10" s="725"/>
      <c r="AL10" s="725"/>
      <c r="AM10" s="725"/>
      <c r="AN10" s="725"/>
      <c r="AO10" s="725"/>
      <c r="AP10" s="725"/>
      <c r="AQ10" s="725"/>
      <c r="AR10" s="725"/>
      <c r="AS10" s="725"/>
      <c r="AT10" s="725"/>
      <c r="AU10" s="725"/>
      <c r="AV10" s="725"/>
      <c r="AW10" s="725"/>
      <c r="AX10" s="725"/>
      <c r="AY10" s="725"/>
      <c r="AZ10" s="725"/>
      <c r="BA10" s="725"/>
      <c r="BB10" s="725"/>
      <c r="BC10" s="725"/>
      <c r="BD10" s="725"/>
      <c r="BE10" s="725"/>
      <c r="BF10" s="725"/>
      <c r="BG10" s="725"/>
      <c r="BH10" s="725"/>
      <c r="BI10" s="727"/>
    </row>
    <row r="11" spans="1:61" ht="15" customHeight="1">
      <c r="A11" s="731" t="s">
        <v>397</v>
      </c>
      <c r="B11" s="725"/>
      <c r="C11" s="725"/>
      <c r="D11" s="725"/>
      <c r="E11" s="725"/>
      <c r="F11" s="725"/>
      <c r="G11" s="725"/>
      <c r="H11" s="725"/>
      <c r="I11" s="725"/>
      <c r="J11" s="725"/>
      <c r="K11" s="725"/>
      <c r="L11" s="725"/>
      <c r="M11" s="725"/>
      <c r="N11" s="725"/>
      <c r="O11" s="725"/>
      <c r="P11" s="725"/>
      <c r="Q11" s="725"/>
      <c r="R11" s="725"/>
      <c r="S11" s="725"/>
      <c r="T11" s="725"/>
      <c r="U11" s="725"/>
      <c r="V11" s="725"/>
      <c r="W11" s="725"/>
      <c r="X11" s="725"/>
      <c r="Y11" s="122"/>
      <c r="Z11" s="122"/>
      <c r="AA11" s="122"/>
      <c r="AB11" s="122"/>
      <c r="AC11" s="122"/>
      <c r="AD11" s="725"/>
      <c r="AE11" s="725"/>
      <c r="AF11" s="725"/>
      <c r="AG11" s="725"/>
      <c r="AH11" s="725"/>
      <c r="AI11" s="725"/>
      <c r="AJ11" s="725"/>
      <c r="AK11" s="725"/>
      <c r="AL11" s="725"/>
      <c r="AM11" s="725"/>
      <c r="AN11" s="725"/>
      <c r="AO11" s="725"/>
      <c r="AP11" s="725"/>
      <c r="AQ11" s="725"/>
      <c r="AR11" s="725"/>
      <c r="AS11" s="725"/>
      <c r="AT11" s="725"/>
      <c r="AU11" s="725"/>
      <c r="AV11" s="725"/>
      <c r="AW11" s="725"/>
      <c r="AX11" s="725"/>
      <c r="AY11" s="725"/>
      <c r="AZ11" s="725"/>
      <c r="BA11" s="725"/>
      <c r="BB11" s="725"/>
      <c r="BC11" s="725"/>
      <c r="BD11" s="725"/>
      <c r="BE11" s="725"/>
      <c r="BF11" s="725"/>
      <c r="BG11" s="725"/>
      <c r="BH11" s="725"/>
      <c r="BI11" s="727"/>
    </row>
    <row r="12" spans="1:61" ht="15" customHeight="1">
      <c r="A12" s="731" t="s">
        <v>398</v>
      </c>
      <c r="B12" s="725"/>
      <c r="C12" s="725"/>
      <c r="D12" s="725"/>
      <c r="E12" s="725"/>
      <c r="F12" s="725"/>
      <c r="G12" s="725"/>
      <c r="H12" s="725"/>
      <c r="I12" s="725"/>
      <c r="J12" s="725"/>
      <c r="K12" s="725"/>
      <c r="L12" s="725"/>
      <c r="M12" s="725"/>
      <c r="N12" s="725"/>
      <c r="O12" s="725"/>
      <c r="P12" s="725"/>
      <c r="Q12" s="725"/>
      <c r="R12" s="725"/>
      <c r="S12" s="725"/>
      <c r="T12" s="732"/>
      <c r="U12" s="732"/>
      <c r="V12" s="733"/>
      <c r="W12" s="733"/>
      <c r="X12" s="734"/>
      <c r="Y12" s="122"/>
      <c r="Z12" s="122"/>
      <c r="AA12" s="122"/>
      <c r="AB12" s="122"/>
      <c r="AC12" s="122"/>
      <c r="AD12" s="725"/>
      <c r="AE12" s="725"/>
      <c r="AF12" s="725"/>
      <c r="AG12" s="725"/>
      <c r="AH12" s="725"/>
      <c r="AI12" s="725"/>
      <c r="AJ12" s="725"/>
      <c r="AK12" s="725"/>
      <c r="AL12" s="725"/>
      <c r="AM12" s="725"/>
      <c r="AN12" s="725"/>
      <c r="AO12" s="725"/>
      <c r="AP12" s="725"/>
      <c r="AQ12" s="725"/>
      <c r="AR12" s="725"/>
      <c r="AS12" s="725"/>
      <c r="AT12" s="725"/>
      <c r="AU12" s="725"/>
      <c r="AV12" s="725"/>
      <c r="AW12" s="725"/>
      <c r="AX12" s="725"/>
      <c r="AY12" s="725"/>
      <c r="AZ12" s="725"/>
      <c r="BA12" s="725"/>
      <c r="BB12" s="725"/>
      <c r="BC12" s="725"/>
      <c r="BD12" s="725"/>
      <c r="BE12" s="725"/>
      <c r="BF12" s="725"/>
      <c r="BG12" s="725"/>
      <c r="BH12" s="725"/>
      <c r="BI12" s="727"/>
    </row>
    <row r="13" spans="1:61" ht="15" customHeight="1">
      <c r="A13" s="735"/>
      <c r="B13" s="736"/>
      <c r="C13" s="736"/>
      <c r="D13" s="736"/>
      <c r="E13" s="736"/>
      <c r="F13" s="736"/>
      <c r="G13" s="736"/>
      <c r="H13" s="736"/>
      <c r="I13" s="736"/>
      <c r="J13" s="736"/>
      <c r="K13" s="736"/>
      <c r="L13" s="736"/>
      <c r="M13" s="736"/>
      <c r="N13" s="736"/>
      <c r="O13" s="736"/>
      <c r="P13" s="736"/>
      <c r="Q13" s="736"/>
      <c r="R13" s="736"/>
      <c r="S13" s="736"/>
      <c r="T13" s="737"/>
      <c r="U13" s="737"/>
      <c r="V13" s="738"/>
      <c r="W13" s="738"/>
      <c r="X13" s="736"/>
      <c r="Y13" s="739"/>
      <c r="Z13" s="739"/>
      <c r="AA13" s="739"/>
      <c r="AB13" s="739"/>
      <c r="AC13" s="739"/>
      <c r="AD13" s="736"/>
      <c r="AE13" s="736"/>
      <c r="AF13" s="736"/>
      <c r="AG13" s="736"/>
      <c r="AH13" s="736"/>
      <c r="AI13" s="736"/>
      <c r="AJ13" s="736"/>
      <c r="AK13" s="736"/>
      <c r="AL13" s="736"/>
      <c r="AM13" s="736"/>
      <c r="AN13" s="736"/>
      <c r="AO13" s="736"/>
      <c r="AP13" s="736"/>
      <c r="AQ13" s="736"/>
      <c r="AR13" s="736"/>
      <c r="AS13" s="736"/>
      <c r="AT13" s="736"/>
      <c r="AU13" s="736"/>
      <c r="AV13" s="736"/>
      <c r="AW13" s="736"/>
      <c r="AX13" s="736"/>
      <c r="AY13" s="736"/>
      <c r="AZ13" s="736"/>
      <c r="BA13" s="736"/>
      <c r="BB13" s="736"/>
      <c r="BC13" s="736"/>
      <c r="BD13" s="736"/>
      <c r="BE13" s="736"/>
      <c r="BF13" s="736"/>
      <c r="BG13" s="736"/>
      <c r="BH13" s="736"/>
      <c r="BI13" s="740"/>
    </row>
    <row r="14" spans="1:61" ht="15.75" customHeight="1">
      <c r="A14" s="741" t="s">
        <v>399</v>
      </c>
      <c r="B14" s="725"/>
      <c r="C14" s="725"/>
      <c r="D14" s="725"/>
      <c r="E14" s="725"/>
      <c r="F14" s="725"/>
      <c r="G14" s="725"/>
      <c r="H14" s="725"/>
      <c r="I14" s="725"/>
      <c r="J14" s="725"/>
      <c r="K14" s="725"/>
      <c r="L14" s="725"/>
      <c r="M14" s="725"/>
      <c r="N14" s="725"/>
      <c r="O14" s="725"/>
      <c r="P14" s="725"/>
      <c r="Q14" s="725"/>
      <c r="R14" s="725"/>
      <c r="S14" s="725"/>
      <c r="T14" s="732"/>
      <c r="U14" s="732"/>
      <c r="V14" s="733"/>
      <c r="W14" s="733"/>
      <c r="X14" s="725"/>
      <c r="Y14" s="122"/>
      <c r="Z14" s="122"/>
      <c r="AA14" s="122"/>
      <c r="AB14" s="122"/>
      <c r="AC14" s="122"/>
      <c r="AD14" s="725"/>
      <c r="AE14" s="725"/>
      <c r="AF14" s="725"/>
      <c r="AG14" s="725"/>
      <c r="AH14" s="725"/>
      <c r="AI14" s="725"/>
      <c r="AJ14" s="725"/>
      <c r="AK14" s="725"/>
      <c r="AL14" s="725"/>
      <c r="AM14" s="725"/>
      <c r="AN14" s="725"/>
      <c r="AO14" s="725"/>
      <c r="AP14" s="725"/>
      <c r="AQ14" s="725"/>
      <c r="AR14" s="725"/>
      <c r="AS14" s="725"/>
      <c r="AT14" s="725"/>
      <c r="AU14" s="725"/>
      <c r="AV14" s="725"/>
      <c r="AW14" s="725"/>
      <c r="AX14" s="725"/>
      <c r="AY14" s="725"/>
      <c r="AZ14" s="725"/>
      <c r="BA14" s="725"/>
      <c r="BB14" s="725"/>
      <c r="BC14" s="725"/>
      <c r="BD14" s="725"/>
      <c r="BE14" s="725"/>
      <c r="BF14" s="725"/>
      <c r="BG14" s="725"/>
      <c r="BH14" s="725"/>
      <c r="BI14" s="725"/>
    </row>
    <row r="15" spans="1:61" ht="15" customHeight="1">
      <c r="A15" s="1295"/>
      <c r="B15" s="1295"/>
      <c r="C15" s="1295"/>
      <c r="D15" s="1295"/>
      <c r="E15" s="1295"/>
      <c r="F15" s="1295"/>
      <c r="G15" s="1295"/>
      <c r="H15" s="1295"/>
      <c r="I15" s="1295"/>
      <c r="J15" s="1295"/>
      <c r="K15" s="1295"/>
      <c r="L15" s="1295"/>
      <c r="M15" s="1295"/>
      <c r="N15" s="1295"/>
      <c r="O15" s="1295"/>
      <c r="P15" s="1295"/>
      <c r="Q15" s="1295"/>
      <c r="R15" s="1295"/>
      <c r="S15" s="1295"/>
      <c r="T15" s="725"/>
      <c r="U15" s="725"/>
      <c r="V15" s="742"/>
      <c r="W15" s="742"/>
      <c r="X15" s="742"/>
      <c r="AD15" s="742"/>
      <c r="AE15" s="742"/>
      <c r="AF15" s="742"/>
      <c r="AG15" s="742"/>
      <c r="AH15" s="742"/>
      <c r="AI15" s="742"/>
      <c r="AJ15" s="742"/>
      <c r="AK15" s="742"/>
      <c r="AL15" s="742"/>
      <c r="AM15" s="742"/>
      <c r="AN15" s="742"/>
      <c r="AO15" s="742"/>
      <c r="AP15" s="742"/>
      <c r="AQ15" s="742"/>
      <c r="AR15" s="742"/>
      <c r="AS15" s="742"/>
      <c r="AT15" s="742"/>
      <c r="AU15" s="742"/>
      <c r="AV15" s="742"/>
      <c r="AW15" s="742"/>
      <c r="AX15" s="742"/>
      <c r="AY15" s="742"/>
      <c r="AZ15" s="742"/>
      <c r="BA15" s="742"/>
      <c r="BB15" s="742"/>
      <c r="BC15" s="742"/>
      <c r="BD15" s="742"/>
      <c r="BE15" s="742"/>
      <c r="BF15" s="742"/>
      <c r="BG15" s="742"/>
      <c r="BH15" s="742"/>
      <c r="BI15" s="742"/>
    </row>
    <row r="16" spans="1:61" ht="15" customHeight="1">
      <c r="A16" s="1296"/>
      <c r="B16" s="1296"/>
      <c r="C16" s="1296"/>
      <c r="D16" s="1296"/>
      <c r="E16" s="1296"/>
      <c r="F16" s="1296"/>
      <c r="G16" s="1296"/>
      <c r="H16" s="1296"/>
      <c r="I16" s="1296"/>
      <c r="J16" s="1296"/>
      <c r="K16" s="1296"/>
      <c r="L16" s="1296"/>
      <c r="M16" s="743"/>
      <c r="N16" s="743"/>
      <c r="O16" s="744"/>
      <c r="P16" s="745"/>
      <c r="Q16" s="744"/>
      <c r="R16" s="745"/>
      <c r="S16" s="745"/>
      <c r="T16" s="725"/>
      <c r="U16" s="1292"/>
      <c r="V16" s="1292"/>
      <c r="W16" s="1292"/>
      <c r="X16" s="1292"/>
      <c r="Y16" s="1292"/>
      <c r="Z16" s="1292"/>
      <c r="AA16" s="1292"/>
      <c r="AB16" s="1292"/>
      <c r="AC16" s="1292"/>
      <c r="AD16" s="742"/>
      <c r="AE16" s="742"/>
      <c r="AF16" s="742"/>
      <c r="AG16" s="742"/>
      <c r="AH16" s="742"/>
      <c r="AI16" s="742"/>
      <c r="AJ16" s="742"/>
      <c r="AK16" s="742"/>
      <c r="AL16" s="742"/>
      <c r="AM16" s="742"/>
      <c r="AN16" s="742"/>
      <c r="AO16" s="742"/>
      <c r="AP16" s="742"/>
      <c r="AQ16" s="742"/>
      <c r="AR16" s="742"/>
      <c r="AS16" s="742"/>
      <c r="AT16" s="742"/>
      <c r="AU16" s="742"/>
      <c r="AV16" s="742"/>
      <c r="AW16" s="742"/>
      <c r="AX16" s="742"/>
      <c r="AY16" s="742"/>
      <c r="AZ16" s="742"/>
      <c r="BA16" s="742"/>
      <c r="BB16" s="742"/>
      <c r="BC16" s="742"/>
      <c r="BD16" s="742"/>
      <c r="BE16" s="742"/>
      <c r="BF16" s="742"/>
      <c r="BG16" s="742"/>
      <c r="BH16" s="742"/>
      <c r="BI16" s="742"/>
    </row>
    <row r="17" spans="1:61" ht="15" customHeight="1">
      <c r="A17" s="747"/>
      <c r="B17" s="585"/>
      <c r="C17" s="585"/>
      <c r="D17" s="585"/>
      <c r="E17" s="585"/>
      <c r="F17" s="585"/>
      <c r="G17" s="482"/>
      <c r="H17" s="482"/>
      <c r="I17" s="482"/>
      <c r="J17" s="482"/>
      <c r="K17" s="482"/>
      <c r="L17" s="482"/>
      <c r="M17" s="482"/>
      <c r="N17" s="482"/>
      <c r="O17" s="482"/>
      <c r="P17" s="742"/>
      <c r="Q17" s="482"/>
      <c r="R17" s="742"/>
      <c r="S17" s="742"/>
      <c r="T17" s="742"/>
      <c r="U17" s="1292"/>
      <c r="V17" s="1292"/>
      <c r="W17" s="1292"/>
      <c r="X17" s="1292"/>
      <c r="Y17" s="1292"/>
      <c r="Z17" s="1292"/>
      <c r="AA17" s="1292"/>
      <c r="AB17" s="1292"/>
      <c r="AC17" s="1292"/>
      <c r="AD17" s="742"/>
      <c r="AE17" s="742"/>
      <c r="AF17" s="742"/>
      <c r="AG17" s="742"/>
      <c r="AH17" s="742"/>
      <c r="AI17" s="742"/>
      <c r="AJ17" s="742"/>
      <c r="AK17" s="742"/>
      <c r="AL17" s="742"/>
      <c r="AM17" s="742"/>
      <c r="AN17" s="742"/>
      <c r="AO17" s="742"/>
      <c r="AP17" s="742"/>
      <c r="AQ17" s="742"/>
      <c r="AR17" s="742"/>
      <c r="AS17" s="742"/>
      <c r="AT17" s="742"/>
      <c r="AU17" s="742"/>
      <c r="AV17" s="742"/>
      <c r="AW17" s="742"/>
      <c r="AX17" s="742"/>
      <c r="AY17" s="742"/>
      <c r="AZ17" s="742"/>
      <c r="BA17" s="742"/>
      <c r="BB17" s="742"/>
      <c r="BC17" s="742"/>
      <c r="BD17" s="742"/>
      <c r="BE17" s="742"/>
      <c r="BF17" s="742"/>
      <c r="BG17" s="742"/>
      <c r="BH17" s="742"/>
      <c r="BI17" s="742"/>
    </row>
    <row r="18" spans="1:61" ht="15" customHeight="1">
      <c r="A18" s="747"/>
      <c r="B18" s="585"/>
      <c r="C18" s="585"/>
      <c r="D18" s="585"/>
      <c r="E18" s="585"/>
      <c r="F18" s="585"/>
      <c r="G18" s="482"/>
      <c r="H18" s="482"/>
      <c r="I18" s="482"/>
      <c r="J18" s="482"/>
      <c r="K18" s="482"/>
      <c r="L18" s="482"/>
      <c r="M18" s="482"/>
      <c r="N18" s="482"/>
      <c r="O18" s="482"/>
      <c r="P18" s="742"/>
      <c r="Q18" s="482"/>
      <c r="R18" s="742"/>
      <c r="S18" s="742"/>
      <c r="T18" s="742"/>
      <c r="U18" s="746"/>
      <c r="V18" s="746"/>
      <c r="W18" s="746"/>
      <c r="X18" s="746"/>
      <c r="Y18" s="746"/>
      <c r="Z18" s="746"/>
      <c r="AA18" s="746"/>
      <c r="AB18" s="746"/>
      <c r="AC18" s="746"/>
      <c r="AD18" s="742"/>
      <c r="AE18" s="742"/>
      <c r="AF18" s="742"/>
      <c r="AG18" s="742"/>
      <c r="AH18" s="742"/>
      <c r="AI18" s="742"/>
      <c r="AJ18" s="742"/>
      <c r="AK18" s="742"/>
      <c r="AL18" s="742"/>
      <c r="AM18" s="742"/>
      <c r="AN18" s="742"/>
      <c r="AO18" s="742"/>
      <c r="AP18" s="742"/>
      <c r="AQ18" s="742"/>
      <c r="AR18" s="742"/>
      <c r="AS18" s="742"/>
      <c r="AT18" s="742"/>
      <c r="AU18" s="742"/>
      <c r="AV18" s="742"/>
      <c r="AW18" s="742"/>
      <c r="AX18" s="742"/>
      <c r="AY18" s="742"/>
      <c r="AZ18" s="742"/>
      <c r="BA18" s="742"/>
      <c r="BB18" s="742"/>
      <c r="BC18" s="742"/>
      <c r="BD18" s="742"/>
      <c r="BE18" s="742"/>
      <c r="BF18" s="742"/>
      <c r="BG18" s="742"/>
      <c r="BH18" s="742"/>
      <c r="BI18" s="742"/>
    </row>
  </sheetData>
  <mergeCells count="51"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  <mergeCell ref="AF3:AH3"/>
    <mergeCell ref="O3:O4"/>
    <mergeCell ref="P3:P4"/>
    <mergeCell ref="Q3:Q4"/>
    <mergeCell ref="R3:R4"/>
    <mergeCell ref="S3:S4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48"/>
      <c r="B1" s="1300" t="s">
        <v>400</v>
      </c>
      <c r="C1" s="1300"/>
      <c r="D1" s="1300"/>
      <c r="E1" s="1300"/>
      <c r="F1" s="1300"/>
      <c r="G1" s="1300"/>
      <c r="H1" s="1300"/>
      <c r="I1" s="1300"/>
      <c r="J1" s="1300"/>
      <c r="K1" s="1300"/>
      <c r="L1" s="1300"/>
      <c r="M1" s="1300"/>
      <c r="N1" s="1300"/>
      <c r="O1" s="1300"/>
    </row>
    <row r="2" spans="1:15" ht="15" customHeight="1">
      <c r="A2" s="749" t="s">
        <v>401</v>
      </c>
      <c r="B2" s="750"/>
      <c r="C2" s="750"/>
      <c r="D2" s="750"/>
      <c r="E2" s="750"/>
      <c r="F2" s="750"/>
      <c r="G2" s="750"/>
      <c r="H2" s="750"/>
      <c r="I2" s="750"/>
      <c r="J2" s="751"/>
      <c r="K2" s="751"/>
      <c r="L2" s="750" t="s">
        <v>402</v>
      </c>
      <c r="M2" s="752" t="s">
        <v>403</v>
      </c>
      <c r="N2" s="753"/>
      <c r="O2" s="754"/>
    </row>
    <row r="3" spans="1:15" ht="15" customHeight="1">
      <c r="A3" s="755"/>
      <c r="B3" s="1301" t="s">
        <v>404</v>
      </c>
      <c r="C3" s="1301"/>
      <c r="D3" s="1301"/>
      <c r="E3" s="1301"/>
      <c r="F3" s="1301"/>
      <c r="G3" s="1301"/>
      <c r="H3" s="1301"/>
      <c r="I3" s="1301"/>
      <c r="J3" s="1301"/>
      <c r="K3" s="1301"/>
      <c r="L3" s="1301"/>
      <c r="M3" s="1301"/>
      <c r="N3" s="1301"/>
      <c r="O3" s="1301"/>
    </row>
    <row r="4" spans="1:15" ht="15" customHeight="1">
      <c r="A4" s="756"/>
      <c r="B4" s="1302" t="s">
        <v>88</v>
      </c>
      <c r="C4" s="1302"/>
      <c r="D4" s="1302"/>
      <c r="E4" s="1302"/>
      <c r="F4" s="1303" t="s">
        <v>87</v>
      </c>
      <c r="G4" s="1303"/>
      <c r="H4" s="1303"/>
      <c r="I4" s="1303"/>
      <c r="J4" s="1302" t="s">
        <v>405</v>
      </c>
      <c r="K4" s="1302"/>
      <c r="L4" s="1304" t="s">
        <v>406</v>
      </c>
      <c r="M4" s="1304"/>
      <c r="N4" s="1304"/>
      <c r="O4" s="1304"/>
    </row>
    <row r="5" spans="1:15" ht="33.75" customHeight="1">
      <c r="A5" s="757" t="s">
        <v>340</v>
      </c>
      <c r="B5" s="758" t="s">
        <v>407</v>
      </c>
      <c r="C5" s="759" t="s">
        <v>408</v>
      </c>
      <c r="D5" s="759" t="s">
        <v>409</v>
      </c>
      <c r="E5" s="760" t="s">
        <v>410</v>
      </c>
      <c r="F5" s="761" t="s">
        <v>407</v>
      </c>
      <c r="G5" s="759" t="s">
        <v>411</v>
      </c>
      <c r="H5" s="759" t="s">
        <v>409</v>
      </c>
      <c r="I5" s="762" t="s">
        <v>410</v>
      </c>
      <c r="J5" s="763" t="s">
        <v>407</v>
      </c>
      <c r="K5" s="764" t="s">
        <v>412</v>
      </c>
      <c r="L5" s="761" t="s">
        <v>407</v>
      </c>
      <c r="M5" s="759" t="s">
        <v>413</v>
      </c>
      <c r="N5" s="759" t="s">
        <v>409</v>
      </c>
      <c r="O5" s="760" t="s">
        <v>206</v>
      </c>
    </row>
    <row r="6" spans="1:15" ht="15.95" customHeight="1">
      <c r="A6" s="765" t="s">
        <v>201</v>
      </c>
      <c r="B6" s="766">
        <f>'Controle qualidade GQL '!E5</f>
        <v>372</v>
      </c>
      <c r="C6" s="767">
        <f>'Controle qualidade GQL '!E5-'Controle qualidade GQL '!F5</f>
        <v>0</v>
      </c>
      <c r="D6" s="768">
        <f>'Controle qualidade GQL '!AK5</f>
        <v>0.43918434343434348</v>
      </c>
      <c r="E6" s="769">
        <f>'Controle qualidade GQL '!AI5</f>
        <v>0.7</v>
      </c>
      <c r="F6" s="770">
        <f>'Controle qualidade GQL '!C5</f>
        <v>372</v>
      </c>
      <c r="G6" s="771">
        <f>'Controle qualidade GQL '!C5-'Controle qualidade GQL '!D5</f>
        <v>0</v>
      </c>
      <c r="H6" s="768">
        <f>'Controle qualidade GQL '!AB5</f>
        <v>2.5</v>
      </c>
      <c r="I6" s="769">
        <f>'Controle qualidade GQL '!Z5</f>
        <v>2.5</v>
      </c>
      <c r="J6" s="772" t="s">
        <v>414</v>
      </c>
      <c r="K6" s="773" t="s">
        <v>414</v>
      </c>
      <c r="L6" s="766">
        <f>'Controle qualidade GQL '!G5</f>
        <v>372</v>
      </c>
      <c r="M6" s="771">
        <f>'Controle qualidade GQL '!G5-'Controle qualidade GQL '!H5</f>
        <v>0</v>
      </c>
      <c r="N6" s="774">
        <f>'Controle qualidade GQL '!BI5</f>
        <v>3.1244775339602926</v>
      </c>
      <c r="O6" s="775">
        <f>'Controle qualidade GQL '!BH5</f>
        <v>2.7166666666666668</v>
      </c>
    </row>
    <row r="7" spans="1:15" ht="15.95" hidden="1" customHeight="1">
      <c r="A7" s="776" t="s">
        <v>415</v>
      </c>
      <c r="B7" s="777"/>
      <c r="C7" s="778"/>
      <c r="D7" s="779"/>
      <c r="E7" s="780"/>
      <c r="F7" s="781"/>
      <c r="G7" s="782"/>
      <c r="H7" s="779"/>
      <c r="I7" s="780"/>
      <c r="J7" s="783" t="s">
        <v>414</v>
      </c>
      <c r="K7" s="784" t="s">
        <v>414</v>
      </c>
      <c r="L7" s="777"/>
      <c r="M7" s="782"/>
      <c r="N7" s="785"/>
      <c r="O7" s="786"/>
    </row>
    <row r="8" spans="1:15" ht="15.95" hidden="1" customHeight="1">
      <c r="A8" s="776" t="s">
        <v>416</v>
      </c>
      <c r="B8" s="777"/>
      <c r="C8" s="778"/>
      <c r="D8" s="779"/>
      <c r="E8" s="780"/>
      <c r="F8" s="781"/>
      <c r="G8" s="782"/>
      <c r="H8" s="779"/>
      <c r="I8" s="780"/>
      <c r="J8" s="772" t="s">
        <v>414</v>
      </c>
      <c r="K8" s="773" t="s">
        <v>414</v>
      </c>
      <c r="L8" s="777"/>
      <c r="M8" s="782"/>
      <c r="N8" s="785"/>
      <c r="O8" s="786"/>
    </row>
    <row r="9" spans="1:15" ht="15.95" hidden="1" customHeight="1">
      <c r="A9" s="776" t="s">
        <v>417</v>
      </c>
      <c r="B9" s="777"/>
      <c r="C9" s="778"/>
      <c r="D9" s="779"/>
      <c r="E9" s="780"/>
      <c r="F9" s="781"/>
      <c r="G9" s="782"/>
      <c r="H9" s="779"/>
      <c r="I9" s="780"/>
      <c r="J9" s="787" t="s">
        <v>414</v>
      </c>
      <c r="K9" s="788" t="s">
        <v>414</v>
      </c>
      <c r="L9" s="777"/>
      <c r="M9" s="782"/>
      <c r="N9" s="785"/>
      <c r="O9" s="786"/>
    </row>
    <row r="10" spans="1:15" ht="15.95" hidden="1" customHeight="1">
      <c r="A10" s="776" t="s">
        <v>418</v>
      </c>
      <c r="B10" s="789"/>
      <c r="C10" s="790"/>
      <c r="D10" s="791"/>
      <c r="E10" s="792"/>
      <c r="F10" s="793"/>
      <c r="G10" s="790"/>
      <c r="H10" s="791"/>
      <c r="I10" s="794"/>
      <c r="J10" s="787" t="s">
        <v>414</v>
      </c>
      <c r="K10" s="788" t="s">
        <v>414</v>
      </c>
      <c r="L10" s="793"/>
      <c r="M10" s="790"/>
      <c r="N10" s="795"/>
      <c r="O10" s="796"/>
    </row>
    <row r="11" spans="1:15" ht="15.95" hidden="1" customHeight="1">
      <c r="A11" s="776" t="s">
        <v>419</v>
      </c>
      <c r="B11" s="789"/>
      <c r="C11" s="790"/>
      <c r="D11" s="791"/>
      <c r="E11" s="797"/>
      <c r="F11" s="798"/>
      <c r="G11" s="799"/>
      <c r="H11" s="800"/>
      <c r="I11" s="801"/>
      <c r="J11" s="787" t="s">
        <v>414</v>
      </c>
      <c r="K11" s="788" t="s">
        <v>414</v>
      </c>
      <c r="L11" s="798"/>
      <c r="M11" s="799"/>
      <c r="N11" s="802"/>
      <c r="O11" s="803"/>
    </row>
    <row r="12" spans="1:15" ht="15" hidden="1" customHeight="1">
      <c r="A12" s="804" t="s">
        <v>420</v>
      </c>
      <c r="B12" s="805">
        <v>0</v>
      </c>
      <c r="C12" s="806">
        <v>0</v>
      </c>
      <c r="D12" s="807">
        <v>0</v>
      </c>
      <c r="E12" s="808">
        <v>0</v>
      </c>
      <c r="F12" s="809">
        <v>0</v>
      </c>
      <c r="G12" s="810">
        <v>0</v>
      </c>
      <c r="H12" s="810">
        <v>0</v>
      </c>
      <c r="I12" s="810">
        <v>0</v>
      </c>
      <c r="J12" s="811" t="s">
        <v>414</v>
      </c>
      <c r="K12" s="812" t="s">
        <v>414</v>
      </c>
      <c r="L12" s="813">
        <v>0</v>
      </c>
      <c r="M12" s="814">
        <v>0</v>
      </c>
      <c r="N12" s="815">
        <v>0</v>
      </c>
      <c r="O12" s="816">
        <v>0</v>
      </c>
    </row>
    <row r="13" spans="1:15" ht="13.5" customHeight="1">
      <c r="A13" s="817" t="s">
        <v>129</v>
      </c>
      <c r="B13" s="818">
        <f>SUM(RelatSISÁGUA!B6:B12)</f>
        <v>372</v>
      </c>
      <c r="C13" s="818">
        <f>SUM(RelatSISÁGUA!C6:C12)</f>
        <v>0</v>
      </c>
      <c r="D13" s="819"/>
      <c r="E13" s="820"/>
      <c r="F13" s="818">
        <f>SUM(RelatSISÁGUA!F6:F12)</f>
        <v>372</v>
      </c>
      <c r="G13" s="818">
        <f>SUM(RelatSISÁGUA!G6:G12)</f>
        <v>0</v>
      </c>
      <c r="H13" s="819"/>
      <c r="I13" s="821"/>
      <c r="J13" s="822"/>
      <c r="K13" s="823"/>
      <c r="L13" s="818">
        <f>SUM(RelatSISÁGUA!L6:L12)</f>
        <v>372</v>
      </c>
      <c r="M13" s="824">
        <f>SUM(RelatSISÁGUA!M6:M12)</f>
        <v>0</v>
      </c>
      <c r="N13" s="819"/>
      <c r="O13" s="820"/>
    </row>
    <row r="14" spans="1:15" ht="12.75" customHeight="1">
      <c r="B14" s="825"/>
      <c r="C14" s="825"/>
      <c r="D14" s="825"/>
      <c r="E14" s="825"/>
      <c r="F14" s="825"/>
      <c r="G14" s="825"/>
      <c r="H14" s="825"/>
      <c r="I14" s="825"/>
      <c r="J14" s="825"/>
      <c r="K14" s="825"/>
      <c r="L14" s="826"/>
      <c r="M14" s="827"/>
      <c r="N14" s="828"/>
      <c r="O14" s="829"/>
    </row>
    <row r="15" spans="1:15" ht="12.75" customHeight="1">
      <c r="A15" s="830" t="s">
        <v>421</v>
      </c>
    </row>
    <row r="16" spans="1:15" ht="12.75" customHeight="1">
      <c r="A16" s="830" t="s">
        <v>422</v>
      </c>
      <c r="C16" s="830" t="s">
        <v>423</v>
      </c>
      <c r="D16" s="830"/>
      <c r="E16" s="830" t="s">
        <v>424</v>
      </c>
      <c r="F16" s="830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31"/>
      <c r="B1" s="1305" t="s">
        <v>425</v>
      </c>
      <c r="C1" s="1305"/>
      <c r="D1" s="1305"/>
      <c r="E1" s="1305"/>
      <c r="F1" s="1305"/>
      <c r="G1" s="1305"/>
      <c r="H1" s="1305"/>
      <c r="I1" s="1305"/>
      <c r="J1" s="1305"/>
      <c r="K1" s="1305"/>
      <c r="L1" s="1305"/>
      <c r="M1" s="1305"/>
      <c r="N1" s="1305"/>
      <c r="O1" s="1305"/>
      <c r="P1" s="1305"/>
      <c r="Q1" s="1305"/>
      <c r="R1" s="1305"/>
      <c r="S1" s="1305"/>
      <c r="T1" s="1305"/>
      <c r="U1" s="1305"/>
      <c r="V1" s="1305"/>
      <c r="W1" s="1305"/>
      <c r="X1" s="1305"/>
      <c r="Y1" s="1305"/>
      <c r="Z1" s="1305"/>
      <c r="AA1" s="1305"/>
      <c r="AB1" s="1305"/>
      <c r="AC1" s="1305"/>
      <c r="AD1" s="1305"/>
      <c r="AE1" s="1305"/>
      <c r="AF1" s="1305"/>
      <c r="AG1" s="1305"/>
      <c r="AH1" s="1305"/>
      <c r="AI1" s="1305"/>
      <c r="AJ1" s="1305"/>
      <c r="AK1" s="1305"/>
      <c r="AL1" s="1305"/>
      <c r="AM1" s="1305"/>
      <c r="AN1" s="1305"/>
      <c r="AO1" s="1305"/>
      <c r="AP1" s="1305"/>
      <c r="AQ1" s="1305"/>
      <c r="AR1" s="1305"/>
      <c r="AS1" s="1305"/>
      <c r="AT1" s="1305"/>
      <c r="AU1" s="1305"/>
      <c r="AV1" s="1305"/>
      <c r="AW1" s="1305"/>
      <c r="AX1" s="1305"/>
      <c r="AY1" s="1305"/>
      <c r="AZ1" s="1305"/>
      <c r="BA1" s="1305"/>
      <c r="BB1" s="1305"/>
      <c r="BC1" s="1305"/>
      <c r="BD1" s="1305"/>
    </row>
    <row r="2" spans="1:56" ht="16.5" customHeight="1">
      <c r="A2" s="1306" t="s">
        <v>426</v>
      </c>
      <c r="B2" s="1306"/>
      <c r="C2" s="1306"/>
      <c r="D2" s="1306"/>
      <c r="E2" s="1306"/>
      <c r="F2" s="1306"/>
      <c r="G2" s="1306"/>
      <c r="H2" s="1306"/>
      <c r="I2" s="1306"/>
      <c r="J2" s="1306"/>
      <c r="K2" s="1306"/>
      <c r="L2" s="1306"/>
      <c r="M2" s="1306"/>
      <c r="N2" s="1306"/>
      <c r="O2" s="1306"/>
      <c r="P2" s="1306"/>
      <c r="Q2" s="1306"/>
      <c r="R2" s="1306"/>
      <c r="S2" s="1306"/>
      <c r="T2" s="1306"/>
      <c r="U2" s="1306"/>
      <c r="V2" s="1306"/>
      <c r="W2" s="1306"/>
      <c r="X2" s="1306"/>
      <c r="Y2" s="1306"/>
      <c r="Z2" s="1306"/>
      <c r="AA2" s="1306"/>
      <c r="AB2" s="1306"/>
      <c r="AC2" s="1306"/>
      <c r="AD2" s="1306"/>
      <c r="AE2" s="1306"/>
      <c r="AF2" s="1306"/>
      <c r="AG2" s="1306"/>
      <c r="AH2" s="1306"/>
      <c r="AI2" s="1306"/>
      <c r="AJ2" s="1306"/>
      <c r="AK2" s="1306"/>
      <c r="AL2" s="1306"/>
      <c r="AM2" s="1306"/>
      <c r="AN2" s="1306"/>
      <c r="AO2" s="1306"/>
      <c r="AP2" s="1306"/>
      <c r="AQ2" s="1306"/>
      <c r="AR2" s="1306"/>
      <c r="AS2" s="1306"/>
      <c r="AT2" s="832"/>
      <c r="AU2" s="832"/>
      <c r="AV2" s="832"/>
      <c r="AW2" s="742"/>
      <c r="AX2" s="742"/>
      <c r="AY2" s="742"/>
      <c r="AZ2" s="833"/>
      <c r="BA2" s="834" t="s">
        <v>402</v>
      </c>
      <c r="BB2" s="1307" t="s">
        <v>427</v>
      </c>
      <c r="BC2" s="1307"/>
      <c r="BD2" s="835"/>
    </row>
    <row r="3" spans="1:56" s="839" customFormat="1" ht="15.75" customHeight="1">
      <c r="A3" s="1308" t="s">
        <v>340</v>
      </c>
      <c r="B3" s="1309" t="s">
        <v>428</v>
      </c>
      <c r="C3" s="1310" t="s">
        <v>429</v>
      </c>
      <c r="D3" s="1311" t="s">
        <v>430</v>
      </c>
      <c r="E3" s="1312" t="s">
        <v>431</v>
      </c>
      <c r="F3" s="1312"/>
      <c r="G3" s="1312"/>
      <c r="H3" s="1312"/>
      <c r="I3" s="1312"/>
      <c r="J3" s="1312"/>
      <c r="K3" s="1312"/>
      <c r="L3" s="1312"/>
      <c r="M3" s="1312"/>
      <c r="N3" s="1312"/>
      <c r="O3" s="1312"/>
      <c r="P3" s="1312"/>
      <c r="Q3" s="1313" t="s">
        <v>432</v>
      </c>
      <c r="R3" s="1313"/>
      <c r="S3" s="1313"/>
      <c r="T3" s="1313"/>
      <c r="U3" s="1313"/>
      <c r="V3" s="1313"/>
      <c r="W3" s="1313"/>
      <c r="X3" s="1313"/>
      <c r="Y3" s="1313"/>
      <c r="Z3" s="1313"/>
      <c r="AA3" s="1313"/>
      <c r="AB3" s="1313"/>
      <c r="AC3" s="1313"/>
      <c r="AD3" s="1313"/>
      <c r="AE3" s="1313"/>
      <c r="AF3" s="1313"/>
      <c r="AG3" s="1313" t="s">
        <v>433</v>
      </c>
      <c r="AH3" s="1313"/>
      <c r="AI3" s="1313"/>
      <c r="AJ3" s="1313"/>
      <c r="AK3" s="1314" t="s">
        <v>434</v>
      </c>
      <c r="AL3" s="1314"/>
      <c r="AM3" s="1314"/>
      <c r="AN3" s="1314"/>
      <c r="AO3" s="1314"/>
      <c r="AP3" s="1314"/>
      <c r="AQ3" s="1314"/>
      <c r="AR3" s="1314"/>
      <c r="AS3" s="1314"/>
      <c r="AT3" s="1314"/>
      <c r="AU3" s="1314"/>
      <c r="AV3" s="1314"/>
      <c r="AW3" s="1315" t="s">
        <v>435</v>
      </c>
      <c r="AX3" s="1315"/>
      <c r="AY3" s="1315"/>
      <c r="AZ3" s="1315"/>
      <c r="BA3" s="1312" t="s">
        <v>436</v>
      </c>
      <c r="BB3" s="1312"/>
      <c r="BC3" s="1312"/>
      <c r="BD3" s="1312"/>
    </row>
    <row r="4" spans="1:56" ht="15.75" customHeight="1">
      <c r="A4" s="1308"/>
      <c r="B4" s="1309"/>
      <c r="C4" s="1310"/>
      <c r="D4" s="1311"/>
      <c r="E4" s="1315" t="s">
        <v>437</v>
      </c>
      <c r="F4" s="1315"/>
      <c r="G4" s="1315"/>
      <c r="H4" s="1315"/>
      <c r="I4" s="1316" t="s">
        <v>438</v>
      </c>
      <c r="J4" s="1316"/>
      <c r="K4" s="1316"/>
      <c r="L4" s="1316"/>
      <c r="M4" s="1315" t="s">
        <v>439</v>
      </c>
      <c r="N4" s="1315"/>
      <c r="O4" s="1315"/>
      <c r="P4" s="1315"/>
      <c r="Q4" s="1320" t="s">
        <v>168</v>
      </c>
      <c r="R4" s="1320"/>
      <c r="S4" s="1320"/>
      <c r="T4" s="1320"/>
      <c r="U4" s="1313" t="s">
        <v>440</v>
      </c>
      <c r="V4" s="1313"/>
      <c r="W4" s="1313"/>
      <c r="X4" s="1313"/>
      <c r="Y4" s="1316" t="s">
        <v>441</v>
      </c>
      <c r="Z4" s="1316"/>
      <c r="AA4" s="1316"/>
      <c r="AB4" s="1316"/>
      <c r="AC4" s="1315" t="s">
        <v>442</v>
      </c>
      <c r="AD4" s="1315"/>
      <c r="AE4" s="1315"/>
      <c r="AF4" s="1315"/>
      <c r="AG4" s="1315" t="s">
        <v>443</v>
      </c>
      <c r="AH4" s="1315"/>
      <c r="AI4" s="1315"/>
      <c r="AJ4" s="1315"/>
      <c r="AK4" s="1317" t="s">
        <v>444</v>
      </c>
      <c r="AL4" s="1317"/>
      <c r="AM4" s="1317"/>
      <c r="AN4" s="1317"/>
      <c r="AO4" s="1313" t="s">
        <v>445</v>
      </c>
      <c r="AP4" s="1313"/>
      <c r="AQ4" s="1313"/>
      <c r="AR4" s="1313"/>
      <c r="AS4" s="1318" t="s">
        <v>446</v>
      </c>
      <c r="AT4" s="1318"/>
      <c r="AU4" s="1318"/>
      <c r="AV4" s="1318"/>
      <c r="AW4" s="1315"/>
      <c r="AX4" s="1315"/>
      <c r="AY4" s="1315"/>
      <c r="AZ4" s="1315"/>
      <c r="BA4" s="1312"/>
      <c r="BB4" s="1312"/>
      <c r="BC4" s="1312"/>
      <c r="BD4" s="1312"/>
    </row>
    <row r="5" spans="1:56" ht="22.5" customHeight="1">
      <c r="A5" s="1308"/>
      <c r="B5" s="1309"/>
      <c r="C5" s="1310"/>
      <c r="D5" s="1311"/>
      <c r="E5" s="840" t="s">
        <v>358</v>
      </c>
      <c r="F5" s="841" t="s">
        <v>122</v>
      </c>
      <c r="G5" s="841" t="s">
        <v>359</v>
      </c>
      <c r="H5" s="842" t="s">
        <v>360</v>
      </c>
      <c r="I5" s="836" t="s">
        <v>358</v>
      </c>
      <c r="J5" s="837" t="s">
        <v>122</v>
      </c>
      <c r="K5" s="837" t="s">
        <v>359</v>
      </c>
      <c r="L5" s="838" t="s">
        <v>360</v>
      </c>
      <c r="M5" s="840" t="s">
        <v>358</v>
      </c>
      <c r="N5" s="841" t="s">
        <v>122</v>
      </c>
      <c r="O5" s="841" t="s">
        <v>359</v>
      </c>
      <c r="P5" s="842" t="s">
        <v>360</v>
      </c>
      <c r="Q5" s="843" t="s">
        <v>358</v>
      </c>
      <c r="R5" s="841" t="s">
        <v>122</v>
      </c>
      <c r="S5" s="841" t="s">
        <v>359</v>
      </c>
      <c r="T5" s="844" t="s">
        <v>360</v>
      </c>
      <c r="U5" s="836" t="s">
        <v>358</v>
      </c>
      <c r="V5" s="837" t="s">
        <v>122</v>
      </c>
      <c r="W5" s="837" t="s">
        <v>359</v>
      </c>
      <c r="X5" s="838" t="s">
        <v>360</v>
      </c>
      <c r="Y5" s="836" t="s">
        <v>358</v>
      </c>
      <c r="Z5" s="837" t="s">
        <v>122</v>
      </c>
      <c r="AA5" s="837" t="s">
        <v>359</v>
      </c>
      <c r="AB5" s="838" t="s">
        <v>360</v>
      </c>
      <c r="AC5" s="840" t="s">
        <v>358</v>
      </c>
      <c r="AD5" s="841" t="s">
        <v>122</v>
      </c>
      <c r="AE5" s="841" t="s">
        <v>359</v>
      </c>
      <c r="AF5" s="842" t="s">
        <v>360</v>
      </c>
      <c r="AG5" s="836" t="s">
        <v>358</v>
      </c>
      <c r="AH5" s="837" t="s">
        <v>122</v>
      </c>
      <c r="AI5" s="837" t="s">
        <v>359</v>
      </c>
      <c r="AJ5" s="838" t="s">
        <v>360</v>
      </c>
      <c r="AK5" s="843" t="s">
        <v>358</v>
      </c>
      <c r="AL5" s="841" t="s">
        <v>122</v>
      </c>
      <c r="AM5" s="841" t="s">
        <v>359</v>
      </c>
      <c r="AN5" s="844" t="s">
        <v>360</v>
      </c>
      <c r="AO5" s="836" t="s">
        <v>358</v>
      </c>
      <c r="AP5" s="837" t="s">
        <v>122</v>
      </c>
      <c r="AQ5" s="837" t="s">
        <v>359</v>
      </c>
      <c r="AR5" s="838" t="s">
        <v>360</v>
      </c>
      <c r="AS5" s="843" t="s">
        <v>358</v>
      </c>
      <c r="AT5" s="841" t="s">
        <v>122</v>
      </c>
      <c r="AU5" s="841" t="s">
        <v>359</v>
      </c>
      <c r="AV5" s="844" t="s">
        <v>360</v>
      </c>
      <c r="AW5" s="840" t="s">
        <v>358</v>
      </c>
      <c r="AX5" s="841" t="s">
        <v>122</v>
      </c>
      <c r="AY5" s="841" t="s">
        <v>359</v>
      </c>
      <c r="AZ5" s="842" t="s">
        <v>360</v>
      </c>
      <c r="BA5" s="843" t="s">
        <v>358</v>
      </c>
      <c r="BB5" s="841" t="s">
        <v>122</v>
      </c>
      <c r="BC5" s="841" t="s">
        <v>359</v>
      </c>
      <c r="BD5" s="845" t="s">
        <v>360</v>
      </c>
    </row>
    <row r="6" spans="1:56" ht="17.100000000000001" customHeight="1">
      <c r="A6" s="846" t="s">
        <v>201</v>
      </c>
      <c r="B6" s="847">
        <f>'PROD. QUÍM.'!C40</f>
        <v>6804529.2000000002</v>
      </c>
      <c r="C6" s="848">
        <f>'PROD. QUÍM.'!B40</f>
        <v>744</v>
      </c>
      <c r="D6" s="849"/>
      <c r="E6" s="850">
        <f>'PROD. QUÍM.'!C45</f>
        <v>0</v>
      </c>
      <c r="F6" s="851">
        <f>'PROD. QUÍM.'!C46</f>
        <v>417690</v>
      </c>
      <c r="G6" s="851">
        <f>'PROD. QUÍM.'!C47</f>
        <v>934267.17</v>
      </c>
      <c r="H6" s="850">
        <f>'PROD. QUÍM.'!C48</f>
        <v>-516577.17000000004</v>
      </c>
      <c r="I6" s="852"/>
      <c r="J6" s="853"/>
      <c r="K6" s="853"/>
      <c r="L6" s="854"/>
      <c r="M6" s="855"/>
      <c r="N6" s="856"/>
      <c r="O6" s="856"/>
      <c r="P6" s="857"/>
      <c r="Q6" s="858">
        <f>'PROD. QUÍM.'!H45</f>
        <v>0</v>
      </c>
      <c r="R6" s="858">
        <f>'PROD. QUÍM.'!H46</f>
        <v>60190</v>
      </c>
      <c r="S6" s="859">
        <f>'PROD. QUÍM.'!H47</f>
        <v>68378.680333333323</v>
      </c>
      <c r="T6" s="860">
        <f>'PROD. QUÍM.'!H48</f>
        <v>-8188.6803333333228</v>
      </c>
      <c r="U6" s="861"/>
      <c r="V6" s="862"/>
      <c r="W6" s="862"/>
      <c r="X6" s="854"/>
      <c r="Y6" s="863"/>
      <c r="Z6" s="862"/>
      <c r="AA6" s="862"/>
      <c r="AB6" s="864"/>
      <c r="AC6" s="861"/>
      <c r="AD6" s="862"/>
      <c r="AE6" s="862"/>
      <c r="AF6" s="854"/>
      <c r="AG6" s="861"/>
      <c r="AH6" s="862"/>
      <c r="AI6" s="862"/>
      <c r="AJ6" s="854"/>
      <c r="AK6" s="863"/>
      <c r="AL6" s="862"/>
      <c r="AM6" s="862"/>
      <c r="AN6" s="864"/>
      <c r="AO6" s="861"/>
      <c r="AP6" s="862"/>
      <c r="AQ6" s="862"/>
      <c r="AR6" s="854"/>
      <c r="AS6" s="865"/>
      <c r="AT6" s="853"/>
      <c r="AU6" s="853"/>
      <c r="AV6" s="864"/>
      <c r="AW6" s="852"/>
      <c r="AX6" s="853"/>
      <c r="AY6" s="853"/>
      <c r="AZ6" s="854"/>
      <c r="BA6" s="866"/>
      <c r="BB6" s="864"/>
      <c r="BC6" s="864"/>
      <c r="BD6" s="854"/>
    </row>
    <row r="7" spans="1:56" ht="17.100000000000001" hidden="1" customHeight="1">
      <c r="A7" s="867" t="s">
        <v>415</v>
      </c>
      <c r="B7" s="868"/>
      <c r="C7" s="869"/>
      <c r="D7" s="870"/>
      <c r="E7" s="850"/>
      <c r="F7" s="850"/>
      <c r="G7" s="850"/>
      <c r="H7" s="850"/>
      <c r="I7" s="871"/>
      <c r="J7" s="872"/>
      <c r="K7" s="872"/>
      <c r="L7" s="873"/>
      <c r="M7" s="874"/>
      <c r="N7" s="872"/>
      <c r="O7" s="872"/>
      <c r="P7" s="875"/>
      <c r="Q7" s="876"/>
      <c r="R7" s="877"/>
      <c r="S7" s="877"/>
      <c r="T7" s="878"/>
      <c r="U7" s="879"/>
      <c r="V7" s="880"/>
      <c r="W7" s="880"/>
      <c r="X7" s="873"/>
      <c r="Y7" s="881"/>
      <c r="Z7" s="880"/>
      <c r="AA7" s="880"/>
      <c r="AB7" s="875"/>
      <c r="AC7" s="879"/>
      <c r="AD7" s="880"/>
      <c r="AE7" s="880"/>
      <c r="AF7" s="873"/>
      <c r="AG7" s="882"/>
      <c r="AH7" s="883"/>
      <c r="AI7" s="883"/>
      <c r="AJ7" s="884"/>
      <c r="AK7" s="881"/>
      <c r="AL7" s="880"/>
      <c r="AM7" s="880"/>
      <c r="AN7" s="875"/>
      <c r="AO7" s="879"/>
      <c r="AP7" s="880"/>
      <c r="AQ7" s="880"/>
      <c r="AR7" s="873"/>
      <c r="AS7" s="874"/>
      <c r="AT7" s="872"/>
      <c r="AU7" s="872"/>
      <c r="AV7" s="875"/>
      <c r="AW7" s="871"/>
      <c r="AX7" s="872"/>
      <c r="AY7" s="872"/>
      <c r="AZ7" s="873"/>
      <c r="BA7" s="885"/>
      <c r="BB7" s="875"/>
      <c r="BC7" s="875"/>
      <c r="BD7" s="873"/>
    </row>
    <row r="8" spans="1:56" ht="17.100000000000001" hidden="1" customHeight="1">
      <c r="A8" s="867" t="s">
        <v>416</v>
      </c>
      <c r="B8" s="886"/>
      <c r="C8" s="869"/>
      <c r="D8" s="870"/>
      <c r="E8" s="874"/>
      <c r="F8" s="872"/>
      <c r="G8" s="872"/>
      <c r="H8" s="875"/>
      <c r="I8" s="876"/>
      <c r="J8" s="850"/>
      <c r="K8" s="850"/>
      <c r="L8" s="878"/>
      <c r="M8" s="874"/>
      <c r="N8" s="872"/>
      <c r="O8" s="872"/>
      <c r="P8" s="875"/>
      <c r="Q8" s="876"/>
      <c r="R8" s="877"/>
      <c r="S8" s="877"/>
      <c r="T8" s="878"/>
      <c r="U8" s="879"/>
      <c r="V8" s="880"/>
      <c r="W8" s="880"/>
      <c r="X8" s="873"/>
      <c r="Y8" s="881"/>
      <c r="Z8" s="880"/>
      <c r="AA8" s="880"/>
      <c r="AB8" s="875"/>
      <c r="AC8" s="879"/>
      <c r="AD8" s="880"/>
      <c r="AE8" s="880"/>
      <c r="AF8" s="873"/>
      <c r="AG8" s="879"/>
      <c r="AH8" s="880"/>
      <c r="AI8" s="880"/>
      <c r="AJ8" s="873"/>
      <c r="AK8" s="881"/>
      <c r="AL8" s="880"/>
      <c r="AM8" s="880"/>
      <c r="AN8" s="875"/>
      <c r="AO8" s="879"/>
      <c r="AP8" s="880"/>
      <c r="AQ8" s="880"/>
      <c r="AR8" s="873"/>
      <c r="AS8" s="874"/>
      <c r="AT8" s="872"/>
      <c r="AU8" s="872"/>
      <c r="AV8" s="875"/>
      <c r="AW8" s="871"/>
      <c r="AX8" s="872"/>
      <c r="AY8" s="872"/>
      <c r="AZ8" s="873"/>
      <c r="BA8" s="885"/>
      <c r="BB8" s="875"/>
      <c r="BC8" s="875"/>
      <c r="BD8" s="873"/>
    </row>
    <row r="9" spans="1:56" ht="17.100000000000001" hidden="1" customHeight="1">
      <c r="A9" s="867" t="s">
        <v>417</v>
      </c>
      <c r="B9" s="886"/>
      <c r="C9" s="869"/>
      <c r="D9" s="870"/>
      <c r="E9" s="874"/>
      <c r="F9" s="872"/>
      <c r="G9" s="872"/>
      <c r="H9" s="875"/>
      <c r="I9" s="793"/>
      <c r="J9" s="850"/>
      <c r="K9" s="850"/>
      <c r="L9" s="878"/>
      <c r="M9" s="874"/>
      <c r="N9" s="872"/>
      <c r="O9" s="872"/>
      <c r="P9" s="875"/>
      <c r="Q9" s="887"/>
      <c r="R9" s="877"/>
      <c r="S9" s="877"/>
      <c r="T9" s="878"/>
      <c r="U9" s="879"/>
      <c r="V9" s="880"/>
      <c r="W9" s="880"/>
      <c r="X9" s="873"/>
      <c r="Y9" s="881"/>
      <c r="Z9" s="880"/>
      <c r="AA9" s="880"/>
      <c r="AB9" s="875"/>
      <c r="AC9" s="879"/>
      <c r="AD9" s="880"/>
      <c r="AE9" s="880"/>
      <c r="AF9" s="873"/>
      <c r="AG9" s="879"/>
      <c r="AH9" s="880"/>
      <c r="AI9" s="880"/>
      <c r="AJ9" s="873"/>
      <c r="AK9" s="881"/>
      <c r="AL9" s="880"/>
      <c r="AM9" s="880"/>
      <c r="AN9" s="875"/>
      <c r="AO9" s="879"/>
      <c r="AP9" s="880"/>
      <c r="AQ9" s="880"/>
      <c r="AR9" s="873"/>
      <c r="AS9" s="874"/>
      <c r="AT9" s="872"/>
      <c r="AU9" s="872"/>
      <c r="AV9" s="875"/>
      <c r="AW9" s="871"/>
      <c r="AX9" s="872"/>
      <c r="AY9" s="872"/>
      <c r="AZ9" s="873"/>
      <c r="BA9" s="885"/>
      <c r="BB9" s="875"/>
      <c r="BC9" s="875"/>
      <c r="BD9" s="873"/>
    </row>
    <row r="10" spans="1:56" ht="17.100000000000001" hidden="1" customHeight="1">
      <c r="A10" s="867" t="s">
        <v>418</v>
      </c>
      <c r="B10" s="886"/>
      <c r="C10" s="888"/>
      <c r="D10" s="870"/>
      <c r="E10" s="874"/>
      <c r="F10" s="872"/>
      <c r="G10" s="872"/>
      <c r="H10" s="875"/>
      <c r="I10" s="876"/>
      <c r="J10" s="850"/>
      <c r="K10" s="850"/>
      <c r="L10" s="878"/>
      <c r="M10" s="874"/>
      <c r="N10" s="872"/>
      <c r="O10" s="872"/>
      <c r="P10" s="875"/>
      <c r="Q10" s="879"/>
      <c r="R10" s="880"/>
      <c r="S10" s="880"/>
      <c r="T10" s="873"/>
      <c r="U10" s="876"/>
      <c r="V10" s="877"/>
      <c r="W10" s="877"/>
      <c r="X10" s="878"/>
      <c r="Y10" s="881"/>
      <c r="Z10" s="880"/>
      <c r="AA10" s="880"/>
      <c r="AB10" s="875"/>
      <c r="AC10" s="879"/>
      <c r="AD10" s="880"/>
      <c r="AE10" s="880"/>
      <c r="AF10" s="873"/>
      <c r="AG10" s="879"/>
      <c r="AH10" s="880"/>
      <c r="AI10" s="880"/>
      <c r="AJ10" s="873"/>
      <c r="AK10" s="881"/>
      <c r="AL10" s="880"/>
      <c r="AM10" s="880"/>
      <c r="AN10" s="875"/>
      <c r="AO10" s="879"/>
      <c r="AP10" s="880"/>
      <c r="AQ10" s="880"/>
      <c r="AR10" s="873"/>
      <c r="AS10" s="874"/>
      <c r="AT10" s="872"/>
      <c r="AU10" s="872"/>
      <c r="AV10" s="875"/>
      <c r="AW10" s="871"/>
      <c r="AX10" s="872"/>
      <c r="AY10" s="872"/>
      <c r="AZ10" s="873"/>
      <c r="BA10" s="885"/>
      <c r="BB10" s="875"/>
      <c r="BC10" s="875"/>
      <c r="BD10" s="873"/>
    </row>
    <row r="11" spans="1:56" ht="17.100000000000001" hidden="1" customHeight="1">
      <c r="A11" s="867" t="s">
        <v>419</v>
      </c>
      <c r="B11" s="889"/>
      <c r="C11" s="888"/>
      <c r="D11" s="870"/>
      <c r="E11" s="874"/>
      <c r="F11" s="872"/>
      <c r="G11" s="872"/>
      <c r="H11" s="875"/>
      <c r="I11" s="876"/>
      <c r="J11" s="850"/>
      <c r="K11" s="850"/>
      <c r="L11" s="878"/>
      <c r="M11" s="874"/>
      <c r="N11" s="872"/>
      <c r="O11" s="872"/>
      <c r="P11" s="875"/>
      <c r="Q11" s="879"/>
      <c r="R11" s="880"/>
      <c r="S11" s="880"/>
      <c r="T11" s="873"/>
      <c r="U11" s="876"/>
      <c r="V11" s="877"/>
      <c r="W11" s="877"/>
      <c r="X11" s="878"/>
      <c r="Y11" s="881"/>
      <c r="Z11" s="880"/>
      <c r="AA11" s="880"/>
      <c r="AB11" s="875"/>
      <c r="AC11" s="879"/>
      <c r="AD11" s="880"/>
      <c r="AE11" s="880"/>
      <c r="AF11" s="873"/>
      <c r="AG11" s="879"/>
      <c r="AH11" s="880"/>
      <c r="AI11" s="880"/>
      <c r="AJ11" s="873"/>
      <c r="AK11" s="881"/>
      <c r="AL11" s="880"/>
      <c r="AM11" s="880"/>
      <c r="AN11" s="875"/>
      <c r="AO11" s="879"/>
      <c r="AP11" s="880"/>
      <c r="AQ11" s="880"/>
      <c r="AR11" s="873"/>
      <c r="AS11" s="874"/>
      <c r="AT11" s="872"/>
      <c r="AU11" s="872"/>
      <c r="AV11" s="875"/>
      <c r="AW11" s="871"/>
      <c r="AX11" s="872"/>
      <c r="AY11" s="872"/>
      <c r="AZ11" s="873"/>
      <c r="BA11" s="885"/>
      <c r="BB11" s="875"/>
      <c r="BC11" s="875"/>
      <c r="BD11" s="873"/>
    </row>
    <row r="12" spans="1:56" ht="17.100000000000001" hidden="1" customHeight="1">
      <c r="A12" s="890" t="s">
        <v>420</v>
      </c>
      <c r="B12" s="891">
        <v>0</v>
      </c>
      <c r="C12" s="889">
        <v>0</v>
      </c>
      <c r="D12" s="892"/>
      <c r="E12" s="893"/>
      <c r="F12" s="894"/>
      <c r="G12" s="894"/>
      <c r="H12" s="895"/>
      <c r="I12" s="896" t="e">
        <f>#NAME?</f>
        <v>#NAME?</v>
      </c>
      <c r="J12" s="897">
        <v>0</v>
      </c>
      <c r="K12" s="897">
        <v>0</v>
      </c>
      <c r="L12" s="898">
        <v>0</v>
      </c>
      <c r="M12" s="893"/>
      <c r="N12" s="894"/>
      <c r="O12" s="894"/>
      <c r="P12" s="895"/>
      <c r="Q12" s="899"/>
      <c r="R12" s="900"/>
      <c r="S12" s="900"/>
      <c r="T12" s="901"/>
      <c r="U12" s="896">
        <v>0</v>
      </c>
      <c r="V12" s="897">
        <v>0</v>
      </c>
      <c r="W12" s="897">
        <v>0</v>
      </c>
      <c r="X12" s="898">
        <v>0</v>
      </c>
      <c r="Y12" s="902"/>
      <c r="Z12" s="900"/>
      <c r="AA12" s="900"/>
      <c r="AB12" s="895"/>
      <c r="AC12" s="899"/>
      <c r="AD12" s="900"/>
      <c r="AE12" s="900"/>
      <c r="AF12" s="901"/>
      <c r="AG12" s="899"/>
      <c r="AH12" s="900"/>
      <c r="AI12" s="900"/>
      <c r="AJ12" s="901"/>
      <c r="AK12" s="902"/>
      <c r="AL12" s="900"/>
      <c r="AM12" s="900"/>
      <c r="AN12" s="895"/>
      <c r="AO12" s="899"/>
      <c r="AP12" s="900"/>
      <c r="AQ12" s="900"/>
      <c r="AR12" s="901"/>
      <c r="AS12" s="893"/>
      <c r="AT12" s="894"/>
      <c r="AU12" s="894"/>
      <c r="AV12" s="895"/>
      <c r="AW12" s="903"/>
      <c r="AX12" s="894"/>
      <c r="AY12" s="894"/>
      <c r="AZ12" s="901"/>
      <c r="BA12" s="904"/>
      <c r="BB12" s="895"/>
      <c r="BC12" s="895"/>
      <c r="BD12" s="901"/>
    </row>
    <row r="13" spans="1:56" ht="23.25" customHeight="1">
      <c r="A13" s="905" t="s">
        <v>129</v>
      </c>
      <c r="B13" s="906">
        <f>SUM(PQetasGPRs!B6:B12)</f>
        <v>6804529.2000000002</v>
      </c>
      <c r="C13" s="907"/>
      <c r="D13" s="907"/>
      <c r="E13" s="908">
        <f>SUM(PQetasGPRs!E6:E12)</f>
        <v>0</v>
      </c>
      <c r="F13" s="908">
        <f>SUM(PQetasGPRs!F6:F12)</f>
        <v>417690</v>
      </c>
      <c r="G13" s="908">
        <f>SUM(PQetasGPRs!G6:G12)</f>
        <v>934267.17</v>
      </c>
      <c r="H13" s="908">
        <v>0</v>
      </c>
      <c r="I13" s="908">
        <v>0</v>
      </c>
      <c r="J13" s="908">
        <f>SUM(PQetasGPRs!J6:J12)</f>
        <v>0</v>
      </c>
      <c r="K13" s="908">
        <f>SUM(PQetasGPRs!K6:K12)</f>
        <v>0</v>
      </c>
      <c r="L13" s="908">
        <f>SUM(PQetasGPRs!L6:L12)</f>
        <v>0</v>
      </c>
      <c r="M13" s="908">
        <f>'PROD. QUÍM.'!F45</f>
        <v>0</v>
      </c>
      <c r="N13" s="908">
        <f>'PROD. QUÍM.'!F46</f>
        <v>0</v>
      </c>
      <c r="O13" s="908">
        <f>'PROD. QUÍM.'!F47</f>
        <v>0</v>
      </c>
      <c r="P13" s="908">
        <f>'PROD. QUÍM.'!F48</f>
        <v>0</v>
      </c>
      <c r="Q13" s="908"/>
      <c r="R13" s="908"/>
      <c r="S13" s="908"/>
      <c r="T13" s="908"/>
      <c r="U13" s="908"/>
      <c r="V13" s="908"/>
      <c r="W13" s="908"/>
      <c r="X13" s="908"/>
      <c r="Y13" s="908"/>
      <c r="Z13" s="908"/>
      <c r="AA13" s="908"/>
      <c r="AB13" s="908"/>
      <c r="AC13" s="909"/>
      <c r="AD13" s="909"/>
      <c r="AE13" s="909"/>
      <c r="AF13" s="909"/>
      <c r="AG13" s="909"/>
      <c r="AH13" s="909"/>
      <c r="AI13" s="909"/>
      <c r="AJ13" s="909"/>
      <c r="AK13" s="909"/>
      <c r="AL13" s="909"/>
      <c r="AM13" s="909"/>
      <c r="AN13" s="909"/>
      <c r="AO13" s="910"/>
      <c r="AP13" s="911"/>
      <c r="AQ13" s="911"/>
      <c r="AR13" s="912"/>
      <c r="AS13" s="910"/>
      <c r="AT13" s="911"/>
      <c r="AU13" s="911"/>
      <c r="AV13" s="913"/>
      <c r="AW13" s="909"/>
      <c r="AX13" s="909"/>
      <c r="AY13" s="909"/>
      <c r="AZ13" s="914"/>
      <c r="BA13" s="910"/>
      <c r="BB13" s="911"/>
      <c r="BC13" s="911"/>
      <c r="BD13" s="915"/>
    </row>
    <row r="14" spans="1:56" ht="12.75" customHeight="1">
      <c r="A14" s="916" t="s">
        <v>234</v>
      </c>
      <c r="B14" s="742"/>
      <c r="C14" s="742"/>
      <c r="D14" s="742"/>
      <c r="E14" s="742"/>
      <c r="F14" s="742"/>
      <c r="G14" s="742"/>
      <c r="H14" s="742"/>
      <c r="I14" s="742"/>
      <c r="J14" s="742"/>
      <c r="K14" s="742"/>
      <c r="L14" s="742"/>
      <c r="M14" s="917"/>
      <c r="N14" s="917"/>
      <c r="O14" s="917"/>
      <c r="P14" s="917"/>
      <c r="Q14" s="917"/>
      <c r="R14" s="917"/>
      <c r="S14" s="917"/>
      <c r="T14" s="917"/>
      <c r="U14" s="917"/>
      <c r="V14" s="917"/>
      <c r="W14" s="917"/>
      <c r="X14" s="917"/>
      <c r="Y14" s="917"/>
      <c r="Z14" s="917"/>
      <c r="AA14" s="917"/>
      <c r="AB14" s="917"/>
      <c r="AC14" s="917"/>
      <c r="AD14" s="917"/>
      <c r="AE14" s="917"/>
      <c r="AF14" s="917"/>
      <c r="AG14" s="917"/>
      <c r="AH14" s="917"/>
      <c r="AI14" s="917"/>
      <c r="AJ14" s="917"/>
      <c r="AK14" s="917"/>
      <c r="AL14" s="917"/>
      <c r="AM14" s="917"/>
      <c r="AN14" s="917"/>
      <c r="AO14" s="917"/>
      <c r="AP14" s="917"/>
      <c r="AQ14" s="917"/>
      <c r="AR14" s="917"/>
      <c r="AS14" s="917"/>
      <c r="AT14" s="917"/>
      <c r="AU14" s="917"/>
      <c r="AV14" s="917"/>
      <c r="AW14" s="917"/>
      <c r="AX14" s="917"/>
      <c r="AY14" s="917"/>
      <c r="AZ14" s="917"/>
      <c r="BA14" s="917"/>
      <c r="BB14" s="917"/>
      <c r="BC14" s="917"/>
      <c r="BD14" s="917"/>
    </row>
    <row r="15" spans="1:56" ht="12.75" customHeight="1">
      <c r="A15" s="918" t="s">
        <v>447</v>
      </c>
      <c r="B15" s="742"/>
      <c r="C15" s="742"/>
      <c r="D15" s="742"/>
      <c r="E15" s="742"/>
      <c r="F15" s="742"/>
      <c r="G15" s="742"/>
      <c r="H15" s="742"/>
      <c r="I15" s="742"/>
      <c r="J15" s="742"/>
      <c r="K15" s="742"/>
      <c r="L15" s="742"/>
      <c r="M15" s="917"/>
      <c r="N15" s="917"/>
      <c r="O15" s="917"/>
      <c r="P15" s="917"/>
      <c r="Q15" s="917"/>
      <c r="R15" s="917"/>
      <c r="S15" s="917"/>
      <c r="T15" s="917"/>
      <c r="U15" s="917"/>
      <c r="V15" s="917"/>
      <c r="W15" s="917"/>
      <c r="X15" s="917"/>
      <c r="Y15" s="917"/>
      <c r="Z15" s="917"/>
      <c r="AA15" s="917"/>
      <c r="AB15" s="917"/>
      <c r="AC15" s="917"/>
      <c r="AD15" s="917"/>
      <c r="AE15" s="917"/>
      <c r="AF15" s="917"/>
      <c r="AG15" s="917"/>
      <c r="AH15" s="917"/>
      <c r="AI15" s="917"/>
      <c r="AJ15" s="917"/>
      <c r="AK15" s="917"/>
      <c r="AL15" s="917"/>
      <c r="AM15" s="917"/>
      <c r="AN15" s="917"/>
      <c r="AO15" s="917"/>
      <c r="AP15" s="917"/>
      <c r="AQ15" s="917"/>
      <c r="AR15" s="917"/>
      <c r="AS15" s="917"/>
      <c r="AT15" s="917"/>
      <c r="AU15" s="917"/>
      <c r="AV15" s="917"/>
      <c r="AW15" s="917"/>
      <c r="AX15" s="917"/>
      <c r="AY15" s="917"/>
      <c r="AZ15" s="917"/>
      <c r="BA15" s="917"/>
      <c r="BB15" s="917"/>
      <c r="BC15" s="917"/>
      <c r="BD15" s="917"/>
    </row>
    <row r="16" spans="1:56" ht="12.75" customHeight="1">
      <c r="M16" s="406"/>
      <c r="N16" s="406"/>
      <c r="O16" s="406"/>
      <c r="P16" s="406"/>
      <c r="Q16" s="406"/>
      <c r="R16" s="406"/>
      <c r="S16" s="406"/>
      <c r="T16" s="406"/>
      <c r="U16" s="406"/>
      <c r="V16" s="406"/>
      <c r="W16" s="406"/>
      <c r="X16" s="406"/>
      <c r="Y16" s="406"/>
      <c r="Z16" s="406"/>
      <c r="AA16" s="406"/>
      <c r="AB16" s="406"/>
      <c r="AC16" s="406"/>
      <c r="AD16" s="406"/>
      <c r="AE16" s="406"/>
      <c r="AF16" s="406"/>
      <c r="AG16" s="919">
        <f>(PQetasGPRs!AG7+PQetasGPRs!AH7)-PQetasGPRs!AI7</f>
        <v>0</v>
      </c>
      <c r="AH16" s="406"/>
      <c r="AI16" s="406"/>
      <c r="AJ16" s="406"/>
      <c r="AK16" s="406"/>
      <c r="AL16" s="406"/>
      <c r="AM16" s="406"/>
      <c r="AN16" s="406"/>
      <c r="AO16" s="406"/>
      <c r="AP16" s="406"/>
      <c r="AQ16" s="406"/>
      <c r="AR16" s="406"/>
      <c r="AS16" s="406"/>
      <c r="AT16" s="406"/>
      <c r="AU16" s="406"/>
      <c r="AV16" s="406"/>
      <c r="AW16" s="406"/>
      <c r="AX16" s="406"/>
      <c r="AY16" s="406"/>
      <c r="AZ16" s="406"/>
      <c r="BA16" s="406"/>
      <c r="BB16" s="406"/>
      <c r="BC16" s="406"/>
      <c r="BD16" s="406"/>
    </row>
    <row r="17" spans="1:36" ht="15" customHeight="1">
      <c r="A17" s="1319"/>
      <c r="B17" s="1319"/>
      <c r="C17" s="1319"/>
      <c r="D17" s="1319"/>
      <c r="E17" s="1319"/>
      <c r="F17" s="1319"/>
      <c r="G17" s="1319"/>
      <c r="H17" s="1319"/>
      <c r="AG17" s="136"/>
      <c r="AH17" s="136"/>
      <c r="AI17" s="136"/>
      <c r="AJ17" s="136"/>
    </row>
    <row r="18" spans="1:36" ht="12.75" customHeight="1">
      <c r="AG18" s="136"/>
      <c r="AH18" s="136"/>
      <c r="AI18" s="136"/>
      <c r="AJ18" s="136"/>
    </row>
    <row r="19" spans="1:36" ht="18.75" customHeight="1">
      <c r="AG19" s="136"/>
      <c r="AH19" s="136"/>
      <c r="AI19" s="136"/>
      <c r="AJ19" s="136"/>
    </row>
    <row r="20" spans="1:36" ht="12.75" customHeight="1">
      <c r="A20" s="920"/>
      <c r="B20" s="921"/>
      <c r="C20" s="921"/>
      <c r="D20" s="921"/>
      <c r="E20" s="921"/>
      <c r="F20" s="921"/>
      <c r="G20" s="921"/>
      <c r="H20" s="921"/>
      <c r="I20" s="921"/>
      <c r="J20" s="921"/>
      <c r="K20" s="921"/>
      <c r="L20" s="921"/>
      <c r="M20" s="921"/>
      <c r="N20" s="921"/>
      <c r="O20" s="921"/>
      <c r="P20" s="921"/>
      <c r="Q20" s="921"/>
      <c r="R20" s="921"/>
      <c r="S20" s="921"/>
      <c r="T20" s="921"/>
      <c r="U20" s="921"/>
      <c r="V20" s="921"/>
      <c r="W20" s="921"/>
      <c r="X20" s="921"/>
      <c r="Y20" s="921"/>
      <c r="Z20" s="921"/>
      <c r="AA20" s="921"/>
      <c r="AB20" s="921"/>
      <c r="AC20" s="921"/>
      <c r="AD20" s="921"/>
      <c r="AE20" s="921"/>
      <c r="AF20" s="921"/>
      <c r="AG20" s="921"/>
      <c r="AH20" s="921"/>
      <c r="AI20" s="921"/>
      <c r="AJ20" s="921"/>
    </row>
  </sheetData>
  <mergeCells count="25">
    <mergeCell ref="AK4:AN4"/>
    <mergeCell ref="AO4:AR4"/>
    <mergeCell ref="AS4:AV4"/>
    <mergeCell ref="A17:H17"/>
    <mergeCell ref="Q4:T4"/>
    <mergeCell ref="U4:X4"/>
    <mergeCell ref="Y4:AB4"/>
    <mergeCell ref="AC4:AF4"/>
    <mergeCell ref="AG4:AJ4"/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381413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46</vt:i4>
      </vt:variant>
      <vt:variant>
        <vt:lpstr>Intervalos nomeados</vt:lpstr>
      </vt:variant>
      <vt:variant>
        <vt:i4>1</vt:i4>
      </vt:variant>
    </vt:vector>
  </HeadingPairs>
  <TitlesOfParts>
    <vt:vector size="47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CONTROLE TINAS</vt:lpstr>
      <vt:lpstr>Para CCO</vt:lpstr>
      <vt:lpstr>Ferro e Manganês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dc:description/>
  <cp:lastModifiedBy>Laboratorio</cp:lastModifiedBy>
  <cp:revision>4194</cp:revision>
  <cp:lastPrinted>2019-02-08T15:48:11Z</cp:lastPrinted>
  <dcterms:created xsi:type="dcterms:W3CDTF">2013-01-02T02:36:55Z</dcterms:created>
  <dcterms:modified xsi:type="dcterms:W3CDTF">2020-04-06T18:25:16Z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