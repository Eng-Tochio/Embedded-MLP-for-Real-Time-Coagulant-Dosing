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980" windowWidth="16380" windowHeight="6210" firstSheet="11" activeTab="33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7" i="41"/>
  <c r="E45" i="41"/>
  <c r="G44" i="41"/>
  <c r="G43" i="41"/>
  <c r="E43" i="41"/>
  <c r="G42" i="41"/>
  <c r="V38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S38" i="41" s="1"/>
  <c r="R8" i="41"/>
  <c r="Q8" i="41"/>
  <c r="P8" i="41"/>
  <c r="P38" i="41" s="1"/>
  <c r="O8" i="41"/>
  <c r="G46" i="41" s="1"/>
  <c r="N8" i="41"/>
  <c r="E46" i="41" s="1"/>
  <c r="M8" i="41"/>
  <c r="M38" i="41" s="1"/>
  <c r="L8" i="41"/>
  <c r="G45" i="41" s="1"/>
  <c r="K8" i="41"/>
  <c r="J8" i="41"/>
  <c r="I8" i="41"/>
  <c r="H8" i="41"/>
  <c r="E44" i="41" s="1"/>
  <c r="G8" i="41"/>
  <c r="G38" i="41" s="1"/>
  <c r="F8" i="41"/>
  <c r="E8" i="41"/>
  <c r="D8" i="41"/>
  <c r="D38" i="41" s="1"/>
  <c r="C8" i="4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H90" i="39"/>
  <c r="D90" i="39"/>
  <c r="D87" i="39"/>
  <c r="J90" i="39" s="1"/>
  <c r="C87" i="39"/>
  <c r="I90" i="39" s="1"/>
  <c r="B87" i="39"/>
  <c r="D86" i="39"/>
  <c r="G90" i="39" s="1"/>
  <c r="C86" i="39"/>
  <c r="F90" i="39" s="1"/>
  <c r="B86" i="39"/>
  <c r="E90" i="39" s="1"/>
  <c r="D85" i="39"/>
  <c r="C85" i="39"/>
  <c r="C90" i="39" s="1"/>
  <c r="B85" i="39"/>
  <c r="B90" i="39" s="1"/>
  <c r="T40" i="39"/>
  <c r="AC39" i="39"/>
  <c r="Z39" i="39"/>
  <c r="I5" i="43" s="1"/>
  <c r="I6" i="43" s="1"/>
  <c r="X39" i="39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Y98" i="34" s="1"/>
  <c r="C99" i="34"/>
  <c r="AA98" i="34"/>
  <c r="Z98" i="34"/>
  <c r="X98" i="34"/>
  <c r="W98" i="34"/>
  <c r="V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AA83" i="34"/>
  <c r="Z83" i="34"/>
  <c r="Y83" i="34"/>
  <c r="X83" i="34"/>
  <c r="W83" i="34"/>
  <c r="V83" i="34"/>
  <c r="H79" i="34"/>
  <c r="F79" i="34"/>
  <c r="E79" i="34"/>
  <c r="D79" i="34"/>
  <c r="Y78" i="34" s="1"/>
  <c r="C79" i="34"/>
  <c r="V78" i="34" s="1"/>
  <c r="AA78" i="34"/>
  <c r="Z78" i="34"/>
  <c r="X78" i="34"/>
  <c r="W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Y68" i="34" s="1"/>
  <c r="C69" i="34"/>
  <c r="V68" i="34" s="1"/>
  <c r="AA68" i="34"/>
  <c r="Z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H39" i="34"/>
  <c r="F39" i="34"/>
  <c r="E39" i="34"/>
  <c r="D39" i="34"/>
  <c r="Y38" i="34" s="1"/>
  <c r="C39" i="34"/>
  <c r="V38" i="34" s="1"/>
  <c r="AA38" i="34"/>
  <c r="Z38" i="34"/>
  <c r="X38" i="34"/>
  <c r="W38" i="34"/>
  <c r="R37" i="34"/>
  <c r="N37" i="34"/>
  <c r="L37" i="34"/>
  <c r="H34" i="34"/>
  <c r="F34" i="34"/>
  <c r="E34" i="34"/>
  <c r="D34" i="34"/>
  <c r="C34" i="34"/>
  <c r="V33" i="34" s="1"/>
  <c r="AA33" i="34"/>
  <c r="Z33" i="34"/>
  <c r="Y33" i="34"/>
  <c r="X33" i="34"/>
  <c r="W33" i="34"/>
  <c r="A30" i="34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Y23" i="34" s="1"/>
  <c r="C24" i="34"/>
  <c r="V23" i="34" s="1"/>
  <c r="AA23" i="34"/>
  <c r="Z23" i="34"/>
  <c r="X23" i="34"/>
  <c r="W23" i="34"/>
  <c r="H19" i="34"/>
  <c r="F19" i="34"/>
  <c r="E19" i="34"/>
  <c r="D19" i="34"/>
  <c r="Y18" i="34" s="1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H9" i="34"/>
  <c r="F9" i="34"/>
  <c r="E9" i="34"/>
  <c r="D9" i="34"/>
  <c r="Y8" i="34" s="1"/>
  <c r="C9" i="34"/>
  <c r="AA8" i="34"/>
  <c r="Z8" i="34"/>
  <c r="X8" i="34"/>
  <c r="W8" i="34"/>
  <c r="T5" i="34"/>
  <c r="AL63" i="32"/>
  <c r="AQ62" i="32"/>
  <c r="R57" i="32"/>
  <c r="AF37" i="39" s="1"/>
  <c r="O57" i="32"/>
  <c r="AE37" i="39" s="1"/>
  <c r="AR56" i="32"/>
  <c r="AJ56" i="32"/>
  <c r="AN55" i="32"/>
  <c r="AL55" i="32"/>
  <c r="AJ55" i="32"/>
  <c r="Y55" i="32"/>
  <c r="AC54" i="32"/>
  <c r="AC55" i="32" s="1"/>
  <c r="AA54" i="32"/>
  <c r="Y54" i="32"/>
  <c r="AE54" i="32" s="1"/>
  <c r="AE55" i="32" s="1"/>
  <c r="AC53" i="32"/>
  <c r="AA53" i="32"/>
  <c r="Y53" i="32"/>
  <c r="AG52" i="32" s="1"/>
  <c r="R51" i="32"/>
  <c r="P51" i="32"/>
  <c r="O51" i="32"/>
  <c r="AR49" i="32"/>
  <c r="AN48" i="32"/>
  <c r="AJ48" i="32"/>
  <c r="AA46" i="32"/>
  <c r="Y46" i="32"/>
  <c r="AC45" i="32"/>
  <c r="AA45" i="32"/>
  <c r="Y45" i="32"/>
  <c r="L45" i="32"/>
  <c r="AG37" i="39" s="1"/>
  <c r="H45" i="32"/>
  <c r="Y37" i="39" s="1"/>
  <c r="S41" i="32"/>
  <c r="O41" i="32"/>
  <c r="G41" i="32"/>
  <c r="E41" i="32"/>
  <c r="D41" i="32"/>
  <c r="C41" i="32"/>
  <c r="Z37" i="39" s="1"/>
  <c r="B41" i="32"/>
  <c r="X37" i="39" s="1"/>
  <c r="A41" i="32"/>
  <c r="Z37" i="32"/>
  <c r="B39" i="42" s="1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S13" i="32"/>
  <c r="R13" i="32"/>
  <c r="AP12" i="32"/>
  <c r="AN12" i="32"/>
  <c r="AN30" i="32" s="1"/>
  <c r="AL12" i="32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N34" i="32" s="1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AE54" i="31"/>
  <c r="AE55" i="31" s="1"/>
  <c r="Y54" i="31"/>
  <c r="AC53" i="31"/>
  <c r="AA53" i="31"/>
  <c r="Y53" i="31"/>
  <c r="AG52" i="31" s="1"/>
  <c r="R51" i="31"/>
  <c r="P51" i="31"/>
  <c r="O51" i="31"/>
  <c r="AC36" i="39" s="1"/>
  <c r="AJ50" i="31"/>
  <c r="AR49" i="31"/>
  <c r="AN48" i="31"/>
  <c r="AN50" i="31" s="1"/>
  <c r="AJ48" i="31"/>
  <c r="AA46" i="31"/>
  <c r="Y46" i="31"/>
  <c r="AC45" i="31"/>
  <c r="AA45" i="31"/>
  <c r="Y45" i="31"/>
  <c r="Y47" i="31" s="1"/>
  <c r="L45" i="31"/>
  <c r="AG36" i="39" s="1"/>
  <c r="H45" i="31"/>
  <c r="Y36" i="39" s="1"/>
  <c r="S41" i="31"/>
  <c r="O41" i="31"/>
  <c r="G41" i="31"/>
  <c r="E41" i="31"/>
  <c r="D41" i="31"/>
  <c r="C41" i="31"/>
  <c r="Z36" i="39" s="1"/>
  <c r="B41" i="31"/>
  <c r="X36" i="39" s="1"/>
  <c r="A41" i="3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F38" i="42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L37" i="38" s="1"/>
  <c r="G21" i="31"/>
  <c r="I37" i="38" s="1"/>
  <c r="F21" i="31"/>
  <c r="L36" i="37" s="1"/>
  <c r="E21" i="31"/>
  <c r="I36" i="37" s="1"/>
  <c r="D21" i="3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J38" i="38" s="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L56" i="30"/>
  <c r="AN55" i="30"/>
  <c r="AN56" i="30" s="1"/>
  <c r="AL55" i="30"/>
  <c r="AA55" i="30"/>
  <c r="AN54" i="30"/>
  <c r="AL54" i="30"/>
  <c r="AJ54" i="30"/>
  <c r="AE54" i="30"/>
  <c r="AE55" i="30" s="1"/>
  <c r="AC54" i="30"/>
  <c r="AA54" i="30"/>
  <c r="Y54" i="30"/>
  <c r="AJ55" i="30" s="1"/>
  <c r="AC53" i="30"/>
  <c r="AC55" i="30" s="1"/>
  <c r="AA53" i="30"/>
  <c r="Y53" i="30"/>
  <c r="Y55" i="30" s="1"/>
  <c r="R51" i="30"/>
  <c r="AD35" i="39" s="1"/>
  <c r="P51" i="30"/>
  <c r="O51" i="30"/>
  <c r="AC35" i="39" s="1"/>
  <c r="AJ48" i="30"/>
  <c r="AN48" i="30" s="1"/>
  <c r="AN47" i="30"/>
  <c r="AL47" i="30"/>
  <c r="AJ47" i="30"/>
  <c r="AE47" i="30"/>
  <c r="AC46" i="30"/>
  <c r="AA46" i="30"/>
  <c r="Y46" i="30"/>
  <c r="AE46" i="30" s="1"/>
  <c r="AC45" i="30"/>
  <c r="AA45" i="30"/>
  <c r="AA47" i="30" s="1"/>
  <c r="Y45" i="30"/>
  <c r="Y47" i="30" s="1"/>
  <c r="L45" i="30"/>
  <c r="AG35" i="39" s="1"/>
  <c r="H45" i="30"/>
  <c r="Y35" i="39" s="1"/>
  <c r="AG44" i="30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AN30" i="30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L21" i="30"/>
  <c r="O36" i="38" s="1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D36" i="38" s="1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AC54" i="29"/>
  <c r="AA54" i="29"/>
  <c r="Y54" i="29"/>
  <c r="AC53" i="29"/>
  <c r="AA53" i="29"/>
  <c r="AA55" i="29" s="1"/>
  <c r="Y53" i="29"/>
  <c r="R51" i="29"/>
  <c r="AD34" i="39" s="1"/>
  <c r="P51" i="29"/>
  <c r="O51" i="29"/>
  <c r="AC34" i="39" s="1"/>
  <c r="AN47" i="29"/>
  <c r="AL47" i="29"/>
  <c r="AJ47" i="29"/>
  <c r="AR46" i="29"/>
  <c r="Y46" i="29"/>
  <c r="AJ48" i="29" s="1"/>
  <c r="AN48" i="29" s="1"/>
  <c r="AC45" i="29"/>
  <c r="AA45" i="29"/>
  <c r="Y45" i="29"/>
  <c r="Y47" i="29" s="1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L30" i="29" s="1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O35" i="38" s="1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J35" i="38" s="1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N30" i="29" s="1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Y55" i="28" s="1"/>
  <c r="AC53" i="28"/>
  <c r="AA53" i="28"/>
  <c r="Y53" i="28"/>
  <c r="R51" i="28"/>
  <c r="AD33" i="39" s="1"/>
  <c r="P51" i="28"/>
  <c r="O51" i="28"/>
  <c r="AC33" i="39" s="1"/>
  <c r="AJ49" i="28"/>
  <c r="AN48" i="28"/>
  <c r="AN49" i="28" s="1"/>
  <c r="AJ48" i="28"/>
  <c r="AN47" i="28"/>
  <c r="AL47" i="28"/>
  <c r="AJ47" i="28"/>
  <c r="AE46" i="28"/>
  <c r="AE47" i="28" s="1"/>
  <c r="AC46" i="28"/>
  <c r="AA46" i="28"/>
  <c r="Y46" i="28"/>
  <c r="AC45" i="28"/>
  <c r="AA45" i="28"/>
  <c r="AA47" i="28" s="1"/>
  <c r="Y45" i="28"/>
  <c r="Y47" i="28" s="1"/>
  <c r="L45" i="28"/>
  <c r="AG33" i="39" s="1"/>
  <c r="H45" i="28"/>
  <c r="Y33" i="39" s="1"/>
  <c r="AG44" i="28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N34" i="28"/>
  <c r="AC34" i="28"/>
  <c r="Z34" i="28"/>
  <c r="Y34" i="28"/>
  <c r="P33" i="39" s="1"/>
  <c r="AC33" i="28"/>
  <c r="Z33" i="28"/>
  <c r="AA33" i="28" s="1"/>
  <c r="F35" i="42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C34" i="38" s="1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N30" i="28" s="1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AC55" i="27" s="1"/>
  <c r="Y54" i="27"/>
  <c r="AC53" i="27"/>
  <c r="AA53" i="27"/>
  <c r="Y53" i="27"/>
  <c r="R51" i="27"/>
  <c r="AD32" i="39" s="1"/>
  <c r="P51" i="27"/>
  <c r="O51" i="27"/>
  <c r="AC32" i="39" s="1"/>
  <c r="AN47" i="27"/>
  <c r="AL47" i="27"/>
  <c r="AJ47" i="27"/>
  <c r="Y46" i="27"/>
  <c r="AC45" i="27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Z33" i="27"/>
  <c r="AA33" i="27" s="1"/>
  <c r="AC32" i="27"/>
  <c r="Z32" i="27"/>
  <c r="AA32" i="27" s="1"/>
  <c r="AP30" i="27"/>
  <c r="AR38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L34" i="27" s="1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N34" i="27" s="1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P33" i="38" s="1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4" i="27" s="1"/>
  <c r="AN6" i="27"/>
  <c r="AL6" i="27"/>
  <c r="AJ6" i="27"/>
  <c r="AH6" i="27"/>
  <c r="AF6" i="27"/>
  <c r="AD6" i="27"/>
  <c r="AB6" i="27"/>
  <c r="R57" i="26"/>
  <c r="AF31" i="39" s="1"/>
  <c r="O57" i="26"/>
  <c r="AE31" i="39" s="1"/>
  <c r="AE55" i="26"/>
  <c r="Y55" i="26"/>
  <c r="AN54" i="26"/>
  <c r="AL54" i="26"/>
  <c r="AJ54" i="26"/>
  <c r="AE54" i="26"/>
  <c r="Y54" i="26"/>
  <c r="AR53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AE46" i="26"/>
  <c r="AE47" i="26" s="1"/>
  <c r="Y46" i="26"/>
  <c r="AC45" i="26"/>
  <c r="AA45" i="26"/>
  <c r="AG44" i="26" s="1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N34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N32" i="38" s="1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N30" i="26" s="1"/>
  <c r="AL6" i="26"/>
  <c r="AJ6" i="26"/>
  <c r="AH6" i="26"/>
  <c r="AF6" i="26"/>
  <c r="AD6" i="26"/>
  <c r="AB6" i="26"/>
  <c r="R57" i="25"/>
  <c r="AF30" i="39" s="1"/>
  <c r="O57" i="25"/>
  <c r="AE30" i="39" s="1"/>
  <c r="AA55" i="25"/>
  <c r="Y55" i="25"/>
  <c r="AN54" i="25"/>
  <c r="AL54" i="25"/>
  <c r="AJ54" i="25"/>
  <c r="AA54" i="25"/>
  <c r="Y54" i="25"/>
  <c r="AC53" i="25"/>
  <c r="AA53" i="25"/>
  <c r="Y53" i="25"/>
  <c r="AG52" i="25" s="1"/>
  <c r="R51" i="25"/>
  <c r="AD30" i="39" s="1"/>
  <c r="P51" i="25"/>
  <c r="O51" i="25"/>
  <c r="AC30" i="39" s="1"/>
  <c r="AL48" i="25"/>
  <c r="AN47" i="25"/>
  <c r="AL47" i="25"/>
  <c r="AJ47" i="25"/>
  <c r="AA47" i="25"/>
  <c r="AC46" i="25"/>
  <c r="AA46" i="25"/>
  <c r="Y46" i="25"/>
  <c r="AJ48" i="25" s="1"/>
  <c r="AN48" i="25" s="1"/>
  <c r="AN49" i="25" s="1"/>
  <c r="AC45" i="25"/>
  <c r="AC47" i="25" s="1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Z30" i="39" s="1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J31" i="38" s="1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P30" i="25" s="1"/>
  <c r="AR38" i="25" s="1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L34" i="25" s="1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J55" i="24" s="1"/>
  <c r="AJ56" i="24" s="1"/>
  <c r="AC53" i="24"/>
  <c r="AA53" i="24"/>
  <c r="Y53" i="24"/>
  <c r="R51" i="24"/>
  <c r="AD29" i="39" s="1"/>
  <c r="P51" i="24"/>
  <c r="O51" i="24"/>
  <c r="AC29" i="39" s="1"/>
  <c r="AJ48" i="24"/>
  <c r="AN48" i="24" s="1"/>
  <c r="AN47" i="24"/>
  <c r="AL47" i="24"/>
  <c r="AJ47" i="24"/>
  <c r="Y46" i="24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H30" i="38" s="1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D30" i="38" s="1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L30" i="24" s="1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P30" i="24" s="1"/>
  <c r="AR38" i="24" s="1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N47" i="23"/>
  <c r="AL47" i="23"/>
  <c r="AJ47" i="23"/>
  <c r="Y46" i="23"/>
  <c r="AC45" i="23"/>
  <c r="AA45" i="23"/>
  <c r="Y45" i="23"/>
  <c r="L45" i="23"/>
  <c r="AG28" i="39" s="1"/>
  <c r="H45" i="23"/>
  <c r="Y28" i="39" s="1"/>
  <c r="AG44" i="23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AL30" i="23"/>
  <c r="AM38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N30" i="23" s="1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9" i="38" s="1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S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L34" i="23" s="1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J56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AA47" i="22"/>
  <c r="AE46" i="22"/>
  <c r="AE47" i="22" s="1"/>
  <c r="AC46" i="22"/>
  <c r="AA46" i="22"/>
  <c r="Y46" i="22"/>
  <c r="AJ48" i="22" s="1"/>
  <c r="AC45" i="22"/>
  <c r="AC47" i="22" s="1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U37" i="22"/>
  <c r="AC34" i="22"/>
  <c r="Z34" i="22"/>
  <c r="Y34" i="22"/>
  <c r="P27" i="39" s="1"/>
  <c r="AC33" i="22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N28" i="38" s="1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L34" i="22" s="1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N34" i="22" s="1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R51" i="21"/>
  <c r="AD26" i="39" s="1"/>
  <c r="P51" i="21"/>
  <c r="O51" i="21"/>
  <c r="AC26" i="39" s="1"/>
  <c r="AN47" i="21"/>
  <c r="AL47" i="21"/>
  <c r="AJ47" i="21"/>
  <c r="AA46" i="21"/>
  <c r="Y46" i="21"/>
  <c r="AC45" i="21"/>
  <c r="AA45" i="21"/>
  <c r="AA47" i="21" s="1"/>
  <c r="Y45" i="21"/>
  <c r="AG44" i="21" s="1"/>
  <c r="L45" i="21"/>
  <c r="AG26" i="39" s="1"/>
  <c r="H45" i="21"/>
  <c r="Y26" i="39" s="1"/>
  <c r="S41" i="21"/>
  <c r="O41" i="21"/>
  <c r="G41" i="21"/>
  <c r="E41" i="21"/>
  <c r="D41" i="21"/>
  <c r="C41" i="21"/>
  <c r="Z26" i="39" s="1"/>
  <c r="B41" i="21"/>
  <c r="X26" i="39" s="1"/>
  <c r="A41" i="21"/>
  <c r="Z37" i="21"/>
  <c r="B28" i="42" s="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J27" i="38" s="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L30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J49" i="20"/>
  <c r="AN48" i="20"/>
  <c r="AN47" i="20"/>
  <c r="AL47" i="20"/>
  <c r="AJ47" i="20"/>
  <c r="AE46" i="20"/>
  <c r="AE47" i="20" s="1"/>
  <c r="AC46" i="20"/>
  <c r="AA46" i="20"/>
  <c r="Y46" i="20"/>
  <c r="AJ48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L34" i="20" s="1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J56" i="19" s="1"/>
  <c r="AA54" i="19"/>
  <c r="Y54" i="19"/>
  <c r="AJ55" i="19" s="1"/>
  <c r="AL55" i="19" s="1"/>
  <c r="AC53" i="19"/>
  <c r="AA53" i="19"/>
  <c r="Y53" i="19"/>
  <c r="Y55" i="19" s="1"/>
  <c r="R51" i="19"/>
  <c r="AD24" i="39" s="1"/>
  <c r="P51" i="19"/>
  <c r="O51" i="19"/>
  <c r="AC24" i="39" s="1"/>
  <c r="AJ48" i="19"/>
  <c r="AN48" i="19" s="1"/>
  <c r="AN47" i="19"/>
  <c r="AL47" i="19"/>
  <c r="AJ47" i="19"/>
  <c r="AE47" i="19"/>
  <c r="AC46" i="19"/>
  <c r="AA46" i="19"/>
  <c r="Y46" i="19"/>
  <c r="AC45" i="19"/>
  <c r="AC47" i="19" s="1"/>
  <c r="AA45" i="19"/>
  <c r="Y45" i="19"/>
  <c r="Y47" i="19" s="1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U37" i="19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AQ6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P25" i="38" s="1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J12" i="19"/>
  <c r="AH12" i="19"/>
  <c r="AF12" i="19"/>
  <c r="AD12" i="19"/>
  <c r="AB12" i="19"/>
  <c r="V12" i="19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AE54" i="18"/>
  <c r="AE55" i="18" s="1"/>
  <c r="Y54" i="18"/>
  <c r="AJ55" i="18" s="1"/>
  <c r="AC53" i="18"/>
  <c r="AA53" i="18"/>
  <c r="Y53" i="18"/>
  <c r="AG52" i="18"/>
  <c r="R51" i="18"/>
  <c r="AD23" i="39" s="1"/>
  <c r="P51" i="18"/>
  <c r="O51" i="18"/>
  <c r="AC23" i="39" s="1"/>
  <c r="AJ48" i="18"/>
  <c r="AN48" i="18" s="1"/>
  <c r="AN49" i="18" s="1"/>
  <c r="AN47" i="18"/>
  <c r="AL47" i="18"/>
  <c r="AJ47" i="18"/>
  <c r="Y46" i="18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Z33" i="18"/>
  <c r="AA33" i="18" s="1"/>
  <c r="AC32" i="18"/>
  <c r="Z32" i="18"/>
  <c r="AA32" i="18" s="1"/>
  <c r="AQ62" i="18" s="1"/>
  <c r="AL30" i="18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N24" i="38" s="1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M25" i="42" s="1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Y54" i="17"/>
  <c r="AJ55" i="17" s="1"/>
  <c r="AN55" i="17" s="1"/>
  <c r="AN56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7" i="17"/>
  <c r="AA47" i="17"/>
  <c r="AE46" i="17"/>
  <c r="AE47" i="17" s="1"/>
  <c r="AC46" i="17"/>
  <c r="AA46" i="17"/>
  <c r="Y46" i="17"/>
  <c r="AJ48" i="17" s="1"/>
  <c r="AC45" i="17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Z33" i="17"/>
  <c r="AA33" i="17" s="1"/>
  <c r="AC32" i="17"/>
  <c r="Z32" i="17"/>
  <c r="AA32" i="17" s="1"/>
  <c r="AQ62" i="17" s="1"/>
  <c r="AP30" i="17"/>
  <c r="AR38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N30" i="17" s="1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L34" i="17" s="1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4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L6" i="17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7" i="16"/>
  <c r="AL47" i="16"/>
  <c r="AJ47" i="16"/>
  <c r="AC46" i="16"/>
  <c r="AC47" i="16" s="1"/>
  <c r="AA46" i="16"/>
  <c r="Y46" i="16"/>
  <c r="AJ48" i="16" s="1"/>
  <c r="AN48" i="16" s="1"/>
  <c r="AN49" i="16" s="1"/>
  <c r="AC45" i="16"/>
  <c r="AA45" i="16"/>
  <c r="AA47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Z21" i="39" s="1"/>
  <c r="B41" i="16"/>
  <c r="X21" i="39" s="1"/>
  <c r="A41" i="16"/>
  <c r="Z37" i="16"/>
  <c r="B23" i="42" s="1"/>
  <c r="AC34" i="16"/>
  <c r="Z34" i="16"/>
  <c r="Y34" i="16"/>
  <c r="P21" i="39" s="1"/>
  <c r="AC33" i="16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D22" i="38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Y54" i="15"/>
  <c r="AC53" i="15"/>
  <c r="AA53" i="15"/>
  <c r="Y53" i="15"/>
  <c r="AG52" i="15" s="1"/>
  <c r="R51" i="15"/>
  <c r="AD20" i="39" s="1"/>
  <c r="P51" i="15"/>
  <c r="O51" i="15"/>
  <c r="AC20" i="39" s="1"/>
  <c r="AN48" i="15"/>
  <c r="AN49" i="15" s="1"/>
  <c r="AN47" i="15"/>
  <c r="AL47" i="15"/>
  <c r="AJ47" i="15"/>
  <c r="AJ49" i="15" s="1"/>
  <c r="AE46" i="15"/>
  <c r="AE47" i="15" s="1"/>
  <c r="AC46" i="15"/>
  <c r="AA46" i="15"/>
  <c r="Y46" i="15"/>
  <c r="AJ48" i="15" s="1"/>
  <c r="AC45" i="15"/>
  <c r="AA45" i="15"/>
  <c r="AA47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Z37" i="15"/>
  <c r="B22" i="42" s="1"/>
  <c r="AC34" i="15"/>
  <c r="Z34" i="15"/>
  <c r="Y34" i="15"/>
  <c r="P20" i="39" s="1"/>
  <c r="AC33" i="15"/>
  <c r="Z33" i="15"/>
  <c r="AA33" i="15" s="1"/>
  <c r="AC32" i="15"/>
  <c r="Z32" i="15"/>
  <c r="AA32" i="15" s="1"/>
  <c r="AN30" i="15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L34" i="15" s="1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P30" i="15" s="1"/>
  <c r="AR38" i="15" s="1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4" i="15" s="1"/>
  <c r="AL6" i="15"/>
  <c r="AJ6" i="15"/>
  <c r="AH6" i="15"/>
  <c r="AF6" i="15"/>
  <c r="AD6" i="15"/>
  <c r="AB6" i="15"/>
  <c r="R57" i="14"/>
  <c r="AF19" i="39" s="1"/>
  <c r="O57" i="14"/>
  <c r="AE19" i="39" s="1"/>
  <c r="AN55" i="14"/>
  <c r="AL55" i="14"/>
  <c r="AJ55" i="14"/>
  <c r="Y55" i="14"/>
  <c r="AA55" i="14" s="1"/>
  <c r="AA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Y48" i="14"/>
  <c r="AE47" i="14"/>
  <c r="AE48" i="14" s="1"/>
  <c r="AC47" i="14"/>
  <c r="AA47" i="14"/>
  <c r="AA48" i="14" s="1"/>
  <c r="Y47" i="14"/>
  <c r="AJ49" i="14" s="1"/>
  <c r="AC46" i="14"/>
  <c r="AC48" i="14" s="1"/>
  <c r="AA46" i="14"/>
  <c r="Y46" i="14"/>
  <c r="AG45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V19" i="39" s="1"/>
  <c r="Z38" i="14"/>
  <c r="B21" i="42" s="1"/>
  <c r="AC35" i="14"/>
  <c r="Z35" i="14"/>
  <c r="Y35" i="14"/>
  <c r="P19" i="39" s="1"/>
  <c r="AC34" i="14"/>
  <c r="Z34" i="14"/>
  <c r="AA34" i="14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C20" i="38" s="1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G20" i="14"/>
  <c r="H20" i="38" s="1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N31" i="14" s="1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P31" i="14" s="1"/>
  <c r="AR39" i="14" s="1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Y54" i="13"/>
  <c r="AC53" i="13"/>
  <c r="AA53" i="13"/>
  <c r="Y53" i="13"/>
  <c r="R51" i="13"/>
  <c r="AD18" i="39" s="1"/>
  <c r="P51" i="13"/>
  <c r="O51" i="13"/>
  <c r="AC18" i="39" s="1"/>
  <c r="AN47" i="13"/>
  <c r="AL47" i="13"/>
  <c r="AJ47" i="13"/>
  <c r="AA47" i="13"/>
  <c r="AE46" i="13"/>
  <c r="AE47" i="13" s="1"/>
  <c r="AC46" i="13"/>
  <c r="AA46" i="13"/>
  <c r="Y46" i="13"/>
  <c r="AJ48" i="13" s="1"/>
  <c r="AN48" i="13" s="1"/>
  <c r="AN49" i="13" s="1"/>
  <c r="AC45" i="13"/>
  <c r="AC47" i="13" s="1"/>
  <c r="AA45" i="13"/>
  <c r="Y45" i="13"/>
  <c r="AG44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P19" i="38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N30" i="13" s="1"/>
  <c r="AL12" i="13"/>
  <c r="AJ12" i="13"/>
  <c r="AH12" i="13"/>
  <c r="AF12" i="13"/>
  <c r="AD12" i="13"/>
  <c r="AB12" i="13"/>
  <c r="V12" i="13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P30" i="13" s="1"/>
  <c r="AR38" i="13" s="1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Y55" i="12"/>
  <c r="AN54" i="12"/>
  <c r="AL54" i="12"/>
  <c r="AJ54" i="12"/>
  <c r="AE54" i="12"/>
  <c r="AE55" i="12" s="1"/>
  <c r="Y54" i="12"/>
  <c r="AC53" i="12"/>
  <c r="AA53" i="12"/>
  <c r="Y53" i="12"/>
  <c r="AG52" i="12" s="1"/>
  <c r="R51" i="12"/>
  <c r="AD17" i="39" s="1"/>
  <c r="P51" i="12"/>
  <c r="O51" i="12"/>
  <c r="AC17" i="39" s="1"/>
  <c r="AN47" i="12"/>
  <c r="AL47" i="12"/>
  <c r="AJ47" i="12"/>
  <c r="AJ49" i="12" s="1"/>
  <c r="AE46" i="12"/>
  <c r="AE47" i="12" s="1"/>
  <c r="AC46" i="12"/>
  <c r="AA46" i="12"/>
  <c r="AA47" i="12" s="1"/>
  <c r="Y46" i="12"/>
  <c r="AC45" i="12"/>
  <c r="AA45" i="12"/>
  <c r="Y45" i="12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AC34" i="12"/>
  <c r="Z34" i="12"/>
  <c r="Y34" i="12"/>
  <c r="P17" i="39" s="1"/>
  <c r="AC33" i="12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G18" i="38" s="1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N12" i="12"/>
  <c r="AN30" i="12" s="1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Y54" i="11"/>
  <c r="AA54" i="11" s="1"/>
  <c r="AA55" i="11" s="1"/>
  <c r="AC53" i="11"/>
  <c r="AA53" i="11"/>
  <c r="Y53" i="11"/>
  <c r="R51" i="11"/>
  <c r="AD16" i="39" s="1"/>
  <c r="P51" i="11"/>
  <c r="O51" i="11"/>
  <c r="AC16" i="39" s="1"/>
  <c r="AL48" i="11"/>
  <c r="AN47" i="11"/>
  <c r="AL47" i="11"/>
  <c r="AJ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Z37" i="11"/>
  <c r="B18" i="42" s="1"/>
  <c r="U37" i="11"/>
  <c r="AC34" i="11"/>
  <c r="Z34" i="11"/>
  <c r="Y34" i="11"/>
  <c r="P16" i="39" s="1"/>
  <c r="AC33" i="1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L21" i="11"/>
  <c r="O17" i="38" s="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17" i="38" s="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N30" i="11" s="1"/>
  <c r="AL12" i="11"/>
  <c r="AJ12" i="11"/>
  <c r="AH12" i="11"/>
  <c r="AF12" i="11"/>
  <c r="AD12" i="11"/>
  <c r="AB12" i="11"/>
  <c r="V12" i="1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Y54" i="10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E46" i="10"/>
  <c r="AE47" i="10" s="1"/>
  <c r="AC46" i="10"/>
  <c r="AA46" i="10"/>
  <c r="Y46" i="10"/>
  <c r="AJ48" i="10" s="1"/>
  <c r="AC45" i="10"/>
  <c r="AC47" i="10" s="1"/>
  <c r="AA45" i="10"/>
  <c r="AA47" i="10" s="1"/>
  <c r="Y45" i="10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U37" i="10"/>
  <c r="AL34" i="10"/>
  <c r="AC34" i="10"/>
  <c r="Z34" i="10"/>
  <c r="Y34" i="10"/>
  <c r="P15" i="39" s="1"/>
  <c r="AC33" i="10"/>
  <c r="Z33" i="10"/>
  <c r="AA33" i="10" s="1"/>
  <c r="AC32" i="10"/>
  <c r="Z32" i="10"/>
  <c r="AA32" i="10" s="1"/>
  <c r="AP30" i="10"/>
  <c r="AR38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H16" i="38" s="1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D16" i="38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L30" i="10" s="1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J49" i="9"/>
  <c r="AN47" i="9"/>
  <c r="AL47" i="9"/>
  <c r="AJ47" i="9"/>
  <c r="AA47" i="9"/>
  <c r="AE46" i="9"/>
  <c r="AE47" i="9" s="1"/>
  <c r="AC46" i="9"/>
  <c r="AA46" i="9"/>
  <c r="Y46" i="9"/>
  <c r="AJ48" i="9" s="1"/>
  <c r="AC45" i="9"/>
  <c r="AC47" i="9" s="1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Z37" i="9"/>
  <c r="B16" i="42" s="1"/>
  <c r="AC34" i="9"/>
  <c r="Z34" i="9"/>
  <c r="Y34" i="9"/>
  <c r="P14" i="39" s="1"/>
  <c r="AC33" i="9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L21" i="9"/>
  <c r="O15" i="38" s="1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H14" i="38" s="1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L30" i="8" s="1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AC53" i="7"/>
  <c r="AA53" i="7"/>
  <c r="Y53" i="7"/>
  <c r="Y55" i="7" s="1"/>
  <c r="AG52" i="7"/>
  <c r="R51" i="7"/>
  <c r="AD12" i="39" s="1"/>
  <c r="P51" i="7"/>
  <c r="O51" i="7"/>
  <c r="AC12" i="39" s="1"/>
  <c r="AN48" i="7"/>
  <c r="AN49" i="7" s="1"/>
  <c r="AN47" i="7"/>
  <c r="AL47" i="7"/>
  <c r="AJ47" i="7"/>
  <c r="AJ49" i="7" s="1"/>
  <c r="AC46" i="7"/>
  <c r="AA46" i="7"/>
  <c r="Y46" i="7"/>
  <c r="AJ48" i="7" s="1"/>
  <c r="AL48" i="7" s="1"/>
  <c r="AC45" i="7"/>
  <c r="AA45" i="7"/>
  <c r="AA47" i="7" s="1"/>
  <c r="Y45" i="7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Z33" i="7"/>
  <c r="AA33" i="7" s="1"/>
  <c r="F14" i="42" s="1"/>
  <c r="AC32" i="7"/>
  <c r="Z32" i="7"/>
  <c r="AA32" i="7" s="1"/>
  <c r="AN30" i="7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P30" i="7" s="1"/>
  <c r="AR38" i="7" s="1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J13" i="38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L12" i="7"/>
  <c r="AL34" i="7" s="1"/>
  <c r="AJ12" i="7"/>
  <c r="AH12" i="7"/>
  <c r="AF12" i="7"/>
  <c r="AD12" i="7"/>
  <c r="AB12" i="7"/>
  <c r="V12" i="7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L30" i="7" s="1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R51" i="6"/>
  <c r="AD11" i="39" s="1"/>
  <c r="P51" i="6"/>
  <c r="O51" i="6"/>
  <c r="AC11" i="39" s="1"/>
  <c r="AN47" i="6"/>
  <c r="AL47" i="6"/>
  <c r="AJ47" i="6"/>
  <c r="Y46" i="6"/>
  <c r="AA46" i="6" s="1"/>
  <c r="AC45" i="6"/>
  <c r="AA45" i="6"/>
  <c r="AA47" i="6" s="1"/>
  <c r="Y45" i="6"/>
  <c r="AG44" i="6" s="1"/>
  <c r="L45" i="6"/>
  <c r="AG11" i="39" s="1"/>
  <c r="H45" i="6"/>
  <c r="Y11" i="39" s="1"/>
  <c r="S41" i="6"/>
  <c r="O41" i="6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C12" i="38" s="1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H12" i="38" s="1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L30" i="6" s="1"/>
  <c r="AM38" i="6" s="1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N30" i="6" s="1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N34" i="6" s="1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C54" i="5"/>
  <c r="AC55" i="5" s="1"/>
  <c r="AA54" i="5"/>
  <c r="Y54" i="5"/>
  <c r="AJ55" i="5" s="1"/>
  <c r="AN55" i="5" s="1"/>
  <c r="AN56" i="5" s="1"/>
  <c r="AC53" i="5"/>
  <c r="AA53" i="5"/>
  <c r="Y53" i="5"/>
  <c r="R51" i="5"/>
  <c r="AD10" i="39" s="1"/>
  <c r="P51" i="5"/>
  <c r="O51" i="5"/>
  <c r="AC10" i="39" s="1"/>
  <c r="AN47" i="5"/>
  <c r="AL47" i="5"/>
  <c r="AJ47" i="5"/>
  <c r="AC47" i="5"/>
  <c r="AA47" i="5"/>
  <c r="AE46" i="5"/>
  <c r="AE47" i="5" s="1"/>
  <c r="AC46" i="5"/>
  <c r="AA46" i="5"/>
  <c r="Y46" i="5"/>
  <c r="AJ48" i="5" s="1"/>
  <c r="AC45" i="5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O11" i="38" s="1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P11" i="38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L34" i="5" s="1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P34" i="5" s="1"/>
  <c r="AN6" i="5"/>
  <c r="AL6" i="5"/>
  <c r="AJ6" i="5"/>
  <c r="AH6" i="5"/>
  <c r="AF6" i="5"/>
  <c r="AD6" i="5"/>
  <c r="AB6" i="5"/>
  <c r="R57" i="4"/>
  <c r="AF9" i="39" s="1"/>
  <c r="O57" i="4"/>
  <c r="AE9" i="39" s="1"/>
  <c r="AN54" i="4"/>
  <c r="AR53" i="15" s="1"/>
  <c r="AL54" i="4"/>
  <c r="AJ54" i="4"/>
  <c r="Y54" i="4"/>
  <c r="AC53" i="4"/>
  <c r="AA53" i="4"/>
  <c r="Y53" i="4"/>
  <c r="R51" i="4"/>
  <c r="AD9" i="39" s="1"/>
  <c r="P51" i="4"/>
  <c r="O51" i="4"/>
  <c r="AC9" i="39" s="1"/>
  <c r="AN47" i="4"/>
  <c r="AL47" i="4"/>
  <c r="AJ47" i="4"/>
  <c r="AC46" i="4"/>
  <c r="AA46" i="4"/>
  <c r="Y46" i="4"/>
  <c r="AJ48" i="12" s="1"/>
  <c r="AC45" i="4"/>
  <c r="AC47" i="4" s="1"/>
  <c r="AA45" i="4"/>
  <c r="AA47" i="4" s="1"/>
  <c r="Y45" i="4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L34" i="4"/>
  <c r="AC34" i="4"/>
  <c r="Z34" i="4"/>
  <c r="Y34" i="4"/>
  <c r="P9" i="39" s="1"/>
  <c r="AC33" i="4"/>
  <c r="Z33" i="4"/>
  <c r="AA33" i="4" s="1"/>
  <c r="AC32" i="4"/>
  <c r="Z32" i="4"/>
  <c r="AA32" i="4" s="1"/>
  <c r="AP30" i="4"/>
  <c r="AR38" i="4" s="1"/>
  <c r="AR39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I10" i="38" s="1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N30" i="4" s="1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4" i="4" s="1"/>
  <c r="AN6" i="4"/>
  <c r="AL6" i="4"/>
  <c r="AJ6" i="4"/>
  <c r="AH6" i="4"/>
  <c r="AF6" i="4"/>
  <c r="AD6" i="4"/>
  <c r="AB6" i="4"/>
  <c r="R57" i="3"/>
  <c r="AF8" i="39" s="1"/>
  <c r="O57" i="3"/>
  <c r="AE8" i="39" s="1"/>
  <c r="AJ55" i="3"/>
  <c r="AN55" i="3" s="1"/>
  <c r="AN54" i="3"/>
  <c r="AN56" i="3" s="1"/>
  <c r="AL54" i="3"/>
  <c r="AJ54" i="3"/>
  <c r="AC54" i="3"/>
  <c r="AA54" i="3"/>
  <c r="Y54" i="3"/>
  <c r="AC53" i="3"/>
  <c r="AA53" i="3"/>
  <c r="Y53" i="3"/>
  <c r="R51" i="3"/>
  <c r="AD8" i="39" s="1"/>
  <c r="P51" i="3"/>
  <c r="O51" i="3"/>
  <c r="AC8" i="39" s="1"/>
  <c r="AN47" i="3"/>
  <c r="AL47" i="3"/>
  <c r="AJ47" i="3"/>
  <c r="Y46" i="3"/>
  <c r="AC45" i="3"/>
  <c r="AG44" i="3" s="1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Z37" i="3"/>
  <c r="B10" i="42" s="1"/>
  <c r="U37" i="3"/>
  <c r="AC34" i="3"/>
  <c r="Z34" i="3"/>
  <c r="Y34" i="3"/>
  <c r="P8" i="39" s="1"/>
  <c r="AC33" i="3"/>
  <c r="Z33" i="3"/>
  <c r="AA33" i="3" s="1"/>
  <c r="AC32" i="3"/>
  <c r="Z32" i="3"/>
  <c r="AA32" i="3" s="1"/>
  <c r="AL30" i="3"/>
  <c r="AM38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N30" i="3" s="1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J12" i="3"/>
  <c r="AH12" i="3"/>
  <c r="AF12" i="3"/>
  <c r="AD12" i="3"/>
  <c r="AB12" i="3"/>
  <c r="V12" i="3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L34" i="3" s="1"/>
  <c r="AJ6" i="3"/>
  <c r="AH6" i="3"/>
  <c r="AF6" i="3"/>
  <c r="AD6" i="3"/>
  <c r="AB6" i="3"/>
  <c r="R57" i="2"/>
  <c r="AF7" i="39" s="1"/>
  <c r="O57" i="2"/>
  <c r="AE7" i="39" s="1"/>
  <c r="AJ56" i="2"/>
  <c r="AN54" i="2"/>
  <c r="AL54" i="2"/>
  <c r="AJ54" i="2"/>
  <c r="AE54" i="2"/>
  <c r="AE55" i="2" s="1"/>
  <c r="AC54" i="2"/>
  <c r="Y54" i="2"/>
  <c r="AJ55" i="2" s="1"/>
  <c r="AL55" i="2" s="1"/>
  <c r="AC53" i="2"/>
  <c r="AA53" i="2"/>
  <c r="Y53" i="2"/>
  <c r="Y55" i="2" s="1"/>
  <c r="R51" i="2"/>
  <c r="AD7" i="39" s="1"/>
  <c r="P51" i="2"/>
  <c r="O51" i="2"/>
  <c r="AC7" i="39" s="1"/>
  <c r="AN47" i="2"/>
  <c r="AL47" i="2"/>
  <c r="AJ47" i="2"/>
  <c r="Y46" i="2"/>
  <c r="AC45" i="2"/>
  <c r="AA45" i="2"/>
  <c r="Y45" i="2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C8" i="38" s="1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H8" i="38" s="1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F34" i="32" l="1"/>
  <c r="G25" i="37"/>
  <c r="AL30" i="16"/>
  <c r="Q45" i="12"/>
  <c r="AB17" i="39" s="1"/>
  <c r="AG44" i="10"/>
  <c r="AG46" i="10"/>
  <c r="Y47" i="6"/>
  <c r="AG44" i="4"/>
  <c r="Y9" i="34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S20" i="32"/>
  <c r="F37" i="37"/>
  <c r="F37" i="39"/>
  <c r="AD34" i="32"/>
  <c r="G37" i="37"/>
  <c r="P37" i="37"/>
  <c r="E37" i="37"/>
  <c r="N37" i="37"/>
  <c r="AB37" i="37"/>
  <c r="Z37" i="37"/>
  <c r="O37" i="37"/>
  <c r="L41" i="32"/>
  <c r="AH34" i="32"/>
  <c r="AG44" i="29"/>
  <c r="AF30" i="26"/>
  <c r="AB32" i="25"/>
  <c r="E32" i="42" s="1"/>
  <c r="Y47" i="21"/>
  <c r="AG44" i="22"/>
  <c r="AB32" i="20"/>
  <c r="E27" i="42" s="1"/>
  <c r="AB25" i="37"/>
  <c r="Z25" i="37"/>
  <c r="E25" i="37"/>
  <c r="F25" i="37"/>
  <c r="J41" i="20"/>
  <c r="W25" i="39" s="1"/>
  <c r="AJ30" i="19"/>
  <c r="AJ34" i="19" s="1"/>
  <c r="AL34" i="19"/>
  <c r="AA55" i="19"/>
  <c r="AC54" i="19"/>
  <c r="AN55" i="19"/>
  <c r="AN56" i="19" s="1"/>
  <c r="AN34" i="19"/>
  <c r="AN49" i="19"/>
  <c r="AG44" i="18"/>
  <c r="AB32" i="18"/>
  <c r="E25" i="42" s="1"/>
  <c r="AG44" i="16"/>
  <c r="AN30" i="16"/>
  <c r="AG44" i="15"/>
  <c r="AL35" i="14"/>
  <c r="Y47" i="13"/>
  <c r="AG46" i="13" s="1"/>
  <c r="AR39" i="13"/>
  <c r="AA47" i="11"/>
  <c r="AF30" i="10"/>
  <c r="V43" i="34"/>
  <c r="AF30" i="9"/>
  <c r="AF34" i="8"/>
  <c r="AF34" i="6"/>
  <c r="Y47" i="4"/>
  <c r="AP34" i="31"/>
  <c r="AG44" i="31"/>
  <c r="AA47" i="31"/>
  <c r="AC37" i="39"/>
  <c r="AC40" i="39" s="1"/>
  <c r="G5" i="43" s="1"/>
  <c r="AB36" i="37"/>
  <c r="L41" i="31"/>
  <c r="E36" i="37"/>
  <c r="AH34" i="31"/>
  <c r="S20" i="31"/>
  <c r="AB32" i="30"/>
  <c r="H35" i="39" s="1"/>
  <c r="S20" i="30"/>
  <c r="AD34" i="30"/>
  <c r="AB35" i="37"/>
  <c r="Z35" i="37"/>
  <c r="Q45" i="30"/>
  <c r="AB35" i="39" s="1"/>
  <c r="AB33" i="29"/>
  <c r="G36" i="42" s="1"/>
  <c r="R21" i="29"/>
  <c r="AB32" i="29"/>
  <c r="E36" i="42" s="1"/>
  <c r="AB32" i="28"/>
  <c r="H33" i="39" s="1"/>
  <c r="Q45" i="29"/>
  <c r="AB34" i="39" s="1"/>
  <c r="L41" i="29"/>
  <c r="P34" i="37"/>
  <c r="AB33" i="37"/>
  <c r="AA32" i="28"/>
  <c r="AQ62" i="28" s="1"/>
  <c r="R19" i="29"/>
  <c r="R20" i="29"/>
  <c r="O33" i="37"/>
  <c r="Q45" i="28"/>
  <c r="AB33" i="39" s="1"/>
  <c r="N33" i="37"/>
  <c r="J41" i="28"/>
  <c r="W33" i="39" s="1"/>
  <c r="F33" i="37"/>
  <c r="AA54" i="28"/>
  <c r="AJ55" i="28"/>
  <c r="AC54" i="28"/>
  <c r="AC55" i="28" s="1"/>
  <c r="AB33" i="28"/>
  <c r="G35" i="42" s="1"/>
  <c r="R19" i="28"/>
  <c r="S19" i="28"/>
  <c r="AB33" i="27"/>
  <c r="G34" i="42" s="1"/>
  <c r="Q45" i="27"/>
  <c r="AB32" i="39" s="1"/>
  <c r="P32" i="37"/>
  <c r="J41" i="27"/>
  <c r="W32" i="39" s="1"/>
  <c r="G32" i="39"/>
  <c r="R19" i="27"/>
  <c r="R20" i="27"/>
  <c r="S9" i="27"/>
  <c r="S20" i="27" s="1"/>
  <c r="AB32" i="27"/>
  <c r="E34" i="42" s="1"/>
  <c r="F32" i="39"/>
  <c r="AR39" i="27"/>
  <c r="AD34" i="27"/>
  <c r="J41" i="26"/>
  <c r="W31" i="39" s="1"/>
  <c r="R20" i="26"/>
  <c r="R21" i="27"/>
  <c r="Q45" i="26"/>
  <c r="AB31" i="39" s="1"/>
  <c r="L41" i="26"/>
  <c r="S20" i="26"/>
  <c r="AF34" i="26"/>
  <c r="AH34" i="26"/>
  <c r="AJ30" i="26"/>
  <c r="AP38" i="26" s="1"/>
  <c r="AR39" i="25"/>
  <c r="L41" i="25"/>
  <c r="P30" i="37"/>
  <c r="G30" i="37"/>
  <c r="E30" i="37"/>
  <c r="Z30" i="37"/>
  <c r="N31" i="38"/>
  <c r="R21" i="25"/>
  <c r="AB33" i="25"/>
  <c r="G32" i="42" s="1"/>
  <c r="AD34" i="25"/>
  <c r="S21" i="26"/>
  <c r="N29" i="37"/>
  <c r="AH30" i="24"/>
  <c r="R20" i="25"/>
  <c r="R19" i="25"/>
  <c r="AB33" i="24"/>
  <c r="G31" i="42" s="1"/>
  <c r="AA54" i="24"/>
  <c r="AE54" i="24"/>
  <c r="AE55" i="24" s="1"/>
  <c r="Y55" i="24"/>
  <c r="AA55" i="24"/>
  <c r="AC54" i="24"/>
  <c r="AC55" i="24" s="1"/>
  <c r="AG54" i="24" s="1"/>
  <c r="Q45" i="24"/>
  <c r="AB29" i="39" s="1"/>
  <c r="J41" i="24"/>
  <c r="W29" i="39" s="1"/>
  <c r="AJ30" i="24"/>
  <c r="AJ34" i="24" s="1"/>
  <c r="AH34" i="24"/>
  <c r="AR39" i="24"/>
  <c r="S20" i="24"/>
  <c r="R20" i="24"/>
  <c r="Q45" i="23"/>
  <c r="AB28" i="39" s="1"/>
  <c r="L41" i="23"/>
  <c r="AB28" i="37"/>
  <c r="AB33" i="23"/>
  <c r="G30" i="42" s="1"/>
  <c r="AA54" i="23"/>
  <c r="AA55" i="23" s="1"/>
  <c r="R20" i="23"/>
  <c r="AB32" i="23"/>
  <c r="E30" i="42" s="1"/>
  <c r="AD34" i="23"/>
  <c r="AM39" i="23"/>
  <c r="Q45" i="22"/>
  <c r="AB27" i="39" s="1"/>
  <c r="J41" i="22"/>
  <c r="W27" i="39" s="1"/>
  <c r="AA54" i="22"/>
  <c r="AA55" i="22" s="1"/>
  <c r="AC54" i="22"/>
  <c r="AC55" i="22" s="1"/>
  <c r="AJ30" i="22"/>
  <c r="AJ34" i="22" s="1"/>
  <c r="AF34" i="22"/>
  <c r="R20" i="22"/>
  <c r="AB33" i="22"/>
  <c r="G29" i="42" s="1"/>
  <c r="S20" i="22"/>
  <c r="AD34" i="22"/>
  <c r="AB33" i="21"/>
  <c r="G28" i="42" s="1"/>
  <c r="S19" i="22"/>
  <c r="L41" i="21"/>
  <c r="AB32" i="21"/>
  <c r="H26" i="39" s="1"/>
  <c r="AH34" i="21"/>
  <c r="R20" i="21"/>
  <c r="P25" i="37"/>
  <c r="N25" i="37"/>
  <c r="O25" i="37"/>
  <c r="Q45" i="20"/>
  <c r="AB25" i="39" s="1"/>
  <c r="AC54" i="20"/>
  <c r="AC55" i="20" s="1"/>
  <c r="AA54" i="20"/>
  <c r="AA55" i="20" s="1"/>
  <c r="AB33" i="20"/>
  <c r="G27" i="42" s="1"/>
  <c r="AJ30" i="20"/>
  <c r="AJ34" i="20" s="1"/>
  <c r="AL62" i="20"/>
  <c r="S20" i="20"/>
  <c r="AD34" i="20"/>
  <c r="R19" i="20"/>
  <c r="R20" i="19"/>
  <c r="R21" i="20"/>
  <c r="AB33" i="19"/>
  <c r="G26" i="42" s="1"/>
  <c r="AC54" i="18"/>
  <c r="AC55" i="18" s="1"/>
  <c r="Y55" i="18"/>
  <c r="AA54" i="18"/>
  <c r="AA55" i="18" s="1"/>
  <c r="AJ56" i="17"/>
  <c r="AC54" i="17"/>
  <c r="AC55" i="17" s="1"/>
  <c r="AA54" i="17"/>
  <c r="AA55" i="17" s="1"/>
  <c r="AF34" i="19"/>
  <c r="AL62" i="19"/>
  <c r="S20" i="19"/>
  <c r="AD34" i="19"/>
  <c r="Q45" i="19"/>
  <c r="AB24" i="39" s="1"/>
  <c r="F24" i="37"/>
  <c r="J41" i="19"/>
  <c r="W24" i="39" s="1"/>
  <c r="Q45" i="18"/>
  <c r="AB23" i="39" s="1"/>
  <c r="AD34" i="18"/>
  <c r="R21" i="18"/>
  <c r="R20" i="18"/>
  <c r="AJ30" i="18"/>
  <c r="AP38" i="18" s="1"/>
  <c r="AF30" i="18"/>
  <c r="S19" i="19"/>
  <c r="AB33" i="18"/>
  <c r="G25" i="42" s="1"/>
  <c r="O23" i="39"/>
  <c r="L41" i="18"/>
  <c r="Q45" i="17"/>
  <c r="AB22" i="39" s="1"/>
  <c r="AB33" i="17"/>
  <c r="G24" i="42" s="1"/>
  <c r="AR39" i="17"/>
  <c r="J41" i="17"/>
  <c r="W22" i="39" s="1"/>
  <c r="L41" i="16"/>
  <c r="P21" i="37"/>
  <c r="O21" i="37"/>
  <c r="G21" i="37"/>
  <c r="AH34" i="17"/>
  <c r="AH30" i="17"/>
  <c r="AF30" i="17"/>
  <c r="R19" i="17" a="1"/>
  <c r="R19" i="17" s="1"/>
  <c r="F24" i="42"/>
  <c r="AL62" i="17"/>
  <c r="AD34" i="17"/>
  <c r="Y55" i="15"/>
  <c r="AH30" i="16"/>
  <c r="AF30" i="16"/>
  <c r="I22" i="38"/>
  <c r="J22" i="38"/>
  <c r="AB33" i="16"/>
  <c r="G23" i="42" s="1"/>
  <c r="AB32" i="16"/>
  <c r="H21" i="39" s="1"/>
  <c r="AD34" i="16"/>
  <c r="AR39" i="15"/>
  <c r="AE54" i="15"/>
  <c r="AE55" i="15" s="1"/>
  <c r="Q45" i="15"/>
  <c r="AB20" i="39" s="1"/>
  <c r="AB33" i="15"/>
  <c r="G22" i="42" s="1"/>
  <c r="AH30" i="15"/>
  <c r="AF34" i="15"/>
  <c r="AF30" i="15"/>
  <c r="AB32" i="15"/>
  <c r="H20" i="39" s="1"/>
  <c r="R21" i="16"/>
  <c r="R19" i="15" a="1"/>
  <c r="R19" i="15" s="1"/>
  <c r="R21" i="15"/>
  <c r="J41" i="14"/>
  <c r="W19" i="39" s="1"/>
  <c r="G19" i="37"/>
  <c r="D20" i="38"/>
  <c r="AG47" i="14"/>
  <c r="R19" i="14" a="1"/>
  <c r="R19" i="14" s="1"/>
  <c r="AB34" i="14"/>
  <c r="G21" i="42" s="1"/>
  <c r="AH30" i="13"/>
  <c r="AF31" i="14"/>
  <c r="AD35" i="14"/>
  <c r="AR40" i="14"/>
  <c r="AJ30" i="13"/>
  <c r="AP38" i="13" s="1"/>
  <c r="AF30" i="13"/>
  <c r="AH30" i="12"/>
  <c r="AB33" i="12"/>
  <c r="G19" i="42" s="1"/>
  <c r="AB17" i="37"/>
  <c r="AA55" i="5"/>
  <c r="AJ56" i="5"/>
  <c r="P17" i="37"/>
  <c r="G17" i="37"/>
  <c r="R19" i="12" a="1"/>
  <c r="R19" i="12" s="1"/>
  <c r="AD34" i="12"/>
  <c r="AB32" i="12"/>
  <c r="H17" i="39" s="1"/>
  <c r="S20" i="12"/>
  <c r="R21" i="12"/>
  <c r="Z16" i="37"/>
  <c r="F16" i="37"/>
  <c r="G16" i="37"/>
  <c r="E16" i="37"/>
  <c r="AJ30" i="11"/>
  <c r="AP38" i="11" s="1"/>
  <c r="AF30" i="11"/>
  <c r="AB33" i="11"/>
  <c r="G18" i="42" s="1"/>
  <c r="S20" i="11"/>
  <c r="AD34" i="11"/>
  <c r="AB33" i="10"/>
  <c r="G17" i="42" s="1"/>
  <c r="L41" i="10"/>
  <c r="Z15" i="39"/>
  <c r="N15" i="37"/>
  <c r="AR39" i="10"/>
  <c r="AD34" i="10"/>
  <c r="N14" i="37"/>
  <c r="Q45" i="9"/>
  <c r="AB14" i="39" s="1"/>
  <c r="AB33" i="9"/>
  <c r="G16" i="42" s="1"/>
  <c r="S20" i="9"/>
  <c r="R21" i="9"/>
  <c r="AH50" i="39"/>
  <c r="G37" i="46"/>
  <c r="J41" i="8"/>
  <c r="W13" i="39" s="1"/>
  <c r="S21" i="10"/>
  <c r="S19" i="10" a="1"/>
  <c r="S19" i="10" s="1"/>
  <c r="S20" i="10"/>
  <c r="AL62" i="9"/>
  <c r="AB33" i="8"/>
  <c r="G15" i="42" s="1"/>
  <c r="Q45" i="8"/>
  <c r="AB13" i="39" s="1"/>
  <c r="R20" i="8"/>
  <c r="L41" i="7"/>
  <c r="AB33" i="7"/>
  <c r="G14" i="42" s="1"/>
  <c r="S20" i="7"/>
  <c r="F37" i="46"/>
  <c r="Q45" i="7"/>
  <c r="AB12" i="39" s="1"/>
  <c r="E12" i="37"/>
  <c r="AJ30" i="7"/>
  <c r="AJ34" i="7" s="1"/>
  <c r="AD34" i="7"/>
  <c r="AF30" i="7"/>
  <c r="R20" i="7"/>
  <c r="AR39" i="7"/>
  <c r="AB33" i="6"/>
  <c r="G13" i="42" s="1"/>
  <c r="F38" i="46"/>
  <c r="N11" i="37"/>
  <c r="L41" i="6"/>
  <c r="S20" i="6"/>
  <c r="AR39" i="6"/>
  <c r="AH30" i="6"/>
  <c r="AF30" i="6"/>
  <c r="R19" i="6" a="1"/>
  <c r="R19" i="6" s="1"/>
  <c r="R19" i="5" a="1"/>
  <c r="R19" i="5" s="1"/>
  <c r="AB33" i="5"/>
  <c r="G12" i="42" s="1"/>
  <c r="AD34" i="5"/>
  <c r="S19" i="5" a="1"/>
  <c r="S19" i="5" s="1"/>
  <c r="Q45" i="5"/>
  <c r="AB10" i="39" s="1"/>
  <c r="AH34" i="5"/>
  <c r="J41" i="5"/>
  <c r="W10" i="39" s="1"/>
  <c r="AH30" i="5"/>
  <c r="AF34" i="5"/>
  <c r="AH30" i="4"/>
  <c r="E36" i="46"/>
  <c r="R21" i="4"/>
  <c r="AB33" i="4"/>
  <c r="G11" i="42" s="1"/>
  <c r="L41" i="4"/>
  <c r="O9" i="37"/>
  <c r="N39" i="39"/>
  <c r="AH34" i="4"/>
  <c r="AF30" i="4"/>
  <c r="AK38" i="4" s="1"/>
  <c r="AL40" i="4" s="1"/>
  <c r="I9" i="39" s="1"/>
  <c r="AD34" i="4"/>
  <c r="B37" i="46"/>
  <c r="L38" i="34"/>
  <c r="H46" i="42" s="1"/>
  <c r="R6" i="45" s="1"/>
  <c r="AB33" i="3"/>
  <c r="G10" i="42" s="1"/>
  <c r="Q45" i="3"/>
  <c r="AB8" i="39" s="1"/>
  <c r="L41" i="3"/>
  <c r="AJ30" i="3"/>
  <c r="AP38" i="3" s="1"/>
  <c r="R19" i="4" a="1"/>
  <c r="R19" i="4" s="1"/>
  <c r="E37" i="46"/>
  <c r="AH34" i="3"/>
  <c r="AF30" i="3"/>
  <c r="AD34" i="3"/>
  <c r="P40" i="39"/>
  <c r="S20" i="3"/>
  <c r="AA55" i="2"/>
  <c r="AA54" i="2"/>
  <c r="F36" i="46"/>
  <c r="E38" i="46"/>
  <c r="B36" i="46"/>
  <c r="B38" i="46"/>
  <c r="AB33" i="2"/>
  <c r="G9" i="42" s="1"/>
  <c r="AJ30" i="2"/>
  <c r="AP38" i="2" s="1"/>
  <c r="AH34" i="2"/>
  <c r="AF34" i="2"/>
  <c r="AB32" i="2"/>
  <c r="E9" i="42" s="1"/>
  <c r="Q45" i="2"/>
  <c r="AB7" i="39" s="1"/>
  <c r="AD34" i="2"/>
  <c r="J41" i="2"/>
  <c r="W7" i="39" s="1"/>
  <c r="AA7" i="37"/>
  <c r="F7" i="37"/>
  <c r="AJ34" i="2"/>
  <c r="AC67" i="6"/>
  <c r="AM39" i="6"/>
  <c r="AM38" i="8"/>
  <c r="M9" i="42"/>
  <c r="O7" i="39"/>
  <c r="N11" i="38"/>
  <c r="Z10" i="37"/>
  <c r="AL48" i="5"/>
  <c r="AL49" i="5" s="1"/>
  <c r="AJ49" i="5"/>
  <c r="AN48" i="5"/>
  <c r="J12" i="38"/>
  <c r="P11" i="37"/>
  <c r="AJ49" i="10"/>
  <c r="AQ61" i="10" s="1"/>
  <c r="AN48" i="10"/>
  <c r="AN49" i="10" s="1"/>
  <c r="AL34" i="2"/>
  <c r="AL30" i="2"/>
  <c r="AM38" i="2" s="1"/>
  <c r="J8" i="38"/>
  <c r="P7" i="37"/>
  <c r="D9" i="38"/>
  <c r="G8" i="37"/>
  <c r="N10" i="38"/>
  <c r="Z9" i="37"/>
  <c r="AJ30" i="5"/>
  <c r="AP30" i="5"/>
  <c r="AR38" i="5" s="1"/>
  <c r="AR39" i="5" s="1"/>
  <c r="R19" i="8" a="1"/>
  <c r="R19" i="8" s="1"/>
  <c r="AH34" i="8"/>
  <c r="AF34" i="9"/>
  <c r="AN30" i="9"/>
  <c r="AN34" i="9"/>
  <c r="D46" i="37"/>
  <c r="D78" i="37" s="1"/>
  <c r="D39" i="37"/>
  <c r="V5" i="43" s="1"/>
  <c r="J39" i="37"/>
  <c r="AB5" i="43" s="1"/>
  <c r="H6" i="44" s="1"/>
  <c r="D9" i="42"/>
  <c r="E7" i="39"/>
  <c r="AL61" i="2"/>
  <c r="AC55" i="2"/>
  <c r="F8" i="39"/>
  <c r="G8" i="39"/>
  <c r="AJ34" i="3"/>
  <c r="R21" i="3"/>
  <c r="R19" i="3" a="1"/>
  <c r="R19" i="3" s="1"/>
  <c r="R20" i="3"/>
  <c r="O9" i="38"/>
  <c r="AA8" i="37"/>
  <c r="AM39" i="3"/>
  <c r="F11" i="42"/>
  <c r="AL62" i="4"/>
  <c r="AN34" i="5"/>
  <c r="AA11" i="39"/>
  <c r="Q45" i="6"/>
  <c r="AB11" i="39" s="1"/>
  <c r="AG52" i="6"/>
  <c r="D13" i="38"/>
  <c r="G12" i="37"/>
  <c r="K12" i="37"/>
  <c r="K13" i="37"/>
  <c r="O13" i="38"/>
  <c r="AA12" i="37"/>
  <c r="AP34" i="8"/>
  <c r="AJ30" i="8"/>
  <c r="AG44" i="9"/>
  <c r="Y47" i="9"/>
  <c r="AG46" i="9" s="1"/>
  <c r="F16" i="39"/>
  <c r="G16" i="39"/>
  <c r="AB32" i="11"/>
  <c r="R20" i="11"/>
  <c r="R19" i="11" a="1"/>
  <c r="R19" i="11" s="1"/>
  <c r="R21" i="11"/>
  <c r="AH30" i="11"/>
  <c r="AP30" i="11"/>
  <c r="AR38" i="11" s="1"/>
  <c r="AR39" i="11" s="1"/>
  <c r="D18" i="42"/>
  <c r="E16" i="39"/>
  <c r="AQ62" i="11"/>
  <c r="AQ62" i="24"/>
  <c r="AL49" i="29"/>
  <c r="AL49" i="21"/>
  <c r="AG52" i="11"/>
  <c r="Y55" i="11"/>
  <c r="A5" i="1"/>
  <c r="U25" i="3"/>
  <c r="AJ48" i="3"/>
  <c r="AC46" i="3"/>
  <c r="AC47" i="3" s="1"/>
  <c r="AA46" i="3"/>
  <c r="AA47" i="3" s="1"/>
  <c r="AG52" i="3"/>
  <c r="Y55" i="3"/>
  <c r="Y55" i="4"/>
  <c r="AG52" i="4"/>
  <c r="AN49" i="5"/>
  <c r="S20" i="2"/>
  <c r="S21" i="2"/>
  <c r="S19" i="2" a="1"/>
  <c r="S19" i="2" s="1"/>
  <c r="R19" i="2" a="1"/>
  <c r="R19" i="2" s="1"/>
  <c r="R20" i="2"/>
  <c r="R21" i="2"/>
  <c r="V39" i="37"/>
  <c r="AN5" i="43" s="1"/>
  <c r="Y47" i="3"/>
  <c r="F15" i="42"/>
  <c r="AL62" i="8"/>
  <c r="AG44" i="8"/>
  <c r="J15" i="38"/>
  <c r="P14" i="37"/>
  <c r="M16" i="42"/>
  <c r="O14" i="39"/>
  <c r="R17" i="38"/>
  <c r="AA16" i="37"/>
  <c r="N8" i="38"/>
  <c r="Z7" i="37"/>
  <c r="AG40" i="39"/>
  <c r="P5" i="43" s="1"/>
  <c r="P6" i="43" s="1"/>
  <c r="AB32" i="3"/>
  <c r="AJ55" i="12"/>
  <c r="AN55" i="12" s="1"/>
  <c r="AN56" i="12" s="1"/>
  <c r="AC54" i="4"/>
  <c r="AA54" i="4"/>
  <c r="AJ55" i="13"/>
  <c r="AJ56" i="13" s="1"/>
  <c r="AE54" i="4"/>
  <c r="AE55" i="4" s="1"/>
  <c r="AJ55" i="4"/>
  <c r="P12" i="38"/>
  <c r="AB11" i="37"/>
  <c r="M13" i="42"/>
  <c r="O11" i="39"/>
  <c r="F12" i="39"/>
  <c r="G12" i="39"/>
  <c r="AB32" i="7"/>
  <c r="R21" i="7"/>
  <c r="R19" i="7" a="1"/>
  <c r="R19" i="7" s="1"/>
  <c r="Y47" i="7"/>
  <c r="AG44" i="7"/>
  <c r="P13" i="37"/>
  <c r="J14" i="38"/>
  <c r="D15" i="42"/>
  <c r="E13" i="39"/>
  <c r="AQ62" i="8"/>
  <c r="AC54" i="8"/>
  <c r="AA54" i="8"/>
  <c r="AA55" i="8" s="1"/>
  <c r="Y55" i="8"/>
  <c r="AE54" i="8"/>
  <c r="AE55" i="8" s="1"/>
  <c r="AJ55" i="8"/>
  <c r="AB15" i="37"/>
  <c r="P16" i="38"/>
  <c r="AG44" i="11"/>
  <c r="Y47" i="11"/>
  <c r="F18" i="39"/>
  <c r="G18" i="39"/>
  <c r="AB32" i="13"/>
  <c r="R20" i="13"/>
  <c r="R19" i="13" a="1"/>
  <c r="R19" i="13" s="1"/>
  <c r="R21" i="13"/>
  <c r="S21" i="16"/>
  <c r="S19" i="16" a="1"/>
  <c r="S19" i="16" s="1"/>
  <c r="AN48" i="17"/>
  <c r="AJ49" i="17"/>
  <c r="D25" i="38"/>
  <c r="G24" i="37"/>
  <c r="G27" i="37"/>
  <c r="D28" i="38"/>
  <c r="AJ49" i="22"/>
  <c r="AN48" i="22"/>
  <c r="AN49" i="22"/>
  <c r="D36" i="42"/>
  <c r="E34" i="39"/>
  <c r="AQ62" i="29"/>
  <c r="AG54" i="32"/>
  <c r="AN30" i="2"/>
  <c r="Y39" i="37"/>
  <c r="AQ5" i="43" s="1"/>
  <c r="H39" i="37"/>
  <c r="Z5" i="43" s="1"/>
  <c r="I6" i="44" s="1"/>
  <c r="I39" i="37"/>
  <c r="AA5" i="43" s="1"/>
  <c r="AE40" i="39"/>
  <c r="N8" i="37"/>
  <c r="H9" i="38"/>
  <c r="AJ30" i="4"/>
  <c r="D10" i="38"/>
  <c r="G9" i="37"/>
  <c r="AA55" i="4"/>
  <c r="F10" i="39"/>
  <c r="G10" i="39"/>
  <c r="AB32" i="5"/>
  <c r="G10" i="37"/>
  <c r="D11" i="38"/>
  <c r="AG46" i="5"/>
  <c r="AL55" i="5"/>
  <c r="AL56" i="5" s="1"/>
  <c r="AL61" i="5" s="1"/>
  <c r="D13" i="42"/>
  <c r="E11" i="39"/>
  <c r="F13" i="42"/>
  <c r="AL62" i="6"/>
  <c r="AP34" i="6"/>
  <c r="V11" i="39"/>
  <c r="J41" i="6"/>
  <c r="W11" i="39" s="1"/>
  <c r="P13" i="38"/>
  <c r="AB12" i="37"/>
  <c r="H13" i="38"/>
  <c r="N12" i="37"/>
  <c r="AL49" i="7"/>
  <c r="AQ61" i="7" s="1"/>
  <c r="AE54" i="7"/>
  <c r="AE55" i="7" s="1"/>
  <c r="AC54" i="7"/>
  <c r="AC55" i="7" s="1"/>
  <c r="AL34" i="8"/>
  <c r="S21" i="8"/>
  <c r="S20" i="8"/>
  <c r="S19" i="8" a="1"/>
  <c r="S19" i="8" s="1"/>
  <c r="AE46" i="8"/>
  <c r="AE47" i="8" s="1"/>
  <c r="AC46" i="8"/>
  <c r="AC47" i="8" s="1"/>
  <c r="AJ48" i="8"/>
  <c r="AH34" i="9"/>
  <c r="AH30" i="9"/>
  <c r="AJ30" i="10"/>
  <c r="P15" i="37"/>
  <c r="J16" i="38"/>
  <c r="D17" i="42"/>
  <c r="E15" i="39"/>
  <c r="AQ62" i="10"/>
  <c r="Q45" i="11"/>
  <c r="AB16" i="39" s="1"/>
  <c r="AP30" i="12"/>
  <c r="AR38" i="12" s="1"/>
  <c r="AR39" i="12" s="1"/>
  <c r="B18" i="38"/>
  <c r="E17" i="37"/>
  <c r="N17" i="37"/>
  <c r="H18" i="38"/>
  <c r="AD34" i="13"/>
  <c r="Z19" i="37"/>
  <c r="N20" i="38"/>
  <c r="H21" i="38"/>
  <c r="N20" i="37"/>
  <c r="AP34" i="19"/>
  <c r="AP30" i="19"/>
  <c r="AR38" i="19" s="1"/>
  <c r="AR39" i="19" s="1"/>
  <c r="Y55" i="20"/>
  <c r="AG52" i="20"/>
  <c r="AH34" i="22"/>
  <c r="AH30" i="22"/>
  <c r="R21" i="23"/>
  <c r="AP34" i="23"/>
  <c r="O30" i="38"/>
  <c r="AA29" i="37"/>
  <c r="AJ30" i="27"/>
  <c r="AD34" i="28"/>
  <c r="AJ30" i="28"/>
  <c r="AP34" i="29"/>
  <c r="AP30" i="29"/>
  <c r="AR38" i="29" s="1"/>
  <c r="AR39" i="29" s="1"/>
  <c r="G15" i="37"/>
  <c r="B13" i="38"/>
  <c r="AH30" i="2"/>
  <c r="M39" i="37"/>
  <c r="AE5" i="43" s="1"/>
  <c r="S39" i="37"/>
  <c r="AK5" i="43" s="1"/>
  <c r="D6" i="44" s="1"/>
  <c r="AE39" i="37"/>
  <c r="AT5" i="43" s="1"/>
  <c r="U39" i="37"/>
  <c r="AM5" i="43" s="1"/>
  <c r="AB7" i="37"/>
  <c r="P8" i="38"/>
  <c r="I8" i="38"/>
  <c r="O7" i="37"/>
  <c r="X39" i="37"/>
  <c r="AP5" i="43" s="1"/>
  <c r="AL56" i="2"/>
  <c r="AN55" i="2"/>
  <c r="AN56" i="2" s="1"/>
  <c r="AH30" i="3"/>
  <c r="AP30" i="3"/>
  <c r="AR38" i="3" s="1"/>
  <c r="AR39" i="3" s="1"/>
  <c r="E8" i="39"/>
  <c r="D10" i="42"/>
  <c r="AQ62" i="3"/>
  <c r="F10" i="42"/>
  <c r="AL62" i="3"/>
  <c r="AP34" i="3"/>
  <c r="V8" i="39"/>
  <c r="J41" i="3"/>
  <c r="W8" i="39" s="1"/>
  <c r="AF34" i="4"/>
  <c r="AN34" i="4"/>
  <c r="J10" i="38"/>
  <c r="P9" i="37"/>
  <c r="P10" i="38"/>
  <c r="AB9" i="37"/>
  <c r="M11" i="42"/>
  <c r="O9" i="39"/>
  <c r="E9" i="37"/>
  <c r="B10" i="38"/>
  <c r="H10" i="38"/>
  <c r="N9" i="37"/>
  <c r="V9" i="39"/>
  <c r="J41" i="4"/>
  <c r="W9" i="39" s="1"/>
  <c r="AR53" i="4"/>
  <c r="AF30" i="5"/>
  <c r="AN30" i="5"/>
  <c r="J11" i="38"/>
  <c r="P10" i="37"/>
  <c r="M12" i="42"/>
  <c r="O10" i="39"/>
  <c r="B11" i="38"/>
  <c r="E10" i="37"/>
  <c r="H11" i="38"/>
  <c r="N10" i="37"/>
  <c r="C11" i="38"/>
  <c r="F10" i="37"/>
  <c r="I11" i="38"/>
  <c r="O10" i="37"/>
  <c r="S21" i="5"/>
  <c r="D12" i="42"/>
  <c r="E10" i="39"/>
  <c r="AQ62" i="5"/>
  <c r="Z10" i="39"/>
  <c r="L41" i="5"/>
  <c r="AL62" i="5"/>
  <c r="AD34" i="6"/>
  <c r="AL34" i="6"/>
  <c r="E11" i="37"/>
  <c r="B12" i="38"/>
  <c r="S21" i="7"/>
  <c r="S19" i="7" a="1"/>
  <c r="S19" i="7" s="1"/>
  <c r="AH34" i="6"/>
  <c r="AA55" i="6"/>
  <c r="AQ62" i="6"/>
  <c r="AH34" i="7"/>
  <c r="AP34" i="7"/>
  <c r="AH30" i="7"/>
  <c r="AH30" i="8"/>
  <c r="AP30" i="8"/>
  <c r="AR38" i="8" s="1"/>
  <c r="AR39" i="8" s="1"/>
  <c r="O14" i="38"/>
  <c r="AA13" i="37"/>
  <c r="Y47" i="8"/>
  <c r="AC55" i="8"/>
  <c r="AD34" i="9"/>
  <c r="P15" i="38"/>
  <c r="AB14" i="37"/>
  <c r="D16" i="42"/>
  <c r="E14" i="39"/>
  <c r="AQ62" i="9"/>
  <c r="AN48" i="9"/>
  <c r="AN49" i="9" s="1"/>
  <c r="AL48" i="9"/>
  <c r="M17" i="42"/>
  <c r="O15" i="39"/>
  <c r="F17" i="42"/>
  <c r="AL62" i="10"/>
  <c r="AL48" i="28"/>
  <c r="AL48" i="27"/>
  <c r="AL48" i="26"/>
  <c r="AL48" i="22"/>
  <c r="AL48" i="20"/>
  <c r="AL48" i="17"/>
  <c r="AL48" i="24"/>
  <c r="AL48" i="23"/>
  <c r="AL48" i="29"/>
  <c r="AL48" i="21"/>
  <c r="AJ49" i="24"/>
  <c r="AN48" i="11"/>
  <c r="AL48" i="30"/>
  <c r="AF34" i="12"/>
  <c r="AN34" i="12"/>
  <c r="M19" i="42"/>
  <c r="O17" i="39"/>
  <c r="J21" i="38"/>
  <c r="P20" i="37"/>
  <c r="AB20" i="37"/>
  <c r="P21" i="38"/>
  <c r="M22" i="42"/>
  <c r="O20" i="39"/>
  <c r="R19" i="16" a="1"/>
  <c r="R19" i="16" s="1"/>
  <c r="AP30" i="16"/>
  <c r="AR38" i="16" s="1"/>
  <c r="AR39" i="16" s="1"/>
  <c r="AL34" i="16"/>
  <c r="AG52" i="16"/>
  <c r="Y55" i="16"/>
  <c r="AH34" i="18"/>
  <c r="AP34" i="18"/>
  <c r="AM38" i="18"/>
  <c r="AE46" i="18"/>
  <c r="AE47" i="18" s="1"/>
  <c r="AC46" i="18"/>
  <c r="AC47" i="18" s="1"/>
  <c r="AG46" i="18" s="1"/>
  <c r="AA46" i="18"/>
  <c r="AF30" i="20"/>
  <c r="AF34" i="20"/>
  <c r="AN30" i="20"/>
  <c r="AN34" i="20"/>
  <c r="AG44" i="20"/>
  <c r="AA47" i="20"/>
  <c r="AG46" i="20" s="1"/>
  <c r="F29" i="42"/>
  <c r="AL62" i="22"/>
  <c r="AA28" i="37"/>
  <c r="O29" i="38"/>
  <c r="AF30" i="24"/>
  <c r="AN30" i="24"/>
  <c r="AM38" i="24" s="1"/>
  <c r="AF34" i="24"/>
  <c r="AN34" i="24"/>
  <c r="R19" i="24"/>
  <c r="AJ30" i="25"/>
  <c r="AP34" i="26"/>
  <c r="D33" i="42"/>
  <c r="E31" i="39"/>
  <c r="AH34" i="27"/>
  <c r="AH30" i="27"/>
  <c r="S20" i="28"/>
  <c r="S21" i="28"/>
  <c r="AG46" i="28"/>
  <c r="AL34" i="29"/>
  <c r="V34" i="39"/>
  <c r="J41" i="29"/>
  <c r="W34" i="39" s="1"/>
  <c r="Y55" i="29"/>
  <c r="AG52" i="29"/>
  <c r="AH30" i="30"/>
  <c r="Y47" i="32"/>
  <c r="AG44" i="32"/>
  <c r="AB10" i="37"/>
  <c r="P12" i="37"/>
  <c r="Y47" i="12"/>
  <c r="AG44" i="12"/>
  <c r="G18" i="37"/>
  <c r="D19" i="38"/>
  <c r="AG53" i="14"/>
  <c r="Y56" i="14"/>
  <c r="AN49" i="17"/>
  <c r="AL55" i="18"/>
  <c r="AN55" i="18"/>
  <c r="AN56" i="18" s="1"/>
  <c r="AJ56" i="18"/>
  <c r="J25" i="38"/>
  <c r="P24" i="37"/>
  <c r="M26" i="42"/>
  <c r="O24" i="39"/>
  <c r="S21" i="21"/>
  <c r="S19" i="21"/>
  <c r="S20" i="21"/>
  <c r="J28" i="38"/>
  <c r="P27" i="37"/>
  <c r="M29" i="42"/>
  <c r="O27" i="39"/>
  <c r="D31" i="42"/>
  <c r="E29" i="39"/>
  <c r="AC46" i="24"/>
  <c r="AC47" i="24" s="1"/>
  <c r="AA46" i="24"/>
  <c r="AA47" i="24" s="1"/>
  <c r="AE46" i="24"/>
  <c r="AE47" i="24" s="1"/>
  <c r="S21" i="29"/>
  <c r="S19" i="29"/>
  <c r="S20" i="29"/>
  <c r="F36" i="42"/>
  <c r="AL62" i="29"/>
  <c r="R37" i="38"/>
  <c r="R38" i="38"/>
  <c r="AF30" i="2"/>
  <c r="D8" i="38"/>
  <c r="G7" i="37"/>
  <c r="Q39" i="37"/>
  <c r="AI5" i="43" s="1"/>
  <c r="E6" i="44" s="1"/>
  <c r="AC46" i="2"/>
  <c r="AC47" i="2" s="1"/>
  <c r="AA46" i="2"/>
  <c r="AA47" i="2" s="1"/>
  <c r="AJ48" i="2"/>
  <c r="B9" i="38"/>
  <c r="E8" i="37"/>
  <c r="AA55" i="3"/>
  <c r="G9" i="39"/>
  <c r="F9" i="39"/>
  <c r="R20" i="4"/>
  <c r="D11" i="42"/>
  <c r="E9" i="39"/>
  <c r="AQ62" i="4"/>
  <c r="R20" i="5"/>
  <c r="AC47" i="6"/>
  <c r="AC54" i="6"/>
  <c r="AC55" i="6" s="1"/>
  <c r="AA54" i="6"/>
  <c r="AJ55" i="6"/>
  <c r="AM38" i="7"/>
  <c r="V12" i="39"/>
  <c r="J41" i="7"/>
  <c r="W12" i="39" s="1"/>
  <c r="AJ55" i="7"/>
  <c r="G13" i="39"/>
  <c r="F13" i="39"/>
  <c r="AB32" i="8"/>
  <c r="AP34" i="9"/>
  <c r="R15" i="38"/>
  <c r="AA14" i="37"/>
  <c r="V14" i="39"/>
  <c r="J41" i="9"/>
  <c r="W14" i="39" s="1"/>
  <c r="AE54" i="9"/>
  <c r="AE55" i="9" s="1"/>
  <c r="AJ55" i="9"/>
  <c r="AC54" i="9"/>
  <c r="AC55" i="9" s="1"/>
  <c r="AA54" i="9"/>
  <c r="AA55" i="9" s="1"/>
  <c r="F15" i="39"/>
  <c r="G15" i="39"/>
  <c r="AB32" i="10"/>
  <c r="R20" i="10"/>
  <c r="R21" i="10"/>
  <c r="R19" i="10" a="1"/>
  <c r="R19" i="10" s="1"/>
  <c r="AH30" i="10"/>
  <c r="AE54" i="10"/>
  <c r="AE55" i="10" s="1"/>
  <c r="AC54" i="10"/>
  <c r="AC55" i="10" s="1"/>
  <c r="AL30" i="11"/>
  <c r="AM38" i="11" s="1"/>
  <c r="AL34" i="11"/>
  <c r="S21" i="11"/>
  <c r="S19" i="11" a="1"/>
  <c r="S19" i="11" s="1"/>
  <c r="AC54" i="13"/>
  <c r="AA54" i="13"/>
  <c r="AE54" i="13"/>
  <c r="AE55" i="13" s="1"/>
  <c r="K20" i="38"/>
  <c r="N19" i="37"/>
  <c r="AL49" i="14"/>
  <c r="AN49" i="14"/>
  <c r="AN50" i="14" s="1"/>
  <c r="B21" i="38"/>
  <c r="E20" i="37"/>
  <c r="O24" i="38"/>
  <c r="AA23" i="37"/>
  <c r="AG54" i="18"/>
  <c r="AH34" i="19"/>
  <c r="AH30" i="19"/>
  <c r="P27" i="38"/>
  <c r="AB26" i="37"/>
  <c r="AA26" i="39"/>
  <c r="Q45" i="21"/>
  <c r="AB26" i="39" s="1"/>
  <c r="AP34" i="22"/>
  <c r="AP30" i="22"/>
  <c r="AR38" i="22" s="1"/>
  <c r="AR39" i="22" s="1"/>
  <c r="AJ30" i="23"/>
  <c r="AH34" i="23"/>
  <c r="AE46" i="23"/>
  <c r="AE47" i="23" s="1"/>
  <c r="AC46" i="23"/>
  <c r="AC47" i="23" s="1"/>
  <c r="AJ48" i="23"/>
  <c r="AA46" i="23"/>
  <c r="AA47" i="23" s="1"/>
  <c r="H31" i="38"/>
  <c r="N30" i="37"/>
  <c r="F34" i="42"/>
  <c r="AL62" i="27"/>
  <c r="AJ48" i="27"/>
  <c r="AN48" i="27" s="1"/>
  <c r="AN49" i="27" s="1"/>
  <c r="AA46" i="27"/>
  <c r="AE46" i="27"/>
  <c r="AE47" i="27" s="1"/>
  <c r="AC46" i="27"/>
  <c r="AC47" i="27" s="1"/>
  <c r="Y47" i="27"/>
  <c r="AL34" i="28"/>
  <c r="Z33" i="39"/>
  <c r="L41" i="28"/>
  <c r="AH34" i="29"/>
  <c r="AH30" i="29"/>
  <c r="AN30" i="31"/>
  <c r="AP30" i="2"/>
  <c r="AR38" i="2" s="1"/>
  <c r="AR39" i="2" s="1"/>
  <c r="C39" i="37"/>
  <c r="U5" i="43" s="1"/>
  <c r="C46" i="37"/>
  <c r="AD39" i="37"/>
  <c r="AS5" i="43" s="1"/>
  <c r="S21" i="3"/>
  <c r="S19" i="3" a="1"/>
  <c r="S19" i="3" s="1"/>
  <c r="C43" i="42"/>
  <c r="C42" i="42"/>
  <c r="AN34" i="2"/>
  <c r="L41" i="2"/>
  <c r="Y47" i="2"/>
  <c r="AE46" i="2"/>
  <c r="AE47" i="2" s="1"/>
  <c r="AF40" i="39"/>
  <c r="N5" i="43" s="1"/>
  <c r="N6" i="43" s="1"/>
  <c r="AF34" i="3"/>
  <c r="AN34" i="3"/>
  <c r="J9" i="38"/>
  <c r="P8" i="37"/>
  <c r="P9" i="38"/>
  <c r="AB8" i="37"/>
  <c r="AJ56" i="3"/>
  <c r="AL55" i="3"/>
  <c r="AL56" i="3" s="1"/>
  <c r="AL30" i="4"/>
  <c r="AM38" i="4" s="1"/>
  <c r="S21" i="4"/>
  <c r="S19" i="4" a="1"/>
  <c r="S19" i="4" s="1"/>
  <c r="S20" i="4"/>
  <c r="AB32" i="4"/>
  <c r="Q45" i="4"/>
  <c r="AB9" i="39" s="1"/>
  <c r="AC55" i="4"/>
  <c r="AL30" i="5"/>
  <c r="AM38" i="5" s="1"/>
  <c r="S20" i="5"/>
  <c r="R21" i="5"/>
  <c r="S21" i="6"/>
  <c r="S19" i="6" a="1"/>
  <c r="S19" i="6" s="1"/>
  <c r="Y55" i="5"/>
  <c r="AG52" i="5"/>
  <c r="G11" i="39"/>
  <c r="F11" i="39"/>
  <c r="AJ30" i="6"/>
  <c r="R21" i="6"/>
  <c r="D12" i="38"/>
  <c r="G11" i="37"/>
  <c r="R20" i="6"/>
  <c r="O12" i="38"/>
  <c r="AA11" i="37"/>
  <c r="AB32" i="6"/>
  <c r="AE46" i="6"/>
  <c r="AE47" i="6" s="1"/>
  <c r="AC46" i="6"/>
  <c r="AJ48" i="6"/>
  <c r="AE54" i="6"/>
  <c r="AE55" i="6" s="1"/>
  <c r="AF34" i="7"/>
  <c r="AN34" i="7"/>
  <c r="O12" i="39"/>
  <c r="M14" i="42"/>
  <c r="D14" i="42"/>
  <c r="E12" i="39"/>
  <c r="AQ62" i="7"/>
  <c r="AC47" i="7"/>
  <c r="AA54" i="7"/>
  <c r="AA55" i="7" s="1"/>
  <c r="AF30" i="8"/>
  <c r="AK38" i="8" s="1"/>
  <c r="AN30" i="8"/>
  <c r="G13" i="37"/>
  <c r="D14" i="38"/>
  <c r="M15" i="42"/>
  <c r="O13" i="39"/>
  <c r="S19" i="9"/>
  <c r="S21" i="9"/>
  <c r="AN34" i="8"/>
  <c r="L41" i="8"/>
  <c r="AJ30" i="9"/>
  <c r="D15" i="38"/>
  <c r="G14" i="37"/>
  <c r="B15" i="38"/>
  <c r="E14" i="37"/>
  <c r="AP30" i="9"/>
  <c r="AR38" i="9" s="1"/>
  <c r="AR39" i="9" s="1"/>
  <c r="AL49" i="9"/>
  <c r="AQ61" i="9" s="1"/>
  <c r="Y55" i="9"/>
  <c r="Y55" i="10"/>
  <c r="AA54" i="10"/>
  <c r="AA55" i="10" s="1"/>
  <c r="AJ55" i="10"/>
  <c r="AL49" i="24"/>
  <c r="AL30" i="12"/>
  <c r="AM38" i="12" s="1"/>
  <c r="AL34" i="12"/>
  <c r="S21" i="12"/>
  <c r="S19" i="12" a="1"/>
  <c r="S19" i="12" s="1"/>
  <c r="AF30" i="12"/>
  <c r="AK38" i="12" s="1"/>
  <c r="V17" i="39"/>
  <c r="J41" i="12"/>
  <c r="W17" i="39" s="1"/>
  <c r="D20" i="42"/>
  <c r="E18" i="39"/>
  <c r="AQ62" i="13"/>
  <c r="AG52" i="13"/>
  <c r="Y55" i="13"/>
  <c r="AF35" i="14"/>
  <c r="AN35" i="14"/>
  <c r="F21" i="42"/>
  <c r="AL63" i="14"/>
  <c r="AD34" i="15"/>
  <c r="V20" i="39"/>
  <c r="J41" i="15"/>
  <c r="W20" i="39" s="1"/>
  <c r="S20" i="16"/>
  <c r="AC54" i="16"/>
  <c r="AC55" i="16" s="1"/>
  <c r="AA54" i="16"/>
  <c r="AE54" i="16"/>
  <c r="AE55" i="16" s="1"/>
  <c r="AJ55" i="16"/>
  <c r="AJ56" i="16" s="1"/>
  <c r="N23" i="38"/>
  <c r="Z22" i="37"/>
  <c r="AF34" i="17"/>
  <c r="AC55" i="19"/>
  <c r="D27" i="42"/>
  <c r="E25" i="39"/>
  <c r="AQ62" i="20"/>
  <c r="AF34" i="21"/>
  <c r="AF30" i="21"/>
  <c r="AN34" i="21"/>
  <c r="AN30" i="21"/>
  <c r="AM38" i="21" s="1"/>
  <c r="AP34" i="21"/>
  <c r="AG52" i="21"/>
  <c r="S21" i="23"/>
  <c r="S19" i="23"/>
  <c r="S20" i="23"/>
  <c r="F31" i="42"/>
  <c r="AL62" i="24"/>
  <c r="Z29" i="39"/>
  <c r="L41" i="24"/>
  <c r="D32" i="38"/>
  <c r="G31" i="37"/>
  <c r="J32" i="38"/>
  <c r="P31" i="37"/>
  <c r="M33" i="42"/>
  <c r="O31" i="39"/>
  <c r="F33" i="42"/>
  <c r="AL62" i="26"/>
  <c r="AF34" i="28"/>
  <c r="AF30" i="28"/>
  <c r="D34" i="38"/>
  <c r="G33" i="37"/>
  <c r="J34" i="38"/>
  <c r="P33" i="37"/>
  <c r="M35" i="42"/>
  <c r="O33" i="39"/>
  <c r="AM38" i="29"/>
  <c r="Z27" i="37"/>
  <c r="H15" i="38"/>
  <c r="AL30" i="13"/>
  <c r="AM38" i="13" s="1"/>
  <c r="S21" i="13"/>
  <c r="S19" i="13" a="1"/>
  <c r="S19" i="13" s="1"/>
  <c r="Q45" i="13"/>
  <c r="AB18" i="39" s="1"/>
  <c r="AA55" i="13"/>
  <c r="R20" i="14"/>
  <c r="AH35" i="14"/>
  <c r="AP35" i="14"/>
  <c r="D21" i="42"/>
  <c r="E19" i="39"/>
  <c r="AQ63" i="14"/>
  <c r="AH34" i="15"/>
  <c r="AP34" i="15"/>
  <c r="N21" i="38"/>
  <c r="Z20" i="37"/>
  <c r="AN34" i="16"/>
  <c r="B22" i="38"/>
  <c r="E21" i="37"/>
  <c r="AL48" i="16"/>
  <c r="AL49" i="16" s="1"/>
  <c r="F22" i="39"/>
  <c r="G22" i="39"/>
  <c r="R20" i="17"/>
  <c r="D23" i="38"/>
  <c r="G22" i="37"/>
  <c r="AL55" i="17"/>
  <c r="S21" i="18"/>
  <c r="S19" i="18"/>
  <c r="B24" i="38"/>
  <c r="E23" i="37"/>
  <c r="S20" i="18"/>
  <c r="AJ49" i="18"/>
  <c r="S21" i="20"/>
  <c r="S19" i="20"/>
  <c r="AP34" i="20"/>
  <c r="AP30" i="21"/>
  <c r="AR38" i="21" s="1"/>
  <c r="AR39" i="21" s="1"/>
  <c r="F28" i="42"/>
  <c r="AL62" i="21"/>
  <c r="V26" i="39"/>
  <c r="J41" i="21"/>
  <c r="W26" i="39" s="1"/>
  <c r="AC54" i="21"/>
  <c r="AC55" i="21" s="1"/>
  <c r="AA54" i="21"/>
  <c r="AJ55" i="21"/>
  <c r="F27" i="39"/>
  <c r="G27" i="39"/>
  <c r="AB32" i="22"/>
  <c r="AG46" i="22"/>
  <c r="H29" i="38"/>
  <c r="N28" i="37"/>
  <c r="Y47" i="23"/>
  <c r="S19" i="24"/>
  <c r="S21" i="25"/>
  <c r="S19" i="25"/>
  <c r="P32" i="38"/>
  <c r="AB31" i="37"/>
  <c r="I33" i="38"/>
  <c r="O32" i="37"/>
  <c r="AP34" i="28"/>
  <c r="AP30" i="28"/>
  <c r="AR38" i="28" s="1"/>
  <c r="AR39" i="28" s="1"/>
  <c r="R36" i="38"/>
  <c r="AA35" i="37"/>
  <c r="E160" i="34"/>
  <c r="E28" i="37"/>
  <c r="V2" i="39"/>
  <c r="W2" i="39"/>
  <c r="AE2" i="37"/>
  <c r="X2" i="37"/>
  <c r="AD2" i="37"/>
  <c r="B7" i="37"/>
  <c r="AC2" i="37"/>
  <c r="T39" i="37"/>
  <c r="AL5" i="43" s="1"/>
  <c r="AC39" i="37"/>
  <c r="AR5" i="43" s="1"/>
  <c r="AG44" i="2"/>
  <c r="AG52" i="2"/>
  <c r="M10" i="42"/>
  <c r="O8" i="39"/>
  <c r="N9" i="38"/>
  <c r="Z8" i="37"/>
  <c r="B41" i="42"/>
  <c r="C10" i="38"/>
  <c r="F9" i="37"/>
  <c r="AE46" i="4"/>
  <c r="AE47" i="4" s="1"/>
  <c r="AG46" i="4" s="1"/>
  <c r="AR53" i="19"/>
  <c r="AJ56" i="4"/>
  <c r="AA10" i="37"/>
  <c r="AE54" i="5"/>
  <c r="AE55" i="5" s="1"/>
  <c r="N12" i="38"/>
  <c r="Z11" i="37"/>
  <c r="N13" i="38"/>
  <c r="Z12" i="37"/>
  <c r="L13" i="37"/>
  <c r="L12" i="37"/>
  <c r="AE46" i="7"/>
  <c r="AE47" i="7" s="1"/>
  <c r="AL62" i="7"/>
  <c r="AB13" i="37"/>
  <c r="P14" i="38"/>
  <c r="B14" i="38"/>
  <c r="E13" i="37"/>
  <c r="R21" i="8"/>
  <c r="F14" i="39"/>
  <c r="G14" i="39"/>
  <c r="R20" i="9"/>
  <c r="R19" i="9" a="1"/>
  <c r="R19" i="9" s="1"/>
  <c r="Z14" i="37"/>
  <c r="N15" i="38"/>
  <c r="F14" i="37"/>
  <c r="C15" i="38"/>
  <c r="I15" i="38"/>
  <c r="O14" i="37"/>
  <c r="AB32" i="9"/>
  <c r="Z14" i="39"/>
  <c r="L41" i="9"/>
  <c r="AF34" i="10"/>
  <c r="AN34" i="10"/>
  <c r="B16" i="38"/>
  <c r="E15" i="37"/>
  <c r="Q45" i="10"/>
  <c r="AB15" i="39" s="1"/>
  <c r="AF34" i="11"/>
  <c r="AN34" i="11"/>
  <c r="J18" i="38"/>
  <c r="J17" i="38"/>
  <c r="AB16" i="37"/>
  <c r="M18" i="42"/>
  <c r="O16" i="39"/>
  <c r="N16" i="37"/>
  <c r="V16" i="39"/>
  <c r="J41" i="11"/>
  <c r="W16" i="39" s="1"/>
  <c r="AR46" i="27"/>
  <c r="AR46" i="28"/>
  <c r="AR46" i="30"/>
  <c r="AR46" i="26"/>
  <c r="AJ49" i="11"/>
  <c r="AR53" i="30"/>
  <c r="AR53" i="29"/>
  <c r="AR53" i="28"/>
  <c r="AR53" i="27"/>
  <c r="AR53" i="23"/>
  <c r="AH34" i="12"/>
  <c r="AP34" i="12"/>
  <c r="N18" i="38"/>
  <c r="Z17" i="37"/>
  <c r="F19" i="42"/>
  <c r="AL62" i="12"/>
  <c r="AC47" i="12"/>
  <c r="AR53" i="12"/>
  <c r="AF34" i="13"/>
  <c r="AN34" i="13"/>
  <c r="P18" i="37"/>
  <c r="J19" i="38"/>
  <c r="M20" i="42"/>
  <c r="O18" i="39"/>
  <c r="B19" i="38"/>
  <c r="E18" i="37"/>
  <c r="H19" i="38"/>
  <c r="N18" i="37"/>
  <c r="V18" i="39"/>
  <c r="J41" i="13"/>
  <c r="W18" i="39" s="1"/>
  <c r="AJ49" i="13"/>
  <c r="AC55" i="13"/>
  <c r="S21" i="14"/>
  <c r="S19" i="14" a="1"/>
  <c r="S19" i="14" s="1"/>
  <c r="F19" i="39"/>
  <c r="G19" i="39"/>
  <c r="AJ31" i="14"/>
  <c r="S20" i="14"/>
  <c r="AH31" i="14"/>
  <c r="AB33" i="14"/>
  <c r="L41" i="14"/>
  <c r="AJ50" i="14"/>
  <c r="F20" i="39"/>
  <c r="G20" i="39"/>
  <c r="AJ30" i="15"/>
  <c r="R20" i="15"/>
  <c r="D21" i="38"/>
  <c r="G20" i="37"/>
  <c r="D22" i="42"/>
  <c r="E20" i="39"/>
  <c r="AQ62" i="15"/>
  <c r="L41" i="15"/>
  <c r="AC54" i="15"/>
  <c r="AC55" i="15" s="1"/>
  <c r="AA54" i="15"/>
  <c r="AJ55" i="15"/>
  <c r="AH34" i="16"/>
  <c r="AP34" i="16"/>
  <c r="G22" i="38"/>
  <c r="E22" i="38"/>
  <c r="N22" i="38"/>
  <c r="Z21" i="37"/>
  <c r="Q45" i="16"/>
  <c r="AB21" i="39" s="1"/>
  <c r="AJ49" i="16"/>
  <c r="AL30" i="17"/>
  <c r="AM38" i="17" s="1"/>
  <c r="S21" i="17"/>
  <c r="S19" i="17" a="1"/>
  <c r="S19" i="17" s="1"/>
  <c r="S20" i="17"/>
  <c r="AG44" i="17"/>
  <c r="Y55" i="17"/>
  <c r="AG52" i="17"/>
  <c r="AF34" i="18"/>
  <c r="AN34" i="18"/>
  <c r="AB23" i="37"/>
  <c r="P24" i="38"/>
  <c r="AA47" i="18"/>
  <c r="AL30" i="19"/>
  <c r="I25" i="38"/>
  <c r="O24" i="37"/>
  <c r="S21" i="19"/>
  <c r="D26" i="42"/>
  <c r="E24" i="39"/>
  <c r="AA47" i="19"/>
  <c r="AG46" i="19" s="1"/>
  <c r="AG44" i="19"/>
  <c r="AJ49" i="19"/>
  <c r="R20" i="20"/>
  <c r="AN49" i="20"/>
  <c r="AJ30" i="21"/>
  <c r="R21" i="21"/>
  <c r="AA26" i="37"/>
  <c r="O27" i="38"/>
  <c r="AE46" i="21"/>
  <c r="AE47" i="21" s="1"/>
  <c r="AC46" i="21"/>
  <c r="AJ48" i="21"/>
  <c r="AN48" i="21" s="1"/>
  <c r="AN49" i="21" s="1"/>
  <c r="AE54" i="21"/>
  <c r="AE55" i="21" s="1"/>
  <c r="AL30" i="22"/>
  <c r="C28" i="38"/>
  <c r="F27" i="37"/>
  <c r="O27" i="37"/>
  <c r="I28" i="38"/>
  <c r="S21" i="22"/>
  <c r="D29" i="42"/>
  <c r="E27" i="39"/>
  <c r="AQ62" i="22"/>
  <c r="Y55" i="22"/>
  <c r="AG52" i="22"/>
  <c r="AF34" i="23"/>
  <c r="AN34" i="23"/>
  <c r="AE54" i="23"/>
  <c r="AE55" i="23" s="1"/>
  <c r="AC54" i="23"/>
  <c r="AC55" i="23" s="1"/>
  <c r="AJ55" i="23"/>
  <c r="F29" i="39"/>
  <c r="G29" i="39"/>
  <c r="AB32" i="24"/>
  <c r="R21" i="24"/>
  <c r="S21" i="24"/>
  <c r="AP34" i="24"/>
  <c r="AN55" i="24"/>
  <c r="AF34" i="25"/>
  <c r="AN34" i="25"/>
  <c r="AF30" i="25"/>
  <c r="V30" i="39"/>
  <c r="J41" i="25"/>
  <c r="W30" i="39" s="1"/>
  <c r="AG44" i="25"/>
  <c r="AE54" i="25"/>
  <c r="AE55" i="25" s="1"/>
  <c r="AC54" i="25"/>
  <c r="AJ55" i="25"/>
  <c r="AN55" i="25" s="1"/>
  <c r="AN56" i="25" s="1"/>
  <c r="G31" i="39"/>
  <c r="F31" i="39"/>
  <c r="AB32" i="26"/>
  <c r="R21" i="26"/>
  <c r="R19" i="26"/>
  <c r="C32" i="38"/>
  <c r="F31" i="37"/>
  <c r="I32" i="38"/>
  <c r="O31" i="37"/>
  <c r="AC54" i="26"/>
  <c r="AC55" i="26" s="1"/>
  <c r="AA54" i="26"/>
  <c r="AJ55" i="26"/>
  <c r="AL30" i="27"/>
  <c r="N33" i="38"/>
  <c r="Z32" i="37"/>
  <c r="Z32" i="39"/>
  <c r="L41" i="27"/>
  <c r="AA47" i="27"/>
  <c r="AA54" i="27"/>
  <c r="AA55" i="27" s="1"/>
  <c r="AJ55" i="27"/>
  <c r="AE54" i="27"/>
  <c r="AE55" i="27" s="1"/>
  <c r="R21" i="28"/>
  <c r="AA55" i="28"/>
  <c r="AG54" i="28" s="1"/>
  <c r="AG52" i="28"/>
  <c r="AD34" i="29"/>
  <c r="Z34" i="37"/>
  <c r="N35" i="38"/>
  <c r="AC55" i="29"/>
  <c r="AL30" i="30"/>
  <c r="AM38" i="30" s="1"/>
  <c r="AL34" i="30"/>
  <c r="S21" i="30"/>
  <c r="S19" i="30"/>
  <c r="R19" i="30"/>
  <c r="AP30" i="30"/>
  <c r="AR38" i="30" s="1"/>
  <c r="AR39" i="30" s="1"/>
  <c r="B36" i="38"/>
  <c r="E35" i="37"/>
  <c r="H36" i="38"/>
  <c r="N35" i="37"/>
  <c r="R21" i="30"/>
  <c r="AG52" i="30"/>
  <c r="AF34" i="31"/>
  <c r="AN34" i="31"/>
  <c r="G37" i="38"/>
  <c r="G38" i="38"/>
  <c r="M38" i="38"/>
  <c r="M37" i="38"/>
  <c r="P38" i="38"/>
  <c r="P37" i="38"/>
  <c r="AP34" i="32"/>
  <c r="F160" i="34"/>
  <c r="Y2" i="37"/>
  <c r="N7" i="37"/>
  <c r="F11" i="37"/>
  <c r="N13" i="37"/>
  <c r="C25" i="38"/>
  <c r="J33" i="38"/>
  <c r="S40" i="39"/>
  <c r="S20" i="13"/>
  <c r="F22" i="42"/>
  <c r="AL62" i="15"/>
  <c r="AC47" i="15"/>
  <c r="AG46" i="15" s="1"/>
  <c r="AF34" i="16"/>
  <c r="AB21" i="37"/>
  <c r="P22" i="38"/>
  <c r="M23" i="42"/>
  <c r="O21" i="39"/>
  <c r="H22" i="38"/>
  <c r="N21" i="37"/>
  <c r="AA55" i="16"/>
  <c r="AJ30" i="17"/>
  <c r="AG46" i="17"/>
  <c r="H24" i="38"/>
  <c r="N23" i="37"/>
  <c r="F24" i="39"/>
  <c r="G24" i="39"/>
  <c r="AB32" i="19"/>
  <c r="R21" i="19"/>
  <c r="AH34" i="20"/>
  <c r="AH30" i="20"/>
  <c r="Z25" i="39"/>
  <c r="L41" i="20"/>
  <c r="AH30" i="21"/>
  <c r="D28" i="42"/>
  <c r="E26" i="39"/>
  <c r="AC47" i="21"/>
  <c r="R21" i="22"/>
  <c r="J30" i="38"/>
  <c r="P29" i="37"/>
  <c r="M31" i="42"/>
  <c r="O29" i="39"/>
  <c r="Y47" i="24"/>
  <c r="AL30" i="25"/>
  <c r="AM38" i="25" s="1"/>
  <c r="Q45" i="25"/>
  <c r="AB30" i="39" s="1"/>
  <c r="AJ49" i="25"/>
  <c r="AC55" i="25"/>
  <c r="AH30" i="26"/>
  <c r="AK38" i="26" s="1"/>
  <c r="AP30" i="26"/>
  <c r="AR38" i="26" s="1"/>
  <c r="AR39" i="26" s="1"/>
  <c r="F32" i="37"/>
  <c r="C33" i="38"/>
  <c r="E32" i="39"/>
  <c r="D34" i="42"/>
  <c r="AQ62" i="27"/>
  <c r="AH34" i="28"/>
  <c r="AH30" i="28"/>
  <c r="AJ49" i="30"/>
  <c r="AD34" i="31"/>
  <c r="AL34" i="31"/>
  <c r="AL30" i="31"/>
  <c r="AM38" i="31" s="1"/>
  <c r="S21" i="31"/>
  <c r="S19" i="31"/>
  <c r="AF30" i="31"/>
  <c r="B37" i="38"/>
  <c r="B38" i="38"/>
  <c r="H37" i="38"/>
  <c r="H38" i="38"/>
  <c r="N36" i="37"/>
  <c r="AA36" i="39"/>
  <c r="Q45" i="31"/>
  <c r="AB36" i="39" s="1"/>
  <c r="AA47" i="32"/>
  <c r="AN56" i="32"/>
  <c r="AN57" i="32" s="1"/>
  <c r="AL56" i="32"/>
  <c r="AL57" i="32" s="1"/>
  <c r="G29" i="37"/>
  <c r="G7" i="39"/>
  <c r="F7" i="39"/>
  <c r="B8" i="38"/>
  <c r="E7" i="37"/>
  <c r="W39" i="37"/>
  <c r="AO5" i="43" s="1"/>
  <c r="M38" i="39"/>
  <c r="R39" i="37"/>
  <c r="AJ5" i="43" s="1"/>
  <c r="X2" i="41"/>
  <c r="M3" i="42"/>
  <c r="BA1" i="43" s="1"/>
  <c r="V2" i="40"/>
  <c r="V2" i="41"/>
  <c r="U2" i="39"/>
  <c r="X2" i="40"/>
  <c r="V2" i="38"/>
  <c r="W2" i="37"/>
  <c r="B42" i="42"/>
  <c r="B43" i="42"/>
  <c r="B40" i="42"/>
  <c r="C6" i="45" s="1"/>
  <c r="X40" i="39"/>
  <c r="E5" i="43" s="1"/>
  <c r="Y40" i="39"/>
  <c r="F5" i="43" s="1"/>
  <c r="F6" i="43" s="1"/>
  <c r="C9" i="38"/>
  <c r="F8" i="37"/>
  <c r="I9" i="38"/>
  <c r="O8" i="37"/>
  <c r="C40" i="42"/>
  <c r="B6" i="45" s="1"/>
  <c r="B13" i="45" s="1"/>
  <c r="C41" i="42"/>
  <c r="O10" i="38"/>
  <c r="AA9" i="37"/>
  <c r="AJ48" i="4"/>
  <c r="I12" i="38"/>
  <c r="O11" i="37"/>
  <c r="C13" i="38"/>
  <c r="F12" i="37"/>
  <c r="I13" i="38"/>
  <c r="O12" i="3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N30" i="10"/>
  <c r="AM38" i="10" s="1"/>
  <c r="V15" i="39"/>
  <c r="J41" i="10"/>
  <c r="W15" i="39" s="1"/>
  <c r="AJ56" i="10"/>
  <c r="AH34" i="11"/>
  <c r="AP34" i="11"/>
  <c r="F18" i="42"/>
  <c r="AQ63" i="32"/>
  <c r="AL62" i="11"/>
  <c r="AL48" i="32"/>
  <c r="AL48" i="31"/>
  <c r="AL49" i="30"/>
  <c r="AL49" i="26"/>
  <c r="AL49" i="25"/>
  <c r="AL49" i="11"/>
  <c r="AL50" i="32" s="1"/>
  <c r="AL49" i="28"/>
  <c r="AQ61" i="28" s="1"/>
  <c r="AL49" i="27"/>
  <c r="AL49" i="23"/>
  <c r="AL49" i="22"/>
  <c r="AL49" i="20"/>
  <c r="AQ61" i="20" s="1"/>
  <c r="AL49" i="17"/>
  <c r="AE54" i="11"/>
  <c r="AE55" i="11" s="1"/>
  <c r="AC54" i="11"/>
  <c r="AC55" i="11" s="1"/>
  <c r="AJ55" i="11"/>
  <c r="F17" i="39"/>
  <c r="G17" i="39"/>
  <c r="AJ30" i="12"/>
  <c r="R20" i="12"/>
  <c r="D19" i="42"/>
  <c r="E17" i="39"/>
  <c r="AQ62" i="12"/>
  <c r="AC54" i="12"/>
  <c r="AC55" i="12" s="1"/>
  <c r="AA54" i="12"/>
  <c r="AA55" i="12" s="1"/>
  <c r="AH34" i="13"/>
  <c r="AP34" i="13"/>
  <c r="N19" i="38"/>
  <c r="Z18" i="37"/>
  <c r="F20" i="42"/>
  <c r="AL62" i="13"/>
  <c r="AL34" i="13"/>
  <c r="AR53" i="13"/>
  <c r="AL31" i="14"/>
  <c r="AM39" i="14" s="1"/>
  <c r="J20" i="38"/>
  <c r="P19" i="37"/>
  <c r="P20" i="38"/>
  <c r="AB19" i="37"/>
  <c r="M21" i="42"/>
  <c r="O19" i="39"/>
  <c r="E19" i="37"/>
  <c r="R21" i="14"/>
  <c r="AL50" i="14"/>
  <c r="AE55" i="14"/>
  <c r="AE56" i="14" s="1"/>
  <c r="AC55" i="14"/>
  <c r="AC56" i="14" s="1"/>
  <c r="AJ56" i="14"/>
  <c r="AL30" i="15"/>
  <c r="AM38" i="15" s="1"/>
  <c r="S21" i="15"/>
  <c r="S19" i="15" a="1"/>
  <c r="S19" i="15" s="1"/>
  <c r="S20" i="15"/>
  <c r="AA55" i="15"/>
  <c r="F21" i="39"/>
  <c r="G21" i="39"/>
  <c r="AJ30" i="16"/>
  <c r="R20" i="16"/>
  <c r="V21" i="39"/>
  <c r="J41" i="16"/>
  <c r="W21" i="39" s="1"/>
  <c r="AR53" i="16"/>
  <c r="P22" i="37"/>
  <c r="AB22" i="37"/>
  <c r="M24" i="42"/>
  <c r="O22" i="39"/>
  <c r="B23" i="38"/>
  <c r="E22" i="37"/>
  <c r="H23" i="38"/>
  <c r="N22" i="37"/>
  <c r="R21" i="17"/>
  <c r="AB3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R53" i="18"/>
  <c r="AF30" i="19"/>
  <c r="AN30" i="19"/>
  <c r="R19" i="19"/>
  <c r="Z24" i="37"/>
  <c r="Z24" i="39"/>
  <c r="L41" i="19"/>
  <c r="AL30" i="20"/>
  <c r="AM38" i="20" s="1"/>
  <c r="AP30" i="20"/>
  <c r="AR38" i="20" s="1"/>
  <c r="AR39" i="20" s="1"/>
  <c r="AD34" i="21"/>
  <c r="AL34" i="21"/>
  <c r="B27" i="38"/>
  <c r="E26" i="37"/>
  <c r="H27" i="38"/>
  <c r="N26" i="37"/>
  <c r="AJ49" i="21"/>
  <c r="AQ61" i="21" s="1"/>
  <c r="AA55" i="21"/>
  <c r="Y55" i="21"/>
  <c r="AQ62" i="21"/>
  <c r="AF30" i="22"/>
  <c r="AN30" i="22"/>
  <c r="R19" i="22"/>
  <c r="Z27" i="39"/>
  <c r="L41" i="22"/>
  <c r="AH30" i="23"/>
  <c r="AP30" i="23"/>
  <c r="AR38" i="23" s="1"/>
  <c r="AR39" i="23" s="1"/>
  <c r="AF30" i="23"/>
  <c r="D30" i="42"/>
  <c r="E28" i="39"/>
  <c r="F30" i="42"/>
  <c r="AL62" i="23"/>
  <c r="V28" i="39"/>
  <c r="J41" i="23"/>
  <c r="W28" i="39" s="1"/>
  <c r="AR46" i="23"/>
  <c r="AG52" i="23"/>
  <c r="AD34" i="24"/>
  <c r="AL34" i="24"/>
  <c r="C30" i="38"/>
  <c r="F29" i="37"/>
  <c r="I30" i="38"/>
  <c r="O29" i="37"/>
  <c r="AN49" i="24"/>
  <c r="AN56" i="24"/>
  <c r="AH34" i="25"/>
  <c r="AP34" i="25"/>
  <c r="S20" i="25"/>
  <c r="AH30" i="25"/>
  <c r="AD34" i="26"/>
  <c r="AL34" i="26"/>
  <c r="S19" i="26"/>
  <c r="AL30" i="26"/>
  <c r="AM38" i="26" s="1"/>
  <c r="Y47" i="26"/>
  <c r="AC46" i="26"/>
  <c r="AC47" i="26" s="1"/>
  <c r="AJ48" i="26"/>
  <c r="AN48" i="26" s="1"/>
  <c r="AN49" i="26" s="1"/>
  <c r="AA46" i="26"/>
  <c r="AA47" i="26" s="1"/>
  <c r="AA55" i="26"/>
  <c r="AF30" i="27"/>
  <c r="AN30" i="27"/>
  <c r="D33" i="38"/>
  <c r="G32" i="37"/>
  <c r="M34" i="42"/>
  <c r="O32" i="39"/>
  <c r="AF34" i="27"/>
  <c r="AJ49" i="27"/>
  <c r="AQ61" i="27" s="1"/>
  <c r="Y55" i="27"/>
  <c r="AG52" i="27"/>
  <c r="N34" i="38"/>
  <c r="Z33" i="37"/>
  <c r="AF34" i="29"/>
  <c r="AF30" i="29"/>
  <c r="AN34" i="29"/>
  <c r="AE46" i="29"/>
  <c r="AE47" i="29" s="1"/>
  <c r="AC46" i="29"/>
  <c r="AC47" i="29" s="1"/>
  <c r="AA46" i="29"/>
  <c r="AJ49" i="29"/>
  <c r="AF34" i="30"/>
  <c r="AF30" i="30"/>
  <c r="AN34" i="30"/>
  <c r="V35" i="39"/>
  <c r="J41" i="30"/>
  <c r="W35" i="39" s="1"/>
  <c r="AL34" i="32"/>
  <c r="AL30" i="32"/>
  <c r="AM38" i="32" s="1"/>
  <c r="S21" i="32"/>
  <c r="S19" i="32"/>
  <c r="AF30" i="32"/>
  <c r="AA37" i="39"/>
  <c r="Q45" i="32"/>
  <c r="AB37" i="39" s="1"/>
  <c r="P16" i="37"/>
  <c r="AB18" i="37"/>
  <c r="AA31" i="37"/>
  <c r="N17" i="38"/>
  <c r="B20" i="38"/>
  <c r="N25" i="38"/>
  <c r="S18" i="38"/>
  <c r="Q17" i="38"/>
  <c r="S17" i="38"/>
  <c r="I17" i="38"/>
  <c r="H17" i="38"/>
  <c r="C18" i="38"/>
  <c r="D18" i="38"/>
  <c r="I18" i="38"/>
  <c r="O17" i="37"/>
  <c r="C19" i="38"/>
  <c r="F18" i="37"/>
  <c r="I19" i="38"/>
  <c r="O18" i="37"/>
  <c r="I20" i="38"/>
  <c r="O19" i="37"/>
  <c r="Q45" i="14"/>
  <c r="AB19" i="39" s="1"/>
  <c r="C21" i="38"/>
  <c r="F20" i="37"/>
  <c r="I21" i="38"/>
  <c r="O20" i="37"/>
  <c r="C22" i="38"/>
  <c r="F21" i="37"/>
  <c r="AE46" i="16"/>
  <c r="AE47" i="16" s="1"/>
  <c r="AG46" i="16" s="1"/>
  <c r="AL62" i="16"/>
  <c r="F22" i="37"/>
  <c r="I23" i="38"/>
  <c r="O22" i="37"/>
  <c r="AE54" i="17"/>
  <c r="AE55" i="17" s="1"/>
  <c r="R19" i="18"/>
  <c r="AA24" i="37"/>
  <c r="O25" i="38"/>
  <c r="AG52" i="19"/>
  <c r="AE54" i="19"/>
  <c r="AE55" i="19" s="1"/>
  <c r="AG54" i="19" s="1"/>
  <c r="F25" i="39"/>
  <c r="G25" i="39"/>
  <c r="M27" i="42"/>
  <c r="O25" i="39"/>
  <c r="AE54" i="20"/>
  <c r="AE55" i="20" s="1"/>
  <c r="R19" i="21"/>
  <c r="Z26" i="37"/>
  <c r="N27" i="38"/>
  <c r="P28" i="38"/>
  <c r="AB27" i="37"/>
  <c r="AE54" i="22"/>
  <c r="AE55" i="22" s="1"/>
  <c r="R19" i="23"/>
  <c r="N29" i="38"/>
  <c r="Z28" i="37"/>
  <c r="P30" i="38"/>
  <c r="AB29" i="37"/>
  <c r="AG44" i="24"/>
  <c r="AG52" i="24"/>
  <c r="F30" i="39"/>
  <c r="G30" i="39"/>
  <c r="M32" i="42"/>
  <c r="O30" i="39"/>
  <c r="F30" i="37"/>
  <c r="I31" i="38"/>
  <c r="O30" i="37"/>
  <c r="AE46" i="25"/>
  <c r="AE47" i="25" s="1"/>
  <c r="AG46" i="25" s="1"/>
  <c r="AL62" i="25"/>
  <c r="B32" i="38"/>
  <c r="E31" i="37"/>
  <c r="H32" i="38"/>
  <c r="N31" i="37"/>
  <c r="O33" i="38"/>
  <c r="AA32" i="37"/>
  <c r="R20" i="28"/>
  <c r="AC47" i="28"/>
  <c r="AL62" i="28"/>
  <c r="AJ30" i="29"/>
  <c r="AA34" i="37"/>
  <c r="AH34" i="30"/>
  <c r="AP34" i="30"/>
  <c r="F37" i="42"/>
  <c r="AL62" i="30"/>
  <c r="AC47" i="30"/>
  <c r="AG46" i="30" s="1"/>
  <c r="AJ56" i="30"/>
  <c r="AL61" i="30" s="1"/>
  <c r="AH30" i="31"/>
  <c r="AP30" i="31"/>
  <c r="AR38" i="31" s="1"/>
  <c r="AR39" i="31" s="1"/>
  <c r="S37" i="38"/>
  <c r="S38" i="38"/>
  <c r="D38" i="42"/>
  <c r="E36" i="39"/>
  <c r="AQ63" i="31"/>
  <c r="V36" i="39"/>
  <c r="J41" i="31"/>
  <c r="W36" i="39" s="1"/>
  <c r="AD37" i="39"/>
  <c r="AD36" i="39"/>
  <c r="AL63" i="31"/>
  <c r="AH30" i="32"/>
  <c r="AP30" i="32"/>
  <c r="AR38" i="32" s="1"/>
  <c r="AR39" i="32" s="1"/>
  <c r="D39" i="42"/>
  <c r="E37" i="39"/>
  <c r="V37" i="39"/>
  <c r="J41" i="32"/>
  <c r="W37" i="39" s="1"/>
  <c r="AC47" i="32"/>
  <c r="AA55" i="32"/>
  <c r="AJ57" i="32"/>
  <c r="V8" i="34"/>
  <c r="V9" i="34" s="1"/>
  <c r="V14" i="34" s="1"/>
  <c r="V19" i="34" s="1"/>
  <c r="V24" i="34" s="1"/>
  <c r="V29" i="34" s="1"/>
  <c r="V34" i="34" s="1"/>
  <c r="V39" i="34" s="1"/>
  <c r="C160" i="34"/>
  <c r="H160" i="34"/>
  <c r="G160" i="34"/>
  <c r="F19" i="37"/>
  <c r="E24" i="37"/>
  <c r="AA27" i="37"/>
  <c r="E32" i="37"/>
  <c r="V39" i="38"/>
  <c r="W39" i="38"/>
  <c r="C17" i="38"/>
  <c r="F18" i="38"/>
  <c r="C23" i="38"/>
  <c r="H34" i="38"/>
  <c r="L38" i="38"/>
  <c r="L39" i="38" s="1"/>
  <c r="C39" i="39"/>
  <c r="AY5" i="43" s="1"/>
  <c r="G37" i="39"/>
  <c r="O16" i="38"/>
  <c r="AA15" i="37"/>
  <c r="P18" i="38"/>
  <c r="P17" i="38"/>
  <c r="L41" i="11"/>
  <c r="L41" i="12"/>
  <c r="AA18" i="37"/>
  <c r="O19" i="38"/>
  <c r="L41" i="13"/>
  <c r="O21" i="38"/>
  <c r="AA20" i="37"/>
  <c r="O22" i="38"/>
  <c r="AA21" i="37"/>
  <c r="D23" i="42"/>
  <c r="E21" i="39"/>
  <c r="AQ62" i="16"/>
  <c r="O23" i="38"/>
  <c r="AA22" i="37"/>
  <c r="D24" i="42"/>
  <c r="E22" i="39"/>
  <c r="F23" i="39"/>
  <c r="G23" i="39"/>
  <c r="D24" i="38"/>
  <c r="G23" i="37"/>
  <c r="J24" i="38"/>
  <c r="P23" i="37"/>
  <c r="C24" i="38"/>
  <c r="F23" i="37"/>
  <c r="I24" i="38"/>
  <c r="O23" i="37"/>
  <c r="H25" i="38"/>
  <c r="N24" i="37"/>
  <c r="AA25" i="37"/>
  <c r="F26" i="39"/>
  <c r="G26" i="39"/>
  <c r="D27" i="38"/>
  <c r="G26" i="37"/>
  <c r="M28" i="42"/>
  <c r="O26" i="39"/>
  <c r="F26" i="37"/>
  <c r="I27" i="38"/>
  <c r="O26" i="37"/>
  <c r="B28" i="38"/>
  <c r="E27" i="37"/>
  <c r="H28" i="38"/>
  <c r="N27" i="37"/>
  <c r="F28" i="39"/>
  <c r="G28" i="39"/>
  <c r="D29" i="38"/>
  <c r="G28" i="37"/>
  <c r="J29" i="38"/>
  <c r="P28" i="37"/>
  <c r="M30" i="42"/>
  <c r="O28" i="39"/>
  <c r="C29" i="38"/>
  <c r="F28" i="37"/>
  <c r="I29" i="38"/>
  <c r="O28" i="37"/>
  <c r="B30" i="38"/>
  <c r="E29" i="37"/>
  <c r="N30" i="38"/>
  <c r="Z29" i="37"/>
  <c r="P31" i="38"/>
  <c r="AB30" i="37"/>
  <c r="AA30" i="37"/>
  <c r="O31" i="38"/>
  <c r="D32" i="42"/>
  <c r="E30" i="39"/>
  <c r="AQ62" i="25"/>
  <c r="H33" i="38"/>
  <c r="N32" i="37"/>
  <c r="AG44" i="27"/>
  <c r="AL30" i="28"/>
  <c r="AM38" i="28" s="1"/>
  <c r="B34" i="38"/>
  <c r="E33" i="37"/>
  <c r="P35" i="38"/>
  <c r="AB34" i="37"/>
  <c r="B35" i="38"/>
  <c r="E34" i="37"/>
  <c r="H35" i="38"/>
  <c r="N34" i="37"/>
  <c r="AA47" i="29"/>
  <c r="AG46" i="29" s="1"/>
  <c r="AN49" i="29"/>
  <c r="AJ55" i="29"/>
  <c r="AE54" i="29"/>
  <c r="AE55" i="29" s="1"/>
  <c r="AJ30" i="30"/>
  <c r="R20" i="30"/>
  <c r="D37" i="42"/>
  <c r="E35" i="39"/>
  <c r="AQ62" i="30"/>
  <c r="AN49" i="30"/>
  <c r="AG54" i="30"/>
  <c r="F36" i="39"/>
  <c r="G36" i="39"/>
  <c r="AJ30" i="31"/>
  <c r="R21" i="31"/>
  <c r="R19" i="31"/>
  <c r="R20" i="31"/>
  <c r="F37" i="38"/>
  <c r="F38" i="38"/>
  <c r="O37" i="38"/>
  <c r="O38" i="38"/>
  <c r="AA36" i="37"/>
  <c r="AB32" i="31"/>
  <c r="AE46" i="31"/>
  <c r="AE47" i="31" s="1"/>
  <c r="AC46" i="31"/>
  <c r="AC47" i="31" s="1"/>
  <c r="Y55" i="31"/>
  <c r="AC54" i="31"/>
  <c r="AC55" i="31" s="1"/>
  <c r="AJ56" i="31"/>
  <c r="AA54" i="31"/>
  <c r="AA55" i="31" s="1"/>
  <c r="AJ30" i="32"/>
  <c r="R21" i="32"/>
  <c r="R19" i="32"/>
  <c r="R20" i="32"/>
  <c r="AA37" i="37"/>
  <c r="AB32" i="32"/>
  <c r="AE46" i="32"/>
  <c r="AE47" i="32" s="1"/>
  <c r="AC46" i="32"/>
  <c r="AJ49" i="32"/>
  <c r="D160" i="34"/>
  <c r="Y158" i="34" s="1"/>
  <c r="O16" i="37"/>
  <c r="F17" i="37"/>
  <c r="AA17" i="37"/>
  <c r="AA19" i="37"/>
  <c r="Z23" i="37"/>
  <c r="AB24" i="37"/>
  <c r="P26" i="37"/>
  <c r="Z31" i="37"/>
  <c r="AB32" i="37"/>
  <c r="D17" i="38"/>
  <c r="F33" i="39"/>
  <c r="G33" i="39"/>
  <c r="F34" i="39"/>
  <c r="G34" i="39"/>
  <c r="D35" i="38"/>
  <c r="G34" i="37"/>
  <c r="M36" i="42"/>
  <c r="O34" i="39"/>
  <c r="C35" i="38"/>
  <c r="F34" i="37"/>
  <c r="I35" i="38"/>
  <c r="O34" i="37"/>
  <c r="J36" i="38"/>
  <c r="P35" i="37"/>
  <c r="O35" i="39"/>
  <c r="M37" i="42"/>
  <c r="E38" i="38"/>
  <c r="E37" i="38"/>
  <c r="K37" i="38"/>
  <c r="K38" i="38"/>
  <c r="N37" i="38"/>
  <c r="Z36" i="37"/>
  <c r="N13" i="45"/>
  <c r="F35" i="37"/>
  <c r="P36" i="37"/>
  <c r="J37" i="38"/>
  <c r="N38" i="38"/>
  <c r="C38" i="39"/>
  <c r="AX5" i="43" s="1"/>
  <c r="G35" i="39"/>
  <c r="F35" i="39"/>
  <c r="L41" i="30"/>
  <c r="D38" i="38"/>
  <c r="G36" i="37"/>
  <c r="D37" i="38"/>
  <c r="M38" i="42"/>
  <c r="O36" i="39"/>
  <c r="Q38" i="38"/>
  <c r="Q37" i="38"/>
  <c r="C37" i="38"/>
  <c r="F36" i="37"/>
  <c r="I38" i="38"/>
  <c r="O36" i="37"/>
  <c r="M39" i="42"/>
  <c r="O37" i="39"/>
  <c r="AA33" i="37"/>
  <c r="G35" i="37"/>
  <c r="O35" i="37"/>
  <c r="P34" i="38"/>
  <c r="P36" i="38"/>
  <c r="B39" i="39"/>
  <c r="AV5" i="43" s="1"/>
  <c r="B38" i="39"/>
  <c r="B40" i="39"/>
  <c r="AW5" i="43" s="1"/>
  <c r="D38" i="39"/>
  <c r="BA5" i="43" s="1"/>
  <c r="T39" i="38"/>
  <c r="Q40" i="39"/>
  <c r="C40" i="39"/>
  <c r="AZ5" i="43" s="1"/>
  <c r="D40" i="39"/>
  <c r="BC5" i="43" s="1"/>
  <c r="D39" i="39"/>
  <c r="BB5" i="43" s="1"/>
  <c r="BE5" i="43"/>
  <c r="BF5" i="43"/>
  <c r="AH48" i="39"/>
  <c r="AH49" i="39"/>
  <c r="BD5" i="43"/>
  <c r="AE39" i="39"/>
  <c r="M5" i="43" s="1"/>
  <c r="M6" i="43" s="1"/>
  <c r="D38" i="46"/>
  <c r="D36" i="46"/>
  <c r="D37" i="46"/>
  <c r="C38" i="46"/>
  <c r="C36" i="46"/>
  <c r="G38" i="46"/>
  <c r="G36" i="46"/>
  <c r="C37" i="46"/>
  <c r="H25" i="39" l="1"/>
  <c r="AP38" i="19"/>
  <c r="AQ41" i="19" s="1"/>
  <c r="AK38" i="16"/>
  <c r="AM38" i="16"/>
  <c r="AC67" i="16" s="1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AK38" i="9"/>
  <c r="AK39" i="9" s="1"/>
  <c r="I16" i="42" s="1"/>
  <c r="AG46" i="6"/>
  <c r="AK38" i="3"/>
  <c r="AL41" i="3" s="1"/>
  <c r="J8" i="39" s="1"/>
  <c r="AK38" i="32"/>
  <c r="AK39" i="32" s="1"/>
  <c r="I39" i="42" s="1"/>
  <c r="H30" i="39"/>
  <c r="AP38" i="24"/>
  <c r="AQ41" i="24" s="1"/>
  <c r="AP38" i="22"/>
  <c r="AQ40" i="22" s="1"/>
  <c r="AG46" i="21"/>
  <c r="AP38" i="20"/>
  <c r="AP39" i="20" s="1"/>
  <c r="AK38" i="19"/>
  <c r="H26" i="42" s="1"/>
  <c r="H23" i="39"/>
  <c r="AK38" i="18"/>
  <c r="H25" i="42" s="1"/>
  <c r="E37" i="42"/>
  <c r="AG46" i="11"/>
  <c r="AJ34" i="11"/>
  <c r="AK38" i="11"/>
  <c r="AK39" i="11" s="1"/>
  <c r="I18" i="42" s="1"/>
  <c r="AK38" i="10"/>
  <c r="AL41" i="10" s="1"/>
  <c r="J15" i="39" s="1"/>
  <c r="AK38" i="7"/>
  <c r="AL41" i="7" s="1"/>
  <c r="J12" i="39" s="1"/>
  <c r="AG46" i="3"/>
  <c r="AG54" i="31"/>
  <c r="AG46" i="31"/>
  <c r="M39" i="38"/>
  <c r="AD40" i="39"/>
  <c r="H5" i="43" s="1"/>
  <c r="H6" i="43" s="1"/>
  <c r="K39" i="38"/>
  <c r="E39" i="38"/>
  <c r="G39" i="38"/>
  <c r="F39" i="38"/>
  <c r="AK38" i="30"/>
  <c r="AL41" i="30" s="1"/>
  <c r="J35" i="39" s="1"/>
  <c r="AL63" i="30"/>
  <c r="H34" i="39"/>
  <c r="AQ63" i="28"/>
  <c r="E33" i="39"/>
  <c r="E40" i="39" s="1"/>
  <c r="E35" i="42"/>
  <c r="D35" i="42"/>
  <c r="D42" i="42" s="1"/>
  <c r="AL55" i="28"/>
  <c r="AL56" i="28" s="1"/>
  <c r="AN55" i="28"/>
  <c r="AN56" i="28" s="1"/>
  <c r="AJ56" i="28"/>
  <c r="H32" i="39"/>
  <c r="S21" i="27"/>
  <c r="AK38" i="27"/>
  <c r="H34" i="42" s="1"/>
  <c r="S19" i="27"/>
  <c r="AQ63" i="27"/>
  <c r="AJ34" i="26"/>
  <c r="AK38" i="24"/>
  <c r="H28" i="39"/>
  <c r="AK38" i="23"/>
  <c r="AL41" i="23" s="1"/>
  <c r="J28" i="39" s="1"/>
  <c r="AG54" i="23"/>
  <c r="AK38" i="22"/>
  <c r="H29" i="42" s="1"/>
  <c r="E28" i="42"/>
  <c r="AQ63" i="21"/>
  <c r="AK38" i="20"/>
  <c r="AL40" i="20" s="1"/>
  <c r="I25" i="39" s="1"/>
  <c r="AQ63" i="20"/>
  <c r="AJ34" i="18"/>
  <c r="AK38" i="17"/>
  <c r="H24" i="42" s="1"/>
  <c r="E23" i="42"/>
  <c r="E22" i="42"/>
  <c r="AK38" i="15"/>
  <c r="AK39" i="15" s="1"/>
  <c r="I22" i="42" s="1"/>
  <c r="AK39" i="14"/>
  <c r="H21" i="42" s="1"/>
  <c r="AK38" i="13"/>
  <c r="AL41" i="13" s="1"/>
  <c r="J18" i="39" s="1"/>
  <c r="AJ34" i="13"/>
  <c r="AG54" i="12"/>
  <c r="E19" i="42"/>
  <c r="S39" i="38"/>
  <c r="R39" i="38"/>
  <c r="Q39" i="38"/>
  <c r="G43" i="42"/>
  <c r="AQ63" i="10"/>
  <c r="G41" i="42"/>
  <c r="G42" i="42"/>
  <c r="AG54" i="8"/>
  <c r="Z40" i="39"/>
  <c r="J5" i="43" s="1"/>
  <c r="J6" i="43" s="1"/>
  <c r="AQ63" i="9"/>
  <c r="AP38" i="7"/>
  <c r="AQ41" i="7" s="1"/>
  <c r="L39" i="37"/>
  <c r="AD5" i="43" s="1"/>
  <c r="K39" i="37"/>
  <c r="AC5" i="43" s="1"/>
  <c r="C39" i="38"/>
  <c r="AG54" i="6"/>
  <c r="AA40" i="39"/>
  <c r="K5" i="43" s="1"/>
  <c r="K6" i="43" s="1"/>
  <c r="AK38" i="6"/>
  <c r="AL41" i="6" s="1"/>
  <c r="J11" i="39" s="1"/>
  <c r="AK38" i="5"/>
  <c r="H12" i="42" s="1"/>
  <c r="AL63" i="5"/>
  <c r="AK39" i="4"/>
  <c r="I11" i="42" s="1"/>
  <c r="H11" i="42"/>
  <c r="F40" i="42"/>
  <c r="F47" i="42" s="1"/>
  <c r="O13" i="45" s="1"/>
  <c r="O39" i="38"/>
  <c r="G39" i="37"/>
  <c r="V40" i="39"/>
  <c r="C5" i="43" s="1"/>
  <c r="F6" i="44" s="1"/>
  <c r="F13" i="44" s="1"/>
  <c r="P39" i="37"/>
  <c r="H39" i="38"/>
  <c r="AB39" i="37"/>
  <c r="F43" i="42"/>
  <c r="AG54" i="2"/>
  <c r="AB40" i="39"/>
  <c r="L5" i="43" s="1"/>
  <c r="L6" i="43" s="1"/>
  <c r="W40" i="39"/>
  <c r="D5" i="43" s="1"/>
  <c r="D6" i="43" s="1"/>
  <c r="F39" i="37"/>
  <c r="AK38" i="2"/>
  <c r="AL41" i="2" s="1"/>
  <c r="J7" i="39" s="1"/>
  <c r="H7" i="39"/>
  <c r="AA39" i="37"/>
  <c r="H16" i="42"/>
  <c r="H33" i="42"/>
  <c r="Y67" i="26"/>
  <c r="AL41" i="26"/>
  <c r="J31" i="39" s="1"/>
  <c r="AL40" i="26"/>
  <c r="I31" i="39" s="1"/>
  <c r="AK39" i="26"/>
  <c r="I33" i="42" s="1"/>
  <c r="AG54" i="7"/>
  <c r="AC67" i="24"/>
  <c r="AM39" i="24"/>
  <c r="AM39" i="10"/>
  <c r="AC67" i="10"/>
  <c r="AC68" i="10" s="1"/>
  <c r="AC65" i="11" s="1"/>
  <c r="H10" i="42"/>
  <c r="AN49" i="32"/>
  <c r="AL49" i="32"/>
  <c r="AP38" i="32"/>
  <c r="AJ34" i="32"/>
  <c r="C46" i="42"/>
  <c r="V158" i="34"/>
  <c r="AN56" i="14"/>
  <c r="AN57" i="14" s="1"/>
  <c r="AJ57" i="14"/>
  <c r="AL56" i="14"/>
  <c r="AL57" i="14" s="1"/>
  <c r="AJ34" i="12"/>
  <c r="AP38" i="12"/>
  <c r="Y67" i="12" s="1"/>
  <c r="B6" i="44"/>
  <c r="B13" i="44" s="1"/>
  <c r="E6" i="43"/>
  <c r="C6" i="44"/>
  <c r="C13" i="44" s="1"/>
  <c r="AP38" i="17"/>
  <c r="AJ34" i="17"/>
  <c r="AK38" i="25"/>
  <c r="AQ61" i="16"/>
  <c r="AQ63" i="16" s="1"/>
  <c r="AN55" i="15"/>
  <c r="AN56" i="15" s="1"/>
  <c r="AL55" i="15"/>
  <c r="AL56" i="15" s="1"/>
  <c r="AG46" i="2"/>
  <c r="AP38" i="23"/>
  <c r="AJ34" i="23"/>
  <c r="AM39" i="7"/>
  <c r="AC67" i="7"/>
  <c r="AN48" i="2"/>
  <c r="AN49" i="2" s="1"/>
  <c r="AL48" i="2"/>
  <c r="AL49" i="2" s="1"/>
  <c r="AJ49" i="2"/>
  <c r="AN49" i="11"/>
  <c r="AN50" i="32" s="1"/>
  <c r="AG46" i="8"/>
  <c r="F42" i="42"/>
  <c r="AQ61" i="5"/>
  <c r="AQ63" i="5" s="1"/>
  <c r="AC67" i="8"/>
  <c r="AC68" i="8" s="1"/>
  <c r="AM39" i="8"/>
  <c r="AJ34" i="30"/>
  <c r="AP38" i="30"/>
  <c r="AP38" i="29"/>
  <c r="AJ34" i="29"/>
  <c r="AM39" i="20"/>
  <c r="AC67" i="20"/>
  <c r="AM40" i="14"/>
  <c r="AC68" i="14"/>
  <c r="AL48" i="19"/>
  <c r="AL48" i="15"/>
  <c r="AL48" i="13"/>
  <c r="AL48" i="18"/>
  <c r="AN48" i="12"/>
  <c r="AN49" i="12" s="1"/>
  <c r="AN48" i="4"/>
  <c r="AN49" i="4" s="1"/>
  <c r="AL48" i="12"/>
  <c r="AL48" i="4"/>
  <c r="E39" i="37"/>
  <c r="AK38" i="31"/>
  <c r="AM39" i="30"/>
  <c r="AC67" i="30"/>
  <c r="H29" i="39"/>
  <c r="E31" i="42"/>
  <c r="AG54" i="17"/>
  <c r="AR48" i="30"/>
  <c r="AL49" i="31"/>
  <c r="AR48" i="29"/>
  <c r="AR48" i="27"/>
  <c r="AQ61" i="11"/>
  <c r="AR48" i="26"/>
  <c r="H19" i="42"/>
  <c r="AL41" i="12"/>
  <c r="J17" i="39" s="1"/>
  <c r="AL40" i="12"/>
  <c r="I17" i="39" s="1"/>
  <c r="AK39" i="12"/>
  <c r="I19" i="42" s="1"/>
  <c r="AG54" i="10"/>
  <c r="AL61" i="3"/>
  <c r="AL63" i="3" s="1"/>
  <c r="E17" i="42"/>
  <c r="H15" i="39"/>
  <c r="AN55" i="7"/>
  <c r="AN56" i="7" s="1"/>
  <c r="AL55" i="7"/>
  <c r="AL56" i="7" s="1"/>
  <c r="AQ41" i="22"/>
  <c r="AJ49" i="26"/>
  <c r="AQ61" i="26" s="1"/>
  <c r="AQ63" i="26" s="1"/>
  <c r="AP38" i="25"/>
  <c r="AJ34" i="25"/>
  <c r="AP39" i="26"/>
  <c r="AQ41" i="26"/>
  <c r="AQ40" i="26"/>
  <c r="E39" i="42"/>
  <c r="H37" i="39"/>
  <c r="E38" i="42"/>
  <c r="H36" i="39"/>
  <c r="AL55" i="29"/>
  <c r="AL56" i="29" s="1"/>
  <c r="AN55" i="29"/>
  <c r="AN56" i="29" s="1"/>
  <c r="AJ56" i="29"/>
  <c r="AC67" i="32"/>
  <c r="AM39" i="32"/>
  <c r="AK38" i="29"/>
  <c r="AG54" i="26"/>
  <c r="AG46" i="26"/>
  <c r="AM39" i="15"/>
  <c r="AC67" i="15"/>
  <c r="AL55" i="24"/>
  <c r="AL55" i="21"/>
  <c r="AN55" i="11"/>
  <c r="AN56" i="11" s="1"/>
  <c r="AL55" i="25"/>
  <c r="AL55" i="23"/>
  <c r="AL56" i="23" s="1"/>
  <c r="AL55" i="20"/>
  <c r="AL55" i="22"/>
  <c r="AL55" i="11"/>
  <c r="AQ61" i="30"/>
  <c r="AQ63" i="30" s="1"/>
  <c r="AQ61" i="25"/>
  <c r="AQ63" i="25" s="1"/>
  <c r="N39" i="37"/>
  <c r="E33" i="42"/>
  <c r="H31" i="39"/>
  <c r="AM38" i="22"/>
  <c r="AJ56" i="20"/>
  <c r="AP38" i="15"/>
  <c r="AJ34" i="15"/>
  <c r="AP39" i="14"/>
  <c r="AJ35" i="14"/>
  <c r="AJ56" i="11"/>
  <c r="E16" i="42"/>
  <c r="H14" i="39"/>
  <c r="AJ56" i="25"/>
  <c r="AG46" i="23"/>
  <c r="E29" i="42"/>
  <c r="H27" i="39"/>
  <c r="AJ56" i="15"/>
  <c r="AN55" i="16"/>
  <c r="AN56" i="16" s="1"/>
  <c r="AL55" i="16"/>
  <c r="AN55" i="10"/>
  <c r="AN56" i="10" s="1"/>
  <c r="AL55" i="10"/>
  <c r="AL56" i="10" s="1"/>
  <c r="AL61" i="10" s="1"/>
  <c r="AL63" i="10" s="1"/>
  <c r="AG54" i="9"/>
  <c r="E13" i="42"/>
  <c r="H11" i="39"/>
  <c r="AC67" i="5"/>
  <c r="AM39" i="5"/>
  <c r="E11" i="42"/>
  <c r="H9" i="39"/>
  <c r="AM39" i="4"/>
  <c r="AC67" i="4"/>
  <c r="AG46" i="27"/>
  <c r="AN48" i="23"/>
  <c r="AN49" i="23" s="1"/>
  <c r="AJ49" i="23"/>
  <c r="AQ61" i="23" s="1"/>
  <c r="AQ63" i="23" s="1"/>
  <c r="D39" i="38"/>
  <c r="AQ41" i="13"/>
  <c r="AQ40" i="13"/>
  <c r="AP39" i="13"/>
  <c r="Y159" i="34"/>
  <c r="AR47" i="31"/>
  <c r="AG54" i="29"/>
  <c r="AQ61" i="24"/>
  <c r="AJ34" i="28"/>
  <c r="AP38" i="28"/>
  <c r="E12" i="42"/>
  <c r="H10" i="39"/>
  <c r="AQ61" i="22"/>
  <c r="AQ63" i="22" s="1"/>
  <c r="AP39" i="19"/>
  <c r="E20" i="42"/>
  <c r="H18" i="39"/>
  <c r="E14" i="42"/>
  <c r="H12" i="39"/>
  <c r="AN55" i="13"/>
  <c r="AN56" i="13" s="1"/>
  <c r="AP55" i="19"/>
  <c r="AL55" i="13"/>
  <c r="AL55" i="12"/>
  <c r="AP55" i="15"/>
  <c r="AN55" i="4"/>
  <c r="AN56" i="4" s="1"/>
  <c r="AP55" i="16"/>
  <c r="AP55" i="13"/>
  <c r="AP55" i="18"/>
  <c r="AL55" i="4"/>
  <c r="AP55" i="4"/>
  <c r="AP55" i="12"/>
  <c r="F41" i="42"/>
  <c r="AP38" i="8"/>
  <c r="AJ34" i="8"/>
  <c r="J39" i="38"/>
  <c r="AC67" i="3"/>
  <c r="AP38" i="31"/>
  <c r="AJ34" i="31"/>
  <c r="AG54" i="27"/>
  <c r="AC67" i="26"/>
  <c r="AM39" i="26"/>
  <c r="AM39" i="9"/>
  <c r="AC67" i="9"/>
  <c r="AC68" i="9" s="1"/>
  <c r="AC65" i="10" s="1"/>
  <c r="AM39" i="31"/>
  <c r="AC67" i="31"/>
  <c r="AM38" i="27"/>
  <c r="AN55" i="23"/>
  <c r="AN56" i="23" s="1"/>
  <c r="AJ56" i="23"/>
  <c r="E21" i="42"/>
  <c r="H19" i="39"/>
  <c r="B39" i="37"/>
  <c r="T5" i="43" s="1"/>
  <c r="B46" i="37"/>
  <c r="AC67" i="21"/>
  <c r="AC68" i="21" s="1"/>
  <c r="AC65" i="22" s="1"/>
  <c r="AM39" i="21"/>
  <c r="H15" i="42"/>
  <c r="AK39" i="8"/>
  <c r="I15" i="42" s="1"/>
  <c r="AL41" i="8"/>
  <c r="J13" i="39" s="1"/>
  <c r="AL40" i="8"/>
  <c r="I13" i="39" s="1"/>
  <c r="AN48" i="6"/>
  <c r="AN49" i="6" s="1"/>
  <c r="AL48" i="6"/>
  <c r="AL49" i="6" s="1"/>
  <c r="P39" i="38"/>
  <c r="H23" i="42"/>
  <c r="AK39" i="16"/>
  <c r="I23" i="42" s="1"/>
  <c r="Z39" i="37"/>
  <c r="AP38" i="5"/>
  <c r="AJ34" i="5"/>
  <c r="AC67" i="2"/>
  <c r="AC68" i="2" s="1"/>
  <c r="AC65" i="3" s="1"/>
  <c r="AM39" i="2"/>
  <c r="AG54" i="15"/>
  <c r="AM39" i="25"/>
  <c r="AC67" i="25"/>
  <c r="AL55" i="27"/>
  <c r="AL56" i="27" s="1"/>
  <c r="AN55" i="27"/>
  <c r="AN56" i="27" s="1"/>
  <c r="AJ56" i="27"/>
  <c r="AN55" i="26"/>
  <c r="AN56" i="26" s="1"/>
  <c r="AL55" i="26"/>
  <c r="AL56" i="26" s="1"/>
  <c r="AJ56" i="26"/>
  <c r="AL61" i="26" s="1"/>
  <c r="AL63" i="26" s="1"/>
  <c r="AK38" i="28"/>
  <c r="AQ40" i="20"/>
  <c r="AG54" i="13"/>
  <c r="AM39" i="12"/>
  <c r="AC67" i="12"/>
  <c r="AP38" i="9"/>
  <c r="AJ34" i="9"/>
  <c r="AJ49" i="4"/>
  <c r="AN55" i="6"/>
  <c r="AN56" i="6" s="1"/>
  <c r="AL55" i="6"/>
  <c r="AL56" i="6" s="1"/>
  <c r="AJ56" i="6"/>
  <c r="AG46" i="32"/>
  <c r="AR47" i="32"/>
  <c r="O39" i="37"/>
  <c r="AP38" i="27"/>
  <c r="AJ34" i="27"/>
  <c r="AN48" i="8"/>
  <c r="AN49" i="8" s="1"/>
  <c r="AL48" i="8"/>
  <c r="AL49" i="8" s="1"/>
  <c r="AP38" i="4"/>
  <c r="AJ34" i="4"/>
  <c r="N39" i="38"/>
  <c r="AJ56" i="7"/>
  <c r="AL61" i="7" s="1"/>
  <c r="AL63" i="7" s="1"/>
  <c r="AG54" i="4"/>
  <c r="AG54" i="11"/>
  <c r="AL50" i="31"/>
  <c r="AQ62" i="31" s="1"/>
  <c r="AQ64" i="31" s="1"/>
  <c r="AQ41" i="11"/>
  <c r="AQ40" i="11"/>
  <c r="AP39" i="11"/>
  <c r="AQ40" i="3"/>
  <c r="AP39" i="3"/>
  <c r="AQ41" i="3"/>
  <c r="O40" i="39"/>
  <c r="AL56" i="31"/>
  <c r="AL57" i="31" s="1"/>
  <c r="AJ57" i="31"/>
  <c r="AN56" i="31"/>
  <c r="AN57" i="31" s="1"/>
  <c r="AM39" i="28"/>
  <c r="AC67" i="28"/>
  <c r="AL62" i="32"/>
  <c r="AL64" i="32" s="1"/>
  <c r="AQ61" i="29"/>
  <c r="AQ63" i="29" s="1"/>
  <c r="AG54" i="21"/>
  <c r="E24" i="42"/>
  <c r="H22" i="39"/>
  <c r="AP38" i="16"/>
  <c r="AJ34" i="16"/>
  <c r="L6" i="44"/>
  <c r="L13" i="44" s="1"/>
  <c r="G6" i="43"/>
  <c r="B39" i="38"/>
  <c r="AG54" i="25"/>
  <c r="AG46" i="24"/>
  <c r="E26" i="42"/>
  <c r="H24" i="39"/>
  <c r="AG54" i="22"/>
  <c r="AP38" i="21"/>
  <c r="AJ34" i="21"/>
  <c r="AM38" i="19"/>
  <c r="AM39" i="17"/>
  <c r="AC67" i="17"/>
  <c r="AQ62" i="14"/>
  <c r="AQ64" i="14" s="1"/>
  <c r="AJ56" i="12"/>
  <c r="AN55" i="21"/>
  <c r="AN56" i="21" s="1"/>
  <c r="AJ56" i="21"/>
  <c r="AM39" i="13"/>
  <c r="AC67" i="13"/>
  <c r="AC67" i="29"/>
  <c r="AC68" i="29" s="1"/>
  <c r="AC65" i="30" s="1"/>
  <c r="AM39" i="29"/>
  <c r="AK38" i="21"/>
  <c r="AQ40" i="18"/>
  <c r="AP39" i="18"/>
  <c r="AQ41" i="18"/>
  <c r="AJ49" i="8"/>
  <c r="AP38" i="6"/>
  <c r="AJ34" i="6"/>
  <c r="AG54" i="5"/>
  <c r="AC67" i="23"/>
  <c r="AM39" i="11"/>
  <c r="AC67" i="11"/>
  <c r="AN55" i="9"/>
  <c r="AN56" i="9" s="1"/>
  <c r="AL55" i="9"/>
  <c r="AL56" i="9" s="1"/>
  <c r="E15" i="42"/>
  <c r="H13" i="39"/>
  <c r="AG55" i="14"/>
  <c r="AG46" i="12"/>
  <c r="AC67" i="18"/>
  <c r="AM39" i="18"/>
  <c r="AG54" i="16"/>
  <c r="AJ50" i="32"/>
  <c r="AJ56" i="9"/>
  <c r="AL61" i="9" s="1"/>
  <c r="AL63" i="9" s="1"/>
  <c r="AJ49" i="6"/>
  <c r="AQ61" i="6" s="1"/>
  <c r="AQ63" i="6" s="1"/>
  <c r="I39" i="38"/>
  <c r="AG54" i="20"/>
  <c r="AP38" i="10"/>
  <c r="AJ34" i="10"/>
  <c r="AQ63" i="7"/>
  <c r="AQ61" i="17"/>
  <c r="AQ63" i="17" s="1"/>
  <c r="AN55" i="8"/>
  <c r="AN56" i="8" s="1"/>
  <c r="AL55" i="8"/>
  <c r="AL56" i="8" s="1"/>
  <c r="AJ56" i="8"/>
  <c r="AG46" i="7"/>
  <c r="E10" i="42"/>
  <c r="H8" i="39"/>
  <c r="AL41" i="4"/>
  <c r="J9" i="39" s="1"/>
  <c r="AG54" i="3"/>
  <c r="AL48" i="3"/>
  <c r="AL49" i="3" s="1"/>
  <c r="AN48" i="3"/>
  <c r="AN49" i="3" s="1"/>
  <c r="AJ49" i="3"/>
  <c r="A6" i="1"/>
  <c r="U25" i="4"/>
  <c r="E18" i="42"/>
  <c r="H16" i="39"/>
  <c r="BI5" i="43"/>
  <c r="N6" i="44" s="1"/>
  <c r="M43" i="42"/>
  <c r="BG5" i="43"/>
  <c r="M41" i="42"/>
  <c r="BH5" i="43"/>
  <c r="O6" i="44" s="1"/>
  <c r="M42" i="42"/>
  <c r="AP39" i="2"/>
  <c r="AQ41" i="2"/>
  <c r="AQ40" i="2"/>
  <c r="AP39" i="24" l="1"/>
  <c r="Y67" i="24"/>
  <c r="AQ40" i="19"/>
  <c r="J26" i="42" s="1"/>
  <c r="AL40" i="19"/>
  <c r="I24" i="39" s="1"/>
  <c r="Y67" i="16"/>
  <c r="AM39" i="16"/>
  <c r="AL40" i="16"/>
  <c r="I21" i="39" s="1"/>
  <c r="AL41" i="16"/>
  <c r="J21" i="39" s="1"/>
  <c r="V159" i="34"/>
  <c r="AL40" i="9"/>
  <c r="I14" i="39" s="1"/>
  <c r="AL41" i="9"/>
  <c r="J14" i="39" s="1"/>
  <c r="Y67" i="3"/>
  <c r="AK39" i="3"/>
  <c r="I10" i="42" s="1"/>
  <c r="AL40" i="3"/>
  <c r="I8" i="39" s="1"/>
  <c r="AL40" i="32"/>
  <c r="I37" i="39" s="1"/>
  <c r="AL41" i="32"/>
  <c r="J37" i="39" s="1"/>
  <c r="Y67" i="32"/>
  <c r="H39" i="42"/>
  <c r="AQ40" i="24"/>
  <c r="J31" i="42" s="1"/>
  <c r="H31" i="42"/>
  <c r="AL40" i="23"/>
  <c r="I28" i="39" s="1"/>
  <c r="H30" i="42"/>
  <c r="AP39" i="22"/>
  <c r="AQ41" i="20"/>
  <c r="K27" i="42" s="1"/>
  <c r="AK39" i="19"/>
  <c r="I26" i="42" s="1"/>
  <c r="Y67" i="19"/>
  <c r="AK39" i="18"/>
  <c r="I25" i="42" s="1"/>
  <c r="AL40" i="18"/>
  <c r="I23" i="39" s="1"/>
  <c r="AL41" i="18"/>
  <c r="J23" i="39" s="1"/>
  <c r="Y67" i="18"/>
  <c r="AL40" i="11"/>
  <c r="I16" i="39" s="1"/>
  <c r="AL41" i="11"/>
  <c r="J16" i="39" s="1"/>
  <c r="Y67" i="11"/>
  <c r="H18" i="42"/>
  <c r="H17" i="42"/>
  <c r="Y67" i="10"/>
  <c r="AK39" i="10"/>
  <c r="I17" i="42" s="1"/>
  <c r="AL40" i="10"/>
  <c r="I15" i="39" s="1"/>
  <c r="AC68" i="11"/>
  <c r="AK39" i="7"/>
  <c r="I14" i="42" s="1"/>
  <c r="H14" i="42"/>
  <c r="AL40" i="7"/>
  <c r="I12" i="39" s="1"/>
  <c r="Y67" i="7"/>
  <c r="E42" i="42"/>
  <c r="E43" i="42"/>
  <c r="H40" i="39"/>
  <c r="E41" i="42"/>
  <c r="AL62" i="31"/>
  <c r="AL64" i="31" s="1"/>
  <c r="M6" i="44"/>
  <c r="M13" i="44" s="1"/>
  <c r="AK39" i="30"/>
  <c r="I37" i="42" s="1"/>
  <c r="AL40" i="30"/>
  <c r="I35" i="39" s="1"/>
  <c r="H37" i="42"/>
  <c r="Y67" i="30"/>
  <c r="D40" i="42"/>
  <c r="E56" i="42" s="1"/>
  <c r="E57" i="42" s="1"/>
  <c r="D43" i="42"/>
  <c r="D41" i="42"/>
  <c r="Y67" i="27"/>
  <c r="AL61" i="28"/>
  <c r="AL63" i="28" s="1"/>
  <c r="AL61" i="27"/>
  <c r="AL63" i="27" s="1"/>
  <c r="AL41" i="27"/>
  <c r="J32" i="39" s="1"/>
  <c r="AK39" i="27"/>
  <c r="I34" i="42" s="1"/>
  <c r="AL41" i="24"/>
  <c r="J29" i="39" s="1"/>
  <c r="AL40" i="24"/>
  <c r="I29" i="39" s="1"/>
  <c r="AK39" i="24"/>
  <c r="I31" i="42" s="1"/>
  <c r="AK39" i="23"/>
  <c r="I30" i="42" s="1"/>
  <c r="Y67" i="23"/>
  <c r="AK39" i="22"/>
  <c r="I29" i="42" s="1"/>
  <c r="AL41" i="22"/>
  <c r="J27" i="39" s="1"/>
  <c r="Y67" i="22"/>
  <c r="AL40" i="22"/>
  <c r="I27" i="39" s="1"/>
  <c r="H27" i="42"/>
  <c r="Y67" i="20"/>
  <c r="AK39" i="20"/>
  <c r="I27" i="42" s="1"/>
  <c r="AL41" i="20"/>
  <c r="J25" i="39" s="1"/>
  <c r="AL41" i="17"/>
  <c r="J22" i="39" s="1"/>
  <c r="AL40" i="17"/>
  <c r="I22" i="39" s="1"/>
  <c r="AK39" i="17"/>
  <c r="I24" i="42" s="1"/>
  <c r="AL40" i="15"/>
  <c r="I20" i="39" s="1"/>
  <c r="AL41" i="15"/>
  <c r="J20" i="39" s="1"/>
  <c r="H22" i="42"/>
  <c r="AL41" i="14"/>
  <c r="I19" i="39" s="1"/>
  <c r="AK40" i="14"/>
  <c r="I21" i="42" s="1"/>
  <c r="AL42" i="14"/>
  <c r="J19" i="39" s="1"/>
  <c r="AL40" i="13"/>
  <c r="I18" i="39" s="1"/>
  <c r="H20" i="42"/>
  <c r="Y67" i="13"/>
  <c r="AK39" i="13"/>
  <c r="I20" i="42" s="1"/>
  <c r="AL61" i="23"/>
  <c r="AL63" i="23" s="1"/>
  <c r="AP39" i="7"/>
  <c r="AQ40" i="7"/>
  <c r="J14" i="42" s="1"/>
  <c r="AK39" i="6"/>
  <c r="I13" i="42" s="1"/>
  <c r="H13" i="42"/>
  <c r="AL40" i="6"/>
  <c r="I11" i="39" s="1"/>
  <c r="AK39" i="5"/>
  <c r="I12" i="42" s="1"/>
  <c r="Y67" i="5"/>
  <c r="AL41" i="5"/>
  <c r="J10" i="39" s="1"/>
  <c r="AL40" i="5"/>
  <c r="I10" i="39" s="1"/>
  <c r="F48" i="42"/>
  <c r="P13" i="45" s="1"/>
  <c r="G6" i="44"/>
  <c r="G13" i="44" s="1"/>
  <c r="C6" i="43"/>
  <c r="H9" i="42"/>
  <c r="H41" i="42" s="1"/>
  <c r="AL40" i="2"/>
  <c r="I7" i="39" s="1"/>
  <c r="AK39" i="2"/>
  <c r="I9" i="42" s="1"/>
  <c r="Y67" i="2"/>
  <c r="Y68" i="2" s="1"/>
  <c r="AA70" i="2" s="1"/>
  <c r="K9" i="42"/>
  <c r="L7" i="39"/>
  <c r="AP39" i="21"/>
  <c r="AQ41" i="21"/>
  <c r="AQ40" i="21"/>
  <c r="B78" i="37"/>
  <c r="C78" i="37"/>
  <c r="K29" i="42"/>
  <c r="L27" i="39"/>
  <c r="AL49" i="13"/>
  <c r="AQ61" i="13" s="1"/>
  <c r="AQ63" i="13" s="1"/>
  <c r="AL49" i="18"/>
  <c r="AQ61" i="18" s="1"/>
  <c r="AQ63" i="18" s="1"/>
  <c r="AL49" i="12"/>
  <c r="AQ61" i="12" s="1"/>
  <c r="AQ63" i="12" s="1"/>
  <c r="AL49" i="19"/>
  <c r="AQ61" i="19" s="1"/>
  <c r="AQ63" i="19" s="1"/>
  <c r="AL49" i="15"/>
  <c r="AQ61" i="15" s="1"/>
  <c r="AQ63" i="15" s="1"/>
  <c r="AL49" i="4"/>
  <c r="F6" i="45"/>
  <c r="F13" i="45" s="1"/>
  <c r="AQ41" i="10"/>
  <c r="AQ40" i="10"/>
  <c r="AP39" i="10"/>
  <c r="AQ41" i="6"/>
  <c r="AP39" i="6"/>
  <c r="AQ40" i="6"/>
  <c r="Y67" i="6"/>
  <c r="J25" i="42"/>
  <c r="K23" i="39"/>
  <c r="AL61" i="12"/>
  <c r="AL63" i="12" s="1"/>
  <c r="AP39" i="8"/>
  <c r="AQ41" i="8"/>
  <c r="AQ40" i="8"/>
  <c r="AL56" i="19"/>
  <c r="AL61" i="19" s="1"/>
  <c r="AL63" i="19" s="1"/>
  <c r="AL56" i="12"/>
  <c r="AL56" i="18"/>
  <c r="AL61" i="18" s="1"/>
  <c r="AL63" i="18" s="1"/>
  <c r="AL56" i="13"/>
  <c r="AL61" i="13" s="1"/>
  <c r="AL63" i="13" s="1"/>
  <c r="AL56" i="4"/>
  <c r="AL56" i="16"/>
  <c r="AL61" i="16" s="1"/>
  <c r="AL63" i="16" s="1"/>
  <c r="AQ41" i="28"/>
  <c r="AQ40" i="28"/>
  <c r="AP39" i="28"/>
  <c r="AQ41" i="15"/>
  <c r="AQ40" i="15"/>
  <c r="AP39" i="15"/>
  <c r="AL56" i="21"/>
  <c r="AL61" i="21" s="1"/>
  <c r="AL63" i="21" s="1"/>
  <c r="AL56" i="25"/>
  <c r="AL56" i="11"/>
  <c r="AR55" i="29" s="1"/>
  <c r="AL56" i="22"/>
  <c r="AL61" i="22" s="1"/>
  <c r="AL63" i="22" s="1"/>
  <c r="AL56" i="17"/>
  <c r="AL61" i="17" s="1"/>
  <c r="AL63" i="17" s="1"/>
  <c r="AL56" i="20"/>
  <c r="AL61" i="20" s="1"/>
  <c r="AL63" i="20" s="1"/>
  <c r="AL56" i="24"/>
  <c r="AL61" i="24" s="1"/>
  <c r="AL63" i="24" s="1"/>
  <c r="AR54" i="32"/>
  <c r="J33" i="42"/>
  <c r="K31" i="39"/>
  <c r="AL62" i="14"/>
  <c r="AL64" i="14" s="1"/>
  <c r="U25" i="5"/>
  <c r="A7" i="1"/>
  <c r="J9" i="42"/>
  <c r="K7" i="39"/>
  <c r="AQ61" i="3"/>
  <c r="AQ63" i="3" s="1"/>
  <c r="AL61" i="8"/>
  <c r="AL63" i="8" s="1"/>
  <c r="K25" i="42"/>
  <c r="L23" i="39"/>
  <c r="AQ41" i="16"/>
  <c r="AQ40" i="16"/>
  <c r="AP39" i="16"/>
  <c r="K10" i="42"/>
  <c r="L8" i="39"/>
  <c r="J18" i="42"/>
  <c r="K16" i="39"/>
  <c r="AL61" i="6"/>
  <c r="AL63" i="6" s="1"/>
  <c r="AQ41" i="9"/>
  <c r="AQ40" i="9"/>
  <c r="AP39" i="9"/>
  <c r="J27" i="42"/>
  <c r="K25" i="39"/>
  <c r="AP39" i="5"/>
  <c r="AQ41" i="5"/>
  <c r="AQ40" i="5"/>
  <c r="K20" i="42"/>
  <c r="L18" i="39"/>
  <c r="Y67" i="15"/>
  <c r="AQ42" i="14"/>
  <c r="AQ41" i="14"/>
  <c r="AP40" i="14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H36" i="42"/>
  <c r="Y67" i="29"/>
  <c r="Y68" i="29" s="1"/>
  <c r="AL41" i="29"/>
  <c r="J34" i="39" s="1"/>
  <c r="AL40" i="29"/>
  <c r="I34" i="39" s="1"/>
  <c r="AK39" i="29"/>
  <c r="I36" i="42" s="1"/>
  <c r="J29" i="42"/>
  <c r="K27" i="39"/>
  <c r="AR48" i="23"/>
  <c r="AR48" i="28"/>
  <c r="AQ41" i="30"/>
  <c r="AQ40" i="30"/>
  <c r="AP39" i="30"/>
  <c r="H32" i="42"/>
  <c r="AL41" i="25"/>
  <c r="J30" i="39" s="1"/>
  <c r="AL40" i="25"/>
  <c r="I30" i="39" s="1"/>
  <c r="AK39" i="25"/>
  <c r="I32" i="42" s="1"/>
  <c r="Y67" i="25"/>
  <c r="Y68" i="14"/>
  <c r="K18" i="42"/>
  <c r="L16" i="39"/>
  <c r="AQ41" i="4"/>
  <c r="AQ40" i="4"/>
  <c r="AP39" i="4"/>
  <c r="Y67" i="4"/>
  <c r="AP39" i="27"/>
  <c r="AQ41" i="27"/>
  <c r="AQ40" i="27"/>
  <c r="AC68" i="12"/>
  <c r="AC65" i="13" s="1"/>
  <c r="AC68" i="13" s="1"/>
  <c r="AC66" i="14" s="1"/>
  <c r="AC69" i="14" s="1"/>
  <c r="AC65" i="15" s="1"/>
  <c r="AC68" i="15" s="1"/>
  <c r="AC68" i="16" s="1"/>
  <c r="AC65" i="17" s="1"/>
  <c r="AC68" i="17" s="1"/>
  <c r="AC65" i="18" s="1"/>
  <c r="AC68" i="18" s="1"/>
  <c r="AC65" i="19" s="1"/>
  <c r="AQ41" i="31"/>
  <c r="AQ40" i="31"/>
  <c r="AP39" i="31"/>
  <c r="AP56" i="19"/>
  <c r="AP56" i="18"/>
  <c r="AP56" i="12"/>
  <c r="AP56" i="15"/>
  <c r="AP56" i="13"/>
  <c r="AP56" i="16"/>
  <c r="AP56" i="4"/>
  <c r="K26" i="42"/>
  <c r="L24" i="39"/>
  <c r="AC68" i="30"/>
  <c r="AC65" i="31" s="1"/>
  <c r="AC68" i="31" s="1"/>
  <c r="AQ61" i="2"/>
  <c r="AQ63" i="2" s="1"/>
  <c r="AL62" i="2"/>
  <c r="AL63" i="2" s="1"/>
  <c r="K14" i="42"/>
  <c r="L12" i="39"/>
  <c r="AC67" i="19"/>
  <c r="AM39" i="19"/>
  <c r="J10" i="42"/>
  <c r="K8" i="39"/>
  <c r="AQ61" i="4"/>
  <c r="AQ63" i="4" s="1"/>
  <c r="AC68" i="3"/>
  <c r="AC65" i="4" s="1"/>
  <c r="AC68" i="4" s="1"/>
  <c r="AC65" i="5" s="1"/>
  <c r="AC68" i="5" s="1"/>
  <c r="AC65" i="6" s="1"/>
  <c r="AC68" i="6" s="1"/>
  <c r="AC65" i="7" s="1"/>
  <c r="AC68" i="7" s="1"/>
  <c r="AR55" i="23"/>
  <c r="AQ41" i="25"/>
  <c r="AQ40" i="25"/>
  <c r="AP39" i="25"/>
  <c r="AP39" i="17"/>
  <c r="AQ41" i="17"/>
  <c r="AQ40" i="17"/>
  <c r="Y67" i="17"/>
  <c r="AQ61" i="8"/>
  <c r="AQ63" i="8" s="1"/>
  <c r="H28" i="42"/>
  <c r="AL41" i="21"/>
  <c r="J26" i="39" s="1"/>
  <c r="AL40" i="21"/>
  <c r="I26" i="39" s="1"/>
  <c r="AK39" i="21"/>
  <c r="I28" i="42" s="1"/>
  <c r="Y67" i="21"/>
  <c r="Y68" i="21" s="1"/>
  <c r="Y65" i="22" s="1"/>
  <c r="Y68" i="22" s="1"/>
  <c r="Y65" i="23" s="1"/>
  <c r="K31" i="42"/>
  <c r="L29" i="39"/>
  <c r="H35" i="42"/>
  <c r="Y67" i="28"/>
  <c r="AK39" i="28"/>
  <c r="I35" i="42" s="1"/>
  <c r="AL40" i="28"/>
  <c r="I33" i="39" s="1"/>
  <c r="AL41" i="28"/>
  <c r="J33" i="39" s="1"/>
  <c r="AC67" i="27"/>
  <c r="AM39" i="27"/>
  <c r="J20" i="42"/>
  <c r="K18" i="39"/>
  <c r="AL61" i="15"/>
  <c r="AL63" i="15" s="1"/>
  <c r="AL61" i="25"/>
  <c r="AL63" i="25" s="1"/>
  <c r="AR54" i="31"/>
  <c r="AL61" i="29"/>
  <c r="AL63" i="29" s="1"/>
  <c r="K33" i="42"/>
  <c r="L31" i="39"/>
  <c r="AQ63" i="24"/>
  <c r="AQ63" i="11"/>
  <c r="AQ64" i="32" s="1"/>
  <c r="H38" i="42"/>
  <c r="Y67" i="31"/>
  <c r="AL41" i="31"/>
  <c r="J36" i="39" s="1"/>
  <c r="AL40" i="31"/>
  <c r="I36" i="39" s="1"/>
  <c r="AK39" i="31"/>
  <c r="I38" i="42" s="1"/>
  <c r="AL40" i="27"/>
  <c r="I32" i="39" s="1"/>
  <c r="AQ40" i="29"/>
  <c r="AP39" i="29"/>
  <c r="AQ41" i="29"/>
  <c r="AP39" i="23"/>
  <c r="AQ40" i="23"/>
  <c r="AQ41" i="23"/>
  <c r="AQ41" i="12"/>
  <c r="AQ40" i="12"/>
  <c r="AP39" i="12"/>
  <c r="AL41" i="19"/>
  <c r="J24" i="39" s="1"/>
  <c r="AQ41" i="32"/>
  <c r="AQ40" i="32"/>
  <c r="AP39" i="32"/>
  <c r="Y67" i="9"/>
  <c r="Y68" i="9" s="1"/>
  <c r="Y65" i="10" s="1"/>
  <c r="K24" i="39" l="1"/>
  <c r="K29" i="39"/>
  <c r="L25" i="39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C47" i="42"/>
  <c r="G6" i="45" s="1"/>
  <c r="G13" i="45" s="1"/>
  <c r="K12" i="39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L61" i="11"/>
  <c r="AL63" i="11" s="1"/>
  <c r="AR55" i="28"/>
  <c r="H40" i="42"/>
  <c r="Y65" i="3"/>
  <c r="Y68" i="3" s="1"/>
  <c r="Y65" i="4" s="1"/>
  <c r="Y68" i="4" s="1"/>
  <c r="Y65" i="5" s="1"/>
  <c r="Y68" i="5" s="1"/>
  <c r="Y65" i="6" s="1"/>
  <c r="Y68" i="6" s="1"/>
  <c r="Y65" i="7" s="1"/>
  <c r="Y68" i="7" s="1"/>
  <c r="K30" i="42"/>
  <c r="L28" i="39"/>
  <c r="K32" i="42"/>
  <c r="L30" i="39"/>
  <c r="K11" i="42"/>
  <c r="L9" i="39"/>
  <c r="K37" i="39"/>
  <c r="J39" i="42"/>
  <c r="K36" i="42"/>
  <c r="L34" i="39"/>
  <c r="L19" i="39"/>
  <c r="K21" i="42"/>
  <c r="J12" i="42"/>
  <c r="K10" i="39"/>
  <c r="L14" i="39"/>
  <c r="K16" i="42"/>
  <c r="K39" i="42"/>
  <c r="L37" i="39"/>
  <c r="AR55" i="27"/>
  <c r="AC65" i="32"/>
  <c r="AC68" i="32" s="1"/>
  <c r="J34" i="42"/>
  <c r="K32" i="39"/>
  <c r="L35" i="39"/>
  <c r="K37" i="42"/>
  <c r="H43" i="42"/>
  <c r="L17" i="39"/>
  <c r="K19" i="42"/>
  <c r="J36" i="42"/>
  <c r="K34" i="39"/>
  <c r="J24" i="42"/>
  <c r="K22" i="39"/>
  <c r="J32" i="42"/>
  <c r="K30" i="39"/>
  <c r="AR55" i="26"/>
  <c r="AR55" i="30"/>
  <c r="AC68" i="19"/>
  <c r="AC68" i="20" s="1"/>
  <c r="J38" i="42"/>
  <c r="K36" i="39"/>
  <c r="K34" i="42"/>
  <c r="L32" i="39"/>
  <c r="J11" i="42"/>
  <c r="K9" i="39"/>
  <c r="H42" i="42"/>
  <c r="K21" i="39"/>
  <c r="J23" i="42"/>
  <c r="K13" i="42"/>
  <c r="L11" i="39"/>
  <c r="L15" i="39"/>
  <c r="K17" i="42"/>
  <c r="AC68" i="27"/>
  <c r="AC65" i="28" s="1"/>
  <c r="AC68" i="28" s="1"/>
  <c r="K24" i="42"/>
  <c r="L22" i="39"/>
  <c r="K38" i="42"/>
  <c r="L36" i="39"/>
  <c r="J21" i="42"/>
  <c r="K19" i="39"/>
  <c r="J16" i="42"/>
  <c r="K14" i="39"/>
  <c r="K23" i="42"/>
  <c r="L21" i="39"/>
  <c r="AR55" i="12"/>
  <c r="AR55" i="15"/>
  <c r="AR55" i="16"/>
  <c r="AR55" i="19"/>
  <c r="AR55" i="18"/>
  <c r="AR55" i="4"/>
  <c r="AL61" i="4"/>
  <c r="AL63" i="4" s="1"/>
  <c r="AR55" i="13"/>
  <c r="J30" i="42"/>
  <c r="K28" i="39"/>
  <c r="J37" i="42"/>
  <c r="K35" i="39"/>
  <c r="J22" i="42"/>
  <c r="K20" i="39"/>
  <c r="K33" i="39"/>
  <c r="J35" i="42"/>
  <c r="J15" i="42"/>
  <c r="K13" i="39"/>
  <c r="J13" i="42"/>
  <c r="K11" i="39"/>
  <c r="J28" i="42"/>
  <c r="K26" i="39"/>
  <c r="J19" i="42"/>
  <c r="K17" i="39"/>
  <c r="Y65" i="30"/>
  <c r="Y68" i="30" s="1"/>
  <c r="Y65" i="31" s="1"/>
  <c r="Y68" i="31" s="1"/>
  <c r="AA70" i="29"/>
  <c r="K12" i="42"/>
  <c r="L10" i="39"/>
  <c r="U25" i="6"/>
  <c r="A8" i="1"/>
  <c r="K22" i="42"/>
  <c r="L20" i="39"/>
  <c r="K35" i="42"/>
  <c r="L33" i="39"/>
  <c r="K15" i="42"/>
  <c r="L13" i="39"/>
  <c r="J17" i="42"/>
  <c r="K15" i="39"/>
  <c r="K28" i="42"/>
  <c r="L26" i="39"/>
  <c r="C48" i="42" l="1"/>
  <c r="H6" i="45" s="1"/>
  <c r="J43" i="42"/>
  <c r="K42" i="42"/>
  <c r="K43" i="42"/>
  <c r="K41" i="42"/>
  <c r="Y65" i="32"/>
  <c r="Y68" i="32" s="1"/>
  <c r="AA70" i="32" s="1"/>
  <c r="AA70" i="31"/>
  <c r="J42" i="42"/>
  <c r="J41" i="42"/>
  <c r="A9" i="1"/>
  <c r="A10" i="1" s="1"/>
  <c r="U25" i="7"/>
  <c r="J40" i="42"/>
  <c r="H47" i="42" s="1"/>
  <c r="S6" i="45" l="1"/>
  <c r="H48" i="42"/>
  <c r="T6" i="45" s="1"/>
  <c r="A11" i="1"/>
  <c r="U25" i="8"/>
  <c r="U25" i="9"/>
  <c r="U25" i="10" l="1"/>
  <c r="A12" i="1"/>
  <c r="A13" i="1" l="1"/>
  <c r="U25" i="1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<sst xmlns="http://schemas.openxmlformats.org/spreadsheetml/2006/main" count="8796" uniqueCount="445">
  <si>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</si>
  <si>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</si>
  <si>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</si>
  <si>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</si>
  <si>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</si>
  <si>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</si>
  <si>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</si>
  <si>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</si>
  <si>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</si>
  <si>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</si>
  <si>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</si>
  <si>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</si>
  <si>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</si>
  <si>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</si>
  <si>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</si>
  <si>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</si>
  <si>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</si>
  <si>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</si>
  <si>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</si>
  <si>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</si>
  <si>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</si>
  <si>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</si>
  <si>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</si>
  <si>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</si>
  <si>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</si>
  <si>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</si>
  <si>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</si>
  <si>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</si>
  <si>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</si>
  <si>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</si>
  <si>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</si>
  <si>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</si>
  <si>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</si>
  <si>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</si>
  <si>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</si>
  <si>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</si>
  <si>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</si>
  <si>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</si>
  <si>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</si>
  <si>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</si>
  <si>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</si>
  <si>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</si>
  <si>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</si>
  <si>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</si>
  <si>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</si>
  <si>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</si>
  <si>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</si>
  <si>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</si>
  <si>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</si>
  <si>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</si>
  <si>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</si>
  <si>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</si>
  <si>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</si>
  <si>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</si>
  <si>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</si>
  <si>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</si>
  <si>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</si>
  <si>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</si>
  <si>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</si>
  <si>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</si>
  <si>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</si>
  <si>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</si>
  <si>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</si>
  <si>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</si>
  <si>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</si>
  <si>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</si>
  <si>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</si>
  <si>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</si>
  <si>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</si>
  <si>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</si>
  <si>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</si>
  <si>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</si>
  <si>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</si>
  <si>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</si>
  <si>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</si>
  <si>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</si>
  <si>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</si>
  <si>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</si>
  <si>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</si>
  <si>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</si>
  <si>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</si>
  <si>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</si>
  <si>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</si>
  <si>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</si>
  <si>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</si>
  <si>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</si>
  <si>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</si>
  <si>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</si>
  <si>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</si>
  <si>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</si>
  <si>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</si>
  <si>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</si>
  <si>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</si>
  <si>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</si>
  <si>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</si>
  <si>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</si>
  <si>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</si>
  <si>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</si>
  <si>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</si>
  <si>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</si>
  <si>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</si>
  <si>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</si>
  <si>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</si>
  <si>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</si>
  <si>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</si>
  <si>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</si>
  <si>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</si>
  <si>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</si>
  <si>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</si>
  <si>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</si>
  <si>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</si>
  <si>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</si>
  <si>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</si>
  <si>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</si>
  <si>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</si>
  <si>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</si>
  <si>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</si>
  <si>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</si>
  <si>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</si>
  <si>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</si>
  <si>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</si>
  <si>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</si>
  <si>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</si>
  <si>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</si>
  <si>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</si>
  <si>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</si>
  <si>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</si>
  <si>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</si>
  <si>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</si>
  <si>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</si>
  <si>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</si>
  <si>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</si>
  <si>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</si>
  <si>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</si>
  <si>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</si>
  <si>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</si>
  <si>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</si>
  <si>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</si>
  <si>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</si>
  <si>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</si>
  <si>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</si>
  <si>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</si>
  <si>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</si>
  <si>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</si>
  <si>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</si>
  <si>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</si>
  <si>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</si>
  <si>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</si>
  <si>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</si>
  <si>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</si>
  <si>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</si>
  <si>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</si>
  <si>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</si>
  <si>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</si>
  <si>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</si>
  <si>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</si>
  <si>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</si>
  <si>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</si>
  <si>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</si>
  <si>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</si>
  <si>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</si>
  <si>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</si>
  <si>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</si>
  <si>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</si>
  <si>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</si>
  <si>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</si>
  <si>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</si>
  <si>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</si>
  <si>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</si>
  <si>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</si>
  <si>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</si>
  <si>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</si>
  <si>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</si>
  <si>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</si>
  <si>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</si>
  <si>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</si>
  <si>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</si>
  <si>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</si>
  <si>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</si>
  <si>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</si>
  <si>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</si>
  <si>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</si>
  <si>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</si>
  <si>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</si>
  <si>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</si>
  <si>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</si>
  <si>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</si>
  <si>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</si>
  <si>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</si>
  <si>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</si>
  <si>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</si>
  <si>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</si>
  <si>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</si>
  <si>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</si>
  <si>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</si>
  <si>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</si>
  <si>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</si>
  <si>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</si>
  <si>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</si>
  <si>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</si>
  <si>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</si>
  <si>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</si>
  <si>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</si>
  <si>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</si>
  <si>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</si>
  <si>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</si>
  <si>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</si>
  <si>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</si>
  <si>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</si>
  <si>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</si>
  <si>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</si>
  <si>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</si>
  <si>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</si>
  <si>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</si>
  <si>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</si>
  <si>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</si>
  <si>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</si>
  <si>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</si>
  <si>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</si>
  <si>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</si>
  <si>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</si>
  <si>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</si>
  <si>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</si>
  <si>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</si>
  <si>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</si>
  <si>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</si>
  <si>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</si>
  <si>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</si>
  <si>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</si>
  <si>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</si>
  <si>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</si>
  <si>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</si>
  <si>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</si>
  <si>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</si>
  <si>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</si>
  <si>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</si>
  <si>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</si>
  <si>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</si>
  <si>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</si>
  <si>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</si>
  <si>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</si>
  <si>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</si>
  <si>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</si>
  <si>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</si>
  <si>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</si>
  <si>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</si>
  <si>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</si>
  <si>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</si>
  <si>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</si>
  <si>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</si>
  <si>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</si>
  <si>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</si>
  <si>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</si>
  <si>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</si>
  <si>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</si>
  <si>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</si>
  <si>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</si>
  <si>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</si>
  <si>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</si>
  <si>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</si>
  <si>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</si>
  <si>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</si>
  <si>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</si>
  <si>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</si>
  <si>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</si>
  <si>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</si>
  <si>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</si>
  <si>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</si>
  <si>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</si>
  <si>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</si>
  <si>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</si>
  <si>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</si>
  <si>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</si>
  <si>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</si>
  <si>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</si>
  <si>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</si>
  <si>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</si>
  <si>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</si>
  <si>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</si>
  <si>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</si>
  <si>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</si>
  <si>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</si>
  <si>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</si>
  <si>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</si>
  <si>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</si>
  <si>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</si>
  <si>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</si>
  <si>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</si>
  <si>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</si>
  <si>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</si>
  <si>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</si>
  <si>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</si>
  <si>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</si>
  <si>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</si>
  <si>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</si>
  <si>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</si>
  <si>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</si>
  <si>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</si>
  <si>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</si>
  <si>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</si>
  <si>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</si>
  <si>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</si>
  <si>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</si>
  <si>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</si>
  <si>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</si>
  <si>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</si>
  <si>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</si>
  <si>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</si>
  <si>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</si>
  <si>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</si>
  <si>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</si>
  <si>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</si>
  <si>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</si>
  <si>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</si>
  <si>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</si>
  <si>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</si>
  <si>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</si>
  <si>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</si>
  <si>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</si>
  <si>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</si>
  <si>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</si>
  <si>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</si>
  <si>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</si>
  <si>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</si>
  <si>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</si>
  <si>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</si>
  <si>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</si>
  <si>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</si>
  <si>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</si>
  <si>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</si>
  <si>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</si>
  <si>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</si>
  <si>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</si>
  <si>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</si>
  <si>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</si>
  <si>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</si>
  <si>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</si>
  <si>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</si>
  <si>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</si>
  <si>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</si>
  <si>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</si>
  <si>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</si>
  <si>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</si>
  <si>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</si>
  <si>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</si>
  <si>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</si>
  <si>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</si>
  <si>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</si>
  <si>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</si>
  <si>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</si>
  <si>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</si>
  <si>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</si>
  <si>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</si>
  <si>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</si>
  <si>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</si>
  <si>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</si>
  <si>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</si>
  <si>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</si>
  <si>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</si>
  <si>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</si>
  <si>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</si>
  <si>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</si>
  <si>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</si>
  <si>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</si>
  <si>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</si>
  <si>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</si>
  <si>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</si>
  <si>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</si>
  <si>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</si>
  <si>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</si>
  <si>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</si>
  <si>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</si>
  <si>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</si>
  <si>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</si>
  <si>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</si>
  <si>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</si>
  <si>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</si>
  <si>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</si>
  <si>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</si>
  <si>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</si>
  <si>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</si>
  <si>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</si>
  <si>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</si>
  <si>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</si>
  <si>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</si>
  <si>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</si>
  <si>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</si>
  <si>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</si>
  <si>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</si>
  <si>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</si>
  <si>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</si>
  <si>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</si>
  <si>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</si>
  <si>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</si>
  <si>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</si>
  <si>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</si>
  <si>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</si>
  <si>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</si>
  <si>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</si>
  <si>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</si>
  <si>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</si>
  <si>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</si>
  <si>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</si>
  <si>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</si>
  <si>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</si>
  <si>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</si>
  <si>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</si>
  <si>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</si>
  <si>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</si>
  <si>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</si>
  <si>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</si>
  <si>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</si>
  <si>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</si>
  <si>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</si>
  <si>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</si>
  <si>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</si>
  <si>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</si>
  <si>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</si>
  <si>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</si>
  <si>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</si>
  <si>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</si>
  <si>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</si>
  <si>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</si>
  <si>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</si>
  <si>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</si>
  <si>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</si>
  <si>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</si>
  <si>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</si>
  <si>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</si>
  <si>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</si>
  <si>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</si>
  <si>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</si>
  <si>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</si>
  <si>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</si>
  <si>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</si>
  <si>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</si>
  <si>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</si>
  <si>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</si>
  <si>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</si>
  <si>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</si>
  <si>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</si>
  <si>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*</t>
  </si>
  <si>
    <t>Tapacurá</t>
  </si>
  <si>
    <t>,9+3</t>
  </si>
  <si>
    <t>2616.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</si>
</sst>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1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6" xfId="0" applyFont="1" applyFill="1" applyBorder="1" applyAlignment="1">
      <alignment horizontal="center" wrapText="1"/>
    </xf>
    <xf numFmtId="0" fontId="65" fillId="29" borderId="67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4" xfId="0" applyFont="1" applyFill="1" applyBorder="1" applyAlignment="1">
      <alignment horizontal="center" vertical="center"/>
    </xf>
    <xf numFmtId="168" fontId="0" fillId="0" borderId="64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0" fontId="0" fillId="29" borderId="66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6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3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4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7" xfId="0" applyNumberFormat="1" applyFont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0" xfId="0" applyNumberFormat="1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77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5" xfId="0" applyFont="1" applyFill="1" applyBorder="1"/>
    <xf numFmtId="0" fontId="71" fillId="9" borderId="86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2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4" xfId="0" applyNumberFormat="1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7" xfId="0" applyFont="1" applyBorder="1" applyAlignment="1">
      <alignment vertical="center"/>
    </xf>
    <xf numFmtId="178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6" xfId="0" applyFont="1" applyFill="1" applyBorder="1"/>
    <xf numFmtId="0" fontId="76" fillId="9" borderId="85" xfId="0" applyFont="1" applyFill="1" applyBorder="1"/>
    <xf numFmtId="1" fontId="48" fillId="9" borderId="86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5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6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7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9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4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2" xfId="0" applyFont="1" applyBorder="1" applyAlignment="1">
      <alignment horizontal="center"/>
    </xf>
    <xf numFmtId="168" fontId="76" fillId="0" borderId="82" xfId="0" applyNumberFormat="1" applyFont="1" applyBorder="1" applyAlignment="1">
      <alignment horizontal="center"/>
    </xf>
    <xf numFmtId="168" fontId="76" fillId="0" borderId="84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2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1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89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101" fillId="0" borderId="72" xfId="0" applyFont="1" applyBorder="1" applyAlignment="1">
      <alignment horizontal="left"/>
    </xf>
    <xf numFmtId="3" fontId="101" fillId="0" borderId="96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6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7" xfId="0" applyNumberFormat="1" applyFont="1" applyFill="1" applyBorder="1" applyAlignment="1" applyProtection="1">
      <alignment horizontal="center" wrapText="1"/>
      <protection locked="0"/>
    </xf>
    <xf numFmtId="1" fontId="101" fillId="37" borderId="97" xfId="0" applyNumberFormat="1" applyFont="1" applyFill="1" applyBorder="1" applyAlignment="1" applyProtection="1">
      <alignment horizontal="center" wrapText="1"/>
      <protection locked="0"/>
    </xf>
    <xf numFmtId="3" fontId="101" fillId="35" borderId="96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6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8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4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6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0" fontId="101" fillId="0" borderId="80" xfId="0" applyFont="1" applyBorder="1" applyAlignment="1"/>
    <xf numFmtId="3" fontId="101" fillId="0" borderId="78" xfId="0" applyNumberFormat="1" applyFont="1" applyBorder="1" applyAlignment="1">
      <alignment horizontal="center" vertical="center"/>
    </xf>
    <xf numFmtId="3" fontId="101" fillId="31" borderId="78" xfId="0" applyNumberFormat="1" applyFont="1" applyFill="1" applyBorder="1" applyAlignment="1">
      <alignment horizontal="center" vertical="center"/>
    </xf>
    <xf numFmtId="3" fontId="101" fillId="32" borderId="78" xfId="0" applyNumberFormat="1" applyFont="1" applyFill="1" applyBorder="1" applyAlignment="1">
      <alignment horizontal="center" vertical="center"/>
    </xf>
    <xf numFmtId="3" fontId="101" fillId="8" borderId="78" xfId="0" applyNumberFormat="1" applyFont="1" applyFill="1" applyBorder="1" applyAlignment="1">
      <alignment horizontal="center" vertical="center"/>
    </xf>
    <xf numFmtId="3" fontId="101" fillId="33" borderId="78" xfId="0" applyNumberFormat="1" applyFont="1" applyFill="1" applyBorder="1" applyAlignment="1">
      <alignment horizontal="center" vertical="center"/>
    </xf>
    <xf numFmtId="3" fontId="101" fillId="33" borderId="99" xfId="0" applyNumberFormat="1" applyFont="1" applyFill="1" applyBorder="1" applyAlignment="1">
      <alignment horizontal="center" vertical="center"/>
    </xf>
    <xf numFmtId="3" fontId="101" fillId="37" borderId="99" xfId="0" applyNumberFormat="1" applyFont="1" applyFill="1" applyBorder="1" applyAlignment="1">
      <alignment horizontal="center" vertical="center"/>
    </xf>
    <xf numFmtId="3" fontId="101" fillId="35" borderId="78" xfId="0" applyNumberFormat="1" applyFont="1" applyFill="1" applyBorder="1" applyAlignment="1">
      <alignment horizontal="center" vertical="center"/>
    </xf>
    <xf numFmtId="3" fontId="101" fillId="4" borderId="80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100" xfId="0" applyNumberFormat="1" applyFont="1" applyFill="1" applyBorder="1" applyAlignment="1">
      <alignment horizontal="center" vertical="center"/>
    </xf>
    <xf numFmtId="0" fontId="101" fillId="9" borderId="77" xfId="0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77" xfId="0" applyFont="1" applyFill="1" applyBorder="1" applyAlignment="1">
      <alignment horizontal="center" vertical="center"/>
    </xf>
    <xf numFmtId="0" fontId="102" fillId="0" borderId="63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3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3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6" xfId="0" applyFont="1" applyBorder="1"/>
    <xf numFmtId="0" fontId="102" fillId="0" borderId="86" xfId="0" applyFont="1" applyBorder="1"/>
    <xf numFmtId="0" fontId="103" fillId="0" borderId="86" xfId="0" applyFont="1" applyBorder="1"/>
    <xf numFmtId="0" fontId="0" fillId="0" borderId="86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2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3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4" xfId="0" applyNumberFormat="1" applyFont="1" applyBorder="1" applyAlignment="1">
      <alignment horizontal="center" vertical="center"/>
    </xf>
    <xf numFmtId="3" fontId="103" fillId="0" borderId="72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3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4" xfId="0" applyNumberFormat="1" applyFont="1" applyBorder="1" applyAlignment="1">
      <alignment horizontal="center" vertical="center"/>
    </xf>
    <xf numFmtId="0" fontId="98" fillId="0" borderId="93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5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6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0" xfId="0" applyNumberFormat="1" applyFont="1" applyBorder="1" applyAlignment="1">
      <alignment horizontal="center" vertical="center"/>
    </xf>
    <xf numFmtId="3" fontId="98" fillId="0" borderId="71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1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4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5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2" xfId="0" applyNumberFormat="1" applyFont="1" applyBorder="1" applyAlignment="1">
      <alignment horizontal="center" vertical="center"/>
    </xf>
    <xf numFmtId="3" fontId="108" fillId="4" borderId="78" xfId="0" applyNumberFormat="1" applyFont="1" applyFill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99" xfId="0" applyNumberFormat="1" applyFont="1" applyFill="1" applyBorder="1" applyAlignment="1">
      <alignment horizontal="center" vertical="center"/>
    </xf>
    <xf numFmtId="3" fontId="108" fillId="14" borderId="77" xfId="0" applyNumberFormat="1" applyFont="1" applyFill="1" applyBorder="1" applyAlignment="1">
      <alignment horizontal="center" vertical="center"/>
    </xf>
    <xf numFmtId="3" fontId="108" fillId="14" borderId="79" xfId="0" applyNumberFormat="1" applyFont="1" applyFill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76" fillId="0" borderId="0" xfId="0" applyFont="1"/>
    <xf numFmtId="0" fontId="107" fillId="0" borderId="80" xfId="0" applyFont="1" applyBorder="1" applyAlignment="1">
      <alignment horizontal="center" vertical="center" wrapText="1"/>
    </xf>
    <xf numFmtId="0" fontId="107" fillId="0" borderId="81" xfId="0" applyFont="1" applyBorder="1" applyAlignment="1">
      <alignment horizontal="center" vertical="center" wrapText="1"/>
    </xf>
    <xf numFmtId="0" fontId="107" fillId="0" borderId="103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3" fontId="107" fillId="0" borderId="103" xfId="0" applyNumberFormat="1" applyFont="1" applyBorder="1" applyAlignment="1">
      <alignment horizontal="center" vertical="center"/>
    </xf>
    <xf numFmtId="0" fontId="111" fillId="0" borderId="85" xfId="0" applyFont="1" applyBorder="1" applyAlignment="1">
      <alignment horizontal="left" vertical="center"/>
    </xf>
    <xf numFmtId="3" fontId="30" fillId="0" borderId="69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98" fillId="14" borderId="75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3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4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5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0" fontId="111" fillId="0" borderId="76" xfId="0" applyFont="1" applyBorder="1" applyAlignment="1">
      <alignment horizontal="left" vertical="center"/>
    </xf>
    <xf numFmtId="3" fontId="30" fillId="0" borderId="83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3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0" borderId="93" xfId="0" applyNumberFormat="1" applyFont="1" applyBorder="1" applyAlignment="1">
      <alignment horizontal="center" vertical="center"/>
    </xf>
    <xf numFmtId="3" fontId="30" fillId="0" borderId="88" xfId="0" applyNumberFormat="1" applyFont="1" applyBorder="1" applyAlignment="1">
      <alignment horizontal="center" vertical="center"/>
    </xf>
    <xf numFmtId="3" fontId="30" fillId="0" borderId="105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0" fontId="111" fillId="0" borderId="106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8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1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0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106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2" xfId="0" applyNumberFormat="1" applyFont="1" applyBorder="1" applyAlignment="1">
      <alignment horizontal="center"/>
    </xf>
    <xf numFmtId="4" fontId="112" fillId="0" borderId="77" xfId="0" applyNumberFormat="1" applyFont="1" applyBorder="1" applyAlignment="1">
      <alignment horizontal="center"/>
    </xf>
    <xf numFmtId="3" fontId="112" fillId="0" borderId="77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99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9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4" xfId="0" applyFont="1" applyFill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174" fontId="0" fillId="29" borderId="6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8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9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2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center"/>
    </xf>
    <xf numFmtId="0" fontId="71" fillId="9" borderId="84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4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4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2" xfId="0" applyFont="1" applyBorder="1" applyAlignment="1">
      <alignment horizontal="center"/>
    </xf>
    <xf numFmtId="0" fontId="85" fillId="0" borderId="82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 textRotation="255"/>
    </xf>
    <xf numFmtId="0" fontId="86" fillId="9" borderId="82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77" xfId="0" applyFont="1" applyBorder="1" applyAlignment="1">
      <alignment horizontal="center"/>
    </xf>
    <xf numFmtId="0" fontId="71" fillId="0" borderId="79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79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2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69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3" xfId="0" applyNumberFormat="1" applyFont="1" applyFill="1" applyBorder="1" applyAlignment="1">
      <alignment horizontal="center"/>
    </xf>
    <xf numFmtId="3" fontId="93" fillId="0" borderId="68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69" xfId="0" applyFont="1" applyFill="1" applyBorder="1" applyAlignment="1">
      <alignment horizontal="center" vertical="center" wrapText="1"/>
    </xf>
    <xf numFmtId="0" fontId="99" fillId="37" borderId="69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9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69" xfId="0" applyFont="1" applyFill="1" applyBorder="1" applyAlignment="1">
      <alignment horizontal="center" vertical="center"/>
    </xf>
    <xf numFmtId="0" fontId="99" fillId="8" borderId="69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4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5" xfId="0" applyFont="1" applyFill="1" applyBorder="1" applyAlignment="1">
      <alignment horizontal="center" vertical="center" wrapText="1"/>
    </xf>
    <xf numFmtId="0" fontId="99" fillId="33" borderId="89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 wrapText="1"/>
    </xf>
    <xf numFmtId="0" fontId="99" fillId="37" borderId="90" xfId="0" applyFont="1" applyFill="1" applyBorder="1" applyAlignment="1">
      <alignment horizontal="center" vertical="center" wrapText="1"/>
    </xf>
    <xf numFmtId="0" fontId="82" fillId="37" borderId="90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A4" sqref="A4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6" t="s">
        <v>0</v>
      </c>
      <c r="B1" s="1" t="s">
        <v>1</v>
      </c>
      <c r="C1" s="1" t="s">
        <v>1</v>
      </c>
    </row>
    <row r="2" spans="1:8" ht="15.75">
      <c r="A2" s="916"/>
      <c r="B2" s="2" t="s">
        <v>2</v>
      </c>
      <c r="C2" s="2" t="s">
        <v>3</v>
      </c>
    </row>
    <row r="3" spans="1:8" ht="18.75" customHeight="1">
      <c r="A3" s="3">
        <v>44317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44318</v>
      </c>
      <c r="B4" s="4"/>
      <c r="C4" s="4"/>
    </row>
    <row r="5" spans="1:8" ht="18.75" customHeight="1">
      <c r="A5" s="7">
        <f>ESCALA!A4+1</f>
        <v>44319</v>
      </c>
      <c r="B5" s="4"/>
      <c r="C5" s="4"/>
    </row>
    <row r="6" spans="1:8" ht="18.75" customHeight="1">
      <c r="A6" s="7">
        <f>ESCALA!A5+1</f>
        <v>44320</v>
      </c>
      <c r="B6" s="4"/>
      <c r="C6" s="4"/>
    </row>
    <row r="7" spans="1:8" ht="18.75" customHeight="1">
      <c r="A7" s="7">
        <f>ESCALA!A6+1</f>
        <v>44321</v>
      </c>
      <c r="B7" s="4"/>
      <c r="C7" s="4"/>
    </row>
    <row r="8" spans="1:8" ht="18.75" customHeight="1">
      <c r="A8" s="7">
        <f>ESCALA!A7+1</f>
        <v>44322</v>
      </c>
      <c r="B8" s="4"/>
      <c r="C8" s="4"/>
    </row>
    <row r="9" spans="1:8" ht="18.75" customHeight="1">
      <c r="A9" s="7">
        <f>ESCALA!A8+1</f>
        <v>44323</v>
      </c>
      <c r="B9" s="4"/>
      <c r="C9" s="4"/>
    </row>
    <row r="10" spans="1:8" ht="18.75" customHeight="1">
      <c r="A10" s="7">
        <f>ESCALA!A9+1</f>
        <v>44324</v>
      </c>
      <c r="B10" s="4"/>
      <c r="C10" s="4"/>
    </row>
    <row r="11" spans="1:8" ht="18.75" customHeight="1">
      <c r="A11" s="7">
        <f>ESCALA!A10+1</f>
        <v>44325</v>
      </c>
      <c r="B11" s="4"/>
      <c r="C11" s="4"/>
    </row>
    <row r="12" spans="1:8" ht="18.75" customHeight="1">
      <c r="A12" s="7">
        <f>ESCALA!A11+1</f>
        <v>44326</v>
      </c>
      <c r="B12" s="4"/>
      <c r="C12" s="4"/>
    </row>
    <row r="13" spans="1:8" ht="18.75" customHeight="1">
      <c r="A13" s="7">
        <f>ESCALA!A12+1</f>
        <v>44327</v>
      </c>
      <c r="B13" s="4"/>
      <c r="C13" s="4"/>
    </row>
    <row r="14" spans="1:8" ht="18.75" customHeight="1">
      <c r="A14" s="7">
        <f>ESCALA!A13+1</f>
        <v>44328</v>
      </c>
      <c r="B14" s="4"/>
      <c r="C14" s="4"/>
    </row>
    <row r="15" spans="1:8" ht="18.75" customHeight="1">
      <c r="A15" s="7">
        <f>ESCALA!A14+1</f>
        <v>44329</v>
      </c>
      <c r="B15" s="4"/>
      <c r="C15" s="4"/>
    </row>
    <row r="16" spans="1:8" ht="18.75" customHeight="1">
      <c r="A16" s="7">
        <f>ESCALA!A15+1</f>
        <v>44330</v>
      </c>
      <c r="B16" s="4"/>
      <c r="C16" s="4"/>
    </row>
    <row r="17" spans="1:3" ht="18.75" customHeight="1">
      <c r="A17" s="7">
        <f>ESCALA!A16+1</f>
        <v>44331</v>
      </c>
      <c r="B17" s="4"/>
      <c r="C17" s="4"/>
    </row>
    <row r="18" spans="1:3" ht="18.75" customHeight="1">
      <c r="A18" s="7">
        <f>ESCALA!A17+1</f>
        <v>44332</v>
      </c>
      <c r="B18" s="4"/>
      <c r="C18" s="4"/>
    </row>
    <row r="19" spans="1:3" ht="18.75" customHeight="1">
      <c r="A19" s="7">
        <f>ESCALA!A18+1</f>
        <v>44333</v>
      </c>
      <c r="B19" s="4"/>
      <c r="C19" s="4"/>
    </row>
    <row r="20" spans="1:3" ht="18.75" customHeight="1">
      <c r="A20" s="7">
        <f>ESCALA!A19+1</f>
        <v>44334</v>
      </c>
      <c r="B20" s="4"/>
      <c r="C20" s="4"/>
    </row>
    <row r="21" spans="1:3" ht="18.75" customHeight="1">
      <c r="A21" s="7">
        <f>ESCALA!A20+1</f>
        <v>44335</v>
      </c>
      <c r="B21" s="4"/>
      <c r="C21" s="4"/>
    </row>
    <row r="22" spans="1:3" ht="18.75" customHeight="1">
      <c r="A22" s="7">
        <f>ESCALA!A21+1</f>
        <v>44336</v>
      </c>
      <c r="B22" s="4"/>
      <c r="C22" s="4"/>
    </row>
    <row r="23" spans="1:3" ht="18.75" customHeight="1">
      <c r="A23" s="7">
        <f>ESCALA!A22+1</f>
        <v>44337</v>
      </c>
      <c r="B23" s="4"/>
      <c r="C23" s="4"/>
    </row>
    <row r="24" spans="1:3" ht="18.75" customHeight="1">
      <c r="A24" s="7">
        <f>ESCALA!A23+1</f>
        <v>44338</v>
      </c>
      <c r="B24" s="4"/>
      <c r="C24" s="4"/>
    </row>
    <row r="25" spans="1:3" ht="18.75" customHeight="1">
      <c r="A25" s="7">
        <f>ESCALA!A24+1</f>
        <v>44339</v>
      </c>
      <c r="B25" s="4"/>
      <c r="C25" s="4"/>
    </row>
    <row r="26" spans="1:3" ht="18.75" customHeight="1">
      <c r="A26" s="7">
        <f>ESCALA!A25+1</f>
        <v>44340</v>
      </c>
      <c r="B26" s="4"/>
      <c r="C26" s="4"/>
    </row>
    <row r="27" spans="1:3" ht="18.75" customHeight="1">
      <c r="A27" s="7">
        <f>ESCALA!A26+1</f>
        <v>44341</v>
      </c>
      <c r="B27" s="4"/>
      <c r="C27" s="4"/>
    </row>
    <row r="28" spans="1:3" ht="18.75" customHeight="1">
      <c r="A28" s="7">
        <f>ESCALA!A27+1</f>
        <v>44342</v>
      </c>
      <c r="B28" s="4"/>
      <c r="C28" s="4"/>
    </row>
    <row r="29" spans="1:3" ht="18.75" customHeight="1">
      <c r="A29" s="7">
        <f>ESCALA!A28+1</f>
        <v>44343</v>
      </c>
      <c r="B29" s="4"/>
      <c r="C29" s="4"/>
    </row>
    <row r="30" spans="1:3" ht="18.75" customHeight="1">
      <c r="A30" s="7">
        <f>ESCALA!A29+1</f>
        <v>44344</v>
      </c>
      <c r="B30" s="4"/>
      <c r="C30" s="4"/>
    </row>
    <row r="31" spans="1:3" ht="18.75" customHeight="1">
      <c r="A31" s="7">
        <f>ESCALA!A30+1</f>
        <v>44345</v>
      </c>
      <c r="B31" s="4"/>
      <c r="C31" s="4"/>
    </row>
    <row r="32" spans="1:3" ht="18.75" customHeight="1">
      <c r="A32" s="7">
        <f>ESCALA!A31+1</f>
        <v>44346</v>
      </c>
      <c r="B32" s="4"/>
      <c r="C32" s="4"/>
    </row>
    <row r="33" spans="1:3" ht="19.5" customHeight="1">
      <c r="A33" s="7">
        <f>ESCALA!A32+1</f>
        <v>44347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Q1" zoomScaleNormal="100" workbookViewId="0">
      <selection activeCell="AE53" sqref="AE53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918" t="s">
        <v>5</v>
      </c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918"/>
      <c r="E3" s="918"/>
      <c r="F3" s="918"/>
      <c r="G3" s="918"/>
      <c r="H3" s="918"/>
      <c r="I3" s="918"/>
      <c r="J3" s="918"/>
      <c r="K3" s="918"/>
      <c r="L3" s="918"/>
      <c r="M3" s="918"/>
      <c r="N3" s="918"/>
      <c r="O3" s="918"/>
      <c r="P3" s="918"/>
      <c r="Q3" s="918"/>
      <c r="R3" s="918"/>
      <c r="S3" s="918"/>
      <c r="T3" s="918"/>
      <c r="U3" s="918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924" t="s">
        <v>13</v>
      </c>
      <c r="U4" s="925" t="s">
        <v>14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924"/>
      <c r="U5" s="92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5"/>
      <c r="V6" s="926"/>
      <c r="W6" s="926"/>
      <c r="X6" s="13">
        <v>4.1666666666666699E-2</v>
      </c>
      <c r="Y6" s="14">
        <v>2780</v>
      </c>
      <c r="Z6" s="14">
        <v>1897</v>
      </c>
      <c r="AA6" s="15">
        <v>1</v>
      </c>
      <c r="AB6" s="16">
        <f>IF('1'!AA6=1,(('1'!Z6*'1'!$AS$6*'1'!$AT$6)/('1'!Y6*0.0036)),IF('1'!AA6=2,(('1'!Z6*'1'!$AS$7*'1'!$AT$7)/('1'!Y6*0.0036))))</f>
        <v>126.0496602717826</v>
      </c>
      <c r="AC6" s="17"/>
      <c r="AD6" s="18">
        <f>(('1'!AC6*'1'!$Q$10*1000000))/('1'!Z10*3600)</f>
        <v>0</v>
      </c>
      <c r="AE6" s="19">
        <v>3000</v>
      </c>
      <c r="AF6" s="20">
        <f>('1'!AE6/24)*0.454</f>
        <v>56.75</v>
      </c>
      <c r="AG6" s="19">
        <v>500</v>
      </c>
      <c r="AH6" s="20">
        <f>('1'!AG6/24)*0.454</f>
        <v>9.4583333333333339</v>
      </c>
      <c r="AI6" s="19">
        <v>3000</v>
      </c>
      <c r="AJ6" s="20">
        <f>('1'!AI6/24)*0.454</f>
        <v>56.75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1100</v>
      </c>
      <c r="C7" s="184">
        <v>60</v>
      </c>
      <c r="D7" s="184">
        <v>80</v>
      </c>
      <c r="E7" s="184">
        <v>5</v>
      </c>
      <c r="F7" s="184">
        <v>342</v>
      </c>
      <c r="G7" s="184">
        <v>52</v>
      </c>
      <c r="H7" s="184">
        <v>91</v>
      </c>
      <c r="I7" s="184">
        <v>0.92</v>
      </c>
      <c r="J7" s="184">
        <v>3.4</v>
      </c>
      <c r="K7" s="184">
        <v>6.8</v>
      </c>
      <c r="L7" s="184">
        <v>6</v>
      </c>
      <c r="M7" s="184">
        <v>5.7</v>
      </c>
      <c r="N7" s="184">
        <v>5.5</v>
      </c>
      <c r="O7" s="184">
        <v>3.2</v>
      </c>
      <c r="P7" s="184">
        <v>0.4</v>
      </c>
      <c r="Q7" s="186">
        <v>2</v>
      </c>
      <c r="R7" s="30"/>
      <c r="S7" s="31"/>
      <c r="T7" s="30"/>
      <c r="U7" s="32" t="str">
        <f>IF('1'!AA6=1,'1'!AR6,'1'!AR7)</f>
        <v>S.A.L</v>
      </c>
      <c r="V7" s="934"/>
      <c r="W7" s="934"/>
      <c r="X7" s="13">
        <v>8.3333333333333301E-2</v>
      </c>
      <c r="Y7" s="14">
        <v>2798</v>
      </c>
      <c r="Z7" s="14">
        <v>1897</v>
      </c>
      <c r="AA7" s="15">
        <v>1</v>
      </c>
      <c r="AB7" s="16">
        <f>IF('1'!AA7=1,(('1'!Z7*'1'!$AS$6*'1'!$AT$6)/('1'!Y7*0.0036)),IF('1'!AA7=2,(('1'!Z7*'1'!$AS$7*'1'!$AT$7)/('1'!Y7*0.0036))))</f>
        <v>125.23876181399415</v>
      </c>
      <c r="AC7" s="17"/>
      <c r="AD7" s="18">
        <f>(('1'!AC7*'1'!$Q$10*1000000))/('1'!Z11*3600)</f>
        <v>0</v>
      </c>
      <c r="AE7" s="19">
        <v>3000</v>
      </c>
      <c r="AF7" s="20">
        <f>('1'!AE7/24)*0.454</f>
        <v>56.75</v>
      </c>
      <c r="AG7" s="19">
        <v>500</v>
      </c>
      <c r="AH7" s="20">
        <f>('1'!AG7/24)*0.454</f>
        <v>9.4583333333333339</v>
      </c>
      <c r="AI7" s="19">
        <v>3000</v>
      </c>
      <c r="AJ7" s="20">
        <f>('1'!AI7/24)*0.454</f>
        <v>56.75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1100</v>
      </c>
      <c r="C8" s="184">
        <v>80</v>
      </c>
      <c r="D8" s="184">
        <v>60</v>
      </c>
      <c r="E8" s="184">
        <v>7.5</v>
      </c>
      <c r="F8" s="184">
        <v>340</v>
      </c>
      <c r="G8" s="184">
        <v>63</v>
      </c>
      <c r="H8" s="184">
        <v>74</v>
      </c>
      <c r="I8" s="184">
        <v>1.98</v>
      </c>
      <c r="J8" s="184">
        <v>3.2</v>
      </c>
      <c r="K8" s="184">
        <v>6.8</v>
      </c>
      <c r="L8" s="184">
        <v>5.7</v>
      </c>
      <c r="M8" s="184">
        <v>5.7</v>
      </c>
      <c r="N8" s="184">
        <v>5.5</v>
      </c>
      <c r="O8" s="184">
        <v>3.2</v>
      </c>
      <c r="P8" s="184">
        <v>0.3</v>
      </c>
      <c r="Q8" s="186">
        <v>2.2000000000000002</v>
      </c>
      <c r="R8" s="34">
        <f>'1'!Z7</f>
        <v>1897</v>
      </c>
      <c r="S8" s="35">
        <f>'1'!AB7</f>
        <v>125.23876181399415</v>
      </c>
      <c r="T8" s="36">
        <f>'1'!Y7</f>
        <v>2798</v>
      </c>
      <c r="U8" s="32" t="str">
        <f>IF('1'!AA7=1,'1'!AR6,'1'!AR7)</f>
        <v>S.A.L</v>
      </c>
      <c r="V8" s="934"/>
      <c r="W8" s="934"/>
      <c r="X8" s="13">
        <v>0.125</v>
      </c>
      <c r="Y8" s="14">
        <v>2803</v>
      </c>
      <c r="Z8" s="14">
        <v>1897</v>
      </c>
      <c r="AA8" s="15">
        <v>1</v>
      </c>
      <c r="AB8" s="16">
        <f>IF('1'!AA8=1,(('1'!Z8*'1'!$AS$6*'1'!$AT$6)/('1'!Y8*0.0036)),IF('1'!AA8=2,(('1'!Z8*'1'!$AS$7*'1'!$AT$7)/('1'!Y8*0.0036))))</f>
        <v>125.01536052642012</v>
      </c>
      <c r="AC8" s="17"/>
      <c r="AD8" s="18">
        <f>(('1'!AC8*'1'!$Q$10*1000000))/('1'!Z12*3600)</f>
        <v>0</v>
      </c>
      <c r="AE8" s="19">
        <v>3000</v>
      </c>
      <c r="AF8" s="20">
        <f>('1'!AE8/24)*0.454</f>
        <v>56.75</v>
      </c>
      <c r="AG8" s="19">
        <v>500</v>
      </c>
      <c r="AH8" s="20">
        <f>('1'!AG8/24)*0.454</f>
        <v>9.4583333333333339</v>
      </c>
      <c r="AI8" s="19">
        <v>3000</v>
      </c>
      <c r="AJ8" s="20">
        <f>('1'!AI8/24)*0.454</f>
        <v>56.75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1100</v>
      </c>
      <c r="C9" s="184">
        <v>30</v>
      </c>
      <c r="D9" s="184">
        <v>20</v>
      </c>
      <c r="E9" s="184">
        <v>7.5</v>
      </c>
      <c r="F9" s="184">
        <v>336</v>
      </c>
      <c r="G9" s="184">
        <v>21</v>
      </c>
      <c r="H9" s="184">
        <v>11</v>
      </c>
      <c r="I9" s="184">
        <v>2.54</v>
      </c>
      <c r="J9" s="184">
        <v>2.6</v>
      </c>
      <c r="K9" s="184">
        <v>6.8</v>
      </c>
      <c r="L9" s="184">
        <v>5.7</v>
      </c>
      <c r="M9" s="184">
        <v>5.7</v>
      </c>
      <c r="N9" s="184">
        <v>5.5</v>
      </c>
      <c r="O9" s="184">
        <v>3.6</v>
      </c>
      <c r="P9" s="184">
        <v>0.7</v>
      </c>
      <c r="Q9" s="186">
        <v>2.4</v>
      </c>
      <c r="R9" s="36">
        <f>'1'!Z9</f>
        <v>1897</v>
      </c>
      <c r="S9" s="35">
        <f>'1'!AB9</f>
        <v>126.0496602717826</v>
      </c>
      <c r="T9" s="36">
        <f>'1'!Y9</f>
        <v>2780</v>
      </c>
      <c r="U9" s="32" t="str">
        <f>IF('1'!AA9=1,'1'!AR6,'1'!AR7)</f>
        <v>S.A.L</v>
      </c>
      <c r="V9" s="934"/>
      <c r="W9" s="934"/>
      <c r="X9" s="13">
        <v>0.16666666666666699</v>
      </c>
      <c r="Y9" s="14">
        <v>2780</v>
      </c>
      <c r="Z9" s="14">
        <v>1897</v>
      </c>
      <c r="AA9" s="15">
        <v>1</v>
      </c>
      <c r="AB9" s="16">
        <f>IF('1'!AA9=1,(('1'!Z9*'1'!$AS$6*'1'!$AT$6)/('1'!Y9*0.0036)),IF('1'!AA9=2,(('1'!Z9*'1'!$AS$7*'1'!$AT$7)/('1'!Y9*0.0036))))</f>
        <v>126.0496602717826</v>
      </c>
      <c r="AC9" s="17"/>
      <c r="AD9" s="18">
        <f>(('1'!AC9*'1'!$Q$10*1000000))/('1'!Z13*3600)</f>
        <v>0</v>
      </c>
      <c r="AE9" s="19">
        <v>3000</v>
      </c>
      <c r="AF9" s="20">
        <f>('1'!AE9/24)*0.454</f>
        <v>56.75</v>
      </c>
      <c r="AG9" s="19">
        <v>500</v>
      </c>
      <c r="AH9" s="20">
        <f>('1'!AG9/24)*0.454</f>
        <v>9.4583333333333339</v>
      </c>
      <c r="AI9" s="19">
        <v>3000</v>
      </c>
      <c r="AJ9" s="20">
        <f>('1'!AI9/24)*0.454</f>
        <v>56.75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1100</v>
      </c>
      <c r="C10" s="184">
        <v>15</v>
      </c>
      <c r="D10" s="184">
        <v>15</v>
      </c>
      <c r="E10" s="184">
        <v>5</v>
      </c>
      <c r="F10" s="184">
        <v>334</v>
      </c>
      <c r="G10" s="184">
        <v>3.9</v>
      </c>
      <c r="H10" s="184">
        <v>4.3</v>
      </c>
      <c r="I10" s="184">
        <v>1.8</v>
      </c>
      <c r="J10" s="184">
        <v>2.2999999999999998</v>
      </c>
      <c r="K10" s="184">
        <v>6.8</v>
      </c>
      <c r="L10" s="184">
        <v>5.7</v>
      </c>
      <c r="M10" s="184">
        <v>5.7</v>
      </c>
      <c r="N10" s="184">
        <v>5.5</v>
      </c>
      <c r="O10" s="184">
        <v>3.8</v>
      </c>
      <c r="P10" s="184">
        <v>1.3</v>
      </c>
      <c r="Q10" s="186">
        <v>2.7</v>
      </c>
      <c r="R10" s="36">
        <f>'1'!Z11</f>
        <v>1897</v>
      </c>
      <c r="S10" s="35">
        <f>'1'!AB11</f>
        <v>128.83016748366015</v>
      </c>
      <c r="T10" s="36">
        <f>'1'!Y11</f>
        <v>2720</v>
      </c>
      <c r="U10" s="38" t="str">
        <f>IF('1'!AA11=1,'1'!AR6,'1'!AR7)</f>
        <v>S.A.L</v>
      </c>
      <c r="V10" s="934"/>
      <c r="W10" s="934"/>
      <c r="X10" s="13">
        <v>0.20833333333333301</v>
      </c>
      <c r="Y10" s="14">
        <v>2771</v>
      </c>
      <c r="Z10" s="14">
        <v>1897</v>
      </c>
      <c r="AA10" s="15">
        <v>1</v>
      </c>
      <c r="AB10" s="16">
        <f>IF('1'!AA10=1,(('1'!Z10*'1'!$AS$6*'1'!$AT$6)/('1'!Y10*0.0036)),IF('1'!AA10=2,(('1'!Z10*'1'!$AS$7*'1'!$AT$7)/('1'!Y10*0.0036))))</f>
        <v>126.45906010666026</v>
      </c>
      <c r="AC10" s="17"/>
      <c r="AD10" s="18">
        <f>(('1'!AC10*'1'!$Q$10*1000000))/('1'!Z14*3600)</f>
        <v>0</v>
      </c>
      <c r="AE10" s="19">
        <v>3000</v>
      </c>
      <c r="AF10" s="20">
        <f>('1'!AE10/24)*0.454</f>
        <v>56.75</v>
      </c>
      <c r="AG10" s="19">
        <v>500</v>
      </c>
      <c r="AH10" s="20">
        <f>('1'!AG10/24)*0.454</f>
        <v>9.4583333333333339</v>
      </c>
      <c r="AI10" s="19">
        <v>3000</v>
      </c>
      <c r="AJ10" s="20">
        <f>('1'!AI10/24)*0.454</f>
        <v>56.75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1100</v>
      </c>
      <c r="C11" s="184">
        <v>12.5</v>
      </c>
      <c r="D11" s="184">
        <v>5</v>
      </c>
      <c r="E11" s="184">
        <v>2.5</v>
      </c>
      <c r="F11" s="184">
        <v>286</v>
      </c>
      <c r="G11" s="184">
        <v>3.7</v>
      </c>
      <c r="H11" s="184">
        <v>2</v>
      </c>
      <c r="I11" s="184">
        <v>1.2</v>
      </c>
      <c r="J11" s="184">
        <v>1</v>
      </c>
      <c r="K11" s="184">
        <v>7</v>
      </c>
      <c r="L11" s="184">
        <v>4.8</v>
      </c>
      <c r="M11" s="184">
        <v>4.8</v>
      </c>
      <c r="N11" s="184">
        <v>5.7</v>
      </c>
      <c r="O11" s="184">
        <v>3.8</v>
      </c>
      <c r="P11" s="184">
        <v>0.1</v>
      </c>
      <c r="Q11" s="186">
        <v>0</v>
      </c>
      <c r="R11" s="36">
        <f>'1'!Z13</f>
        <v>1897</v>
      </c>
      <c r="S11" s="35">
        <f>'1'!AB13</f>
        <v>127.28589014004925</v>
      </c>
      <c r="T11" s="36">
        <f>'1'!Y13</f>
        <v>2753</v>
      </c>
      <c r="U11" s="40" t="str">
        <f>IF('1'!AA13=1,'1'!AR6,'1'!AR7)</f>
        <v>S.A.L</v>
      </c>
      <c r="V11" s="934"/>
      <c r="W11" s="934"/>
      <c r="X11" s="13">
        <v>0.25</v>
      </c>
      <c r="Y11" s="14">
        <v>2720</v>
      </c>
      <c r="Z11" s="14">
        <v>1897</v>
      </c>
      <c r="AA11" s="15">
        <v>1</v>
      </c>
      <c r="AB11" s="16">
        <f>IF('1'!AA11=1,(('1'!Z11*'1'!$AS$6*'1'!$AT$6)/('1'!Y11*0.0036)),IF('1'!AA11=2,(('1'!Z11*'1'!$AS$7*'1'!$AT$7)/('1'!Y11*0.0036))))</f>
        <v>128.83016748366015</v>
      </c>
      <c r="AC11" s="17"/>
      <c r="AD11" s="18">
        <f>(('1'!AC11*'1'!$Q$10*1000000))/('1'!Z15*3600)</f>
        <v>0</v>
      </c>
      <c r="AE11" s="19">
        <v>3000</v>
      </c>
      <c r="AF11" s="20">
        <f>('1'!AE11/24)*0.454</f>
        <v>56.75</v>
      </c>
      <c r="AG11" s="19">
        <v>500</v>
      </c>
      <c r="AH11" s="20">
        <f>('1'!AG11/24)*0.454</f>
        <v>9.4583333333333339</v>
      </c>
      <c r="AI11" s="19">
        <v>3000</v>
      </c>
      <c r="AJ11" s="20">
        <f>('1'!AI11/24)*0.454</f>
        <v>56.75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4">
        <v>1100</v>
      </c>
      <c r="C12" s="184">
        <v>12.5</v>
      </c>
      <c r="D12" s="184">
        <v>5</v>
      </c>
      <c r="E12" s="184">
        <v>2.5</v>
      </c>
      <c r="F12" s="184">
        <v>278</v>
      </c>
      <c r="G12" s="184">
        <v>3.5</v>
      </c>
      <c r="H12" s="184">
        <v>1.9</v>
      </c>
      <c r="I12" s="184">
        <v>1.2</v>
      </c>
      <c r="J12" s="184">
        <v>1</v>
      </c>
      <c r="K12" s="184">
        <v>7</v>
      </c>
      <c r="L12" s="184">
        <v>4.8</v>
      </c>
      <c r="M12" s="184">
        <v>4.8</v>
      </c>
      <c r="N12" s="184">
        <v>5.7</v>
      </c>
      <c r="O12" s="184">
        <v>3.8</v>
      </c>
      <c r="P12" s="184">
        <v>0.1</v>
      </c>
      <c r="Q12" s="186">
        <v>0</v>
      </c>
      <c r="R12" s="36">
        <f>'1'!Z15</f>
        <v>1897</v>
      </c>
      <c r="S12" s="35">
        <f>'1'!AB15</f>
        <v>125.37318624527929</v>
      </c>
      <c r="T12" s="36">
        <f>'1'!Y15</f>
        <v>2795</v>
      </c>
      <c r="U12" s="41" t="str">
        <f>IF('1'!AA15=1,'1'!AR6,'1'!AR7)</f>
        <v>S.A.L</v>
      </c>
      <c r="V12" s="938">
        <f>ESCALA!$B$3</f>
        <v>0</v>
      </c>
      <c r="W12" s="938"/>
      <c r="X12" s="13">
        <v>0.29166666666666702</v>
      </c>
      <c r="Y12" s="14">
        <v>2794</v>
      </c>
      <c r="Z12" s="14">
        <v>1897</v>
      </c>
      <c r="AA12" s="15">
        <v>1</v>
      </c>
      <c r="AB12" s="16">
        <f>IF('1'!AA12=1,(('1'!Z12*'1'!$AS$6*'1'!$AT$6)/('1'!Y12*0.0036)),IF('1'!AA12=2,(('1'!Z12*'1'!$AS$7*'1'!$AT$7)/('1'!Y12*0.0036))))</f>
        <v>125.4180585381373</v>
      </c>
      <c r="AC12" s="17"/>
      <c r="AD12" s="18">
        <f>(('1'!AC12*'1'!$Q$10*1000000))/('1'!Z16*3600)</f>
        <v>0</v>
      </c>
      <c r="AE12" s="19">
        <v>3000</v>
      </c>
      <c r="AF12" s="20">
        <f>('1'!AE12/24)*0.454</f>
        <v>56.75</v>
      </c>
      <c r="AG12" s="19">
        <v>500</v>
      </c>
      <c r="AH12" s="20">
        <f>('1'!AG12/24)*0.454</f>
        <v>9.4583333333333339</v>
      </c>
      <c r="AI12" s="19">
        <v>3000</v>
      </c>
      <c r="AJ12" s="20">
        <f>('1'!AI13/24)*0.454</f>
        <v>56.75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4">
        <v>1100</v>
      </c>
      <c r="C13" s="184">
        <v>12.5</v>
      </c>
      <c r="D13" s="184">
        <v>5</v>
      </c>
      <c r="E13" s="184">
        <v>2.5</v>
      </c>
      <c r="F13" s="184">
        <v>291</v>
      </c>
      <c r="G13" s="184">
        <v>3.6</v>
      </c>
      <c r="H13" s="184">
        <v>1.9</v>
      </c>
      <c r="I13" s="184">
        <v>1.01</v>
      </c>
      <c r="J13" s="184">
        <v>1</v>
      </c>
      <c r="K13" s="184">
        <v>7</v>
      </c>
      <c r="L13" s="184">
        <v>4.8</v>
      </c>
      <c r="M13" s="184">
        <v>4.8</v>
      </c>
      <c r="N13" s="184">
        <v>5.7</v>
      </c>
      <c r="O13" s="184">
        <v>3.8</v>
      </c>
      <c r="P13" s="184">
        <v>0.2</v>
      </c>
      <c r="Q13" s="186">
        <v>0</v>
      </c>
      <c r="R13" s="36">
        <f>'1'!Z17</f>
        <v>1897</v>
      </c>
      <c r="S13" s="35">
        <f>'1'!AB17</f>
        <v>125.68796827674161</v>
      </c>
      <c r="T13" s="36">
        <f>'1'!Y17</f>
        <v>2788</v>
      </c>
      <c r="U13" s="32" t="str">
        <f>IF('1'!AA17=1,'1'!AR6,'1'!AR7)</f>
        <v>S.A.L</v>
      </c>
      <c r="V13" s="938"/>
      <c r="W13" s="938"/>
      <c r="X13" s="13">
        <v>0.33333333333333298</v>
      </c>
      <c r="Y13" s="14">
        <v>2753</v>
      </c>
      <c r="Z13" s="14">
        <v>1897</v>
      </c>
      <c r="AA13" s="15">
        <v>1</v>
      </c>
      <c r="AB13" s="16">
        <f>IF('1'!AA13=1,(('1'!Z13*'1'!$AS$6*'1'!$AT$6)/('1'!Y13*0.0036)),IF('1'!AA13=2,(('1'!Z13*'1'!$AS$7*'1'!$AT$7)/('1'!Y13*0.0036))))</f>
        <v>127.28589014004925</v>
      </c>
      <c r="AC13" s="17"/>
      <c r="AD13" s="18">
        <f>(('1'!AC13*'1'!$Q$10*1000000))/('1'!Z17*3600)</f>
        <v>0</v>
      </c>
      <c r="AE13" s="19">
        <v>3000</v>
      </c>
      <c r="AF13" s="20">
        <f>('1'!AE13/24)*0.454</f>
        <v>56.75</v>
      </c>
      <c r="AG13" s="19">
        <v>500</v>
      </c>
      <c r="AH13" s="20">
        <f>('1'!AG13/24)*0.454</f>
        <v>9.4583333333333339</v>
      </c>
      <c r="AI13" s="19">
        <v>3000</v>
      </c>
      <c r="AJ13" s="20" t="e">
        <f>('1'!#REF!/24)*0.454</f>
        <v>#REF!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4">
        <v>1100</v>
      </c>
      <c r="C14" s="184">
        <v>12.5</v>
      </c>
      <c r="D14" s="184">
        <v>5</v>
      </c>
      <c r="E14" s="184">
        <v>2.5</v>
      </c>
      <c r="F14" s="184">
        <v>311</v>
      </c>
      <c r="G14" s="184">
        <v>3.6</v>
      </c>
      <c r="H14" s="184">
        <v>1.9</v>
      </c>
      <c r="I14" s="184">
        <v>0.8</v>
      </c>
      <c r="J14" s="184">
        <v>1.1000000000000001</v>
      </c>
      <c r="K14" s="184">
        <v>7</v>
      </c>
      <c r="L14" s="184">
        <v>4.8</v>
      </c>
      <c r="M14" s="184">
        <v>4.8</v>
      </c>
      <c r="N14" s="184">
        <v>5.7</v>
      </c>
      <c r="O14" s="184">
        <v>3.8</v>
      </c>
      <c r="P14" s="184">
        <v>0.3</v>
      </c>
      <c r="Q14" s="186">
        <v>0</v>
      </c>
      <c r="R14" s="36">
        <f>'1'!Z19</f>
        <v>1406</v>
      </c>
      <c r="S14" s="35">
        <f>'1'!AB19</f>
        <v>116.72784019975032</v>
      </c>
      <c r="T14" s="36">
        <f>'1'!Y19</f>
        <v>2225</v>
      </c>
      <c r="U14" s="32" t="str">
        <f>IF('1'!AA19=1,'1'!AR6,'1'!AR7)</f>
        <v>S.A.L</v>
      </c>
      <c r="V14" s="938"/>
      <c r="W14" s="938"/>
      <c r="X14" s="13">
        <v>0.375</v>
      </c>
      <c r="Y14" s="14">
        <v>2784</v>
      </c>
      <c r="Z14" s="14">
        <v>1897</v>
      </c>
      <c r="AA14" s="15">
        <v>1</v>
      </c>
      <c r="AB14" s="16">
        <f>IF('1'!AA14=1,(('1'!Z14*'1'!$AS$6*'1'!$AT$6)/('1'!Y14*0.0036)),IF('1'!AA14=2,(('1'!Z14*'1'!$AS$7*'1'!$AT$7)/('1'!Y14*0.0036))))</f>
        <v>125.86855443805877</v>
      </c>
      <c r="AC14" s="17"/>
      <c r="AD14" s="18">
        <f>(('1'!AC14*'1'!$Q$10*1000000))/('1'!Z18*3600)</f>
        <v>0</v>
      </c>
      <c r="AE14" s="19">
        <v>3000</v>
      </c>
      <c r="AF14" s="20">
        <f>('1'!AE14/24)*0.454</f>
        <v>56.75</v>
      </c>
      <c r="AG14" s="19">
        <v>500</v>
      </c>
      <c r="AH14" s="20">
        <f>('1'!AG14/24)*0.454</f>
        <v>9.4583333333333339</v>
      </c>
      <c r="AI14" s="19">
        <v>3000</v>
      </c>
      <c r="AJ14" s="20">
        <f>('1'!AI14/24)*0.454</f>
        <v>56.75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4">
        <v>1100</v>
      </c>
      <c r="C15" s="184">
        <v>12.5</v>
      </c>
      <c r="D15" s="184">
        <v>7.5</v>
      </c>
      <c r="E15" s="184">
        <v>2.5</v>
      </c>
      <c r="F15" s="184">
        <v>265</v>
      </c>
      <c r="G15" s="184">
        <v>3.3</v>
      </c>
      <c r="H15" s="184">
        <v>2.5</v>
      </c>
      <c r="I15" s="184">
        <v>1</v>
      </c>
      <c r="J15" s="184">
        <v>1.8</v>
      </c>
      <c r="K15" s="184">
        <v>7</v>
      </c>
      <c r="L15" s="184">
        <v>4.8</v>
      </c>
      <c r="M15" s="184">
        <v>4.8</v>
      </c>
      <c r="N15" s="184">
        <v>5.7</v>
      </c>
      <c r="O15" s="184">
        <v>3.8</v>
      </c>
      <c r="P15" s="184">
        <v>1</v>
      </c>
      <c r="Q15" s="186">
        <v>1.8</v>
      </c>
      <c r="R15" s="36">
        <f>'1'!Z21</f>
        <v>1406</v>
      </c>
      <c r="S15" s="35">
        <f>'1'!AB21</f>
        <v>110.8491013420591</v>
      </c>
      <c r="T15" s="36">
        <f>'1'!Y21</f>
        <v>2343</v>
      </c>
      <c r="U15" s="32" t="str">
        <f>IF('1'!AA21=1,'1'!AR6,'1'!AR7)</f>
        <v>S.A.L</v>
      </c>
      <c r="V15" s="938"/>
      <c r="W15" s="938"/>
      <c r="X15" s="13">
        <v>0.41666666666666702</v>
      </c>
      <c r="Y15" s="14">
        <v>2795</v>
      </c>
      <c r="Z15" s="14">
        <v>1897</v>
      </c>
      <c r="AA15" s="15">
        <v>1</v>
      </c>
      <c r="AB15" s="16">
        <f>IF('1'!AA15=1,(('1'!Z15*'1'!$AS$6*'1'!$AT$6)/('1'!Y15*0.0036)),IF('1'!AA15=2,(('1'!Z15*'1'!$AS$7*'1'!$AT$7)/('1'!Y15*0.0036))))</f>
        <v>125.37318624527929</v>
      </c>
      <c r="AC15" s="17"/>
      <c r="AD15" s="18">
        <f>(('1'!AC15*'1'!$Q$10*1000000))/('1'!Z19*3600)</f>
        <v>0</v>
      </c>
      <c r="AE15" s="19">
        <v>3000</v>
      </c>
      <c r="AF15" s="20">
        <f>('1'!AE15/24)*0.454</f>
        <v>56.75</v>
      </c>
      <c r="AG15" s="19">
        <v>500</v>
      </c>
      <c r="AH15" s="20">
        <f>('1'!AG15/24)*0.454</f>
        <v>9.4583333333333339</v>
      </c>
      <c r="AI15" s="19">
        <v>3000</v>
      </c>
      <c r="AJ15" s="20">
        <f>('1'!AI15/24)*0.454</f>
        <v>56.75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4">
        <v>1100</v>
      </c>
      <c r="C16" s="184">
        <v>12.5</v>
      </c>
      <c r="D16" s="184">
        <v>15</v>
      </c>
      <c r="E16" s="184">
        <v>2.5</v>
      </c>
      <c r="F16" s="184">
        <v>235</v>
      </c>
      <c r="G16" s="184">
        <v>2.8</v>
      </c>
      <c r="H16" s="184">
        <v>5.6</v>
      </c>
      <c r="I16" s="184">
        <v>1.3</v>
      </c>
      <c r="J16" s="184">
        <v>2.7</v>
      </c>
      <c r="K16" s="184">
        <v>7</v>
      </c>
      <c r="L16" s="184">
        <v>4.8</v>
      </c>
      <c r="M16" s="184">
        <v>4.8</v>
      </c>
      <c r="N16" s="184">
        <v>5.7</v>
      </c>
      <c r="O16" s="184">
        <v>3.7</v>
      </c>
      <c r="P16" s="184">
        <v>1.5</v>
      </c>
      <c r="Q16" s="186">
        <v>2.5</v>
      </c>
      <c r="R16" s="36">
        <f>'1'!Z23</f>
        <v>1406</v>
      </c>
      <c r="S16" s="35">
        <f>'1'!AB23</f>
        <v>110.56596187502956</v>
      </c>
      <c r="T16" s="36">
        <f>'1'!Y23</f>
        <v>2349</v>
      </c>
      <c r="U16" s="32" t="str">
        <f>IF('1'!AA23=1,'1'!AR6,'1'!AR7)</f>
        <v>S.A.L</v>
      </c>
      <c r="V16" s="938"/>
      <c r="W16" s="938"/>
      <c r="X16" s="13">
        <v>0.45833333333333298</v>
      </c>
      <c r="Y16" s="14">
        <v>2783</v>
      </c>
      <c r="Z16" s="14">
        <v>1897</v>
      </c>
      <c r="AA16" s="15">
        <v>1</v>
      </c>
      <c r="AB16" s="16">
        <f>IF('1'!AA16=1,(('1'!Z16*'1'!$AS$6*'1'!$AT$6)/('1'!Y16*0.0036)),IF('1'!AA16=2,(('1'!Z16*'1'!$AS$7*'1'!$AT$7)/('1'!Y16*0.0036))))</f>
        <v>125.91378208967141</v>
      </c>
      <c r="AC16" s="17"/>
      <c r="AD16" s="18">
        <f>(('1'!AC16*'1'!$Q$10*1000000))/('1'!Z20*3600)</f>
        <v>0</v>
      </c>
      <c r="AE16" s="19">
        <v>3000</v>
      </c>
      <c r="AF16" s="20">
        <f>('1'!AE16/24)*0.454</f>
        <v>56.75</v>
      </c>
      <c r="AG16" s="19">
        <v>500</v>
      </c>
      <c r="AH16" s="20">
        <f>('1'!AG16/24)*0.454</f>
        <v>9.4583333333333339</v>
      </c>
      <c r="AI16" s="19">
        <v>3000</v>
      </c>
      <c r="AJ16" s="20">
        <f>('1'!AI16/24)*0.454</f>
        <v>56.75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4">
        <v>1100</v>
      </c>
      <c r="C17" s="184">
        <v>12.5</v>
      </c>
      <c r="D17" s="184">
        <v>17.5</v>
      </c>
      <c r="E17" s="184">
        <v>2.5</v>
      </c>
      <c r="F17" s="184">
        <v>216</v>
      </c>
      <c r="G17" s="184">
        <v>3.2</v>
      </c>
      <c r="H17" s="184">
        <v>6.6</v>
      </c>
      <c r="I17" s="184">
        <v>1.2</v>
      </c>
      <c r="J17" s="184">
        <v>1.6</v>
      </c>
      <c r="K17" s="184">
        <v>7</v>
      </c>
      <c r="L17" s="184">
        <v>4.8</v>
      </c>
      <c r="M17" s="184">
        <v>4.8</v>
      </c>
      <c r="N17" s="184">
        <v>5.7</v>
      </c>
      <c r="O17" s="184">
        <v>3.8</v>
      </c>
      <c r="P17" s="184">
        <v>1.7</v>
      </c>
      <c r="Q17" s="186">
        <v>2.5</v>
      </c>
      <c r="R17" s="36">
        <f>'1'!Z25</f>
        <v>1823</v>
      </c>
      <c r="S17" s="35">
        <f>'1'!AB25</f>
        <v>114.34587813620072</v>
      </c>
      <c r="T17" s="36">
        <f>'1'!Y25</f>
        <v>2945</v>
      </c>
      <c r="U17" s="32" t="str">
        <f>IF('1'!AA25=1,'1'!AR6,'1'!AR7)</f>
        <v>S.A.L</v>
      </c>
      <c r="V17" s="939">
        <f>ESCALA!$C$3</f>
        <v>0</v>
      </c>
      <c r="W17" s="939"/>
      <c r="X17" s="13">
        <v>0.5</v>
      </c>
      <c r="Y17" s="14">
        <v>2788</v>
      </c>
      <c r="Z17" s="14">
        <v>1897</v>
      </c>
      <c r="AA17" s="15">
        <v>1</v>
      </c>
      <c r="AB17" s="16">
        <f>IF('1'!AA17=1,(('1'!Z17*'1'!$AS$6*'1'!$AT$6)/('1'!Y17*0.0036)),IF('1'!AA17=2,(('1'!Z17*'1'!$AS$7*'1'!$AT$7)/('1'!Y17*0.0036))))</f>
        <v>125.68796827674161</v>
      </c>
      <c r="AC17" s="17"/>
      <c r="AD17" s="18">
        <f>(('1'!AC17*'1'!$Q$10*1000000))/('1'!Z21*3600)</f>
        <v>0</v>
      </c>
      <c r="AE17" s="19">
        <v>3000</v>
      </c>
      <c r="AF17" s="20">
        <f>('1'!AE17/24)*0.454</f>
        <v>56.75</v>
      </c>
      <c r="AG17" s="19">
        <v>500</v>
      </c>
      <c r="AH17" s="20">
        <f>('1'!AG17/24)*0.454</f>
        <v>9.4583333333333339</v>
      </c>
      <c r="AI17" s="19">
        <v>3000</v>
      </c>
      <c r="AJ17" s="20">
        <f>('1'!AI17/24)*0.454</f>
        <v>56.75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4">
        <v>1100</v>
      </c>
      <c r="C18" s="184">
        <v>12.5</v>
      </c>
      <c r="D18" s="184">
        <v>17.5</v>
      </c>
      <c r="E18" s="184">
        <v>2.5</v>
      </c>
      <c r="F18" s="184">
        <v>212</v>
      </c>
      <c r="G18" s="184">
        <v>3.4</v>
      </c>
      <c r="H18" s="184">
        <v>6.4</v>
      </c>
      <c r="I18" s="184">
        <v>1.1000000000000001</v>
      </c>
      <c r="J18" s="184">
        <v>1.4</v>
      </c>
      <c r="K18" s="184">
        <v>7</v>
      </c>
      <c r="L18" s="184">
        <v>4.8</v>
      </c>
      <c r="M18" s="184">
        <v>4.8</v>
      </c>
      <c r="N18" s="184">
        <v>5.7</v>
      </c>
      <c r="O18" s="184">
        <v>3.8</v>
      </c>
      <c r="P18" s="184">
        <v>1.8</v>
      </c>
      <c r="Q18" s="186">
        <v>2.5</v>
      </c>
      <c r="R18" s="36">
        <f>'1'!Z27</f>
        <v>1823</v>
      </c>
      <c r="S18" s="35">
        <f>'1'!AB27</f>
        <v>118.15740740740742</v>
      </c>
      <c r="T18" s="36">
        <f>'1'!Y27</f>
        <v>2850</v>
      </c>
      <c r="U18" s="32" t="str">
        <f>IF('1'!AA27=1,'1'!AR6,'1'!AR7)</f>
        <v>S.A.L</v>
      </c>
      <c r="V18" s="939"/>
      <c r="W18" s="939"/>
      <c r="X18" s="13">
        <v>0.54166666666666696</v>
      </c>
      <c r="Y18" s="14">
        <v>2821</v>
      </c>
      <c r="Z18" s="14">
        <v>1897</v>
      </c>
      <c r="AA18" s="15">
        <v>1</v>
      </c>
      <c r="AB18" s="16">
        <f>IF('1'!AA18=1,(('1'!Z18*'1'!$AS$6*'1'!$AT$6)/('1'!Y18*0.0036)),IF('1'!AA18=2,(('1'!Z18*'1'!$AS$7*'1'!$AT$7)/('1'!Y18*0.0036))))</f>
        <v>124.2176730079956</v>
      </c>
      <c r="AC18" s="17"/>
      <c r="AD18" s="18">
        <f>(('1'!AC18*'1'!$Q$10*1000000))/('1'!Z22*3600)</f>
        <v>0</v>
      </c>
      <c r="AE18" s="19">
        <v>3000</v>
      </c>
      <c r="AF18" s="20">
        <f>('1'!AE18/24)*0.454</f>
        <v>56.75</v>
      </c>
      <c r="AG18" s="19">
        <v>500</v>
      </c>
      <c r="AH18" s="20">
        <f>('1'!AG18/24)*0.454</f>
        <v>9.4583333333333339</v>
      </c>
      <c r="AI18" s="19">
        <v>3000</v>
      </c>
      <c r="AJ18" s="20">
        <f>('1'!AI18/24)*0.454</f>
        <v>56.75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1100</v>
      </c>
      <c r="C19" s="43">
        <f t="array" ref="C19">IF('1'!C7:C18&gt;0.01,AVERAGE('1'!C7:C18),"")</f>
        <v>23.75</v>
      </c>
      <c r="D19" s="43">
        <f t="array" ref="D19">IF('1'!D7:D18&gt;0.01,AVERAGE('1'!D7:D18),"")</f>
        <v>21.041666666666668</v>
      </c>
      <c r="E19" s="43">
        <f t="array" ref="E19">IF('1'!E7:E18&gt;0.01,AVERAGE('1'!E7:E18),"")</f>
        <v>3.75</v>
      </c>
      <c r="F19" s="43">
        <f t="array" ref="F19">IF('1'!F7:F18&gt;0.01,AVERAGE('1'!F7:F18),"")</f>
        <v>287.16666666666669</v>
      </c>
      <c r="G19" s="43">
        <f t="array" ref="G19">IF('1'!G7:G18&gt;0.01,AVERAGE('1'!G7:G18),"")</f>
        <v>13.916666666666666</v>
      </c>
      <c r="H19" s="43">
        <f t="array" ref="H19">IF('1'!H7:H18&gt;0.01,AVERAGE('1'!H7:H18),"")</f>
        <v>17.425000000000001</v>
      </c>
      <c r="I19" s="43">
        <f t="array" ref="I19">IF('1'!I7:I18&gt;0.01,AVERAGE('1'!I7:I18),"")</f>
        <v>1.3375000000000001</v>
      </c>
      <c r="J19" s="43">
        <f t="array" ref="J19">IF('1'!J7:J18&gt;0.01,AVERAGE('1'!J7:J18),"")</f>
        <v>1.9249999999999998</v>
      </c>
      <c r="K19" s="43">
        <f t="array" ref="K19">IF('1'!K7:K18&gt;0.01,AVERAGE('1'!K7:K18),"")</f>
        <v>6.9333333333333336</v>
      </c>
      <c r="L19" s="43">
        <f t="array" ref="L19">IF('1'!L7:L18&gt;0.01,AVERAGE('1'!L7:L18),"")</f>
        <v>5.1249999999999982</v>
      </c>
      <c r="M19" s="43">
        <f t="array" ref="M19">IF('1'!M7:M18&gt;0.01,AVERAGE('1'!M7:M18),"")</f>
        <v>5.0999999999999988</v>
      </c>
      <c r="N19" s="43">
        <f t="array" ref="N19">IF('1'!N7:N18&gt;0.01,AVERAGE('1'!N7:N18),"")</f>
        <v>5.6333333333333337</v>
      </c>
      <c r="O19" s="43">
        <f t="array" ref="O19">IF('1'!O7:O18&gt;0.01,AVERAGE('1'!O7:O18),"")</f>
        <v>3.6750000000000003</v>
      </c>
      <c r="P19" s="44">
        <f t="array" ref="P19">IF('1'!P7:P18&gt;0.01,AVERAGE('1'!P7:P18),"")</f>
        <v>0.78333333333333333</v>
      </c>
      <c r="Q19" s="45">
        <f t="array" ref="Q19">IF('1'!Q7:Q18&gt;0.01,AVERAGE('1'!Q7:Q18),"")</f>
        <v>1.55</v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0"/>
      <c r="U19" s="940"/>
      <c r="V19" s="47"/>
      <c r="W19" s="48"/>
      <c r="X19" s="13">
        <v>0.58333333333333304</v>
      </c>
      <c r="Y19" s="14">
        <v>2225</v>
      </c>
      <c r="Z19" s="14">
        <v>1406</v>
      </c>
      <c r="AA19" s="15">
        <v>1</v>
      </c>
      <c r="AB19" s="16">
        <f>IF('1'!AA19=1,(('1'!Z19*'1'!$AS$6*'1'!$AT$6)/('1'!Y19*0.0036)),IF('1'!AA19=2,(('1'!Z19*'1'!$AS$7*'1'!$AT$7)/('1'!Y19*0.0036))))</f>
        <v>116.72784019975032</v>
      </c>
      <c r="AC19" s="17"/>
      <c r="AD19" s="18">
        <f>(('1'!AC19*'1'!$Q$10*1000000))/('1'!Z23*3600)</f>
        <v>0</v>
      </c>
      <c r="AE19" s="19">
        <v>3000</v>
      </c>
      <c r="AF19" s="20">
        <f>('1'!AE19/24)*0.454</f>
        <v>56.75</v>
      </c>
      <c r="AG19" s="19">
        <v>500</v>
      </c>
      <c r="AH19" s="20">
        <f>('1'!AG19/24)*0.454</f>
        <v>9.4583333333333339</v>
      </c>
      <c r="AI19" s="19">
        <v>3000</v>
      </c>
      <c r="AJ19" s="20">
        <f>('1'!AI19/24)*0.454</f>
        <v>56.75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1100</v>
      </c>
      <c r="C20" s="43">
        <f>MAX('1'!C7:C18)</f>
        <v>80</v>
      </c>
      <c r="D20" s="43">
        <f>MAX('1'!D7:D18)</f>
        <v>80</v>
      </c>
      <c r="E20" s="43">
        <f>MAX('1'!E7:E18)</f>
        <v>7.5</v>
      </c>
      <c r="F20" s="43">
        <f>MAX('1'!F7:F18)</f>
        <v>342</v>
      </c>
      <c r="G20" s="43">
        <f>MAX('1'!G7:G18)</f>
        <v>63</v>
      </c>
      <c r="H20" s="43">
        <f>MAX('1'!H7:H18)</f>
        <v>91</v>
      </c>
      <c r="I20" s="43">
        <f>MAX('1'!I7:I18)</f>
        <v>2.54</v>
      </c>
      <c r="J20" s="43">
        <f>MAX('1'!J7:J18)</f>
        <v>3.4</v>
      </c>
      <c r="K20" s="43">
        <f>MAX('1'!K7:K18)</f>
        <v>7</v>
      </c>
      <c r="L20" s="43">
        <f>MAX('1'!L7:L18)</f>
        <v>6</v>
      </c>
      <c r="M20" s="43">
        <f>MAX('1'!M7:M18)</f>
        <v>5.7</v>
      </c>
      <c r="N20" s="43">
        <f>MAX('1'!N7:N18)</f>
        <v>5.7</v>
      </c>
      <c r="O20" s="49">
        <f>MAX('1'!O7:O18)</f>
        <v>3.8</v>
      </c>
      <c r="P20" s="49">
        <f>MAX('1'!P7:P18)</f>
        <v>1.8</v>
      </c>
      <c r="Q20" s="49">
        <f>MAX('1'!Q7:Q18)</f>
        <v>2.7</v>
      </c>
      <c r="R20" s="49">
        <f>MAX('1'!R7:R18)</f>
        <v>1897</v>
      </c>
      <c r="S20" s="49">
        <f>MAX('1'!S7:S18)</f>
        <v>128.83016748366015</v>
      </c>
      <c r="T20" s="940"/>
      <c r="U20" s="940"/>
      <c r="X20" s="13">
        <v>0.625</v>
      </c>
      <c r="Y20" s="14">
        <v>2374</v>
      </c>
      <c r="Z20" s="14">
        <v>1406</v>
      </c>
      <c r="AA20" s="15">
        <v>1</v>
      </c>
      <c r="AB20" s="16">
        <f>IF('1'!AA20=1,(('1'!Z20*'1'!$AS$6*'1'!$AT$6)/('1'!Y20*0.0036)),IF('1'!AA20=2,(('1'!Z20*'1'!$AS$7*'1'!$AT$7)/('1'!Y20*0.0036))))</f>
        <v>109.40161939530094</v>
      </c>
      <c r="AC20" s="17"/>
      <c r="AD20" s="18">
        <f>(('1'!AC20*'1'!$Q$10*1000000))/('1'!Z24*3600)</f>
        <v>0</v>
      </c>
      <c r="AE20" s="19">
        <v>3000</v>
      </c>
      <c r="AF20" s="20">
        <f>('1'!AE20/24)*0.454</f>
        <v>56.75</v>
      </c>
      <c r="AG20" s="19">
        <v>500</v>
      </c>
      <c r="AH20" s="20">
        <f>('1'!AG20/24)*0.454</f>
        <v>9.4583333333333339</v>
      </c>
      <c r="AI20" s="19">
        <v>3000</v>
      </c>
      <c r="AJ20" s="20">
        <f>('1'!AI20/24)*0.454</f>
        <v>56.75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1100</v>
      </c>
      <c r="C21" s="43">
        <f>MIN('1'!C7:C18)</f>
        <v>12.5</v>
      </c>
      <c r="D21" s="43">
        <f>MIN('1'!D7:D18)</f>
        <v>5</v>
      </c>
      <c r="E21" s="43">
        <f>MIN('1'!E7:E18)</f>
        <v>2.5</v>
      </c>
      <c r="F21" s="43">
        <f>MIN('1'!F7:F18)</f>
        <v>212</v>
      </c>
      <c r="G21" s="50">
        <f>MIN('1'!G7:G18)</f>
        <v>2.8</v>
      </c>
      <c r="H21" s="50">
        <f>MIN('1'!H7:H18)</f>
        <v>1.9</v>
      </c>
      <c r="I21" s="50">
        <f>MIN('1'!I7:I18)</f>
        <v>0.8</v>
      </c>
      <c r="J21" s="50">
        <f>MIN('1'!J7:J18)</f>
        <v>1</v>
      </c>
      <c r="K21" s="50">
        <f>MIN('1'!K7:K18)</f>
        <v>6.8</v>
      </c>
      <c r="L21" s="50">
        <f>MIN('1'!L7:L18)</f>
        <v>4.8</v>
      </c>
      <c r="M21" s="50">
        <f>MIN('1'!M7:M18)</f>
        <v>4.8</v>
      </c>
      <c r="N21" s="50">
        <f>MIN('1'!N7:N18)</f>
        <v>5.5</v>
      </c>
      <c r="O21" s="51">
        <f>MIN('1'!O7:O18)</f>
        <v>3.2</v>
      </c>
      <c r="P21" s="51">
        <f>MIN('1'!P7:P18)</f>
        <v>0.1</v>
      </c>
      <c r="Q21" s="51">
        <f>MIN('1'!Q7:Q18)</f>
        <v>0</v>
      </c>
      <c r="R21" s="51">
        <f>MIN('1'!R7:R18)</f>
        <v>1406</v>
      </c>
      <c r="S21" s="51">
        <f>MIN('1'!S7:S18)</f>
        <v>110.56596187502956</v>
      </c>
      <c r="T21" s="940"/>
      <c r="U21" s="940"/>
      <c r="X21" s="13">
        <v>0.66666666666666696</v>
      </c>
      <c r="Y21" s="52">
        <v>2343</v>
      </c>
      <c r="Z21" s="14">
        <v>1406</v>
      </c>
      <c r="AA21" s="15">
        <v>1</v>
      </c>
      <c r="AB21" s="16">
        <f>IF('1'!AA21=1,(('1'!Z21*'1'!$AS$6*'1'!$AT$6)/('1'!Y21*0.0036)),IF('1'!AA21=2,(('1'!Z21*'1'!$AS$7*'1'!$AT$7)/('1'!Y21*0.0036))))</f>
        <v>110.8491013420591</v>
      </c>
      <c r="AC21" s="17"/>
      <c r="AD21" s="18">
        <f>(('1'!AC21*'1'!$Q$10*1000000))/('1'!Y21*3600)</f>
        <v>0</v>
      </c>
      <c r="AE21" s="19">
        <v>3000</v>
      </c>
      <c r="AF21" s="20">
        <f>('1'!AE21/24)*0.454</f>
        <v>56.75</v>
      </c>
      <c r="AG21" s="19">
        <v>500</v>
      </c>
      <c r="AH21" s="20">
        <f>('1'!AG21/24)*0.454</f>
        <v>9.4583333333333339</v>
      </c>
      <c r="AI21" s="19">
        <v>3000</v>
      </c>
      <c r="AJ21" s="20">
        <f>('1'!AI21/24)*0.454</f>
        <v>56.75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2370</v>
      </c>
      <c r="Z22" s="14">
        <v>1406</v>
      </c>
      <c r="AA22" s="15">
        <v>1</v>
      </c>
      <c r="AB22" s="56">
        <f>IF('1'!AA22=1,(('1'!Z22*'1'!$AS$6*'1'!$AT$6)/('1'!Y22*0.0036)),IF('1'!AA22=2,(('1'!Z22*'1'!$AS$7*'1'!$AT$7)/('1'!Y22*0.0036))))</f>
        <v>109.58626347866854</v>
      </c>
      <c r="AC22" s="17"/>
      <c r="AD22" s="18">
        <f>(('1'!AC22*'1'!$Q$10*1000000))/('1'!Y22*3600)</f>
        <v>0</v>
      </c>
      <c r="AE22" s="19">
        <v>3000</v>
      </c>
      <c r="AF22" s="20">
        <f>('1'!AE22/24)*0.454</f>
        <v>56.75</v>
      </c>
      <c r="AG22" s="19">
        <v>500</v>
      </c>
      <c r="AH22" s="20">
        <f>('1'!AG22/24)*0.454</f>
        <v>9.4583333333333339</v>
      </c>
      <c r="AI22" s="19">
        <v>3000</v>
      </c>
      <c r="AJ22" s="20">
        <f>('1'!AI22/24)*0.454</f>
        <v>56.75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2349</v>
      </c>
      <c r="Z23" s="14">
        <v>1406</v>
      </c>
      <c r="AA23" s="15">
        <v>1</v>
      </c>
      <c r="AB23" s="56">
        <f>IF('1'!AA23=1,(('1'!Z23*'1'!$AS$6*'1'!$AT$6)/('1'!Y23*0.0036)),IF('1'!AA23=2,(('1'!Z23*'1'!$AS$7*'1'!$AT$7)/('1'!Y23*0.0036))))</f>
        <v>110.56596187502956</v>
      </c>
      <c r="AC23" s="17"/>
      <c r="AD23" s="18">
        <f>(('1'!AC23*'1'!$Q$10*1000000))/('1'!Y23*3600)</f>
        <v>0</v>
      </c>
      <c r="AE23" s="19">
        <v>3000</v>
      </c>
      <c r="AF23" s="20">
        <f>('1'!AE23/24)*0.454</f>
        <v>56.75</v>
      </c>
      <c r="AG23" s="19">
        <v>500</v>
      </c>
      <c r="AH23" s="20">
        <f>('1'!AG23/24)*0.454</f>
        <v>9.4583333333333339</v>
      </c>
      <c r="AI23" s="19">
        <v>3000</v>
      </c>
      <c r="AJ23" s="20">
        <f>('1'!AI23/24)*0.454</f>
        <v>56.75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2932</v>
      </c>
      <c r="Z24" s="14">
        <v>1823</v>
      </c>
      <c r="AA24" s="15">
        <v>1</v>
      </c>
      <c r="AB24" s="16">
        <f>IF('1'!AA24=1,(('1'!Z24*'1'!$AS$6*'1'!$AT$6)/('1'!Y24*0.0036)),IF('1'!AA24=2,(('1'!Z24*'1'!$AS$7*'1'!$AT$7)/('1'!Y24*0.0036))))</f>
        <v>114.85286872820981</v>
      </c>
      <c r="AC24" s="17"/>
      <c r="AD24" s="18">
        <f>(('1'!AC24*'1'!$Q$10*1000000))/('1'!Y24*3600)</f>
        <v>0</v>
      </c>
      <c r="AE24" s="19">
        <v>3000</v>
      </c>
      <c r="AF24" s="20">
        <f>('1'!AE24/24)*0.454</f>
        <v>56.75</v>
      </c>
      <c r="AG24" s="19">
        <v>500</v>
      </c>
      <c r="AH24" s="20">
        <f>('1'!AG24/24)*0.454</f>
        <v>9.4583333333333339</v>
      </c>
      <c r="AI24" s="19">
        <v>3000</v>
      </c>
      <c r="AJ24" s="20">
        <f>('1'!AI24/24)*0.454</f>
        <v>56.75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>
        <v>0.38</v>
      </c>
      <c r="D25" s="29">
        <v>1.24</v>
      </c>
      <c r="E25" s="29">
        <v>0.89</v>
      </c>
      <c r="F25" s="29">
        <v>0.46</v>
      </c>
      <c r="G25" s="29"/>
      <c r="H25" s="29">
        <v>1.32</v>
      </c>
      <c r="I25" s="29">
        <v>1.35</v>
      </c>
      <c r="J25" s="29"/>
      <c r="K25" s="29">
        <v>1.27</v>
      </c>
      <c r="L25" s="29">
        <v>0.42</v>
      </c>
      <c r="M25" s="29">
        <v>0.84</v>
      </c>
      <c r="N25" s="29">
        <v>0.88</v>
      </c>
      <c r="O25" s="29">
        <v>0.51</v>
      </c>
      <c r="P25" s="29"/>
      <c r="Q25" s="29"/>
      <c r="R25" s="63" t="e">
        <f>#DIV/0!</f>
        <v>#DIV/0!</v>
      </c>
      <c r="S25" s="64"/>
      <c r="T25" s="944" t="s">
        <v>0</v>
      </c>
      <c r="U25" s="945">
        <f>ESCALA!$A$3</f>
        <v>44317</v>
      </c>
      <c r="X25" s="13">
        <v>0.83333333333333304</v>
      </c>
      <c r="Y25" s="52">
        <v>2945</v>
      </c>
      <c r="Z25" s="14">
        <v>1823</v>
      </c>
      <c r="AA25" s="15">
        <v>1</v>
      </c>
      <c r="AB25" s="56">
        <f>IF('1'!AA25=1,(('1'!Z25*'1'!$AS$6*'1'!$AT$6)/('1'!Y25*0.0036)),IF('1'!AA25=2,(('1'!Z25*'1'!$AS$7*'1'!$AT$7)/('1'!Y25*0.0036))))</f>
        <v>114.34587813620072</v>
      </c>
      <c r="AC25" s="17"/>
      <c r="AD25" s="18">
        <f>(('1'!AC25*'1'!$Q$10*1000000))/('1'!Y25*3600)</f>
        <v>0</v>
      </c>
      <c r="AE25" s="19">
        <v>3000</v>
      </c>
      <c r="AF25" s="20">
        <f>('1'!AE25/24)*0.454</f>
        <v>56.75</v>
      </c>
      <c r="AG25" s="19">
        <v>500</v>
      </c>
      <c r="AH25" s="20">
        <f>('1'!AG25/24)*0.454</f>
        <v>9.4583333333333339</v>
      </c>
      <c r="AI25" s="19">
        <v>3000</v>
      </c>
      <c r="AJ25" s="20">
        <f>('1'!AI25/24)*0.454</f>
        <v>56.75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4"/>
      <c r="U26" s="945"/>
      <c r="X26" s="13">
        <v>0.875</v>
      </c>
      <c r="Y26" s="52">
        <v>2827</v>
      </c>
      <c r="Z26" s="14">
        <v>1823</v>
      </c>
      <c r="AA26" s="15">
        <v>1</v>
      </c>
      <c r="AB26" s="56">
        <f>IF('1'!AA26=1,(('1'!Z26*'1'!$AS$6*'1'!$AT$6)/('1'!Y26*0.0036)),IF('1'!AA26=2,(('1'!Z26*'1'!$AS$7*'1'!$AT$7)/('1'!Y26*0.0036))))</f>
        <v>119.11871634634282</v>
      </c>
      <c r="AC26" s="17"/>
      <c r="AD26" s="18">
        <f>(('1'!AC26*'1'!$Q$10*1000000))/('1'!Y26*3600)</f>
        <v>0</v>
      </c>
      <c r="AE26" s="19">
        <v>3000</v>
      </c>
      <c r="AF26" s="20">
        <f>('1'!AE26/24)*0.454</f>
        <v>56.75</v>
      </c>
      <c r="AG26" s="19">
        <v>500</v>
      </c>
      <c r="AH26" s="20">
        <f>('1'!AG26/24)*0.454</f>
        <v>9.4583333333333339</v>
      </c>
      <c r="AI26" s="19">
        <v>3000</v>
      </c>
      <c r="AJ26" s="20">
        <f>('1'!AI26/24)*0.454</f>
        <v>56.75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2850</v>
      </c>
      <c r="Z27" s="14">
        <v>1823</v>
      </c>
      <c r="AA27" s="15">
        <v>1</v>
      </c>
      <c r="AB27" s="56">
        <f>IF('1'!AA27=1,(('1'!Z27*'1'!$AS$6*'1'!$AT$6)/('1'!Y27*0.0036)),IF('1'!AA27=2,(('1'!Z27*'1'!$AS$7*'1'!$AT$7)/('1'!Y27*0.0036))))</f>
        <v>118.15740740740742</v>
      </c>
      <c r="AC27" s="17"/>
      <c r="AD27" s="18">
        <f>(('1'!AC27*'1'!$Q$10*1000000))/('1'!Y27*3600)</f>
        <v>0</v>
      </c>
      <c r="AE27" s="19">
        <v>3000</v>
      </c>
      <c r="AF27" s="20">
        <f>('1'!AE27/24)*0.454</f>
        <v>56.75</v>
      </c>
      <c r="AG27" s="19">
        <v>500</v>
      </c>
      <c r="AH27" s="20">
        <f>('1'!AG27/24)*0.454</f>
        <v>9.4583333333333339</v>
      </c>
      <c r="AI27" s="19">
        <v>3000</v>
      </c>
      <c r="AJ27" s="20">
        <f>('1'!AI27/24)*0.454</f>
        <v>56.75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2831</v>
      </c>
      <c r="Z28" s="14">
        <v>1823</v>
      </c>
      <c r="AA28" s="15">
        <v>1</v>
      </c>
      <c r="AB28" s="56">
        <f>IF('1'!AA28=1,(('1'!Z28*'1'!$AS$6*'1'!$AT$6)/('1'!Y28*0.0036)),IF('1'!AA28=2,(('1'!Z28*'1'!$AS$7*'1'!$AT$7)/('1'!Y28*0.0036))))</f>
        <v>118.95041014168532</v>
      </c>
      <c r="AC28" s="17"/>
      <c r="AD28" s="18">
        <f>(('1'!AC28*'1'!$Q$10*1000000))/('1'!Y28*3600)</f>
        <v>0</v>
      </c>
      <c r="AE28" s="19">
        <v>3000</v>
      </c>
      <c r="AF28" s="20">
        <f>('1'!AE28/24)*0.454</f>
        <v>56.75</v>
      </c>
      <c r="AG28" s="19">
        <v>500</v>
      </c>
      <c r="AH28" s="20">
        <f>('1'!AG28/24)*0.454</f>
        <v>9.4583333333333339</v>
      </c>
      <c r="AI28" s="19">
        <v>3000</v>
      </c>
      <c r="AJ28" s="20">
        <f>('1'!AI28/24)*0.454</f>
        <v>56.75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47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7"/>
      <c r="X29" s="13">
        <v>1</v>
      </c>
      <c r="Y29" s="52">
        <v>2871</v>
      </c>
      <c r="Z29" s="14">
        <v>1823</v>
      </c>
      <c r="AA29" s="15">
        <v>1</v>
      </c>
      <c r="AB29" s="56">
        <f>IF('1'!AA29=1,(('1'!Z29*'1'!$AS$6*'1'!$AT$6)/('1'!Y29*0.0036)),IF('1'!AA29=2,(('1'!Z29*'1'!$AS$7*'1'!$AT$7)/('1'!Y29*0.0036))))</f>
        <v>117.293142149464</v>
      </c>
      <c r="AC29" s="17"/>
      <c r="AD29" s="18">
        <f>(('1'!AC29*'1'!$Q$10*1000000))/('1'!Y29*3600)</f>
        <v>0</v>
      </c>
      <c r="AE29" s="19">
        <v>3000</v>
      </c>
      <c r="AF29" s="20">
        <f>('1'!AE29/24)*0.454</f>
        <v>56.75</v>
      </c>
      <c r="AG29" s="19">
        <v>500</v>
      </c>
      <c r="AH29" s="20">
        <f>('1'!AG29/24)*0.454</f>
        <v>9.4583333333333339</v>
      </c>
      <c r="AI29" s="19">
        <v>3000</v>
      </c>
      <c r="AJ29" s="20">
        <f>('1'!AI29/24)*0.454</f>
        <v>56.75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47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7"/>
      <c r="X30" s="73" t="s">
        <v>55</v>
      </c>
      <c r="Y30" s="74">
        <f>SUM('1'!Y6:Y29)*3.6</f>
        <v>234313.2</v>
      </c>
      <c r="Z30" s="75">
        <f>SUM('1'!Z6:Z29)</f>
        <v>42629</v>
      </c>
      <c r="AA30" s="76"/>
      <c r="AB30" s="77"/>
      <c r="AC30" s="76"/>
      <c r="AD30" s="77"/>
      <c r="AE30" s="33"/>
      <c r="AF30" s="20">
        <f>SUM('1'!AF6:AF29)</f>
        <v>1362</v>
      </c>
      <c r="AG30" s="33"/>
      <c r="AH30" s="20">
        <f>SUM('1'!AH6:AH29)</f>
        <v>227.00000000000009</v>
      </c>
      <c r="AI30" s="33"/>
      <c r="AJ30" s="20" t="e">
        <f>SUM('1'!AJ6:AJ29)</f>
        <v>#REF!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47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7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947"/>
      <c r="B32" s="947"/>
      <c r="C32" s="947"/>
      <c r="D32" s="947"/>
      <c r="E32" s="947"/>
      <c r="F32" s="947"/>
      <c r="G32" s="947"/>
      <c r="H32" s="947"/>
      <c r="I32" s="947"/>
      <c r="J32" s="947"/>
      <c r="K32" s="947"/>
      <c r="L32" s="947"/>
      <c r="M32" s="947"/>
      <c r="N32" s="947"/>
      <c r="O32" s="947"/>
      <c r="P32" s="947"/>
      <c r="Q32" s="947"/>
      <c r="R32" s="947"/>
      <c r="S32" s="947"/>
      <c r="T32" s="947"/>
      <c r="U32" s="947"/>
      <c r="X32" s="949" t="s">
        <v>60</v>
      </c>
      <c r="Y32" s="949"/>
      <c r="Z32" s="80">
        <f>SUMIF('1'!AA6:AA29,"=1",'1'!Z6:Z29)</f>
        <v>42629</v>
      </c>
      <c r="AA32" s="80">
        <f>'1'!Z32*'1'!AS6</f>
        <v>56696.57</v>
      </c>
      <c r="AB32" s="81">
        <f>SUMIF('1'!$AA$6:$AA$29,"=1",'1'!$AB$6:$AB$29)/COUNTIF('1'!$AA$6:$AA$29,"=1")</f>
        <v>120.71904135043133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7"/>
      <c r="B33" s="947"/>
      <c r="C33" s="947"/>
      <c r="D33" s="947"/>
      <c r="E33" s="947"/>
      <c r="F33" s="947"/>
      <c r="G33" s="947"/>
      <c r="H33" s="947"/>
      <c r="I33" s="947"/>
      <c r="J33" s="947"/>
      <c r="K33" s="947"/>
      <c r="L33" s="947"/>
      <c r="M33" s="947"/>
      <c r="N33" s="947"/>
      <c r="O33" s="947"/>
      <c r="P33" s="947"/>
      <c r="Q33" s="947"/>
      <c r="R33" s="947"/>
      <c r="S33" s="947"/>
      <c r="T33" s="947"/>
      <c r="U33" s="947"/>
      <c r="X33" s="949" t="s">
        <v>61</v>
      </c>
      <c r="Y33" s="949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7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7"/>
      <c r="X34" s="92" t="s">
        <v>52</v>
      </c>
      <c r="Y34" s="93">
        <f>AVERAGE('1'!Y6:Y29)</f>
        <v>2711.9583333333335</v>
      </c>
      <c r="Z34" s="94">
        <f>AVERAGE('1'!Z6:Z29)</f>
        <v>1776.2083333333333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56.75</v>
      </c>
      <c r="AG34" s="96"/>
      <c r="AH34" s="96">
        <f>AVERAGE('1'!AH6:AH29)</f>
        <v>9.4583333333333375</v>
      </c>
      <c r="AI34" s="96"/>
      <c r="AJ34" s="98" t="e">
        <f>'1'!AJ30/24</f>
        <v>#REF!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953" t="s">
        <v>68</v>
      </c>
      <c r="AK35" s="953"/>
      <c r="AL35" s="953"/>
      <c r="AM35" s="953"/>
      <c r="AO35" s="953" t="s">
        <v>69</v>
      </c>
      <c r="AP35" s="953"/>
      <c r="AQ35" s="953"/>
      <c r="AR35" s="95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953"/>
      <c r="AK36" s="953"/>
      <c r="AL36" s="953"/>
      <c r="AM36" s="953"/>
      <c r="AO36" s="953"/>
      <c r="AP36" s="953"/>
      <c r="AQ36" s="953"/>
      <c r="AR36" s="953"/>
    </row>
    <row r="37" spans="1:44" ht="18" customHeight="1">
      <c r="A37" s="99"/>
      <c r="B37" s="28">
        <v>0.33333333333333298</v>
      </c>
      <c r="C37" s="29">
        <v>33.9</v>
      </c>
      <c r="D37" s="29">
        <v>4</v>
      </c>
      <c r="E37" s="29">
        <v>4</v>
      </c>
      <c r="F37" s="29">
        <v>4</v>
      </c>
      <c r="G37" s="29">
        <v>0.2</v>
      </c>
      <c r="H37" s="29">
        <v>0.2</v>
      </c>
      <c r="I37" s="29">
        <v>0.3</v>
      </c>
      <c r="J37" s="29">
        <v>0.1</v>
      </c>
      <c r="K37" s="29">
        <v>0.1</v>
      </c>
      <c r="L37" s="955"/>
      <c r="M37" s="955"/>
      <c r="N37" s="955"/>
      <c r="O37" s="10"/>
      <c r="P37" s="10"/>
      <c r="Q37" s="10"/>
      <c r="R37" s="10"/>
      <c r="S37" s="10"/>
      <c r="T37" s="10"/>
      <c r="U37" s="107">
        <f>'1'!V12</f>
        <v>0</v>
      </c>
      <c r="X37" s="956" t="s">
        <v>75</v>
      </c>
      <c r="Y37" s="956"/>
      <c r="Z37" s="108">
        <f>COUNTA('1'!Z6:Z29)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1589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 t="e">
        <f>'1'!AJ30</f>
        <v>#REF!</v>
      </c>
      <c r="AQ38" s="114" t="s">
        <v>78</v>
      </c>
      <c r="AR38" s="115">
        <f>'1'!AP30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6.7815214849184766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 t="e">
        <f>('1'!AP38/'1'!Y30)*1000</f>
        <v>#REF!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68" t="s">
        <v>90</v>
      </c>
      <c r="AK40" s="968"/>
      <c r="AL40" s="969">
        <f>SUM('1'!AK38,'1'!AM38)</f>
        <v>1589</v>
      </c>
      <c r="AM40" s="969"/>
      <c r="AO40" s="970" t="s">
        <v>90</v>
      </c>
      <c r="AP40" s="970"/>
      <c r="AQ40" s="971" t="e">
        <f>SUM('1'!AP38,'1'!AR38)</f>
        <v>#REF!</v>
      </c>
      <c r="AR40" s="971"/>
    </row>
    <row r="41" spans="1:44" ht="16.5" customHeight="1">
      <c r="A41" s="131">
        <f>COUNTA('1'!E7:E18)</f>
        <v>12</v>
      </c>
      <c r="B41" s="132">
        <f>COUNTA('1'!I7:I18)</f>
        <v>12</v>
      </c>
      <c r="C41" s="972">
        <f>COUNTA('1'!J7:J18)</f>
        <v>12</v>
      </c>
      <c r="D41" s="972">
        <f>COUNTA('1'!K7:K18)</f>
        <v>12</v>
      </c>
      <c r="E41" s="972">
        <f>COUNTIF('1'!E7:E18,"&gt;15")</f>
        <v>0</v>
      </c>
      <c r="F41" s="972"/>
      <c r="G41" s="972">
        <f>COUNTIF('1'!J7:J18,"&gt;1")</f>
        <v>9</v>
      </c>
      <c r="H41" s="972"/>
      <c r="I41" s="133"/>
      <c r="J41" s="972">
        <f>'1'!A41-'1'!E41</f>
        <v>12</v>
      </c>
      <c r="K41" s="972"/>
      <c r="L41" s="972">
        <f>'1'!C41-'1'!G41</f>
        <v>3</v>
      </c>
      <c r="M41" s="972"/>
      <c r="N41" s="133"/>
      <c r="O41" s="973">
        <f>COUNTIF('1'!J7:J18,"&lt;=0,5")</f>
        <v>0</v>
      </c>
      <c r="P41" s="973"/>
      <c r="Q41" s="973"/>
      <c r="R41" s="963"/>
      <c r="S41" s="974">
        <f>COUNTIF('1'!J7:J18,"&lt;=1,0")</f>
        <v>3</v>
      </c>
      <c r="T41" s="974"/>
      <c r="U41" s="134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68" t="s">
        <v>91</v>
      </c>
      <c r="AK41" s="968"/>
      <c r="AL41" s="975">
        <f>SUM(('1'!AK38+'1'!AM38)/'1'!Y30)*1000</f>
        <v>6.7815214849184766</v>
      </c>
      <c r="AM41" s="975"/>
      <c r="AO41" s="970" t="s">
        <v>91</v>
      </c>
      <c r="AP41" s="970"/>
      <c r="AQ41" s="975" t="e">
        <f>SUM(('1'!AP38+'1'!AR38)/'1'!Y30)*1000</f>
        <v>#REF!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35</v>
      </c>
      <c r="Z44" s="142" t="s">
        <v>101</v>
      </c>
      <c r="AA44" s="143">
        <v>0</v>
      </c>
      <c r="AB44" s="142" t="s">
        <v>101</v>
      </c>
      <c r="AC44" s="143">
        <v>155</v>
      </c>
      <c r="AD44" s="982"/>
      <c r="AE44" s="982"/>
      <c r="AF44" s="983" t="s">
        <v>102</v>
      </c>
      <c r="AG44" s="984">
        <f>SUM('1'!Y45,'1'!AA45,'1'!AC45,'1'!AE45)</f>
        <v>96679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COUNTIF('1'!I7:I18,"&lt;=5,0")</f>
        <v>12</v>
      </c>
      <c r="I45" s="986"/>
      <c r="J45" s="986"/>
      <c r="K45" s="133"/>
      <c r="L45" s="968">
        <f>COUNTA('1'!L37)</f>
        <v>0</v>
      </c>
      <c r="M45" s="968"/>
      <c r="O45" s="144"/>
      <c r="P45" s="145"/>
      <c r="Q45" s="987">
        <f>'1'!S41-'1'!O41</f>
        <v>3</v>
      </c>
      <c r="R45" s="987"/>
      <c r="S45" s="987"/>
      <c r="T45" s="146"/>
      <c r="X45" s="147" t="s">
        <v>104</v>
      </c>
      <c r="Y45" s="148">
        <f>'1'!Y44*275.3</f>
        <v>9635.5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43043.5</v>
      </c>
      <c r="AD45" s="147" t="s">
        <v>104</v>
      </c>
      <c r="AE45" s="149">
        <v>44000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89" t="s">
        <v>106</v>
      </c>
      <c r="AG46" s="990">
        <f>SUM('1'!Y47,'1'!AA47,'1'!AC47,'1'!AE47)</f>
        <v>128583.07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'1'!Y45*'1'!Y46</f>
        <v>12815.215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57247.855000000003</v>
      </c>
      <c r="AD47" s="147" t="s">
        <v>108</v>
      </c>
      <c r="AE47" s="148">
        <f>'1'!AE45*'1'!AE46</f>
        <v>58520</v>
      </c>
      <c r="AF47" s="989"/>
      <c r="AG47" s="990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88"/>
      <c r="AP47" s="988"/>
      <c r="AQ47" s="988"/>
      <c r="AR47" s="988"/>
    </row>
    <row r="48" spans="1:44" ht="1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88"/>
      <c r="AP48" s="988"/>
      <c r="AQ48" s="988"/>
      <c r="AR48" s="988"/>
    </row>
    <row r="49" spans="1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88"/>
      <c r="AP49" s="988"/>
      <c r="AQ49" s="988"/>
      <c r="AR49" s="988"/>
    </row>
    <row r="50" spans="1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:44" ht="16.5" customHeight="1">
      <c r="O51" s="968">
        <f>COUNTA('1'!O7:O18)</f>
        <v>12</v>
      </c>
      <c r="P51" s="968">
        <f>COUNTA('1'!W17:W28)</f>
        <v>0</v>
      </c>
      <c r="R51" s="986">
        <f>COUNTIF('1'!O7:O18,"&gt;=0,5")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SUM('1'!Y53,'1'!AA53,'1'!AC53,'1'!AE53)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:44" ht="15" customHeight="1">
      <c r="A53" s="135"/>
      <c r="B53" s="135"/>
      <c r="C53" s="135"/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'1'!AS7</f>
        <v>1.262</v>
      </c>
      <c r="Z54" s="151" t="s">
        <v>105</v>
      </c>
      <c r="AA54" s="153">
        <f>'1'!Y54</f>
        <v>1.262</v>
      </c>
      <c r="AB54" s="151" t="s">
        <v>105</v>
      </c>
      <c r="AC54" s="153">
        <f>'1'!Y54</f>
        <v>1.262</v>
      </c>
      <c r="AD54" s="151" t="s">
        <v>105</v>
      </c>
      <c r="AE54" s="154">
        <f>'1'!Y54</f>
        <v>1.262</v>
      </c>
      <c r="AF54" s="989" t="s">
        <v>106</v>
      </c>
      <c r="AG54" s="990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88"/>
      <c r="AP54" s="988"/>
      <c r="AQ54" s="988"/>
      <c r="AR54" s="988"/>
    </row>
    <row r="55" spans="1:44" ht="17.850000000000001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89"/>
      <c r="AG55" s="990"/>
      <c r="AI55" s="151" t="s">
        <v>105</v>
      </c>
      <c r="AJ55" s="152">
        <f>'1'!Y54</f>
        <v>1.262</v>
      </c>
      <c r="AK55" s="151" t="s">
        <v>105</v>
      </c>
      <c r="AL55" s="152">
        <f>'1'!AJ55</f>
        <v>1.262</v>
      </c>
      <c r="AM55" s="151" t="s">
        <v>105</v>
      </c>
      <c r="AN55" s="152">
        <f>'1'!AJ55</f>
        <v>1.262</v>
      </c>
      <c r="AO55" s="988"/>
      <c r="AP55" s="988"/>
      <c r="AQ55" s="988"/>
      <c r="AR55" s="988"/>
    </row>
    <row r="56" spans="1:44" ht="17.850000000000001" customHeight="1">
      <c r="O56" s="992"/>
      <c r="P56" s="992"/>
      <c r="R56" s="993"/>
      <c r="S56" s="993"/>
      <c r="T56" s="993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88"/>
      <c r="AP56" s="988"/>
      <c r="AQ56" s="988"/>
      <c r="AR56" s="988"/>
    </row>
    <row r="57" spans="1:44" ht="15.75" customHeight="1">
      <c r="A57" s="135"/>
      <c r="B57" s="135"/>
      <c r="C57" s="135"/>
      <c r="O57" s="997">
        <f>COUNTA('1'!N7:N18)</f>
        <v>12</v>
      </c>
      <c r="P57" s="997"/>
      <c r="R57" s="998">
        <f>COUNTIF('1'!N7:N18,"&gt;=6")</f>
        <v>0</v>
      </c>
      <c r="S57" s="998"/>
      <c r="T57" s="998"/>
      <c r="AE57" s="47"/>
    </row>
    <row r="58" spans="1:44" ht="15.75" customHeight="1">
      <c r="A58" s="135"/>
      <c r="B58" s="135"/>
      <c r="C58" s="135"/>
      <c r="X58" s="999" t="s">
        <v>116</v>
      </c>
      <c r="Y58" s="999"/>
      <c r="Z58" s="999"/>
      <c r="AA58" s="999"/>
      <c r="AB58" s="999"/>
      <c r="AC58" s="999"/>
    </row>
    <row r="59" spans="1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:44" ht="15.75" customHeight="1">
      <c r="A60" s="135"/>
      <c r="B60" s="135"/>
      <c r="C60" s="135"/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:44" ht="15.75" customHeight="1">
      <c r="A61" s="135"/>
      <c r="B61" s="135"/>
      <c r="C61" s="135"/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AA32</f>
        <v>56696.57</v>
      </c>
      <c r="AM61" s="1005"/>
      <c r="AN61" s="1004" t="s">
        <v>121</v>
      </c>
      <c r="AO61" s="1004"/>
      <c r="AP61" s="1004"/>
      <c r="AQ61" s="1005">
        <f>'1'!AJ49+'1'!AL49+'1'!AN49</f>
        <v>0</v>
      </c>
      <c r="AR61" s="1005"/>
    </row>
    <row r="62" spans="1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AJ49+AN49</f>
        <v>0</v>
      </c>
      <c r="AM62" s="1009"/>
      <c r="AN62" s="1004" t="s">
        <v>123</v>
      </c>
      <c r="AO62" s="1004"/>
      <c r="AP62" s="1004"/>
      <c r="AQ62" s="1010">
        <f>'1'!AA32</f>
        <v>56696.57</v>
      </c>
      <c r="AR62" s="1010"/>
    </row>
    <row r="63" spans="1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9">
        <f>'1'!AL61-'1'!AL62</f>
        <v>56696.57</v>
      </c>
      <c r="AM63" s="1009"/>
      <c r="AN63" s="1004" t="s">
        <v>125</v>
      </c>
      <c r="AO63" s="1004"/>
      <c r="AP63" s="1004"/>
      <c r="AQ63" s="1005">
        <f>'1'!AQ61-'1'!AQ62</f>
        <v>-56696.57</v>
      </c>
      <c r="AR63" s="1005"/>
    </row>
    <row r="64" spans="1:44" ht="15" customHeight="1">
      <c r="X64" s="168"/>
      <c r="Y64" s="169"/>
      <c r="Z64" s="1007"/>
      <c r="AA64" s="1007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07"/>
      <c r="AA65" s="1007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1" t="s">
        <v>127</v>
      </c>
      <c r="Y66" s="1011"/>
      <c r="Z66" s="1007"/>
      <c r="AA66" s="1007"/>
      <c r="AB66" s="1012" t="s">
        <v>127</v>
      </c>
      <c r="AC66" s="1012"/>
    </row>
    <row r="67" spans="1:29" ht="15" customHeight="1">
      <c r="X67" s="168" t="s">
        <v>124</v>
      </c>
      <c r="Y67" s="176" t="e">
        <f>SUM('1'!AK38,'1'!AP38)</f>
        <v>#REF!</v>
      </c>
      <c r="Z67" s="1007"/>
      <c r="AA67" s="1007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 t="e">
        <f>SUM('1'!Y63,'1'!Y65)-'1'!Y67</f>
        <v>#REF!</v>
      </c>
      <c r="Z68" s="1007"/>
      <c r="AA68" s="1007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 t="e">
        <f>'1'!Y68+'1'!AC68</f>
        <v>#REF!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13" t="s">
        <v>5</v>
      </c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R2" s="1013"/>
      <c r="S2" s="1013"/>
      <c r="T2" s="1013"/>
      <c r="U2" s="1013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13"/>
      <c r="E3" s="1013"/>
      <c r="F3" s="1013"/>
      <c r="G3" s="1013"/>
      <c r="H3" s="1013"/>
      <c r="I3" s="1013"/>
      <c r="J3" s="1013"/>
      <c r="K3" s="1013"/>
      <c r="L3" s="1013"/>
      <c r="M3" s="1013"/>
      <c r="N3" s="1013"/>
      <c r="O3" s="1013"/>
      <c r="P3" s="1013"/>
      <c r="Q3" s="1013"/>
      <c r="R3" s="1013"/>
      <c r="S3" s="1013"/>
      <c r="T3" s="1013"/>
      <c r="U3" s="1013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2877</v>
      </c>
      <c r="Z6" s="180">
        <v>1823</v>
      </c>
      <c r="AA6" s="15">
        <v>1</v>
      </c>
      <c r="AB6" s="56">
        <f>IF('2'!AA6=1,(('2'!Z6*'2'!$AS$6*'2'!$AT$6)/('2'!Y6*0.0036)),IF('2'!AA6=2,(('2'!Z6*'2'!$AS$7*'2'!$AT$7)/('2'!Y6*0.0036))))</f>
        <v>117.04852662881862</v>
      </c>
      <c r="AC6" s="56"/>
      <c r="AD6" s="18">
        <f>(('2'!AC6*'2'!$Q$10*1000000))/('2'!Y6*3600)</f>
        <v>0</v>
      </c>
      <c r="AE6" s="181">
        <v>3000</v>
      </c>
      <c r="AF6" s="182">
        <f>('2'!AE6/24)*0.454</f>
        <v>56.75</v>
      </c>
      <c r="AG6" s="19">
        <v>500</v>
      </c>
      <c r="AH6" s="182">
        <f>('2'!AG12/24)*0.454</f>
        <v>9.4583333333333339</v>
      </c>
      <c r="AI6" s="181">
        <v>3000</v>
      </c>
      <c r="AJ6" s="182">
        <f>('2'!AI6/24)*0.454</f>
        <v>56.75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800</v>
      </c>
      <c r="C7" s="184">
        <v>7.5</v>
      </c>
      <c r="D7" s="184">
        <v>7.5</v>
      </c>
      <c r="E7" s="184">
        <v>2.5</v>
      </c>
      <c r="F7" s="184">
        <v>211</v>
      </c>
      <c r="G7" s="184">
        <v>2.7</v>
      </c>
      <c r="H7" s="184">
        <v>6</v>
      </c>
      <c r="I7" s="184">
        <v>1.1000000000000001</v>
      </c>
      <c r="J7" s="184">
        <v>1.3</v>
      </c>
      <c r="K7" s="184">
        <v>6.8</v>
      </c>
      <c r="L7" s="184">
        <v>4.8</v>
      </c>
      <c r="M7" s="184">
        <v>4.8</v>
      </c>
      <c r="N7" s="184">
        <v>5.7</v>
      </c>
      <c r="O7" s="184">
        <v>3.8</v>
      </c>
      <c r="P7" s="184">
        <v>1.7</v>
      </c>
      <c r="Q7" s="186">
        <v>3</v>
      </c>
      <c r="R7" s="36">
        <f>'1'!$Z$29</f>
        <v>1823</v>
      </c>
      <c r="S7" s="185">
        <f>'1'!$AB$29</f>
        <v>117.293142149464</v>
      </c>
      <c r="T7" s="36">
        <f>'1'!$Y$29</f>
        <v>2871</v>
      </c>
      <c r="U7" s="32" t="str">
        <f>IF('2'!AA6=1,'2'!AR6,'2'!AR7)</f>
        <v>S.A.L</v>
      </c>
      <c r="V7" s="1016">
        <f>ESCALA!$B$3</f>
        <v>0</v>
      </c>
      <c r="W7" s="1016"/>
      <c r="X7" s="13">
        <v>2653.0833333333298</v>
      </c>
      <c r="Y7" s="52">
        <v>2846</v>
      </c>
      <c r="Z7" s="180">
        <v>1823</v>
      </c>
      <c r="AA7" s="15">
        <v>1</v>
      </c>
      <c r="AB7" s="56">
        <f>IF('2'!AA7=1,(('2'!Z7*'2'!$AS$6*'2'!$AT$6)/('2'!Y7*0.0036)),IF('2'!AA7=2,(('2'!Z7*'2'!$AS$7*'2'!$AT$7)/('2'!Y7*0.0036))))</f>
        <v>118.32347544311706</v>
      </c>
      <c r="AC7" s="56"/>
      <c r="AD7" s="18">
        <f>(('2'!AC7*'2'!$Q$10*1000000))/('2'!Y7*3600)</f>
        <v>0</v>
      </c>
      <c r="AE7" s="181">
        <v>3000</v>
      </c>
      <c r="AF7" s="182">
        <f>('2'!AE7/24)*0.454</f>
        <v>56.75</v>
      </c>
      <c r="AG7" s="19">
        <v>500</v>
      </c>
      <c r="AH7" s="182">
        <f>('2'!AG7/24)*0.454</f>
        <v>9.4583333333333339</v>
      </c>
      <c r="AI7" s="181">
        <v>3000</v>
      </c>
      <c r="AJ7" s="182">
        <f>('2'!AI7/24)*0.454</f>
        <v>56.75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800</v>
      </c>
      <c r="C8" s="184">
        <v>5</v>
      </c>
      <c r="D8" s="184">
        <v>7.5</v>
      </c>
      <c r="E8" s="184">
        <v>2.5</v>
      </c>
      <c r="F8" s="184">
        <v>210</v>
      </c>
      <c r="G8" s="184">
        <v>1.8</v>
      </c>
      <c r="H8" s="184">
        <v>5.0999999999999996</v>
      </c>
      <c r="I8" s="184">
        <v>1.1000000000000001</v>
      </c>
      <c r="J8" s="184">
        <v>1.3</v>
      </c>
      <c r="K8" s="184">
        <v>6.8</v>
      </c>
      <c r="L8" s="184">
        <v>4.8</v>
      </c>
      <c r="M8" s="184">
        <v>4.8</v>
      </c>
      <c r="N8" s="184">
        <v>5.7</v>
      </c>
      <c r="O8" s="184">
        <v>3.8</v>
      </c>
      <c r="P8" s="184">
        <v>1.5</v>
      </c>
      <c r="Q8" s="186">
        <v>3.3</v>
      </c>
      <c r="R8" s="34">
        <f>'2'!Z7</f>
        <v>1823</v>
      </c>
      <c r="S8" s="35">
        <f>'2'!AB7</f>
        <v>118.32347544311706</v>
      </c>
      <c r="T8" s="36">
        <f>'2'!Y7</f>
        <v>2846</v>
      </c>
      <c r="U8" s="32" t="str">
        <f>IF('2'!AA7=1,'2'!AR6,'2'!AR7)</f>
        <v>S.A.L</v>
      </c>
      <c r="V8" s="1016"/>
      <c r="W8" s="1016"/>
      <c r="X8" s="13">
        <v>2645.125</v>
      </c>
      <c r="Y8" s="52">
        <v>2805</v>
      </c>
      <c r="Z8" s="180">
        <v>1823</v>
      </c>
      <c r="AA8" s="15">
        <v>1</v>
      </c>
      <c r="AB8" s="56">
        <f>IF('2'!AA8=1,(('2'!Z8*'2'!$AS$6*'2'!$AT$6)/('2'!Y8*0.0036)),IF('2'!AA8=2,(('2'!Z8*'2'!$AS$7*'2'!$AT$7)/('2'!Y8*0.0036))))</f>
        <v>120.05298078827492</v>
      </c>
      <c r="AC8" s="56"/>
      <c r="AD8" s="18">
        <f>(('2'!AC8*'2'!$Q$10*1000000))/('2'!Y8*3600)</f>
        <v>0</v>
      </c>
      <c r="AE8" s="181">
        <v>3000</v>
      </c>
      <c r="AF8" s="182">
        <f>('2'!AE8/24)*0.454</f>
        <v>56.75</v>
      </c>
      <c r="AG8" s="19">
        <v>500</v>
      </c>
      <c r="AH8" s="182">
        <f>('2'!AG8/24)*0.454</f>
        <v>9.4583333333333339</v>
      </c>
      <c r="AI8" s="181">
        <v>3000</v>
      </c>
      <c r="AJ8" s="182">
        <f>('2'!AI8/24)*0.454</f>
        <v>56.75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800</v>
      </c>
      <c r="C9" s="184">
        <v>5</v>
      </c>
      <c r="D9" s="184">
        <v>7.5</v>
      </c>
      <c r="E9" s="184">
        <v>2.5</v>
      </c>
      <c r="F9" s="184">
        <v>208</v>
      </c>
      <c r="G9" s="184">
        <v>1.5</v>
      </c>
      <c r="H9" s="184">
        <v>4.3</v>
      </c>
      <c r="I9" s="184">
        <v>1.1000000000000001</v>
      </c>
      <c r="J9" s="184">
        <v>1.2</v>
      </c>
      <c r="K9" s="184">
        <v>6.8</v>
      </c>
      <c r="L9" s="184">
        <v>4.8</v>
      </c>
      <c r="M9" s="184">
        <v>4.8</v>
      </c>
      <c r="N9" s="184">
        <v>5.7</v>
      </c>
      <c r="O9" s="184">
        <v>3.8</v>
      </c>
      <c r="P9" s="184">
        <v>1.5</v>
      </c>
      <c r="Q9" s="186">
        <v>3.5</v>
      </c>
      <c r="R9" s="36">
        <f>'2'!Z9</f>
        <v>1823</v>
      </c>
      <c r="S9" s="35">
        <f>'2'!AB9</f>
        <v>119.28749950800962</v>
      </c>
      <c r="T9" s="36">
        <f>'2'!Y9</f>
        <v>2823</v>
      </c>
      <c r="U9" s="32" t="str">
        <f>IF('2'!AA9=1,'2'!AR6,'2'!AR7)</f>
        <v>S.A.L</v>
      </c>
      <c r="V9" s="1016"/>
      <c r="W9" s="1016"/>
      <c r="X9" s="13">
        <v>0.16666666666666699</v>
      </c>
      <c r="Y9" s="52">
        <v>2823</v>
      </c>
      <c r="Z9" s="180">
        <v>1823</v>
      </c>
      <c r="AA9" s="15">
        <v>1</v>
      </c>
      <c r="AB9" s="56">
        <f>IF('2'!AA9=1,(('2'!Z9*'2'!$AS$6*'2'!$AT$6)/('2'!Y9*0.0036)),IF('2'!AA9=2,(('2'!Z9*'2'!$AS$7*'2'!$AT$7)/('2'!Y9*0.0036))))</f>
        <v>119.28749950800962</v>
      </c>
      <c r="AC9" s="56"/>
      <c r="AD9" s="18">
        <f>(('2'!AC9*'2'!$Q$10*1000000))/('2'!Y9*3600)</f>
        <v>0</v>
      </c>
      <c r="AE9" s="181">
        <v>3000</v>
      </c>
      <c r="AF9" s="182">
        <f>('2'!AE9/24)*0.454</f>
        <v>56.75</v>
      </c>
      <c r="AG9" s="19">
        <v>500</v>
      </c>
      <c r="AH9" s="182">
        <f>('2'!AG9/24)*0.454</f>
        <v>9.4583333333333339</v>
      </c>
      <c r="AI9" s="181">
        <v>3000</v>
      </c>
      <c r="AJ9" s="182">
        <f>('2'!AI9/24)*0.454</f>
        <v>56.75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800</v>
      </c>
      <c r="C10" s="184">
        <v>5</v>
      </c>
      <c r="D10" s="184">
        <v>7.5</v>
      </c>
      <c r="E10" s="184">
        <v>2.5</v>
      </c>
      <c r="F10" s="184">
        <v>207</v>
      </c>
      <c r="G10" s="184">
        <v>1.4</v>
      </c>
      <c r="H10" s="184">
        <v>3.9</v>
      </c>
      <c r="I10" s="184">
        <v>1.1000000000000001</v>
      </c>
      <c r="J10" s="184">
        <v>1.2</v>
      </c>
      <c r="K10" s="184">
        <v>6.8</v>
      </c>
      <c r="L10" s="184">
        <v>4.8</v>
      </c>
      <c r="M10" s="184">
        <v>4.8</v>
      </c>
      <c r="N10" s="184">
        <v>5.7</v>
      </c>
      <c r="O10" s="184">
        <v>3.8</v>
      </c>
      <c r="P10" s="184">
        <v>1.4</v>
      </c>
      <c r="Q10" s="186">
        <v>3.8</v>
      </c>
      <c r="R10" s="36">
        <f>'2'!Z11</f>
        <v>1823</v>
      </c>
      <c r="S10" s="35">
        <f>'2'!AB11</f>
        <v>117.57982231533211</v>
      </c>
      <c r="T10" s="36">
        <f>'2'!Y11</f>
        <v>2864</v>
      </c>
      <c r="U10" s="38" t="str">
        <f>IF('2'!AA11=1,'2'!AR6,'2'!AR7)</f>
        <v>S.A.L</v>
      </c>
      <c r="V10" s="1016"/>
      <c r="W10" s="1016"/>
      <c r="X10" s="13">
        <v>0.20833333333333301</v>
      </c>
      <c r="Y10" s="52">
        <v>2851</v>
      </c>
      <c r="Z10" s="180">
        <v>1823</v>
      </c>
      <c r="AA10" s="15">
        <v>1</v>
      </c>
      <c r="AB10" s="56">
        <f>IF('2'!AA10=1,(('2'!Z10*'2'!$AS$6*'2'!$AT$6)/('2'!Y10*0.0036)),IF('2'!AA10=2,(('2'!Z10*'2'!$AS$7*'2'!$AT$7)/('2'!Y10*0.0036))))</f>
        <v>118.11596320978994</v>
      </c>
      <c r="AC10" s="56"/>
      <c r="AD10" s="18">
        <f>(('2'!AC10*'2'!$Q$10*1000000))/('2'!Y10*3600)</f>
        <v>0</v>
      </c>
      <c r="AE10" s="181">
        <v>3000</v>
      </c>
      <c r="AF10" s="182">
        <f>('2'!AE10/24)*0.454</f>
        <v>56.75</v>
      </c>
      <c r="AG10" s="19">
        <v>500</v>
      </c>
      <c r="AH10" s="182">
        <f>('2'!AG10/24)*0.454</f>
        <v>9.4583333333333339</v>
      </c>
      <c r="AI10" s="181">
        <v>3000</v>
      </c>
      <c r="AJ10" s="182">
        <f>('2'!AI10/24)*0.454</f>
        <v>56.75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800</v>
      </c>
      <c r="C11" s="184">
        <v>12.5</v>
      </c>
      <c r="D11" s="184">
        <v>7.5</v>
      </c>
      <c r="E11" s="184">
        <v>2.5</v>
      </c>
      <c r="F11" s="184">
        <v>196</v>
      </c>
      <c r="G11" s="184">
        <v>3.8</v>
      </c>
      <c r="H11" s="184">
        <v>3</v>
      </c>
      <c r="I11" s="184">
        <v>1.1000000000000001</v>
      </c>
      <c r="J11" s="184">
        <v>1.5</v>
      </c>
      <c r="K11" s="184">
        <v>6.8</v>
      </c>
      <c r="L11" s="184">
        <v>4.8</v>
      </c>
      <c r="M11" s="184">
        <v>4.58</v>
      </c>
      <c r="N11" s="184">
        <v>5.3</v>
      </c>
      <c r="O11" s="184">
        <v>3.8</v>
      </c>
      <c r="P11" s="184">
        <v>3.8</v>
      </c>
      <c r="Q11" s="184">
        <v>3.2</v>
      </c>
      <c r="R11" s="36">
        <f>'2'!Z13</f>
        <v>1377</v>
      </c>
      <c r="S11" s="35">
        <f>'2'!AB13</f>
        <v>90.199468085106389</v>
      </c>
      <c r="T11" s="36">
        <f>'2'!Y13</f>
        <v>2820</v>
      </c>
      <c r="U11" s="40" t="str">
        <f>IF('2'!AA13=1,'2'!AR6,'2'!AR7)</f>
        <v>S.A.L</v>
      </c>
      <c r="V11" s="1016"/>
      <c r="W11" s="1016"/>
      <c r="X11" s="13">
        <v>0.25</v>
      </c>
      <c r="Y11" s="52">
        <v>2864</v>
      </c>
      <c r="Z11" s="180">
        <v>1823</v>
      </c>
      <c r="AA11" s="15">
        <v>1</v>
      </c>
      <c r="AB11" s="56">
        <f>IF('2'!AA11=1,(('2'!Z11*'2'!$AS$6*'2'!$AT$6)/('2'!Y11*0.0036)),IF('2'!AA11=2,(('2'!Z11*'2'!$AS$7*'2'!$AT$7)/('2'!Y11*0.0036))))</f>
        <v>117.57982231533211</v>
      </c>
      <c r="AC11" s="56"/>
      <c r="AD11" s="18">
        <f>(('2'!AC11*'2'!$Q$10*1000000))/('2'!Y11*3600)</f>
        <v>0</v>
      </c>
      <c r="AE11" s="181">
        <v>3000</v>
      </c>
      <c r="AF11" s="182">
        <f>('2'!AE11/24)*0.454</f>
        <v>56.75</v>
      </c>
      <c r="AG11" s="19">
        <v>500</v>
      </c>
      <c r="AH11" s="182">
        <f>('2'!AG11/24)*0.454</f>
        <v>9.4583333333333339</v>
      </c>
      <c r="AI11" s="181">
        <v>3000</v>
      </c>
      <c r="AJ11" s="182">
        <f>('2'!AI11/24)*0.454</f>
        <v>56.75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800</v>
      </c>
      <c r="C12" s="184">
        <v>12.5</v>
      </c>
      <c r="D12" s="184">
        <v>7.5</v>
      </c>
      <c r="E12" s="184">
        <v>2.5</v>
      </c>
      <c r="F12" s="184">
        <v>195</v>
      </c>
      <c r="G12" s="184">
        <v>3.9</v>
      </c>
      <c r="H12" s="184">
        <v>2.8</v>
      </c>
      <c r="I12" s="184">
        <v>1</v>
      </c>
      <c r="J12" s="184">
        <v>1.5</v>
      </c>
      <c r="K12" s="184">
        <v>6.8</v>
      </c>
      <c r="L12" s="184">
        <v>4.8</v>
      </c>
      <c r="M12" s="184">
        <v>4.58</v>
      </c>
      <c r="N12" s="184">
        <v>5.3</v>
      </c>
      <c r="O12" s="184">
        <v>3.2</v>
      </c>
      <c r="P12" s="184">
        <v>3.2</v>
      </c>
      <c r="Q12" s="184">
        <v>0</v>
      </c>
      <c r="R12" s="36">
        <f>'2'!Z15</f>
        <v>1377</v>
      </c>
      <c r="S12" s="35">
        <f>'2'!AB15</f>
        <v>88.782722513089013</v>
      </c>
      <c r="T12" s="36">
        <f>'2'!Y15</f>
        <v>2865</v>
      </c>
      <c r="U12" s="41" t="str">
        <f>IF('2'!AA15=1,'2'!AR6,'2'!AR7)</f>
        <v>S.A.L</v>
      </c>
      <c r="V12" s="938">
        <f>ESCALA!$B$4</f>
        <v>0</v>
      </c>
      <c r="W12" s="938"/>
      <c r="X12" s="13">
        <v>0.29166666666666702</v>
      </c>
      <c r="Y12" s="52">
        <v>2797</v>
      </c>
      <c r="Z12" s="180">
        <v>1823</v>
      </c>
      <c r="AA12" s="15">
        <v>1</v>
      </c>
      <c r="AB12" s="56">
        <f>IF('2'!AA12=1,(('2'!Z12*'2'!$AS$6*'2'!$AT$6)/('2'!Y12*0.0036)),IF('2'!AA12=2,(('2'!Z12*'2'!$AS$7*'2'!$AT$7)/('2'!Y12*0.0036))))</f>
        <v>120.39635720811981</v>
      </c>
      <c r="AC12" s="56"/>
      <c r="AD12" s="18">
        <f>(('2'!AC12*'2'!$Q$10*1000000))/('2'!Y12*3600)</f>
        <v>0</v>
      </c>
      <c r="AE12" s="181">
        <v>3000</v>
      </c>
      <c r="AF12" s="182">
        <f>('2'!AE12/24)*0.454</f>
        <v>56.75</v>
      </c>
      <c r="AG12" s="19">
        <v>500</v>
      </c>
      <c r="AH12" s="182" t="e">
        <f>('2'!#REF!/24)*0.454</f>
        <v>#REF!</v>
      </c>
      <c r="AI12" s="181">
        <v>3000</v>
      </c>
      <c r="AJ12" s="182">
        <f>('2'!AI12/24)*0.454</f>
        <v>56.75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800</v>
      </c>
      <c r="C13" s="184">
        <v>10</v>
      </c>
      <c r="D13" s="184">
        <v>7.5</v>
      </c>
      <c r="E13" s="184">
        <v>2.5</v>
      </c>
      <c r="F13" s="184">
        <v>196</v>
      </c>
      <c r="G13" s="184">
        <v>3.9</v>
      </c>
      <c r="H13" s="184">
        <v>2.7</v>
      </c>
      <c r="I13" s="184">
        <v>0.98</v>
      </c>
      <c r="J13" s="184">
        <v>1.4</v>
      </c>
      <c r="K13" s="184">
        <v>6.8</v>
      </c>
      <c r="L13" s="184">
        <v>4.8</v>
      </c>
      <c r="M13" s="184">
        <v>4.58</v>
      </c>
      <c r="N13" s="184">
        <v>5.3</v>
      </c>
      <c r="O13" s="184">
        <v>3</v>
      </c>
      <c r="P13" s="184">
        <v>3</v>
      </c>
      <c r="Q13" s="184">
        <v>0</v>
      </c>
      <c r="R13" s="36">
        <f>'2'!Z17</f>
        <v>1377</v>
      </c>
      <c r="S13" s="35">
        <f>'2'!AB17</f>
        <v>93.481256890848954</v>
      </c>
      <c r="T13" s="36">
        <f>'2'!Y17</f>
        <v>2721</v>
      </c>
      <c r="U13" s="32" t="str">
        <f>IF('2'!AA17=1,'2'!AR6,'2'!AR7)</f>
        <v>S.A.L</v>
      </c>
      <c r="V13" s="938"/>
      <c r="W13" s="938"/>
      <c r="X13" s="13">
        <v>0.33333333333333298</v>
      </c>
      <c r="Y13" s="52">
        <v>2820</v>
      </c>
      <c r="Z13" s="180">
        <v>1377</v>
      </c>
      <c r="AA13" s="15">
        <v>1</v>
      </c>
      <c r="AB13" s="56">
        <f>IF('2'!AA13=1,(('2'!Z13*'2'!$AS$6*'2'!$AT$6)/('2'!Y13*0.0036)),IF('2'!AA13=2,(('2'!Z13*'2'!$AS$7*'2'!$AT$7)/('2'!Y13*0.0036))))</f>
        <v>90.199468085106389</v>
      </c>
      <c r="AC13" s="56"/>
      <c r="AD13" s="18">
        <f>(('2'!AC13*'2'!$Q$10*1000000))/('2'!Y13*3600)</f>
        <v>0</v>
      </c>
      <c r="AE13" s="181">
        <v>3000</v>
      </c>
      <c r="AF13" s="182">
        <f>('2'!AE13/24)*0.454</f>
        <v>56.75</v>
      </c>
      <c r="AG13" s="19">
        <v>500</v>
      </c>
      <c r="AH13" s="182">
        <f>('2'!AG13/24)*0.454</f>
        <v>9.4583333333333339</v>
      </c>
      <c r="AI13" s="181">
        <v>3000</v>
      </c>
      <c r="AJ13" s="182">
        <f>('2'!AI13/24)*0.454</f>
        <v>56.75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800</v>
      </c>
      <c r="C14" s="184">
        <v>10</v>
      </c>
      <c r="D14" s="184">
        <v>7.5</v>
      </c>
      <c r="E14" s="184">
        <v>2.5</v>
      </c>
      <c r="F14" s="184">
        <v>193</v>
      </c>
      <c r="G14" s="184">
        <v>3.8</v>
      </c>
      <c r="H14" s="184">
        <v>2.1</v>
      </c>
      <c r="I14" s="184">
        <v>0.97</v>
      </c>
      <c r="J14" s="184">
        <v>1.3</v>
      </c>
      <c r="K14" s="184">
        <v>6.8</v>
      </c>
      <c r="L14" s="184">
        <v>4.8</v>
      </c>
      <c r="M14" s="184">
        <v>4.58</v>
      </c>
      <c r="N14" s="184">
        <v>5.3</v>
      </c>
      <c r="O14" s="184">
        <v>2.7</v>
      </c>
      <c r="P14" s="184">
        <v>2.7</v>
      </c>
      <c r="Q14" s="184">
        <v>0</v>
      </c>
      <c r="R14" s="36">
        <f>'2'!Z19</f>
        <v>1377</v>
      </c>
      <c r="S14" s="35">
        <f>'2'!AB19</f>
        <v>92.093591600289656</v>
      </c>
      <c r="T14" s="36">
        <f>'2'!Y19</f>
        <v>2762</v>
      </c>
      <c r="U14" s="32" t="str">
        <f>IF('2'!AA19=1,'2'!AR6,'2'!AR7)</f>
        <v>S.A.L</v>
      </c>
      <c r="V14" s="938"/>
      <c r="W14" s="938"/>
      <c r="X14" s="13">
        <v>0.375</v>
      </c>
      <c r="Y14" s="52">
        <v>2847</v>
      </c>
      <c r="Z14" s="180">
        <v>1377</v>
      </c>
      <c r="AA14" s="15">
        <v>1</v>
      </c>
      <c r="AB14" s="56">
        <f>IF('2'!AA14=1,(('2'!Z14*'2'!$AS$6*'2'!$AT$6)/('2'!Y14*0.0036)),IF('2'!AA14=2,(('2'!Z14*'2'!$AS$7*'2'!$AT$7)/('2'!Y14*0.0036))))</f>
        <v>89.34404636459432</v>
      </c>
      <c r="AC14" s="56"/>
      <c r="AD14" s="18">
        <f>(('2'!AC14*'2'!$Q$10*1000000))/('2'!Y14*3600)</f>
        <v>0</v>
      </c>
      <c r="AE14" s="181">
        <v>3000</v>
      </c>
      <c r="AF14" s="182">
        <f>('2'!AE14/24)*0.454</f>
        <v>56.75</v>
      </c>
      <c r="AG14" s="19">
        <v>0</v>
      </c>
      <c r="AH14" s="182">
        <f>('2'!AG14/24)*0.454</f>
        <v>0</v>
      </c>
      <c r="AI14" s="181">
        <v>3000</v>
      </c>
      <c r="AJ14" s="182">
        <f>('2'!AI14/24)*0.454</f>
        <v>56.75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750</v>
      </c>
      <c r="C15" s="184">
        <v>10</v>
      </c>
      <c r="D15" s="184">
        <v>7.5</v>
      </c>
      <c r="E15" s="184">
        <v>2.5</v>
      </c>
      <c r="F15" s="184">
        <v>184</v>
      </c>
      <c r="G15" s="184">
        <v>3.6</v>
      </c>
      <c r="H15" s="184">
        <v>2.2999999999999998</v>
      </c>
      <c r="I15" s="184">
        <v>0.97</v>
      </c>
      <c r="J15" s="184">
        <v>1.3</v>
      </c>
      <c r="K15" s="184">
        <v>6.8</v>
      </c>
      <c r="L15" s="184">
        <v>4.8</v>
      </c>
      <c r="M15" s="184">
        <v>4.58</v>
      </c>
      <c r="N15" s="184">
        <v>5.3</v>
      </c>
      <c r="O15" s="184">
        <v>2.7</v>
      </c>
      <c r="P15" s="184">
        <v>2.7</v>
      </c>
      <c r="Q15" s="184">
        <v>0</v>
      </c>
      <c r="R15" s="36">
        <f>'2'!Z21</f>
        <v>1377</v>
      </c>
      <c r="S15" s="35">
        <f>'2'!AB21</f>
        <v>87.530110116999325</v>
      </c>
      <c r="T15" s="36">
        <f>'2'!Y21</f>
        <v>2906</v>
      </c>
      <c r="U15" s="32" t="str">
        <f>IF('2'!AA21=1,'2'!AR6,'2'!AR7)</f>
        <v>S.A.L</v>
      </c>
      <c r="V15" s="938"/>
      <c r="W15" s="938"/>
      <c r="X15" s="13">
        <v>0.41666666666666702</v>
      </c>
      <c r="Y15" s="52">
        <v>2865</v>
      </c>
      <c r="Z15" s="180">
        <v>1377</v>
      </c>
      <c r="AA15" s="15">
        <v>1</v>
      </c>
      <c r="AB15" s="56">
        <f>IF('2'!AA15=1,(('2'!Z15*'2'!$AS$6*'2'!$AT$6)/('2'!Y15*0.0036)),IF('2'!AA15=2,(('2'!Z15*'2'!$AS$7*'2'!$AT$7)/('2'!Y15*0.0036))))</f>
        <v>88.782722513089013</v>
      </c>
      <c r="AC15" s="56"/>
      <c r="AD15" s="18">
        <f>(('2'!AC15*'2'!$Q$10*1000000))/('2'!Y15*3600)</f>
        <v>0</v>
      </c>
      <c r="AE15" s="181">
        <v>3000</v>
      </c>
      <c r="AF15" s="182">
        <f>('2'!AE15/24)*0.454</f>
        <v>56.75</v>
      </c>
      <c r="AG15" s="19">
        <v>0</v>
      </c>
      <c r="AH15" s="182">
        <f>('2'!AG15/24)*0.454</f>
        <v>0</v>
      </c>
      <c r="AI15" s="181">
        <v>3000</v>
      </c>
      <c r="AJ15" s="182">
        <f>('2'!AI15/24)*0.454</f>
        <v>56.75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750</v>
      </c>
      <c r="C16" s="184">
        <v>10</v>
      </c>
      <c r="D16" s="184">
        <v>7.5</v>
      </c>
      <c r="E16" s="184">
        <v>2.5</v>
      </c>
      <c r="F16" s="184">
        <v>177</v>
      </c>
      <c r="G16" s="184">
        <v>3.4</v>
      </c>
      <c r="H16" s="184">
        <v>2.5</v>
      </c>
      <c r="I16" s="184">
        <v>0.97</v>
      </c>
      <c r="J16" s="184">
        <v>1.2</v>
      </c>
      <c r="K16" s="184">
        <v>6.8</v>
      </c>
      <c r="L16" s="184">
        <v>4.8</v>
      </c>
      <c r="M16" s="184">
        <v>4.58</v>
      </c>
      <c r="N16" s="184">
        <v>5.3</v>
      </c>
      <c r="O16" s="184">
        <v>2.7</v>
      </c>
      <c r="P16" s="184">
        <v>2.7</v>
      </c>
      <c r="Q16" s="184">
        <v>0.5</v>
      </c>
      <c r="R16" s="36">
        <f>'2'!Z23</f>
        <v>1832</v>
      </c>
      <c r="S16" s="35">
        <f>'2'!AB23</f>
        <v>114.21232234597068</v>
      </c>
      <c r="T16" s="36">
        <f>'2'!Y23</f>
        <v>2963</v>
      </c>
      <c r="U16" s="32" t="str">
        <f>IF('2'!AA23=1,'2'!AR6,'2'!AR7)</f>
        <v>S.A.L</v>
      </c>
      <c r="V16" s="938"/>
      <c r="W16" s="938"/>
      <c r="X16" s="13">
        <v>0.45833333333333298</v>
      </c>
      <c r="Y16" s="52">
        <v>2849</v>
      </c>
      <c r="Z16" s="180">
        <v>1377</v>
      </c>
      <c r="AA16" s="15">
        <v>1</v>
      </c>
      <c r="AB16" s="56">
        <f>IF('2'!AA16=1,(('2'!Z16*'2'!$AS$6*'2'!$AT$6)/('2'!Y16*0.0036)),IF('2'!AA16=2,(('2'!Z16*'2'!$AS$7*'2'!$AT$7)/('2'!Y16*0.0036))))</f>
        <v>89.281326781326797</v>
      </c>
      <c r="AC16" s="56"/>
      <c r="AD16" s="18">
        <f>(('2'!AC16*'2'!$Q$10*1000000))/('2'!Y16*3600)</f>
        <v>0</v>
      </c>
      <c r="AE16" s="181">
        <v>3000</v>
      </c>
      <c r="AF16" s="182">
        <f>('2'!AE16/24)*0.454</f>
        <v>56.75</v>
      </c>
      <c r="AG16" s="19">
        <v>0</v>
      </c>
      <c r="AH16" s="182">
        <f>('2'!AG16/24)*0.454</f>
        <v>0</v>
      </c>
      <c r="AI16" s="181">
        <v>3000</v>
      </c>
      <c r="AJ16" s="182">
        <f>('2'!AI16/24)*0.454</f>
        <v>56.75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700</v>
      </c>
      <c r="C17" s="184">
        <v>10</v>
      </c>
      <c r="D17" s="184">
        <v>7.5</v>
      </c>
      <c r="E17" s="184">
        <v>2.5</v>
      </c>
      <c r="F17" s="184">
        <v>171</v>
      </c>
      <c r="G17" s="184">
        <v>3.2</v>
      </c>
      <c r="H17" s="184">
        <v>2.6</v>
      </c>
      <c r="I17" s="184">
        <v>0.97</v>
      </c>
      <c r="J17" s="184">
        <v>1.2</v>
      </c>
      <c r="K17" s="184">
        <v>6.8</v>
      </c>
      <c r="L17" s="184">
        <v>4.8</v>
      </c>
      <c r="M17" s="184">
        <v>4.58</v>
      </c>
      <c r="N17" s="184">
        <v>5.3</v>
      </c>
      <c r="O17" s="184">
        <v>2.8</v>
      </c>
      <c r="P17" s="184">
        <v>2.8</v>
      </c>
      <c r="Q17" s="184">
        <v>0.8</v>
      </c>
      <c r="R17" s="36">
        <f>'2'!Z25</f>
        <v>1832</v>
      </c>
      <c r="S17" s="35">
        <f>'2'!AB25</f>
        <v>117.6263855095972</v>
      </c>
      <c r="T17" s="36">
        <f>'2'!Y25</f>
        <v>2877</v>
      </c>
      <c r="U17" s="32" t="str">
        <f>IF('2'!AA25=1,'2'!AR6,'2'!AR7)</f>
        <v>S.A.L</v>
      </c>
      <c r="V17" s="939">
        <f>ESCALA!$C$4</f>
        <v>0</v>
      </c>
      <c r="W17" s="939"/>
      <c r="X17" s="13">
        <v>0.5</v>
      </c>
      <c r="Y17" s="52">
        <v>2721</v>
      </c>
      <c r="Z17" s="180">
        <v>1377</v>
      </c>
      <c r="AA17" s="15">
        <v>1</v>
      </c>
      <c r="AB17" s="56">
        <f>IF('2'!AA17=1,(('2'!Z17*'2'!$AS$6*'2'!$AT$6)/('2'!Y17*0.0036)),IF('2'!AA17=2,(('2'!Z17*'2'!$AS$7*'2'!$AT$7)/('2'!Y17*0.0036))))</f>
        <v>93.481256890848954</v>
      </c>
      <c r="AC17" s="56"/>
      <c r="AD17" s="18">
        <f>(('2'!AC17*'2'!$Q$10*1000000))/('2'!Y17*3600)</f>
        <v>0</v>
      </c>
      <c r="AE17" s="181">
        <v>3000</v>
      </c>
      <c r="AF17" s="182">
        <f>('2'!AE17/24)*0.454</f>
        <v>56.75</v>
      </c>
      <c r="AG17" s="19">
        <v>0</v>
      </c>
      <c r="AH17" s="182">
        <f>('2'!AG17/24)*0.454</f>
        <v>0</v>
      </c>
      <c r="AI17" s="181">
        <v>3000</v>
      </c>
      <c r="AJ17" s="182">
        <f>('2'!AI17/24)*0.454</f>
        <v>56.75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650</v>
      </c>
      <c r="C18" s="184">
        <v>10</v>
      </c>
      <c r="D18" s="184">
        <v>7.5</v>
      </c>
      <c r="E18" s="184">
        <v>2.5</v>
      </c>
      <c r="F18" s="184">
        <v>166</v>
      </c>
      <c r="G18" s="184">
        <v>3</v>
      </c>
      <c r="H18" s="184">
        <v>2.7</v>
      </c>
      <c r="I18" s="184">
        <v>0.97</v>
      </c>
      <c r="J18" s="184">
        <v>1.2</v>
      </c>
      <c r="K18" s="184">
        <v>6.8</v>
      </c>
      <c r="L18" s="184">
        <v>4.8</v>
      </c>
      <c r="M18" s="184">
        <v>4.58</v>
      </c>
      <c r="N18" s="184">
        <v>5.3</v>
      </c>
      <c r="O18" s="184">
        <v>3.5</v>
      </c>
      <c r="P18" s="184">
        <v>3.5</v>
      </c>
      <c r="Q18" s="184">
        <v>1</v>
      </c>
      <c r="R18" s="36">
        <f>'2'!Z27</f>
        <v>1832</v>
      </c>
      <c r="S18" s="35">
        <f>'2'!AB27</f>
        <v>117.01629014907024</v>
      </c>
      <c r="T18" s="36">
        <f>'2'!Y27</f>
        <v>2892</v>
      </c>
      <c r="U18" s="32" t="str">
        <f>IF('2'!AA27=1,'2'!AR6,'2'!AR7)</f>
        <v>S.A.L</v>
      </c>
      <c r="V18" s="939"/>
      <c r="W18" s="939"/>
      <c r="X18" s="13">
        <v>0.54166666666666696</v>
      </c>
      <c r="Y18" s="52">
        <v>2841</v>
      </c>
      <c r="Z18" s="180">
        <v>1377</v>
      </c>
      <c r="AA18" s="15">
        <v>1</v>
      </c>
      <c r="AB18" s="56">
        <f>IF('2'!AA18=1,(('2'!Z18*'2'!$AS$6*'2'!$AT$6)/('2'!Y18*0.0036)),IF('2'!AA18=2,(('2'!Z18*'2'!$AS$7*'2'!$AT$7)/('2'!Y18*0.0036))))</f>
        <v>89.532734952481533</v>
      </c>
      <c r="AC18" s="56"/>
      <c r="AD18" s="18">
        <f>(('2'!AC18*'2'!$Q$10*1000000))/('2'!Y18*3600)</f>
        <v>0</v>
      </c>
      <c r="AE18" s="181">
        <v>3000</v>
      </c>
      <c r="AF18" s="182">
        <f>('2'!AE18/24)*0.454</f>
        <v>56.75</v>
      </c>
      <c r="AG18" s="19">
        <v>0</v>
      </c>
      <c r="AH18" s="182">
        <f>('2'!AG18/24)*0.454</f>
        <v>0</v>
      </c>
      <c r="AI18" s="181">
        <v>3000</v>
      </c>
      <c r="AJ18" s="182">
        <f>('2'!AI18/24)*0.454</f>
        <v>56.75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770.83333333333337</v>
      </c>
      <c r="C19" s="67">
        <f t="array" ref="C19">IF('2'!C7:C18&gt;0.01,AVERAGE('2'!C7:C18),"")</f>
        <v>8.9583333333333339</v>
      </c>
      <c r="D19" s="67">
        <f t="array" ref="D19">IF('2'!D7:D18&gt;0.01,AVERAGE('2'!D7:D18),"")</f>
        <v>7.5</v>
      </c>
      <c r="E19" s="67">
        <f t="array" ref="E19">IF('2'!E7:E18&gt;0.01,AVERAGE('2'!E7:E18),"")</f>
        <v>2.5</v>
      </c>
      <c r="F19" s="67">
        <f t="array" ref="F19">IF('2'!F7:F18&gt;0.01,AVERAGE('2'!F7:F18),"")</f>
        <v>192.83333333333334</v>
      </c>
      <c r="G19" s="67">
        <f t="array" ref="G19">IF('2'!G7:G18&gt;0.01,AVERAGE('2'!G7:G18),"")</f>
        <v>3</v>
      </c>
      <c r="H19" s="67">
        <f t="array" ref="H19">IF('2'!H7:H18&gt;0.01,AVERAGE('2'!H7:H18),"")</f>
        <v>3.3333333333333335</v>
      </c>
      <c r="I19" s="67">
        <f t="array" ref="I19">IF('2'!I7:I18&gt;0.01,AVERAGE('2'!I7:I18),"")</f>
        <v>1.0275000000000003</v>
      </c>
      <c r="J19" s="67">
        <f t="array" ref="J19">IF('2'!J7:J18&gt;0.01,AVERAGE('2'!J7:J18),"")</f>
        <v>1.3</v>
      </c>
      <c r="K19" s="67">
        <f t="array" ref="K19">IF('2'!K7:K18&gt;0.01,AVERAGE('2'!K7:K18),"")</f>
        <v>6.799999999999998</v>
      </c>
      <c r="L19" s="67">
        <f t="array" ref="L19">IF('2'!L7:L18&gt;0.01,AVERAGE('2'!L7:L18),"")</f>
        <v>4.7999999999999989</v>
      </c>
      <c r="M19" s="67">
        <f t="array" ref="M19">IF('2'!M7:M18&gt;0.01,AVERAGE('2'!M7:M18),"")</f>
        <v>4.6533333333333324</v>
      </c>
      <c r="N19" s="67">
        <f t="array" ref="N19">IF('2'!N7:N18&gt;0.01,AVERAGE('2'!N7:N18),"")</f>
        <v>5.4333333333333327</v>
      </c>
      <c r="O19" s="67">
        <f t="array" ref="O19">IF('2'!O7:O18&gt;0.01,AVERAGE('2'!O7:O18),"")</f>
        <v>3.2999999999999994</v>
      </c>
      <c r="P19" s="188">
        <f t="array" ref="P19">IF('2'!P7:P18&gt;0.01,AVERAGE('2'!P7:P18),"")</f>
        <v>2.5416666666666665</v>
      </c>
      <c r="Q19" s="189">
        <f t="array" ref="Q19">IF('2'!Q7:Q18&gt;0.01,AVERAGE('2'!Q7:Q18),"")</f>
        <v>1.5916666666666668</v>
      </c>
      <c r="R19" s="189">
        <f t="array" ref="R19">IF('2'!R7:R18&gt;0.01,AVERAGE('2'!R7:R18),"")</f>
        <v>1639.4166666666667</v>
      </c>
      <c r="S19" s="189">
        <f t="array" ref="S19">IF('2'!S7:S18&gt;0.01,AVERAGE('2'!S7:S18),"")</f>
        <v>106.1188405522412</v>
      </c>
      <c r="T19" s="940"/>
      <c r="U19" s="940"/>
      <c r="V19" s="47"/>
      <c r="W19" s="48"/>
      <c r="X19" s="13">
        <v>0.58333333333333304</v>
      </c>
      <c r="Y19" s="52">
        <v>2762</v>
      </c>
      <c r="Z19" s="180">
        <v>1377</v>
      </c>
      <c r="AA19" s="15">
        <v>1</v>
      </c>
      <c r="AB19" s="56">
        <f>IF('2'!AA19=1,(('2'!Z19*'2'!$AS$6*'2'!$AT$6)/('2'!Y19*0.0036)),IF('2'!AA19=2,(('2'!Z19*'2'!$AS$7*'2'!$AT$7)/('2'!Y19*0.0036))))</f>
        <v>92.093591600289656</v>
      </c>
      <c r="AC19" s="56"/>
      <c r="AD19" s="18">
        <f>(('2'!AC19*'2'!$Q$10*1000000))/('2'!Y19*3600)</f>
        <v>0</v>
      </c>
      <c r="AE19" s="181">
        <v>3000</v>
      </c>
      <c r="AF19" s="182">
        <f>('2'!AE19/24)*0.454</f>
        <v>56.75</v>
      </c>
      <c r="AG19" s="19">
        <v>0</v>
      </c>
      <c r="AH19" s="182">
        <f>('2'!AG19/24)*0.454</f>
        <v>0</v>
      </c>
      <c r="AI19" s="181">
        <v>3000</v>
      </c>
      <c r="AJ19" s="182">
        <f>('2'!AI19/24)*0.454</f>
        <v>56.75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800</v>
      </c>
      <c r="C20" s="67">
        <f>MAX('2'!C7:C18)</f>
        <v>12.5</v>
      </c>
      <c r="D20" s="67">
        <f>MAX('2'!D7:D18)</f>
        <v>7.5</v>
      </c>
      <c r="E20" s="67">
        <f>MAX('2'!E7:E18)</f>
        <v>2.5</v>
      </c>
      <c r="F20" s="67">
        <f>MAX('2'!F7:F18)</f>
        <v>211</v>
      </c>
      <c r="G20" s="67">
        <f>MAX('2'!G7:G18)</f>
        <v>3.9</v>
      </c>
      <c r="H20" s="67">
        <f>MAX('2'!H7:H18)</f>
        <v>6</v>
      </c>
      <c r="I20" s="67">
        <f>MAX('2'!I7:I18)</f>
        <v>1.1000000000000001</v>
      </c>
      <c r="J20" s="67">
        <f>MAX('2'!J7:J18)</f>
        <v>1.5</v>
      </c>
      <c r="K20" s="67">
        <f>MAX('2'!K7:K18)</f>
        <v>6.8</v>
      </c>
      <c r="L20" s="67">
        <f>MAX('2'!L7:L18)</f>
        <v>4.8</v>
      </c>
      <c r="M20" s="67">
        <f>MAX('2'!M7:M18)</f>
        <v>4.8</v>
      </c>
      <c r="N20" s="67">
        <f>MAX('2'!N7:N18)</f>
        <v>5.7</v>
      </c>
      <c r="O20" s="68">
        <f>MAX('2'!O7:O18)</f>
        <v>3.8</v>
      </c>
      <c r="P20" s="68">
        <f>MAX('2'!P7:P18)</f>
        <v>3.8</v>
      </c>
      <c r="Q20" s="68">
        <f>MAX('2'!Q7:Q18)</f>
        <v>3.8</v>
      </c>
      <c r="R20" s="68">
        <f>MAX('2'!R7:R18)</f>
        <v>1832</v>
      </c>
      <c r="S20" s="68">
        <f>MAX('2'!S7:S18)</f>
        <v>119.28749950800962</v>
      </c>
      <c r="T20" s="940"/>
      <c r="U20" s="940"/>
      <c r="X20" s="13">
        <v>0.625</v>
      </c>
      <c r="Y20" s="52">
        <v>2464</v>
      </c>
      <c r="Z20" s="180">
        <v>1377</v>
      </c>
      <c r="AA20" s="15">
        <v>1</v>
      </c>
      <c r="AB20" s="56">
        <f>IF('2'!AA20=1,(('2'!Z20*'2'!$AS$6*'2'!$AT$6)/('2'!Y20*0.0036)),IF('2'!AA20=2,(('2'!Z20*'2'!$AS$7*'2'!$AT$7)/('2'!Y20*0.0036))))</f>
        <v>103.23153409090909</v>
      </c>
      <c r="AC20" s="56"/>
      <c r="AD20" s="18">
        <f>(('2'!AC20*'2'!$Q$10*1000000))/('2'!Y20*3600)</f>
        <v>0</v>
      </c>
      <c r="AE20" s="181">
        <v>3000</v>
      </c>
      <c r="AF20" s="182">
        <f>('2'!AE20/24)*0.454</f>
        <v>56.75</v>
      </c>
      <c r="AG20" s="19">
        <v>0</v>
      </c>
      <c r="AH20" s="182">
        <f>('2'!AG20/24)*0.454</f>
        <v>0</v>
      </c>
      <c r="AI20" s="181">
        <v>3000</v>
      </c>
      <c r="AJ20" s="182">
        <f>('2'!AI20/24)*0.454</f>
        <v>56.75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650</v>
      </c>
      <c r="C21" s="67">
        <f>MIN('2'!C7:C18)</f>
        <v>5</v>
      </c>
      <c r="D21" s="67">
        <f>MIN('2'!D7:D18)</f>
        <v>7.5</v>
      </c>
      <c r="E21" s="67">
        <f>MIN('2'!E7:E18)</f>
        <v>2.5</v>
      </c>
      <c r="F21" s="67">
        <f>MIN('2'!F7:F18)</f>
        <v>166</v>
      </c>
      <c r="G21" s="190">
        <f>MIN('2'!G7:G18)</f>
        <v>1.4</v>
      </c>
      <c r="H21" s="190">
        <f>MIN('2'!H7:H18)</f>
        <v>2.1</v>
      </c>
      <c r="I21" s="190">
        <f>MIN('2'!I7:I18)</f>
        <v>0.97</v>
      </c>
      <c r="J21" s="190">
        <f>MIN('2'!J7:J18)</f>
        <v>1.2</v>
      </c>
      <c r="K21" s="190">
        <f>MIN('2'!K7:K18)</f>
        <v>6.8</v>
      </c>
      <c r="L21" s="190">
        <f>MIN('2'!L7:L18)</f>
        <v>4.8</v>
      </c>
      <c r="M21" s="190">
        <f>MIN('2'!M7:M18)</f>
        <v>4.58</v>
      </c>
      <c r="N21" s="190">
        <f>MIN('2'!N7:N18)</f>
        <v>5.3</v>
      </c>
      <c r="O21" s="191">
        <f>MIN('2'!O7:O18)</f>
        <v>2.7</v>
      </c>
      <c r="P21" s="191">
        <f>MIN('2'!P7:P18)</f>
        <v>1.4</v>
      </c>
      <c r="Q21" s="191">
        <f>MIN('2'!Q7:Q18)</f>
        <v>0</v>
      </c>
      <c r="R21" s="191">
        <f>MIN('2'!R7:R18)</f>
        <v>1377</v>
      </c>
      <c r="S21" s="191">
        <f>MIN('2'!S7:S18)</f>
        <v>87.530110116999325</v>
      </c>
      <c r="T21" s="940"/>
      <c r="U21" s="940"/>
      <c r="X21" s="13">
        <v>0.66666666666666696</v>
      </c>
      <c r="Y21" s="52">
        <v>2906</v>
      </c>
      <c r="Z21" s="180">
        <v>1377</v>
      </c>
      <c r="AA21" s="15">
        <v>1</v>
      </c>
      <c r="AB21" s="56">
        <f>IF('2'!AA21=1,(('2'!Z21*'2'!$AS$6*'2'!$AT$6)/('2'!Y21*0.0036)),IF('2'!AA21=2,(('2'!Z21*'2'!$AS$7*'2'!$AT$7)/('2'!Y21*0.0036))))</f>
        <v>87.530110116999325</v>
      </c>
      <c r="AC21" s="56"/>
      <c r="AD21" s="18">
        <f>(('2'!AC21*'2'!$Q$10*1000000))/('2'!Y21*3600)</f>
        <v>0</v>
      </c>
      <c r="AE21" s="181">
        <v>3000</v>
      </c>
      <c r="AF21" s="182">
        <f>('2'!AE21/24)*0.454</f>
        <v>56.75</v>
      </c>
      <c r="AG21" s="19">
        <v>0</v>
      </c>
      <c r="AH21" s="182">
        <f>('2'!AG21/24)*0.454</f>
        <v>0</v>
      </c>
      <c r="AI21" s="181">
        <v>3000</v>
      </c>
      <c r="AJ21" s="182">
        <f>('2'!AI21/24)*0.454</f>
        <v>56.75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2940</v>
      </c>
      <c r="Z22" s="180">
        <v>1377</v>
      </c>
      <c r="AA22" s="15">
        <v>1</v>
      </c>
      <c r="AB22" s="56">
        <f>IF('2'!AA22=1,(('2'!Z22*'2'!$AS$6*'2'!$AT$6)/('2'!Y22*0.0036)),IF('2'!AA22=2,(('2'!Z22*'2'!$AS$7*'2'!$AT$7)/('2'!Y22*0.0036))))</f>
        <v>86.517857142857153</v>
      </c>
      <c r="AC22" s="56"/>
      <c r="AD22" s="18">
        <f>(('2'!AC22*'2'!$Q$10*1000000))/('2'!Y22*3600)</f>
        <v>0</v>
      </c>
      <c r="AE22" s="181">
        <v>3000</v>
      </c>
      <c r="AF22" s="182">
        <f>('2'!AE22/24)*0.454</f>
        <v>56.75</v>
      </c>
      <c r="AG22" s="19">
        <v>500</v>
      </c>
      <c r="AH22" s="182">
        <f>('2'!AG22/24)*0.454</f>
        <v>9.4583333333333339</v>
      </c>
      <c r="AI22" s="181">
        <v>3000</v>
      </c>
      <c r="AJ22" s="182">
        <f>('2'!AI22/24)*0.454</f>
        <v>56.75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2963</v>
      </c>
      <c r="Z23" s="180">
        <v>1832</v>
      </c>
      <c r="AA23" s="15">
        <v>1</v>
      </c>
      <c r="AB23" s="56">
        <f>IF('2'!AA23=1,(('2'!Z23*'2'!$AS$6*'2'!$AT$6)/('2'!Y23*0.0036)),IF('2'!AA23=2,(('2'!Z23*'2'!$AS$7*'2'!$AT$7)/('2'!Y23*0.0036))))</f>
        <v>114.21232234597068</v>
      </c>
      <c r="AC23" s="56"/>
      <c r="AD23" s="18">
        <f>(('2'!AC23*'2'!$Q$10*1000000))/('2'!Y23*3600)</f>
        <v>0</v>
      </c>
      <c r="AE23" s="181">
        <v>3000</v>
      </c>
      <c r="AF23" s="182">
        <f>('2'!AE23/24)*0.454</f>
        <v>56.75</v>
      </c>
      <c r="AG23" s="19">
        <v>500</v>
      </c>
      <c r="AH23" s="182">
        <f>('2'!AG23/24)*0.454</f>
        <v>9.4583333333333339</v>
      </c>
      <c r="AI23" s="181">
        <v>3000</v>
      </c>
      <c r="AJ23" s="182">
        <f>('2'!AI23/24)*0.454</f>
        <v>56.75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2907</v>
      </c>
      <c r="Z24" s="180">
        <v>1832</v>
      </c>
      <c r="AA24" s="15">
        <v>1</v>
      </c>
      <c r="AB24" s="16">
        <f>IF('2'!AA24=1,(('2'!Z24*'2'!$AS$6*'2'!$AT$6)/('2'!Y24*0.0036)),IF('2'!AA24=2,(('2'!Z24*'2'!$AS$7*'2'!$AT$7)/('2'!Y24*0.0036))))</f>
        <v>116.41249092229485</v>
      </c>
      <c r="AC24" s="16"/>
      <c r="AD24" s="192">
        <f>(('2'!AC24*'2'!$Q$10*1000000))/('2'!Y24*3600)</f>
        <v>0</v>
      </c>
      <c r="AE24" s="181">
        <v>3000</v>
      </c>
      <c r="AF24" s="193">
        <f>('2'!AE24/24)*0.454</f>
        <v>56.75</v>
      </c>
      <c r="AG24" s="19">
        <v>500</v>
      </c>
      <c r="AH24" s="193">
        <f>('2'!AG24/24)*0.454</f>
        <v>9.4583333333333339</v>
      </c>
      <c r="AI24" s="181">
        <v>3000</v>
      </c>
      <c r="AJ24" s="193">
        <f>('2'!AI24/24)*0.454</f>
        <v>56.75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17" t="s">
        <v>0</v>
      </c>
      <c r="U25" s="945">
        <f>ESCALA!$A$4</f>
        <v>44318</v>
      </c>
      <c r="X25" s="13">
        <v>0.83333333333333304</v>
      </c>
      <c r="Y25" s="52">
        <v>2877</v>
      </c>
      <c r="Z25" s="180">
        <v>1832</v>
      </c>
      <c r="AA25" s="15">
        <v>1</v>
      </c>
      <c r="AB25" s="56">
        <f>IF('2'!AA25=1,(('2'!Z25*'2'!$AS$6*'2'!$AT$6)/('2'!Y25*0.0036)),IF('2'!AA25=2,(('2'!Z25*'2'!$AS$7*'2'!$AT$7)/('2'!Y25*0.0036))))</f>
        <v>117.6263855095972</v>
      </c>
      <c r="AC25" s="56"/>
      <c r="AD25" s="18">
        <f>(('2'!AC25*'2'!$Q$10*1000000))/('2'!Y25*3600)</f>
        <v>0</v>
      </c>
      <c r="AE25" s="181">
        <v>3000</v>
      </c>
      <c r="AF25" s="182">
        <f>('2'!AE25/24)*0.454</f>
        <v>56.75</v>
      </c>
      <c r="AG25" s="19">
        <v>500</v>
      </c>
      <c r="AH25" s="182">
        <f>('2'!AG25/24)*0.454</f>
        <v>9.4583333333333339</v>
      </c>
      <c r="AI25" s="181">
        <v>3000</v>
      </c>
      <c r="AJ25" s="182">
        <f>('2'!AI25/24)*0.454</f>
        <v>56.75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17"/>
      <c r="U26" s="945"/>
      <c r="X26" s="13">
        <v>0.875</v>
      </c>
      <c r="Y26" s="52">
        <v>2915</v>
      </c>
      <c r="Z26" s="180">
        <v>1832</v>
      </c>
      <c r="AA26" s="15">
        <v>1</v>
      </c>
      <c r="AB26" s="56">
        <f>IF('2'!AA26=1,(('2'!Z26*'2'!$AS$6*'2'!$AT$6)/('2'!Y26*0.0036)),IF('2'!AA26=2,(('2'!Z26*'2'!$AS$7*'2'!$AT$7)/('2'!Y26*0.0036))))</f>
        <v>116.09300552696779</v>
      </c>
      <c r="AC26" s="56"/>
      <c r="AD26" s="18">
        <f>(('2'!AC26*'2'!$Q$10*1000000))/('2'!Y26*3600)</f>
        <v>0</v>
      </c>
      <c r="AE26" s="181">
        <v>3000</v>
      </c>
      <c r="AF26" s="182">
        <f>('2'!AE26/24)*0.454</f>
        <v>56.75</v>
      </c>
      <c r="AG26" s="19">
        <v>500</v>
      </c>
      <c r="AH26" s="182">
        <f>('2'!AG26/24)*0.454</f>
        <v>9.4583333333333339</v>
      </c>
      <c r="AI26" s="181">
        <v>3000</v>
      </c>
      <c r="AJ26" s="182">
        <f>('2'!AI26/24)*0.454</f>
        <v>56.75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2892</v>
      </c>
      <c r="Z27" s="180">
        <v>1832</v>
      </c>
      <c r="AA27" s="15">
        <v>1</v>
      </c>
      <c r="AB27" s="56">
        <f>IF('2'!AA27=1,(('2'!Z27*'2'!$AS$6*'2'!$AT$6)/('2'!Y27*0.0036)),IF('2'!AA27=2,(('2'!Z27*'2'!$AS$7*'2'!$AT$7)/('2'!Y27*0.0036))))</f>
        <v>117.01629014907024</v>
      </c>
      <c r="AC27" s="56"/>
      <c r="AD27" s="18">
        <f>(('2'!AC27*'2'!$Q$10*1000000))/('2'!Y27*3600)</f>
        <v>0</v>
      </c>
      <c r="AE27" s="181">
        <v>3000</v>
      </c>
      <c r="AF27" s="182">
        <f>('2'!AE27/24)*0.454</f>
        <v>56.75</v>
      </c>
      <c r="AG27" s="19">
        <v>500</v>
      </c>
      <c r="AH27" s="182">
        <f>('2'!AG27/24)*0.454</f>
        <v>9.4583333333333339</v>
      </c>
      <c r="AI27" s="181">
        <v>3000</v>
      </c>
      <c r="AJ27" s="182">
        <f>('2'!AI27/24)*0.454</f>
        <v>56.75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2866</v>
      </c>
      <c r="Z28" s="180">
        <v>1932</v>
      </c>
      <c r="AA28" s="15">
        <v>1</v>
      </c>
      <c r="AB28" s="56">
        <f>IF('2'!AA28=1,(('2'!Z28*'2'!$AS$6*'2'!$AT$6)/('2'!Y28*0.0036)),IF('2'!AA28=2,(('2'!Z28*'2'!$AS$7*'2'!$AT$7)/('2'!Y28*0.0036))))</f>
        <v>124.52314491742264</v>
      </c>
      <c r="AC28" s="56"/>
      <c r="AD28" s="18">
        <f>(('2'!AC28*'2'!$Q$10*1000000))/('2'!Y28*3600)</f>
        <v>0</v>
      </c>
      <c r="AE28" s="181">
        <v>3000</v>
      </c>
      <c r="AF28" s="182">
        <f>('2'!AE28/24)*0.454</f>
        <v>56.75</v>
      </c>
      <c r="AG28" s="19">
        <v>500</v>
      </c>
      <c r="AH28" s="182">
        <f>('2'!AG28/24)*0.454</f>
        <v>9.4583333333333339</v>
      </c>
      <c r="AI28" s="181">
        <v>3000</v>
      </c>
      <c r="AJ28" s="182">
        <f>('2'!AI28/24)*0.454</f>
        <v>56.75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47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7"/>
      <c r="X29" s="13">
        <v>1</v>
      </c>
      <c r="Y29" s="52">
        <v>2851</v>
      </c>
      <c r="Z29" s="180">
        <v>1932</v>
      </c>
      <c r="AA29" s="15">
        <v>1</v>
      </c>
      <c r="AB29" s="56">
        <f>IF('2'!AA29=1,(('2'!Z29*'2'!$AS$6*'2'!$AT$6)/('2'!Y29*0.0036)),IF('2'!AA29=2,(('2'!Z29*'2'!$AS$7*'2'!$AT$7)/('2'!Y29*0.0036))))</f>
        <v>125.1783000116918</v>
      </c>
      <c r="AC29" s="56"/>
      <c r="AD29" s="18">
        <f>(('2'!AC29*'2'!$Q$10*1000000))/('2'!Y29*3600)</f>
        <v>0</v>
      </c>
      <c r="AE29" s="181">
        <v>3000</v>
      </c>
      <c r="AF29" s="182">
        <f>('2'!AE29/24)*0.454</f>
        <v>56.75</v>
      </c>
      <c r="AG29" s="19">
        <v>500</v>
      </c>
      <c r="AH29" s="182">
        <f>('2'!AG29/24)*0.454</f>
        <v>9.4583333333333339</v>
      </c>
      <c r="AI29" s="181">
        <v>3000</v>
      </c>
      <c r="AJ29" s="182">
        <f>('2'!AI29/24)*0.454</f>
        <v>56.75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47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7"/>
      <c r="X30" s="73" t="s">
        <v>55</v>
      </c>
      <c r="Y30" s="199">
        <f>SUM('2'!Y6:Y29)*3.6</f>
        <v>245336.4</v>
      </c>
      <c r="Z30" s="80">
        <f>SUM('2'!Z6:Z29)</f>
        <v>39555</v>
      </c>
      <c r="AA30" s="76"/>
      <c r="AB30" s="77"/>
      <c r="AC30" s="76"/>
      <c r="AD30" s="77"/>
      <c r="AE30" s="33"/>
      <c r="AF30" s="182">
        <f>SUM('2'!AF6:AF29)</f>
        <v>1362</v>
      </c>
      <c r="AG30" s="19"/>
      <c r="AH30" s="182" t="e">
        <f>SUM('2'!AH6:AH29)</f>
        <v>#REF!</v>
      </c>
      <c r="AI30" s="33"/>
      <c r="AJ30" s="182">
        <f>SUM('2'!AJ6:AJ29)</f>
        <v>1362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47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7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947"/>
      <c r="B32" s="947"/>
      <c r="C32" s="947"/>
      <c r="D32" s="947"/>
      <c r="E32" s="947"/>
      <c r="F32" s="947"/>
      <c r="G32" s="947"/>
      <c r="H32" s="947"/>
      <c r="I32" s="947"/>
      <c r="J32" s="947"/>
      <c r="K32" s="947"/>
      <c r="L32" s="947"/>
      <c r="M32" s="947"/>
      <c r="N32" s="947"/>
      <c r="O32" s="947"/>
      <c r="P32" s="947"/>
      <c r="Q32" s="947"/>
      <c r="R32" s="947"/>
      <c r="S32" s="947"/>
      <c r="T32" s="947"/>
      <c r="U32" s="947"/>
      <c r="X32" s="949" t="s">
        <v>60</v>
      </c>
      <c r="Y32" s="949"/>
      <c r="Z32" s="80">
        <f>SUMIF('2'!AA6:AA29,"=1",'2'!Z6:Z29)</f>
        <v>39555</v>
      </c>
      <c r="AA32" s="80">
        <f>'2'!Z32*'2'!AS6</f>
        <v>52608.15</v>
      </c>
      <c r="AB32" s="81">
        <f>SUMIF('2'!$AA$6:$AA$29,"=1",'2'!$AB$6:$AB$29)/COUNTIF('2'!$AA$6:$AA$29,"=1")</f>
        <v>107.16088387595748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7"/>
      <c r="B33" s="947"/>
      <c r="C33" s="947"/>
      <c r="D33" s="947"/>
      <c r="E33" s="947"/>
      <c r="F33" s="947"/>
      <c r="G33" s="947"/>
      <c r="H33" s="947"/>
      <c r="I33" s="947"/>
      <c r="J33" s="947"/>
      <c r="K33" s="947"/>
      <c r="L33" s="947"/>
      <c r="M33" s="947"/>
      <c r="N33" s="947"/>
      <c r="O33" s="947"/>
      <c r="P33" s="947"/>
      <c r="Q33" s="947"/>
      <c r="R33" s="947"/>
      <c r="S33" s="947"/>
      <c r="T33" s="947"/>
      <c r="U33" s="947"/>
      <c r="X33" s="949" t="s">
        <v>61</v>
      </c>
      <c r="Y33" s="949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7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7"/>
      <c r="X34" s="92" t="s">
        <v>52</v>
      </c>
      <c r="Y34" s="93">
        <f>AVERAGE('2'!Y6:Y29)</f>
        <v>2839.5416666666665</v>
      </c>
      <c r="Z34" s="94">
        <f>AVERAGE('2'!Z6:Z29)</f>
        <v>1648.125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56.75</v>
      </c>
      <c r="AG34" s="96"/>
      <c r="AH34" s="96" t="e">
        <f>AVERAGE('2'!AH6:AH29)</f>
        <v>#REF!</v>
      </c>
      <c r="AI34" s="96"/>
      <c r="AJ34" s="96">
        <f>'2'!AJ30/24</f>
        <v>56.75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201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37.799999999999997</v>
      </c>
      <c r="D37" s="184">
        <v>6</v>
      </c>
      <c r="E37" s="184">
        <v>5</v>
      </c>
      <c r="F37" s="184">
        <v>3</v>
      </c>
      <c r="G37" s="184">
        <v>0.2</v>
      </c>
      <c r="H37" s="184">
        <v>0.2</v>
      </c>
      <c r="I37" s="181">
        <v>0.3</v>
      </c>
      <c r="J37" s="181">
        <v>0.1</v>
      </c>
      <c r="K37" s="181">
        <v>0.06</v>
      </c>
      <c r="L37" s="1020"/>
      <c r="M37" s="1020"/>
      <c r="N37" s="1020"/>
      <c r="O37" s="10"/>
      <c r="P37" s="10"/>
      <c r="Q37" s="10"/>
      <c r="R37" s="10"/>
      <c r="S37" s="10"/>
      <c r="T37" s="10"/>
      <c r="U37" s="203">
        <f>'2'!V12</f>
        <v>0</v>
      </c>
      <c r="X37" s="956" t="s">
        <v>75</v>
      </c>
      <c r="Y37" s="956"/>
      <c r="Z37" s="108">
        <f>COUNTA('2'!Z6:Z29)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 t="e">
        <f>SUM('2'!AF30+'2'!AH30)</f>
        <v>#REF!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1362</v>
      </c>
      <c r="AQ38" s="208" t="s">
        <v>78</v>
      </c>
      <c r="AR38" s="210">
        <f>'2'!AP30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 t="e">
        <f>('2'!AK38/'2'!Y30)*1000</f>
        <v>#REF!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5.551561040269605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 t="e">
        <f>SUM('2'!AK38,'2'!AM38)</f>
        <v>#REF!</v>
      </c>
      <c r="AM40" s="969"/>
      <c r="AO40" s="970" t="s">
        <v>90</v>
      </c>
      <c r="AP40" s="970"/>
      <c r="AQ40" s="971">
        <f>SUM('2'!AP38,'2'!AR38)</f>
        <v>1362</v>
      </c>
      <c r="AR40" s="971"/>
    </row>
    <row r="41" spans="1:44" ht="16.5" customHeight="1">
      <c r="A41" s="131">
        <f>COUNTA('2'!E7:E18)</f>
        <v>12</v>
      </c>
      <c r="B41" s="132">
        <f>COUNTA('2'!I7:I18)</f>
        <v>12</v>
      </c>
      <c r="C41" s="972">
        <f>COUNTA('2'!J7:J18)</f>
        <v>12</v>
      </c>
      <c r="D41" s="972">
        <f>COUNTA('2'!K7:K18)</f>
        <v>12</v>
      </c>
      <c r="E41" s="972">
        <f>COUNTIF('2'!E7:E18,"&gt;15")</f>
        <v>0</v>
      </c>
      <c r="F41" s="972"/>
      <c r="G41" s="972">
        <f>COUNTIF('2'!J7:J18,"&gt;1")</f>
        <v>12</v>
      </c>
      <c r="H41" s="972"/>
      <c r="I41" s="133"/>
      <c r="J41" s="972">
        <f>'2'!A41-'2'!E41</f>
        <v>12</v>
      </c>
      <c r="K41" s="972"/>
      <c r="L41" s="972">
        <f>'2'!C41-'2'!G41</f>
        <v>0</v>
      </c>
      <c r="M41" s="972"/>
      <c r="N41" s="133"/>
      <c r="O41" s="973">
        <f>COUNTIF('2'!J7:J18,"&lt;=0,5")</f>
        <v>0</v>
      </c>
      <c r="P41" s="973"/>
      <c r="Q41" s="973"/>
      <c r="R41" s="963"/>
      <c r="S41" s="974">
        <f>COUNTIF('2'!J7:J18,"&lt;=1,0")</f>
        <v>0</v>
      </c>
      <c r="T41" s="974"/>
      <c r="U41" s="134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 t="e">
        <f>SUM(('2'!AK38+'2'!AM38)/'2'!Y30)*1000</f>
        <v>#REF!</v>
      </c>
      <c r="AM41" s="975"/>
      <c r="AO41" s="970" t="s">
        <v>91</v>
      </c>
      <c r="AP41" s="970"/>
      <c r="AQ41" s="975">
        <f>SUM(('2'!AP38+'2'!AR38)/'2'!Y30)*1000</f>
        <v>5.551561040269605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84">
        <f>SUM('2'!Y45,'2'!AA45,'2'!AC45,'2'!AE45)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COUNTIF('2'!I7:I18,"&lt;=5,0")</f>
        <v>12</v>
      </c>
      <c r="I45" s="986"/>
      <c r="J45" s="986"/>
      <c r="K45" s="133"/>
      <c r="L45" s="968">
        <f>COUNTA('2'!L37)</f>
        <v>0</v>
      </c>
      <c r="M45" s="968"/>
      <c r="O45" s="144"/>
      <c r="P45" s="145"/>
      <c r="Q45" s="987">
        <f>'2'!S41-'2'!O41</f>
        <v>0</v>
      </c>
      <c r="R45" s="987"/>
      <c r="S45" s="987"/>
      <c r="T45" s="146"/>
      <c r="X45" s="147" t="s">
        <v>104</v>
      </c>
      <c r="Y45" s="148">
        <f>'2'!Y44*275.3</f>
        <v>0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0</v>
      </c>
      <c r="AD45" s="147" t="s">
        <v>104</v>
      </c>
      <c r="AE45" s="149"/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89" t="s">
        <v>106</v>
      </c>
      <c r="AG46" s="990">
        <f>SUM('2'!Y47,'2'!AA47,'2'!AC47,'2'!AE47)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'2'!Y45*'2'!Y46</f>
        <v>0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0</v>
      </c>
      <c r="AD47" s="147" t="s">
        <v>108</v>
      </c>
      <c r="AE47" s="148"/>
      <c r="AF47" s="989"/>
      <c r="AG47" s="990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COUNTA('2'!O7:O18)</f>
        <v>12</v>
      </c>
      <c r="P51" s="968">
        <f>COUNTA('2'!W17:W28)</f>
        <v>0</v>
      </c>
      <c r="R51" s="986">
        <f>COUNTIF('2'!O7:O18,"&gt;=0,5")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SUM('2'!Y53,'2'!AA53,'2'!AC53,'2'!AE53)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'2'!AS7</f>
        <v>1.262</v>
      </c>
      <c r="Z54" s="151" t="s">
        <v>105</v>
      </c>
      <c r="AA54" s="153">
        <f>'2'!Y54</f>
        <v>1.262</v>
      </c>
      <c r="AB54" s="151" t="s">
        <v>105</v>
      </c>
      <c r="AC54" s="153">
        <f>'2'!Y54</f>
        <v>1.262</v>
      </c>
      <c r="AD54" s="151" t="s">
        <v>105</v>
      </c>
      <c r="AE54" s="154"/>
      <c r="AF54" s="989" t="s">
        <v>106</v>
      </c>
      <c r="AG54" s="990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89"/>
      <c r="AG55" s="990"/>
      <c r="AI55" s="151" t="s">
        <v>105</v>
      </c>
      <c r="AJ55" s="152">
        <f>'2'!Y54</f>
        <v>1.262</v>
      </c>
      <c r="AK55" s="151" t="s">
        <v>105</v>
      </c>
      <c r="AL55" s="152">
        <f>'2'!AJ55</f>
        <v>1.262</v>
      </c>
      <c r="AM55" s="151" t="s">
        <v>105</v>
      </c>
      <c r="AN55" s="152">
        <f>'2'!AJ55</f>
        <v>1.262</v>
      </c>
      <c r="AO55" s="988"/>
      <c r="AP55" s="988"/>
      <c r="AQ55" s="988"/>
      <c r="AR55" s="988"/>
    </row>
    <row r="56" spans="15:44" ht="13.9" customHeight="1">
      <c r="O56" s="992"/>
      <c r="P56" s="992"/>
      <c r="R56" s="993"/>
      <c r="S56" s="993"/>
      <c r="T56" s="993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88"/>
      <c r="AP56" s="988"/>
      <c r="AQ56" s="988"/>
      <c r="AR56" s="988"/>
    </row>
    <row r="57" spans="15:44" ht="15.75" customHeight="1">
      <c r="O57" s="997">
        <f>COUNTA('2'!N7:N18)</f>
        <v>12</v>
      </c>
      <c r="P57" s="997"/>
      <c r="R57" s="998">
        <f>COUNTIF('2'!N7:N18,"&gt;=6")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'2'!AJ56+'2'!AL56+'2'!AN56</f>
        <v>0</v>
      </c>
      <c r="AM61" s="1005"/>
      <c r="AN61" s="1004" t="s">
        <v>121</v>
      </c>
      <c r="AO61" s="1004"/>
      <c r="AP61" s="1004"/>
      <c r="AQ61" s="1005">
        <f>'2'!AJ49+'2'!AL49+'2'!AN49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'2'!AA33</f>
        <v>0</v>
      </c>
      <c r="AM62" s="1009"/>
      <c r="AN62" s="1004" t="s">
        <v>123</v>
      </c>
      <c r="AO62" s="1004"/>
      <c r="AP62" s="1004"/>
      <c r="AQ62" s="1010">
        <f>'2'!AA32</f>
        <v>52608.15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'2'!AL61-'2'!AL62</f>
        <v>0</v>
      </c>
      <c r="AM63" s="1005"/>
      <c r="AN63" s="1004" t="s">
        <v>125</v>
      </c>
      <c r="AO63" s="1004"/>
      <c r="AP63" s="1004"/>
      <c r="AQ63" s="1005">
        <f>'2'!AQ61-'2'!AQ62</f>
        <v>-52608.15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'1'!$Y$68</f>
        <v>#REF!</v>
      </c>
      <c r="Z65" s="1007"/>
      <c r="AA65" s="1007"/>
      <c r="AB65" s="174" t="s">
        <v>126</v>
      </c>
      <c r="AC65" s="216">
        <f>'1'!$AC$68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 t="e">
        <f>SUM('2'!AK38,'2'!AP38)</f>
        <v>#REF!</v>
      </c>
      <c r="Z67" s="1007"/>
      <c r="AA67" s="1007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 t="e">
        <f>SUM('2'!Y63,'2'!Y65)-'2'!Y67</f>
        <v>#REF!</v>
      </c>
      <c r="Z68" s="1007"/>
      <c r="AA68" s="1007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zoomScaleNormal="100" workbookViewId="0">
      <selection activeCell="L37" sqref="L37:N37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17"/>
      <c r="B2" s="917"/>
      <c r="C2" s="917"/>
      <c r="D2" s="1021" t="s">
        <v>5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21"/>
      <c r="E3" s="1021"/>
      <c r="F3" s="1021"/>
      <c r="G3" s="1021"/>
      <c r="H3" s="1021"/>
      <c r="I3" s="1021"/>
      <c r="J3" s="1021"/>
      <c r="K3" s="1021"/>
      <c r="L3" s="1021"/>
      <c r="M3" s="1021"/>
      <c r="N3" s="1021"/>
      <c r="O3" s="1021"/>
      <c r="P3" s="1021"/>
      <c r="Q3" s="1021"/>
      <c r="R3" s="1021"/>
      <c r="S3" s="1021"/>
      <c r="T3" s="1021"/>
      <c r="U3" s="1021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924" t="s">
        <v>13</v>
      </c>
      <c r="U4" s="102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924"/>
      <c r="U5" s="102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26"/>
      <c r="W6" s="926"/>
      <c r="X6" s="13">
        <v>4.1666666666666699E-2</v>
      </c>
      <c r="Y6" s="52">
        <v>2894</v>
      </c>
      <c r="Z6" s="180">
        <v>1932</v>
      </c>
      <c r="AA6" s="15">
        <v>1</v>
      </c>
      <c r="AB6" s="56">
        <f>IF('3'!AA6=1,(('3'!Z6*'3'!$AS$6*'3'!$AT$6)/('3'!Y6*0.0036)),IF('3'!AA6=2,(('3'!Z6*'3'!$AS$7*'3'!$AT$7)/('3'!Y6*0.0036))))</f>
        <v>123.31835982492512</v>
      </c>
      <c r="AC6" s="56"/>
      <c r="AD6" s="18">
        <f>(('3'!AC6*'3'!$O$9*1000000))/('3'!Y6*3600)</f>
        <v>0</v>
      </c>
      <c r="AE6" s="181">
        <v>3000</v>
      </c>
      <c r="AF6" s="182">
        <f>('3'!AE6/24)*0.454</f>
        <v>56.75</v>
      </c>
      <c r="AG6" s="19">
        <v>500</v>
      </c>
      <c r="AH6" s="182">
        <f>('3'!AG6/24)*0.454</f>
        <v>9.4583333333333339</v>
      </c>
      <c r="AI6" s="181">
        <v>3000</v>
      </c>
      <c r="AJ6" s="182">
        <f>('3'!AI6/24)*0.454</f>
        <v>56.75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700</v>
      </c>
      <c r="C7" s="184">
        <v>10</v>
      </c>
      <c r="D7" s="184">
        <v>7.5</v>
      </c>
      <c r="E7" s="184">
        <v>2.5</v>
      </c>
      <c r="F7" s="184">
        <v>166</v>
      </c>
      <c r="G7" s="184">
        <v>3.2</v>
      </c>
      <c r="H7" s="184">
        <v>2.7</v>
      </c>
      <c r="I7" s="184">
        <v>0.95</v>
      </c>
      <c r="J7" s="184">
        <v>1.1000000000000001</v>
      </c>
      <c r="K7" s="184">
        <v>6.8</v>
      </c>
      <c r="L7" s="184">
        <v>4.8</v>
      </c>
      <c r="M7" s="184">
        <v>4.8</v>
      </c>
      <c r="N7" s="184">
        <v>5.3</v>
      </c>
      <c r="O7" s="184">
        <v>3.5</v>
      </c>
      <c r="P7" s="184">
        <v>0.4</v>
      </c>
      <c r="Q7" s="184">
        <v>1.2</v>
      </c>
      <c r="R7" s="36">
        <f>'2'!$Z$29</f>
        <v>1932</v>
      </c>
      <c r="S7" s="185">
        <f>'2'!$AB$29</f>
        <v>125.1783000116918</v>
      </c>
      <c r="T7" s="36">
        <f>'2'!$Y$29</f>
        <v>2851</v>
      </c>
      <c r="U7" s="32" t="str">
        <f>IF('3'!AA6=1,'3'!AR6,'3'!AR7)</f>
        <v>S.A.L</v>
      </c>
      <c r="V7" s="1016">
        <f>ESCALA!$C$4</f>
        <v>0</v>
      </c>
      <c r="W7" s="1016"/>
      <c r="X7" s="13">
        <v>8.3333333333333301E-2</v>
      </c>
      <c r="Y7" s="52">
        <v>2792</v>
      </c>
      <c r="Z7" s="180">
        <v>1932</v>
      </c>
      <c r="AA7" s="15">
        <v>1</v>
      </c>
      <c r="AB7" s="56">
        <f>IF('3'!AA7=1,(('3'!Z7*'3'!$AS$6*'3'!$AT$6)/('3'!Y7*0.0036)),IF('3'!AA7=2,(('3'!Z7*'3'!$AS$7*'3'!$AT$7)/('3'!Y7*0.0036))))</f>
        <v>127.82354345749761</v>
      </c>
      <c r="AC7" s="56"/>
      <c r="AD7" s="18">
        <f>(('3'!AC7*'3'!$O$9*1000000))/('3'!Y7*3600)</f>
        <v>0</v>
      </c>
      <c r="AE7" s="181">
        <v>3000</v>
      </c>
      <c r="AF7" s="182">
        <f>('3'!AE7/24)*0.454</f>
        <v>56.75</v>
      </c>
      <c r="AG7" s="19">
        <v>500</v>
      </c>
      <c r="AH7" s="182">
        <f>('3'!AG7/24)*0.454</f>
        <v>9.4583333333333339</v>
      </c>
      <c r="AI7" s="181">
        <v>3000</v>
      </c>
      <c r="AJ7" s="182">
        <f>('3'!AI7/24)*0.454</f>
        <v>56.75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700</v>
      </c>
      <c r="C8" s="184">
        <v>10</v>
      </c>
      <c r="D8" s="184">
        <v>7.5</v>
      </c>
      <c r="E8" s="184">
        <v>2.5</v>
      </c>
      <c r="F8" s="184">
        <v>160</v>
      </c>
      <c r="G8" s="184">
        <v>3.2</v>
      </c>
      <c r="H8" s="184">
        <v>2.7</v>
      </c>
      <c r="I8" s="184">
        <v>0.86</v>
      </c>
      <c r="J8" s="184">
        <v>0.97</v>
      </c>
      <c r="K8" s="184">
        <v>6.8</v>
      </c>
      <c r="L8" s="184">
        <v>4.8</v>
      </c>
      <c r="M8" s="184">
        <v>4.8</v>
      </c>
      <c r="N8" s="184">
        <v>5.3</v>
      </c>
      <c r="O8" s="184">
        <v>3.5</v>
      </c>
      <c r="P8" s="184">
        <v>0.4</v>
      </c>
      <c r="Q8" s="184">
        <v>1.7</v>
      </c>
      <c r="R8" s="34">
        <f>'3'!Z7</f>
        <v>1932</v>
      </c>
      <c r="S8" s="35">
        <f>'3'!AB7</f>
        <v>127.82354345749761</v>
      </c>
      <c r="T8" s="36">
        <f>'3'!Y7</f>
        <v>2792</v>
      </c>
      <c r="U8" s="32" t="str">
        <f>IF('3'!AA7=1,'3'!AR6,'3'!AR7)</f>
        <v>S.A.L</v>
      </c>
      <c r="V8" s="1016"/>
      <c r="W8" s="1016"/>
      <c r="X8" s="13">
        <v>0.125</v>
      </c>
      <c r="Y8" s="52">
        <v>2824</v>
      </c>
      <c r="Z8" s="180">
        <v>1932</v>
      </c>
      <c r="AA8" s="15">
        <v>1</v>
      </c>
      <c r="AB8" s="56">
        <f>IF('3'!AA8=1,(('3'!Z8*'3'!$AS$6*'3'!$AT$6)/('3'!Y8*0.0036)),IF('3'!AA8=2,(('3'!Z8*'3'!$AS$7*'3'!$AT$7)/('3'!Y8*0.0036))))</f>
        <v>126.37511803588291</v>
      </c>
      <c r="AC8" s="56"/>
      <c r="AD8" s="18">
        <f>(('3'!AC8*'3'!$O$9*1000000))/('3'!Y8*3600)</f>
        <v>0</v>
      </c>
      <c r="AE8" s="181">
        <v>3000</v>
      </c>
      <c r="AF8" s="182">
        <f>('3'!AE8/24)*0.454</f>
        <v>56.75</v>
      </c>
      <c r="AG8" s="19">
        <v>500</v>
      </c>
      <c r="AH8" s="182">
        <f>('3'!AG8/24)*0.454</f>
        <v>9.4583333333333339</v>
      </c>
      <c r="AI8" s="181">
        <v>3000</v>
      </c>
      <c r="AJ8" s="182">
        <f>('3'!AI8/24)*0.454</f>
        <v>56.75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700</v>
      </c>
      <c r="C9" s="184">
        <v>10</v>
      </c>
      <c r="D9" s="184">
        <v>5</v>
      </c>
      <c r="E9" s="184">
        <v>2.5</v>
      </c>
      <c r="F9" s="184">
        <v>157</v>
      </c>
      <c r="G9" s="184">
        <v>3.2</v>
      </c>
      <c r="H9" s="184">
        <v>2.6</v>
      </c>
      <c r="I9" s="184">
        <v>0.76</v>
      </c>
      <c r="J9" s="184">
        <v>0.85</v>
      </c>
      <c r="K9" s="184">
        <v>6.8</v>
      </c>
      <c r="L9" s="184">
        <v>4.8</v>
      </c>
      <c r="M9" s="184">
        <v>4.8</v>
      </c>
      <c r="N9" s="184">
        <v>5.3</v>
      </c>
      <c r="O9" s="184">
        <v>3.5</v>
      </c>
      <c r="P9" s="184">
        <v>0.5</v>
      </c>
      <c r="Q9" s="184">
        <v>2</v>
      </c>
      <c r="R9" s="36">
        <f>'3'!Z9</f>
        <v>1932</v>
      </c>
      <c r="S9" s="35">
        <f>'3'!AB9</f>
        <v>124.09017153453871</v>
      </c>
      <c r="T9" s="36">
        <f>'3'!Y9</f>
        <v>2876</v>
      </c>
      <c r="U9" s="32" t="str">
        <f>IF('3'!AA9=1,'3'!AR6,'3'!AR7)</f>
        <v>S.A.L</v>
      </c>
      <c r="V9" s="1016"/>
      <c r="W9" s="1016"/>
      <c r="X9" s="13">
        <v>0.16666666666666699</v>
      </c>
      <c r="Y9" s="52">
        <v>2876</v>
      </c>
      <c r="Z9" s="180">
        <v>1932</v>
      </c>
      <c r="AA9" s="15">
        <v>1</v>
      </c>
      <c r="AB9" s="56">
        <f>IF('3'!AA9=1,(('3'!Z9*'3'!$AS$6*'3'!$AT$6)/('3'!Y9*0.0036)),IF('3'!AA9=2,(('3'!Z9*'3'!$AS$7*'3'!$AT$7)/('3'!Y9*0.0036))))</f>
        <v>124.09017153453871</v>
      </c>
      <c r="AC9" s="56"/>
      <c r="AD9" s="18">
        <f>(('3'!AC9*'3'!$O$9*1000000))/('3'!Y9*3600)</f>
        <v>0</v>
      </c>
      <c r="AE9" s="181">
        <v>3000</v>
      </c>
      <c r="AF9" s="182">
        <f>('3'!AE9/24)*0.454</f>
        <v>56.75</v>
      </c>
      <c r="AG9" s="19">
        <v>500</v>
      </c>
      <c r="AH9" s="182">
        <f>('3'!AG9/24)*0.454</f>
        <v>9.4583333333333339</v>
      </c>
      <c r="AI9" s="181">
        <v>3000</v>
      </c>
      <c r="AJ9" s="182">
        <f>('3'!AI9/24)*0.454</f>
        <v>56.75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700</v>
      </c>
      <c r="C10" s="184">
        <v>10</v>
      </c>
      <c r="D10" s="184">
        <v>5</v>
      </c>
      <c r="E10" s="184">
        <v>2.5</v>
      </c>
      <c r="F10" s="184">
        <v>154</v>
      </c>
      <c r="G10" s="184">
        <v>3.2</v>
      </c>
      <c r="H10" s="184">
        <v>2.6</v>
      </c>
      <c r="I10" s="184">
        <v>0.74</v>
      </c>
      <c r="J10" s="184">
        <v>0.83</v>
      </c>
      <c r="K10" s="184">
        <v>6.8</v>
      </c>
      <c r="L10" s="184">
        <v>4.8</v>
      </c>
      <c r="M10" s="184">
        <v>4.8</v>
      </c>
      <c r="N10" s="184">
        <v>5.3</v>
      </c>
      <c r="O10" s="184">
        <v>3.5</v>
      </c>
      <c r="P10" s="184">
        <v>0.5</v>
      </c>
      <c r="Q10" s="184">
        <v>2</v>
      </c>
      <c r="R10" s="36">
        <f>'3'!Z11</f>
        <v>1932</v>
      </c>
      <c r="S10" s="35">
        <f>'3'!AB11</f>
        <v>125.48640412564463</v>
      </c>
      <c r="T10" s="36">
        <f>'3'!Y11</f>
        <v>2844</v>
      </c>
      <c r="U10" s="38" t="str">
        <f>IF('3'!AA11=1,'3'!AR6,'3'!AR7)</f>
        <v>S.A.L</v>
      </c>
      <c r="V10" s="1016"/>
      <c r="W10" s="1016"/>
      <c r="X10" s="13">
        <v>0.20833333333333301</v>
      </c>
      <c r="Y10" s="52">
        <v>2792</v>
      </c>
      <c r="Z10" s="180">
        <v>1932</v>
      </c>
      <c r="AA10" s="15">
        <v>1</v>
      </c>
      <c r="AB10" s="56">
        <f>IF('3'!AA10=1,(('3'!Z10*'3'!$AS$6*'3'!$AT$6)/('3'!Y10*0.0036)),IF('3'!AA10=2,(('3'!Z10*'3'!$AS$7*'3'!$AT$7)/('3'!Y10*0.0036))))</f>
        <v>127.82354345749761</v>
      </c>
      <c r="AC10" s="56"/>
      <c r="AD10" s="18">
        <f>(('3'!AC10*'3'!$O$9*1000000))/('3'!Y10*3600)</f>
        <v>0</v>
      </c>
      <c r="AE10" s="181">
        <v>3000</v>
      </c>
      <c r="AF10" s="182">
        <f>('3'!AE10/24)*0.454</f>
        <v>56.75</v>
      </c>
      <c r="AG10" s="19">
        <v>500</v>
      </c>
      <c r="AH10" s="182">
        <f>('3'!AG10/24)*0.454</f>
        <v>9.4583333333333339</v>
      </c>
      <c r="AI10" s="181">
        <v>3000</v>
      </c>
      <c r="AJ10" s="182">
        <f>('3'!AI10/24)*0.454</f>
        <v>56.75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700</v>
      </c>
      <c r="C11" s="184">
        <v>12.5</v>
      </c>
      <c r="D11" s="184">
        <v>7.5</v>
      </c>
      <c r="E11" s="184">
        <v>2.5</v>
      </c>
      <c r="F11" s="184">
        <v>152</v>
      </c>
      <c r="G11" s="184">
        <v>3.7</v>
      </c>
      <c r="H11" s="184">
        <v>2.8</v>
      </c>
      <c r="I11" s="184">
        <v>0.93</v>
      </c>
      <c r="J11" s="184">
        <v>1.22</v>
      </c>
      <c r="K11" s="184">
        <v>6.8</v>
      </c>
      <c r="L11" s="184">
        <v>4.8</v>
      </c>
      <c r="M11" s="184">
        <v>4.8</v>
      </c>
      <c r="N11" s="184">
        <v>5.3</v>
      </c>
      <c r="O11" s="184">
        <v>3.5</v>
      </c>
      <c r="P11" s="184">
        <v>0.4</v>
      </c>
      <c r="Q11" s="184">
        <v>1.5</v>
      </c>
      <c r="R11" s="36">
        <f>'3'!Z13</f>
        <v>1932</v>
      </c>
      <c r="S11" s="35">
        <f>'3'!AB13</f>
        <v>125.09054796121042</v>
      </c>
      <c r="T11" s="36">
        <f>'3'!Y13</f>
        <v>2853</v>
      </c>
      <c r="U11" s="40" t="str">
        <f>IF('3'!AA13=1,'3'!AR6,'3'!AR7)</f>
        <v>S.A.L</v>
      </c>
      <c r="V11" s="1016"/>
      <c r="W11" s="1016"/>
      <c r="X11" s="13">
        <v>0.25</v>
      </c>
      <c r="Y11" s="52">
        <v>2844</v>
      </c>
      <c r="Z11" s="180">
        <v>1932</v>
      </c>
      <c r="AA11" s="15">
        <v>1</v>
      </c>
      <c r="AB11" s="56">
        <f>IF('3'!AA11=1,(('3'!Z11*'3'!$AS$6*'3'!$AT$6)/('3'!Y11*0.0036)),IF('3'!AA11=2,(('3'!Z11*'3'!$AS$7*'3'!$AT$7)/('3'!Y11*0.0036))))</f>
        <v>125.48640412564463</v>
      </c>
      <c r="AC11" s="56"/>
      <c r="AD11" s="18">
        <f>(('3'!AC11*'3'!$O$9*1000000))/('3'!Y11*3600)</f>
        <v>0</v>
      </c>
      <c r="AE11" s="181">
        <v>3000</v>
      </c>
      <c r="AF11" s="182">
        <f>('3'!AE11/24)*0.454</f>
        <v>56.75</v>
      </c>
      <c r="AG11" s="19">
        <v>500</v>
      </c>
      <c r="AH11" s="182">
        <f>('3'!AG11/24)*0.454</f>
        <v>9.4583333333333339</v>
      </c>
      <c r="AI11" s="181">
        <v>3000</v>
      </c>
      <c r="AJ11" s="182">
        <f>('3'!AI11/24)*0.454</f>
        <v>56.75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700</v>
      </c>
      <c r="C12" s="184">
        <v>12.5</v>
      </c>
      <c r="D12" s="184">
        <v>10</v>
      </c>
      <c r="E12" s="184">
        <v>2.5</v>
      </c>
      <c r="F12" s="184">
        <v>150</v>
      </c>
      <c r="G12" s="184">
        <v>4</v>
      </c>
      <c r="H12" s="184">
        <v>3.1</v>
      </c>
      <c r="I12" s="184">
        <v>1.05</v>
      </c>
      <c r="J12" s="184">
        <v>1.61</v>
      </c>
      <c r="K12" s="184">
        <v>6.8</v>
      </c>
      <c r="L12" s="184">
        <v>4.8</v>
      </c>
      <c r="M12" s="184">
        <v>4.8</v>
      </c>
      <c r="N12" s="184">
        <v>5.3</v>
      </c>
      <c r="O12" s="184">
        <v>3.5</v>
      </c>
      <c r="P12" s="184">
        <v>0.3</v>
      </c>
      <c r="Q12" s="184">
        <v>1.2</v>
      </c>
      <c r="R12" s="36">
        <f>'3'!Z15</f>
        <v>1932</v>
      </c>
      <c r="S12" s="35">
        <f>'3'!AB15</f>
        <v>126.19636963696369</v>
      </c>
      <c r="T12" s="36">
        <f>'3'!Y15</f>
        <v>2828</v>
      </c>
      <c r="U12" s="41" t="str">
        <f>IF('3'!AA15=1,'3'!AR6,'3'!AR7)</f>
        <v>S.A.L</v>
      </c>
      <c r="V12" s="938">
        <f>ESCALA!$B$5</f>
        <v>0</v>
      </c>
      <c r="W12" s="938"/>
      <c r="X12" s="13">
        <v>0.29166666666666702</v>
      </c>
      <c r="Y12" s="52">
        <v>2818</v>
      </c>
      <c r="Z12" s="180">
        <v>1932</v>
      </c>
      <c r="AA12" s="15">
        <v>1</v>
      </c>
      <c r="AB12" s="56">
        <f>IF('3'!AA12=1,(('3'!Z12*'3'!$AS$6*'3'!$AT$6)/('3'!Y12*0.0036)),IF('3'!AA12=2,(('3'!Z12*'3'!$AS$7*'3'!$AT$7)/('3'!Y12*0.0036))))</f>
        <v>126.64419209841495</v>
      </c>
      <c r="AC12" s="56"/>
      <c r="AD12" s="18">
        <f>(('3'!AC12*'3'!$O$9*1000000))/('3'!Y12*3600)</f>
        <v>0</v>
      </c>
      <c r="AE12" s="181">
        <v>3000</v>
      </c>
      <c r="AF12" s="182">
        <f>('3'!AE12/24)*0.454</f>
        <v>56.75</v>
      </c>
      <c r="AG12" s="19">
        <v>500</v>
      </c>
      <c r="AH12" s="182">
        <f>('3'!AG12/24)*0.454</f>
        <v>9.4583333333333339</v>
      </c>
      <c r="AI12" s="181">
        <v>3000</v>
      </c>
      <c r="AJ12" s="182">
        <f>('3'!AI12/24)*0.454</f>
        <v>56.75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700</v>
      </c>
      <c r="C13" s="184">
        <v>12.5</v>
      </c>
      <c r="D13" s="184">
        <v>12.5</v>
      </c>
      <c r="E13" s="184">
        <v>5</v>
      </c>
      <c r="F13" s="184">
        <v>156</v>
      </c>
      <c r="G13" s="184">
        <v>4.5</v>
      </c>
      <c r="H13" s="184">
        <v>4</v>
      </c>
      <c r="I13" s="184">
        <v>1.1200000000000001</v>
      </c>
      <c r="J13" s="184">
        <v>1.93</v>
      </c>
      <c r="K13" s="184">
        <v>6.8</v>
      </c>
      <c r="L13" s="184">
        <v>4.8</v>
      </c>
      <c r="M13" s="184">
        <v>4.8</v>
      </c>
      <c r="N13" s="184">
        <v>5</v>
      </c>
      <c r="O13" s="184">
        <v>3.5</v>
      </c>
      <c r="P13" s="184">
        <v>0.3</v>
      </c>
      <c r="Q13" s="184">
        <v>1.2</v>
      </c>
      <c r="R13" s="36">
        <f>'3'!Z17</f>
        <v>2580</v>
      </c>
      <c r="S13" s="35">
        <f>'3'!AB17</f>
        <v>167.51611013473934</v>
      </c>
      <c r="T13" s="36">
        <f>'3'!Y17</f>
        <v>2845</v>
      </c>
      <c r="U13" s="32" t="str">
        <f>IF('3'!AA17=1,'3'!AR6,'3'!AR7)</f>
        <v>S.A.L</v>
      </c>
      <c r="V13" s="938"/>
      <c r="W13" s="938"/>
      <c r="X13" s="13">
        <v>0.33333333333333298</v>
      </c>
      <c r="Y13" s="52">
        <v>2853</v>
      </c>
      <c r="Z13" s="180">
        <v>1932</v>
      </c>
      <c r="AA13" s="15">
        <v>1</v>
      </c>
      <c r="AB13" s="56">
        <f>IF('3'!AA13=1,(('3'!Z13*'3'!$AS$6*'3'!$AT$6)/('3'!Y13*0.0036)),IF('3'!AA13=2,(('3'!Z13*'3'!$AS$7*'3'!$AT$7)/('3'!Y13*0.0036))))</f>
        <v>125.09054796121042</v>
      </c>
      <c r="AC13" s="56"/>
      <c r="AD13" s="18">
        <f>(('3'!AC13*'3'!$O$9*1000000))/('3'!Y13*3600)</f>
        <v>0</v>
      </c>
      <c r="AE13" s="181">
        <v>3000</v>
      </c>
      <c r="AF13" s="182">
        <f>('3'!AE13/24)*0.454</f>
        <v>56.75</v>
      </c>
      <c r="AG13" s="19">
        <v>500</v>
      </c>
      <c r="AH13" s="182">
        <f>('3'!AG13/24)*0.454</f>
        <v>9.4583333333333339</v>
      </c>
      <c r="AI13" s="181">
        <v>3000</v>
      </c>
      <c r="AJ13" s="182">
        <f>('3'!AI13/24)*0.454</f>
        <v>56.75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700</v>
      </c>
      <c r="C14" s="184">
        <v>10</v>
      </c>
      <c r="D14" s="184">
        <v>10</v>
      </c>
      <c r="E14" s="184">
        <v>5</v>
      </c>
      <c r="F14" s="184">
        <v>156</v>
      </c>
      <c r="G14" s="184">
        <v>4.2</v>
      </c>
      <c r="H14" s="184">
        <v>3.8</v>
      </c>
      <c r="I14" s="184">
        <v>1.1499999999999999</v>
      </c>
      <c r="J14" s="184">
        <v>2.0499999999999998</v>
      </c>
      <c r="K14" s="184">
        <v>6.8</v>
      </c>
      <c r="L14" s="184">
        <v>4.8</v>
      </c>
      <c r="M14" s="184">
        <v>4.8</v>
      </c>
      <c r="N14" s="184">
        <v>4.5</v>
      </c>
      <c r="O14" s="184">
        <v>3.3</v>
      </c>
      <c r="P14" s="184">
        <v>0.5</v>
      </c>
      <c r="Q14" s="184">
        <v>1.4</v>
      </c>
      <c r="R14" s="36">
        <f>'3'!Z19</f>
        <v>2005</v>
      </c>
      <c r="S14" s="35">
        <f>'3'!AB19</f>
        <v>126.88182787103651</v>
      </c>
      <c r="T14" s="36">
        <f>'3'!Y19</f>
        <v>2919</v>
      </c>
      <c r="U14" s="32" t="str">
        <f>IF('3'!AA19=1,'3'!AR6,'3'!AR7)</f>
        <v>S.A.L</v>
      </c>
      <c r="V14" s="938"/>
      <c r="W14" s="938"/>
      <c r="X14" s="13">
        <v>0.375</v>
      </c>
      <c r="Y14" s="52">
        <v>2868</v>
      </c>
      <c r="Z14" s="180">
        <v>1932</v>
      </c>
      <c r="AA14" s="15">
        <v>1</v>
      </c>
      <c r="AB14" s="56">
        <f>IF('3'!AA14=1,(('3'!Z14*'3'!$AS$6*'3'!$AT$6)/('3'!Y14*0.0036)),IF('3'!AA14=2,(('3'!Z14*'3'!$AS$7*'3'!$AT$7)/('3'!Y14*0.0036))))</f>
        <v>124.43630869363086</v>
      </c>
      <c r="AC14" s="56"/>
      <c r="AD14" s="18">
        <f>(('3'!AC14*'3'!$O$9*1000000))/('3'!Y14*3600)</f>
        <v>0</v>
      </c>
      <c r="AE14" s="181">
        <v>3000</v>
      </c>
      <c r="AF14" s="182">
        <f>('3'!AE14/24)*0.454</f>
        <v>56.75</v>
      </c>
      <c r="AG14" s="19">
        <v>500</v>
      </c>
      <c r="AH14" s="182">
        <f>('3'!AG14/24)*0.454</f>
        <v>9.4583333333333339</v>
      </c>
      <c r="AI14" s="181">
        <v>3000</v>
      </c>
      <c r="AJ14" s="182">
        <f>('3'!AI14/24)*0.454</f>
        <v>56.75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700</v>
      </c>
      <c r="C15" s="184">
        <v>12.5</v>
      </c>
      <c r="D15" s="184">
        <v>10</v>
      </c>
      <c r="E15" s="184">
        <v>5</v>
      </c>
      <c r="F15" s="184">
        <v>152</v>
      </c>
      <c r="G15" s="184">
        <v>4</v>
      </c>
      <c r="H15" s="184">
        <v>3.3</v>
      </c>
      <c r="I15" s="184">
        <v>1.21</v>
      </c>
      <c r="J15" s="184">
        <v>2.02</v>
      </c>
      <c r="K15" s="184">
        <v>6.8</v>
      </c>
      <c r="L15" s="184">
        <v>4.8</v>
      </c>
      <c r="M15" s="184">
        <v>4.8</v>
      </c>
      <c r="N15" s="184">
        <v>4.5</v>
      </c>
      <c r="O15" s="184">
        <v>3.3</v>
      </c>
      <c r="P15" s="184">
        <v>0.5</v>
      </c>
      <c r="Q15" s="184">
        <v>1.5</v>
      </c>
      <c r="R15" s="36">
        <f>'3'!Z21</f>
        <v>1505</v>
      </c>
      <c r="S15" s="35">
        <f>'3'!AB21</f>
        <v>97.27324858098126</v>
      </c>
      <c r="T15" s="36">
        <f>'3'!Y21</f>
        <v>2858</v>
      </c>
      <c r="U15" s="32" t="str">
        <f>IF('3'!AA21=1,'3'!AR6,'3'!AR7)</f>
        <v>S.A.L</v>
      </c>
      <c r="V15" s="938"/>
      <c r="W15" s="938"/>
      <c r="X15" s="13">
        <v>0.41666666666666702</v>
      </c>
      <c r="Y15" s="52">
        <v>2828</v>
      </c>
      <c r="Z15" s="180">
        <v>1932</v>
      </c>
      <c r="AA15" s="15">
        <v>1</v>
      </c>
      <c r="AB15" s="56">
        <f>IF('3'!AA15=1,(('3'!Z15*'3'!$AS$6*'3'!$AT$6)/('3'!Y15*0.0036)),IF('3'!AA15=2,(('3'!Z15*'3'!$AS$7*'3'!$AT$7)/('3'!Y15*0.0036))))</f>
        <v>126.19636963696369</v>
      </c>
      <c r="AC15" s="56"/>
      <c r="AD15" s="18">
        <f>(('3'!AC15*'3'!$O$9*1000000))/('3'!Y15*3600)</f>
        <v>0</v>
      </c>
      <c r="AE15" s="181">
        <v>3000</v>
      </c>
      <c r="AF15" s="182">
        <f>('3'!AE15/24)*0.454</f>
        <v>56.75</v>
      </c>
      <c r="AG15" s="19">
        <v>500</v>
      </c>
      <c r="AH15" s="182">
        <f>('3'!AG15/24)*0.454</f>
        <v>9.4583333333333339</v>
      </c>
      <c r="AI15" s="181">
        <v>3000</v>
      </c>
      <c r="AJ15" s="182">
        <f>('3'!AI15/24)*0.454</f>
        <v>56.75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700</v>
      </c>
      <c r="C16" s="184">
        <v>10</v>
      </c>
      <c r="D16" s="184">
        <v>10</v>
      </c>
      <c r="E16" s="184">
        <v>5</v>
      </c>
      <c r="F16" s="184">
        <v>150</v>
      </c>
      <c r="G16" s="184">
        <v>3.8</v>
      </c>
      <c r="H16" s="184">
        <v>3.2</v>
      </c>
      <c r="I16" s="184">
        <v>1.21</v>
      </c>
      <c r="J16" s="184">
        <v>1.91</v>
      </c>
      <c r="K16" s="184">
        <v>6.8</v>
      </c>
      <c r="L16" s="184">
        <v>4.8</v>
      </c>
      <c r="M16" s="184">
        <v>4.8</v>
      </c>
      <c r="N16" s="184">
        <v>4.5</v>
      </c>
      <c r="O16" s="184">
        <v>3.2</v>
      </c>
      <c r="P16" s="184">
        <v>0.4</v>
      </c>
      <c r="Q16" s="184">
        <v>1.5</v>
      </c>
      <c r="R16" s="36">
        <f>'3'!Z23</f>
        <v>1375</v>
      </c>
      <c r="S16" s="35">
        <f>'3'!AB23</f>
        <v>89.49720068906116</v>
      </c>
      <c r="T16" s="36">
        <f>'3'!Y23</f>
        <v>2838</v>
      </c>
      <c r="U16" s="32" t="str">
        <f>IF('3'!AA23=1,'3'!AR6,'3'!AR7)</f>
        <v>S.A.L</v>
      </c>
      <c r="V16" s="938"/>
      <c r="W16" s="938"/>
      <c r="X16" s="13">
        <v>0.45833333333333298</v>
      </c>
      <c r="Y16" s="52">
        <v>2847</v>
      </c>
      <c r="Z16" s="180">
        <v>3540</v>
      </c>
      <c r="AA16" s="15">
        <v>1</v>
      </c>
      <c r="AB16" s="56">
        <f>IF('3'!AA16=1,(('3'!Z16*'3'!$AS$6*'3'!$AT$6)/('3'!Y16*0.0036)),IF('3'!AA16=2,(('3'!Z16*'3'!$AS$7*'3'!$AT$7)/('3'!Y16*0.0036))))</f>
        <v>229.6862194122468</v>
      </c>
      <c r="AC16" s="56"/>
      <c r="AD16" s="18">
        <f>(('3'!AC16*'3'!$O$9*1000000))/('3'!Y16*3600)</f>
        <v>0</v>
      </c>
      <c r="AE16" s="181">
        <v>3000</v>
      </c>
      <c r="AF16" s="182">
        <f>('3'!AE16/24)*0.454</f>
        <v>56.75</v>
      </c>
      <c r="AG16" s="19">
        <v>500</v>
      </c>
      <c r="AH16" s="182">
        <f>('3'!AG16/24)*0.454</f>
        <v>9.4583333333333339</v>
      </c>
      <c r="AI16" s="181">
        <v>3000</v>
      </c>
      <c r="AJ16" s="182">
        <f>('3'!AI16/24)*0.454</f>
        <v>56.75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700</v>
      </c>
      <c r="C17" s="184">
        <v>10</v>
      </c>
      <c r="D17" s="184">
        <v>10</v>
      </c>
      <c r="E17" s="184">
        <v>5</v>
      </c>
      <c r="F17" s="184">
        <v>148</v>
      </c>
      <c r="G17" s="184">
        <v>3.6</v>
      </c>
      <c r="H17" s="184">
        <v>3</v>
      </c>
      <c r="I17" s="184">
        <v>0.94</v>
      </c>
      <c r="J17" s="184">
        <v>1.88</v>
      </c>
      <c r="K17" s="184">
        <v>6.8</v>
      </c>
      <c r="L17" s="184">
        <v>4.8</v>
      </c>
      <c r="M17" s="184">
        <v>4.8</v>
      </c>
      <c r="N17" s="184">
        <v>4.5</v>
      </c>
      <c r="O17" s="184">
        <v>3.2</v>
      </c>
      <c r="P17" s="184">
        <v>0.4</v>
      </c>
      <c r="Q17" s="184">
        <v>1.5</v>
      </c>
      <c r="R17" s="36">
        <f>'3'!Z25</f>
        <v>2016</v>
      </c>
      <c r="S17" s="35">
        <f>'3'!AB25</f>
        <v>131.49717514124296</v>
      </c>
      <c r="T17" s="36">
        <f>'3'!Y25</f>
        <v>2832</v>
      </c>
      <c r="U17" s="32" t="str">
        <f>IF('3'!AA25=1,'3'!AR6,'3'!AR7)</f>
        <v>S.A.L</v>
      </c>
      <c r="V17" s="939">
        <f>ESCALA!$C$5</f>
        <v>0</v>
      </c>
      <c r="W17" s="939"/>
      <c r="X17" s="13">
        <v>0.5</v>
      </c>
      <c r="Y17" s="52">
        <v>2845</v>
      </c>
      <c r="Z17" s="180">
        <v>2580</v>
      </c>
      <c r="AA17" s="15">
        <v>1</v>
      </c>
      <c r="AB17" s="56">
        <f>IF('3'!AA17=1,(('3'!Z17*'3'!$AS$6*'3'!$AT$6)/('3'!Y17*0.0036)),IF('3'!AA17=2,(('3'!Z17*'3'!$AS$7*'3'!$AT$7)/('3'!Y17*0.0036))))</f>
        <v>167.51611013473934</v>
      </c>
      <c r="AC17" s="56"/>
      <c r="AD17" s="18">
        <f>(('3'!AC17*'3'!$O$9*1000000))/('3'!Y17*3600)</f>
        <v>0</v>
      </c>
      <c r="AE17" s="181">
        <v>3000</v>
      </c>
      <c r="AF17" s="182">
        <f>('3'!AE17/24)*0.454</f>
        <v>56.75</v>
      </c>
      <c r="AG17" s="19">
        <v>500</v>
      </c>
      <c r="AH17" s="182">
        <f>('3'!AG17/24)*0.454</f>
        <v>9.4583333333333339</v>
      </c>
      <c r="AI17" s="181">
        <v>3000</v>
      </c>
      <c r="AJ17" s="182">
        <f>('3'!AI17/24)*0.454</f>
        <v>56.75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700</v>
      </c>
      <c r="C18" s="184">
        <v>10</v>
      </c>
      <c r="D18" s="184">
        <v>10</v>
      </c>
      <c r="E18" s="184">
        <v>5</v>
      </c>
      <c r="F18" s="184">
        <v>146</v>
      </c>
      <c r="G18" s="184">
        <v>3.2</v>
      </c>
      <c r="H18" s="184">
        <v>3</v>
      </c>
      <c r="I18" s="184">
        <v>0.91</v>
      </c>
      <c r="J18" s="184">
        <v>1.82</v>
      </c>
      <c r="K18" s="184">
        <v>6.8</v>
      </c>
      <c r="L18" s="184">
        <v>4.8</v>
      </c>
      <c r="M18" s="184">
        <v>4.8</v>
      </c>
      <c r="N18" s="184">
        <v>4.5</v>
      </c>
      <c r="O18" s="184">
        <v>3.2</v>
      </c>
      <c r="P18" s="184">
        <v>0.3</v>
      </c>
      <c r="Q18" s="184">
        <v>1.5</v>
      </c>
      <c r="R18" s="36">
        <f>'3'!Z27</f>
        <v>2016</v>
      </c>
      <c r="S18" s="35">
        <f>'3'!AB27</f>
        <v>133.47670250896059</v>
      </c>
      <c r="T18" s="36">
        <f>'3'!Y27</f>
        <v>2790</v>
      </c>
      <c r="U18" s="32" t="str">
        <f>IF('3'!AA27=1,'3'!AR6,'3'!AR7)</f>
        <v>S.A.L</v>
      </c>
      <c r="V18" s="939"/>
      <c r="W18" s="939"/>
      <c r="X18" s="13">
        <v>0.54166666666666696</v>
      </c>
      <c r="Y18" s="52">
        <v>2876</v>
      </c>
      <c r="Z18" s="180">
        <v>2320</v>
      </c>
      <c r="AA18" s="15">
        <v>1</v>
      </c>
      <c r="AB18" s="56">
        <f>IF('3'!AA18=1,(('3'!Z18*'3'!$AS$6*'3'!$AT$6)/('3'!Y18*0.0036)),IF('3'!AA18=2,(('3'!Z18*'3'!$AS$7*'3'!$AT$7)/('3'!Y18*0.0036))))</f>
        <v>149.01097202905271</v>
      </c>
      <c r="AC18" s="56"/>
      <c r="AD18" s="18">
        <f>(('3'!AC18*'3'!$O$9*1000000))/('3'!Y18*3600)</f>
        <v>0</v>
      </c>
      <c r="AE18" s="181">
        <v>3000</v>
      </c>
      <c r="AF18" s="182">
        <f>('3'!AE18/24)*0.454</f>
        <v>56.75</v>
      </c>
      <c r="AG18" s="19">
        <v>500</v>
      </c>
      <c r="AH18" s="182">
        <f>('3'!AG18/24)*0.454</f>
        <v>9.4583333333333339</v>
      </c>
      <c r="AI18" s="181">
        <v>3000</v>
      </c>
      <c r="AJ18" s="182">
        <f>('3'!AI18/24)*0.454</f>
        <v>56.75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700</v>
      </c>
      <c r="C19" s="67">
        <f t="array" ref="C19">IF('3'!C7:C18&gt;0.01,AVERAGE('3'!C7:C18),"")</f>
        <v>10.833333333333334</v>
      </c>
      <c r="D19" s="67">
        <f t="array" ref="D19">IF('3'!D7:D18&gt;0.01,AVERAGE('3'!D7:D18),"")</f>
        <v>8.75</v>
      </c>
      <c r="E19" s="67">
        <f t="array" ref="E19">IF('3'!E7:E18&gt;0.01,AVERAGE('3'!E7:E18),"")</f>
        <v>3.75</v>
      </c>
      <c r="F19" s="67">
        <f t="array" ref="F19">IF('3'!F7:F18&gt;0.01,AVERAGE('3'!F7:F18),"")</f>
        <v>153.91666666666666</v>
      </c>
      <c r="G19" s="67">
        <f t="array" ref="G19">IF('3'!G7:G18&gt;0.01,AVERAGE('3'!G7:G18),"")</f>
        <v>3.6500000000000004</v>
      </c>
      <c r="H19" s="67">
        <f t="array" ref="H19">IF('3'!H7:H18&gt;0.01,AVERAGE('3'!H7:H18),"")</f>
        <v>3.0666666666666664</v>
      </c>
      <c r="I19" s="67">
        <f t="array" ref="I19">IF('3'!I7:I18&gt;0.01,AVERAGE('3'!I7:I18),"")</f>
        <v>0.98583333333333334</v>
      </c>
      <c r="J19" s="67">
        <f t="array" ref="J19">IF('3'!J7:J18&gt;0.01,AVERAGE('3'!J7:J18),"")</f>
        <v>1.5158333333333334</v>
      </c>
      <c r="K19" s="67">
        <f t="array" ref="K19">IF('3'!K7:K18&gt;0.01,AVERAGE('3'!K7:K18),"")</f>
        <v>6.799999999999998</v>
      </c>
      <c r="L19" s="218">
        <f t="array" ref="L19">IF('3'!L7:L18&gt;0.01,AVERAGE('3'!L7:L18),"")</f>
        <v>4.7999999999999989</v>
      </c>
      <c r="M19" s="67">
        <f t="array" ref="M19">IF('3'!M7:M18&gt;0.01,AVERAGE('3'!M7:M18),"")</f>
        <v>4.7999999999999989</v>
      </c>
      <c r="N19" s="67">
        <f t="array" ref="N19">IF('3'!N7:N18&gt;0.01,AVERAGE('3'!N7:N18),"")</f>
        <v>4.9416666666666664</v>
      </c>
      <c r="O19" s="67">
        <f t="array" ref="O19">IF('3'!O7:O18&gt;0.01,AVERAGE('3'!O7:O18),"")</f>
        <v>3.3916666666666675</v>
      </c>
      <c r="P19" s="188">
        <f t="array" ref="P19">IF('3'!P7:P18&gt;0.01,AVERAGE('3'!P7:P18),"")</f>
        <v>0.40833333333333338</v>
      </c>
      <c r="Q19" s="189">
        <f t="array" ref="Q19">IF('3'!Q7:Q18&gt;0.01,AVERAGE('3'!Q7:Q18),"")</f>
        <v>1.5166666666666666</v>
      </c>
      <c r="R19" s="189">
        <f t="array" ref="R19">IF('3'!R7:R18&gt;0.01,AVERAGE('3'!R7:R18),"")</f>
        <v>1924.0833333333333</v>
      </c>
      <c r="S19" s="189">
        <f t="array" ref="S19">IF('3'!S7:S18&gt;0.01,AVERAGE('3'!S7:S18),"")</f>
        <v>125.00063347113071</v>
      </c>
      <c r="T19" s="940"/>
      <c r="U19" s="940"/>
      <c r="V19" s="47"/>
      <c r="W19" s="48"/>
      <c r="X19" s="13">
        <v>0.58333333333333304</v>
      </c>
      <c r="Y19" s="52">
        <v>2919</v>
      </c>
      <c r="Z19" s="180">
        <v>2005</v>
      </c>
      <c r="AA19" s="15">
        <v>1</v>
      </c>
      <c r="AB19" s="56">
        <f>IF('3'!AA19=1,(('3'!Z19*'3'!$AS$6*'3'!$AT$6)/('3'!Y19*0.0036)),IF('3'!AA19=2,(('3'!Z19*'3'!$AS$7*'3'!$AT$7)/('3'!Y19*0.0036))))</f>
        <v>126.88182787103651</v>
      </c>
      <c r="AC19" s="56"/>
      <c r="AD19" s="18">
        <f>(('3'!AC19*'3'!$O$9*1000000))/('3'!Y19*3600)</f>
        <v>0</v>
      </c>
      <c r="AE19" s="181">
        <v>3000</v>
      </c>
      <c r="AF19" s="182">
        <f>('3'!AE19/24)*0.454</f>
        <v>56.75</v>
      </c>
      <c r="AG19" s="19">
        <v>500</v>
      </c>
      <c r="AH19" s="182">
        <f>('3'!AG19/24)*0.454</f>
        <v>9.4583333333333339</v>
      </c>
      <c r="AI19" s="181">
        <v>3000</v>
      </c>
      <c r="AJ19" s="182">
        <f>('3'!AI19/24)*0.454</f>
        <v>56.75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700</v>
      </c>
      <c r="C20" s="67">
        <f>MAX('3'!C7:C18)</f>
        <v>12.5</v>
      </c>
      <c r="D20" s="67">
        <f>MAX('3'!D7:D18)</f>
        <v>12.5</v>
      </c>
      <c r="E20" s="67">
        <f>MAX('3'!E7:E18)</f>
        <v>5</v>
      </c>
      <c r="F20" s="67">
        <f>MAX('3'!F7:F18)</f>
        <v>166</v>
      </c>
      <c r="G20" s="67">
        <f>MAX('3'!G7:G18)</f>
        <v>4.5</v>
      </c>
      <c r="H20" s="67">
        <f>MAX('3'!H7:H18)</f>
        <v>4</v>
      </c>
      <c r="I20" s="67">
        <f>MAX('3'!I7:I18)</f>
        <v>1.21</v>
      </c>
      <c r="J20" s="67">
        <f>MAX('3'!J7:J18)</f>
        <v>2.0499999999999998</v>
      </c>
      <c r="K20" s="67">
        <f>MAX('3'!K7:K18)</f>
        <v>6.8</v>
      </c>
      <c r="L20" s="218">
        <f>MAX('3'!L7:L18)</f>
        <v>4.8</v>
      </c>
      <c r="M20" s="67">
        <f>MAX('3'!M7:M18)</f>
        <v>4.8</v>
      </c>
      <c r="N20" s="67">
        <f>MAX('3'!N7:N18)</f>
        <v>5.3</v>
      </c>
      <c r="O20" s="68">
        <f>MAX('3'!O7:O18)</f>
        <v>3.5</v>
      </c>
      <c r="P20" s="68">
        <f>MAX('3'!P7:P18)</f>
        <v>0.5</v>
      </c>
      <c r="Q20" s="68">
        <f>MAX('3'!Q7:Q18)</f>
        <v>2</v>
      </c>
      <c r="R20" s="68">
        <f>MAX('3'!R7:R18)</f>
        <v>2580</v>
      </c>
      <c r="S20" s="68">
        <f>MAX('3'!S7:S18)</f>
        <v>167.51611013473934</v>
      </c>
      <c r="T20" s="940"/>
      <c r="U20" s="940"/>
      <c r="X20" s="13">
        <v>0.625</v>
      </c>
      <c r="Y20" s="52">
        <v>2905</v>
      </c>
      <c r="Z20" s="180">
        <v>1894</v>
      </c>
      <c r="AA20" s="15">
        <v>1</v>
      </c>
      <c r="AB20" s="56">
        <f>IF('3'!AA20=1,(('3'!Z20*'3'!$AS$6*'3'!$AT$6)/('3'!Y20*0.0036)),IF('3'!AA20=2,(('3'!Z20*'3'!$AS$7*'3'!$AT$7)/('3'!Y20*0.0036))))</f>
        <v>120.43507362784472</v>
      </c>
      <c r="AC20" s="56"/>
      <c r="AD20" s="18">
        <f>(('3'!AC20*'3'!$O$9*1000000))/('3'!Y20*3600)</f>
        <v>0</v>
      </c>
      <c r="AE20" s="181">
        <v>3000</v>
      </c>
      <c r="AF20" s="182">
        <f>('3'!AE20/24)*0.454</f>
        <v>56.75</v>
      </c>
      <c r="AG20" s="19">
        <v>500</v>
      </c>
      <c r="AH20" s="182">
        <f>('3'!AG20/24)*0.454</f>
        <v>9.4583333333333339</v>
      </c>
      <c r="AI20" s="181">
        <v>3000</v>
      </c>
      <c r="AJ20" s="182">
        <f>('3'!AI20/24)*0.454</f>
        <v>56.75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700</v>
      </c>
      <c r="C21" s="67">
        <f>MIN('3'!C7:C18)</f>
        <v>10</v>
      </c>
      <c r="D21" s="67">
        <f>MIN('3'!D7:D18)</f>
        <v>5</v>
      </c>
      <c r="E21" s="67">
        <f>MIN('3'!E7:E18)</f>
        <v>2.5</v>
      </c>
      <c r="F21" s="67">
        <f>MIN('3'!F7:F18)</f>
        <v>146</v>
      </c>
      <c r="G21" s="190">
        <f>MIN('3'!G7:G18)</f>
        <v>3.2</v>
      </c>
      <c r="H21" s="190">
        <f>MIN('3'!H7:H18)</f>
        <v>2.6</v>
      </c>
      <c r="I21" s="190">
        <f>MIN('3'!I7:I18)</f>
        <v>0.74</v>
      </c>
      <c r="J21" s="190">
        <f>MIN('3'!J7:J18)</f>
        <v>0.83</v>
      </c>
      <c r="K21" s="190">
        <f>MIN('3'!K7:K18)</f>
        <v>6.8</v>
      </c>
      <c r="L21" s="219">
        <f>MIN('3'!L7:L18)</f>
        <v>4.8</v>
      </c>
      <c r="M21" s="190">
        <f>MIN('3'!M7:M18)</f>
        <v>4.8</v>
      </c>
      <c r="N21" s="190">
        <f>MIN('3'!N7:N18)</f>
        <v>4.5</v>
      </c>
      <c r="O21" s="191">
        <f>MIN('3'!O7:O18)</f>
        <v>3.2</v>
      </c>
      <c r="P21" s="191">
        <f>MIN('3'!P7:P18)</f>
        <v>0.3</v>
      </c>
      <c r="Q21" s="191">
        <f>MIN('3'!Q7:Q18)</f>
        <v>1.2</v>
      </c>
      <c r="R21" s="191">
        <f>MIN('3'!R7:R18)</f>
        <v>1375</v>
      </c>
      <c r="S21" s="191">
        <f>MIN('3'!S7:S18)</f>
        <v>89.49720068906116</v>
      </c>
      <c r="T21" s="940"/>
      <c r="U21" s="940"/>
      <c r="X21" s="13">
        <v>0.66666666666666696</v>
      </c>
      <c r="Y21" s="52">
        <v>2858</v>
      </c>
      <c r="Z21" s="180">
        <v>1505</v>
      </c>
      <c r="AA21" s="15">
        <v>1</v>
      </c>
      <c r="AB21" s="56">
        <f>IF('3'!AA21=1,(('3'!Z21*'3'!$AS$6*'3'!$AT$6)/('3'!Y21*0.0036)),IF('3'!AA21=2,(('3'!Z21*'3'!$AS$7*'3'!$AT$7)/('3'!Y21*0.0036))))</f>
        <v>97.27324858098126</v>
      </c>
      <c r="AC21" s="56"/>
      <c r="AD21" s="18">
        <f>(('3'!AC21*'3'!$O$9*1000000))/('3'!Y21*3600)</f>
        <v>0</v>
      </c>
      <c r="AE21" s="181">
        <v>3000</v>
      </c>
      <c r="AF21" s="182">
        <f>('3'!AE21/24)*0.454</f>
        <v>56.75</v>
      </c>
      <c r="AG21" s="19">
        <v>500</v>
      </c>
      <c r="AH21" s="182">
        <f>('3'!AG21/24)*0.454</f>
        <v>9.4583333333333339</v>
      </c>
      <c r="AI21" s="181">
        <v>3000</v>
      </c>
      <c r="AJ21" s="182">
        <f>('3'!AI21/24)*0.454</f>
        <v>56.75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2832</v>
      </c>
      <c r="Z22" s="180">
        <v>1375</v>
      </c>
      <c r="AA22" s="15">
        <v>1</v>
      </c>
      <c r="AB22" s="56">
        <f>IF('3'!AA22=1,(('3'!Z22*'3'!$AS$6*'3'!$AT$6)/('3'!Y22*0.0036)),IF('3'!AA22=2,(('3'!Z22*'3'!$AS$7*'3'!$AT$7)/('3'!Y22*0.0036))))</f>
        <v>89.68681340238544</v>
      </c>
      <c r="AC22" s="56"/>
      <c r="AD22" s="18">
        <f>(('3'!AC22*'3'!$O$9*1000000))/('3'!Y22*3600)</f>
        <v>0</v>
      </c>
      <c r="AE22" s="181">
        <v>3000</v>
      </c>
      <c r="AF22" s="182">
        <f>('3'!AE22/24)*0.454</f>
        <v>56.75</v>
      </c>
      <c r="AG22" s="19">
        <v>500</v>
      </c>
      <c r="AH22" s="182">
        <f>('3'!AG22/24)*0.454</f>
        <v>9.4583333333333339</v>
      </c>
      <c r="AI22" s="181">
        <v>3000</v>
      </c>
      <c r="AJ22" s="182">
        <f>('3'!AI22/24)*0.454</f>
        <v>56.75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2838</v>
      </c>
      <c r="Z23" s="180">
        <v>1375</v>
      </c>
      <c r="AA23" s="15">
        <v>1</v>
      </c>
      <c r="AB23" s="56">
        <f>IF('3'!AA23=1,(('3'!Z23*'3'!$AS$6*'3'!$AT$6)/('3'!Y23*0.0036)),IF('3'!AA23=2,(('3'!Z23*'3'!$AS$7*'3'!$AT$7)/('3'!Y23*0.0036))))</f>
        <v>89.49720068906116</v>
      </c>
      <c r="AC23" s="56"/>
      <c r="AD23" s="18">
        <f>(('3'!AC23*'3'!$O$9*1000000))/('3'!Y23*3600)</f>
        <v>0</v>
      </c>
      <c r="AE23" s="181">
        <v>3000</v>
      </c>
      <c r="AF23" s="182">
        <f>('3'!AE23/24)*0.454</f>
        <v>56.75</v>
      </c>
      <c r="AG23" s="19">
        <v>500</v>
      </c>
      <c r="AH23" s="182">
        <f>('3'!AG23/24)*0.454</f>
        <v>9.4583333333333339</v>
      </c>
      <c r="AI23" s="181">
        <v>3000</v>
      </c>
      <c r="AJ23" s="182">
        <f>('3'!AI23/24)*0.454</f>
        <v>56.75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2794</v>
      </c>
      <c r="Z24" s="180">
        <v>2016</v>
      </c>
      <c r="AA24" s="15">
        <v>1</v>
      </c>
      <c r="AB24" s="16">
        <f>IF('3'!AA24=1,(('3'!Z24*'3'!$AS$6*'3'!$AT$6)/('3'!Y24*0.0036)),IF('3'!AA24=2,(('3'!Z24*'3'!$AS$7*'3'!$AT$7)/('3'!Y24*0.0036))))</f>
        <v>133.28561202576952</v>
      </c>
      <c r="AC24" s="16"/>
      <c r="AD24" s="192">
        <f>(('3'!AC24*'3'!$O$9*1000000))/('3'!Y24*3600)</f>
        <v>0</v>
      </c>
      <c r="AE24" s="181">
        <v>3000</v>
      </c>
      <c r="AF24" s="193">
        <f>('3'!AE24/24)*0.454</f>
        <v>56.75</v>
      </c>
      <c r="AG24" s="19">
        <v>500</v>
      </c>
      <c r="AH24" s="193">
        <f>('3'!AG24/24)*0.454</f>
        <v>9.4583333333333339</v>
      </c>
      <c r="AI24" s="181">
        <v>3000</v>
      </c>
      <c r="AJ24" s="193">
        <f>('3'!AI24/24)*0.454</f>
        <v>56.75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944" t="s">
        <v>0</v>
      </c>
      <c r="U25" s="945">
        <f>ESCALA!$A$5</f>
        <v>44319</v>
      </c>
      <c r="X25" s="13">
        <v>0.83333333333333304</v>
      </c>
      <c r="Y25" s="52">
        <v>2832</v>
      </c>
      <c r="Z25" s="180">
        <v>2016</v>
      </c>
      <c r="AA25" s="15">
        <v>1</v>
      </c>
      <c r="AB25" s="56">
        <f>IF('3'!AA25=1,(('3'!Z25*'3'!$AS$6*'3'!$AT$6)/('3'!Y25*0.0036)),IF('3'!AA25=2,(('3'!Z25*'3'!$AS$7*'3'!$AT$7)/('3'!Y25*0.0036))))</f>
        <v>131.49717514124296</v>
      </c>
      <c r="AC25" s="56"/>
      <c r="AD25" s="18">
        <f>(('3'!AC25*'3'!$O$9*1000000))/('3'!Y25*3600)</f>
        <v>0</v>
      </c>
      <c r="AE25" s="181">
        <v>3000</v>
      </c>
      <c r="AF25" s="182">
        <f>('3'!AE25/24)*0.454</f>
        <v>56.75</v>
      </c>
      <c r="AG25" s="19">
        <v>500</v>
      </c>
      <c r="AH25" s="182">
        <f>('3'!AG25/24)*0.454</f>
        <v>9.4583333333333339</v>
      </c>
      <c r="AI25" s="181">
        <v>3000</v>
      </c>
      <c r="AJ25" s="182">
        <f>('3'!AI25/24)*0.454</f>
        <v>56.75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44"/>
      <c r="U26" s="945"/>
      <c r="X26" s="13">
        <v>0.875</v>
      </c>
      <c r="Y26" s="52">
        <v>2856</v>
      </c>
      <c r="Z26" s="180">
        <v>2016</v>
      </c>
      <c r="AA26" s="15">
        <v>1</v>
      </c>
      <c r="AB26" s="56">
        <f>IF('3'!AA26=1,(('3'!Z26*'3'!$AS$6*'3'!$AT$6)/('3'!Y26*0.0036)),IF('3'!AA26=2,(('3'!Z26*'3'!$AS$7*'3'!$AT$7)/('3'!Y26*0.0036))))</f>
        <v>130.39215686274511</v>
      </c>
      <c r="AC26" s="56"/>
      <c r="AD26" s="18">
        <f>(('3'!AC26*'3'!$O$9*1000000))/('3'!Y26*3600)</f>
        <v>0</v>
      </c>
      <c r="AE26" s="181">
        <v>3000</v>
      </c>
      <c r="AF26" s="182">
        <f>('3'!AE26/24)*0.454</f>
        <v>56.75</v>
      </c>
      <c r="AG26" s="19">
        <v>500</v>
      </c>
      <c r="AH26" s="182">
        <f>('3'!AG26/24)*0.454</f>
        <v>9.4583333333333339</v>
      </c>
      <c r="AI26" s="181">
        <v>3000</v>
      </c>
      <c r="AJ26" s="182">
        <f>('3'!AI26/24)*0.454</f>
        <v>56.75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2790</v>
      </c>
      <c r="Z27" s="180">
        <v>2016</v>
      </c>
      <c r="AA27" s="15">
        <v>1</v>
      </c>
      <c r="AB27" s="56">
        <f>IF('3'!AA27=1,(('3'!Z27*'3'!$AS$6*'3'!$AT$6)/('3'!Y27*0.0036)),IF('3'!AA27=2,(('3'!Z27*'3'!$AS$7*'3'!$AT$7)/('3'!Y27*0.0036))))</f>
        <v>133.47670250896059</v>
      </c>
      <c r="AC27" s="56"/>
      <c r="AD27" s="18">
        <f>(('3'!AC27*'3'!$O$9*1000000))/('3'!Y27*3600)</f>
        <v>0</v>
      </c>
      <c r="AE27" s="181">
        <v>3000</v>
      </c>
      <c r="AF27" s="182">
        <f>('3'!AE27/24)*0.454</f>
        <v>56.75</v>
      </c>
      <c r="AG27" s="19">
        <v>500</v>
      </c>
      <c r="AH27" s="182">
        <f>('3'!AG27/24)*0.454</f>
        <v>9.4583333333333339</v>
      </c>
      <c r="AI27" s="181">
        <v>3000</v>
      </c>
      <c r="AJ27" s="182">
        <f>('3'!AI27/24)*0.454</f>
        <v>56.75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2746</v>
      </c>
      <c r="Z28" s="180">
        <v>2016</v>
      </c>
      <c r="AA28" s="15">
        <v>1</v>
      </c>
      <c r="AB28" s="56">
        <f>IF('3'!AA28=1,(('3'!Z28*'3'!$AS$6*'3'!$AT$6)/('3'!Y28*0.0036)),IF('3'!AA28=2,(('3'!Z28*'3'!$AS$7*'3'!$AT$7)/('3'!Y28*0.0036))))</f>
        <v>135.61544064093226</v>
      </c>
      <c r="AC28" s="56"/>
      <c r="AD28" s="18">
        <f>(('3'!AC28*'3'!$O$9*1000000))/('3'!Y28*3600)</f>
        <v>0</v>
      </c>
      <c r="AE28" s="181">
        <v>3000</v>
      </c>
      <c r="AF28" s="182">
        <f>('3'!AE28/24)*0.454</f>
        <v>56.75</v>
      </c>
      <c r="AG28" s="19">
        <v>500</v>
      </c>
      <c r="AH28" s="182">
        <f>('3'!AG28/24)*0.454</f>
        <v>9.4583333333333339</v>
      </c>
      <c r="AI28" s="181">
        <v>3000</v>
      </c>
      <c r="AJ28" s="182">
        <f>('3'!AI28/24)*0.454</f>
        <v>56.75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2774</v>
      </c>
      <c r="Z29" s="180">
        <v>2016</v>
      </c>
      <c r="AA29" s="15">
        <v>1</v>
      </c>
      <c r="AB29" s="56">
        <f>IF('3'!AA29=1,(('3'!Z29*'3'!$AS$6*'3'!$AT$6)/('3'!Y29*0.0036)),IF('3'!AA29=2,(('3'!Z29*'3'!$AS$7*'3'!$AT$7)/('3'!Y29*0.0036))))</f>
        <v>134.24657534246577</v>
      </c>
      <c r="AC29" s="56"/>
      <c r="AD29" s="18">
        <f>(('3'!AC29*'3'!$O$9*1000000))/('3'!Y29*3600)</f>
        <v>0</v>
      </c>
      <c r="AE29" s="181">
        <v>3000</v>
      </c>
      <c r="AF29" s="182">
        <f>('3'!AE29/24)*0.454</f>
        <v>56.75</v>
      </c>
      <c r="AG29" s="19">
        <v>500</v>
      </c>
      <c r="AH29" s="182">
        <f>('3'!AG29/24)*0.454</f>
        <v>9.4583333333333339</v>
      </c>
      <c r="AI29" s="181">
        <v>3000</v>
      </c>
      <c r="AJ29" s="182">
        <f>('3'!AI29/24)*0.454</f>
        <v>56.75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SUM('3'!Y6:Y29)*3.6</f>
        <v>245163.6</v>
      </c>
      <c r="Z30" s="80">
        <f>SUM('3'!Z6:Z29)</f>
        <v>48010</v>
      </c>
      <c r="AA30" s="76"/>
      <c r="AB30" s="77"/>
      <c r="AC30" s="76"/>
      <c r="AD30" s="77"/>
      <c r="AE30" s="33"/>
      <c r="AF30" s="182">
        <f>SUM('3'!AF6:AF29)</f>
        <v>1362</v>
      </c>
      <c r="AG30" s="33"/>
      <c r="AH30" s="182">
        <f>SUM('3'!AH6:AH29)</f>
        <v>227.00000000000009</v>
      </c>
      <c r="AI30" s="33"/>
      <c r="AJ30" s="182">
        <f>SUM('3'!AJ6:AJ29)</f>
        <v>1362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SUMIF('3'!AA6:AA29,"=1",'3'!Z6:Z29)</f>
        <v>48010</v>
      </c>
      <c r="AA32" s="80">
        <f>'3'!Z32*'3'!AS6</f>
        <v>63853.3</v>
      </c>
      <c r="AB32" s="81">
        <f>SUMIF('3'!$AA$6:$AA$29,"=1",'3'!$AB$6:$AB$29)/COUNTIF('3'!$AA$6:$AA$29,"=1")</f>
        <v>130.24107029565295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AVERAGE('3'!Y6:Y29)</f>
        <v>2837.5416666666665</v>
      </c>
      <c r="Z34" s="94">
        <f>AVERAGE('3'!Z6:Z29)</f>
        <v>2000.4166666666667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56.75</v>
      </c>
      <c r="AG34" s="96"/>
      <c r="AH34" s="96">
        <f>AVERAGE('3'!AH6:AH29)</f>
        <v>9.4583333333333375</v>
      </c>
      <c r="AI34" s="96"/>
      <c r="AJ34" s="96">
        <f>'3'!AJ30/24</f>
        <v>56.75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1024" t="s">
        <v>68</v>
      </c>
      <c r="AK35" s="1024"/>
      <c r="AL35" s="1024"/>
      <c r="AM35" s="1024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222" t="s">
        <v>73</v>
      </c>
      <c r="Y36" s="104">
        <v>0</v>
      </c>
      <c r="Z36" s="105"/>
      <c r="AA36" s="106" t="s">
        <v>74</v>
      </c>
      <c r="AB36" s="104">
        <v>4</v>
      </c>
      <c r="AJ36" s="1024"/>
      <c r="AK36" s="1024"/>
      <c r="AL36" s="1024"/>
      <c r="AM36" s="1024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204">
        <v>40.799999999999997</v>
      </c>
      <c r="D37" s="204">
        <v>4</v>
      </c>
      <c r="E37" s="205">
        <v>2</v>
      </c>
      <c r="F37" s="205">
        <v>2.8</v>
      </c>
      <c r="G37" s="205">
        <v>0.2</v>
      </c>
      <c r="H37" s="205">
        <v>0.2</v>
      </c>
      <c r="I37" s="204">
        <v>0.3</v>
      </c>
      <c r="J37" s="204">
        <v>0.1</v>
      </c>
      <c r="K37" s="204">
        <v>0.06</v>
      </c>
      <c r="L37" s="955" t="s">
        <v>441</v>
      </c>
      <c r="M37" s="955"/>
      <c r="N37" s="955"/>
      <c r="O37" s="10"/>
      <c r="P37" s="10"/>
      <c r="Q37" s="10"/>
      <c r="R37" s="10"/>
      <c r="S37" s="10"/>
      <c r="T37" s="10"/>
      <c r="U37" s="223">
        <f>'3'!V12</f>
        <v>0</v>
      </c>
      <c r="X37" s="1025" t="s">
        <v>75</v>
      </c>
      <c r="Y37" s="1025"/>
      <c r="Z37" s="108">
        <f>COUNTA('3'!Z6:Z29)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1589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1362</v>
      </c>
      <c r="AQ38" s="112" t="s">
        <v>78</v>
      </c>
      <c r="AR38" s="210">
        <f>'3'!AP30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6.4813863069395286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495.99417334304439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86" t="s">
        <v>90</v>
      </c>
      <c r="AK40" s="986"/>
      <c r="AL40" s="969">
        <f>SUM('3'!AK38,'3'!AM38)</f>
        <v>1589</v>
      </c>
      <c r="AM40" s="969"/>
      <c r="AO40" s="986" t="s">
        <v>90</v>
      </c>
      <c r="AP40" s="986"/>
      <c r="AQ40" s="971">
        <f>SUM('3'!AP38,'3'!AR38)</f>
        <v>1362</v>
      </c>
      <c r="AR40" s="971"/>
    </row>
    <row r="41" spans="1:44" ht="16.5" customHeight="1">
      <c r="A41" s="131">
        <f>COUNTA('3'!E7:E18)</f>
        <v>12</v>
      </c>
      <c r="B41" s="132">
        <f>COUNTA('3'!I7:I18)</f>
        <v>12</v>
      </c>
      <c r="C41" s="972">
        <f>COUNTA('3'!J7:J18)</f>
        <v>12</v>
      </c>
      <c r="D41" s="972">
        <f>COUNTA('3'!K7:K18)</f>
        <v>12</v>
      </c>
      <c r="E41" s="972">
        <f>COUNTIF('3'!E7:E18,"&gt;15")</f>
        <v>0</v>
      </c>
      <c r="F41" s="972"/>
      <c r="G41" s="972">
        <f>COUNTIF('3'!J7:J18,"&gt;1")</f>
        <v>9</v>
      </c>
      <c r="H41" s="972"/>
      <c r="I41" s="133"/>
      <c r="J41" s="972">
        <f>'3'!A41-'3'!E41</f>
        <v>12</v>
      </c>
      <c r="K41" s="972"/>
      <c r="L41" s="1026">
        <f>'3'!C41-'3'!G41</f>
        <v>3</v>
      </c>
      <c r="M41" s="1026"/>
      <c r="N41" s="133"/>
      <c r="O41" s="973">
        <f>COUNTIF('3'!J7:J18,"&lt;=0,5")</f>
        <v>0</v>
      </c>
      <c r="P41" s="973"/>
      <c r="Q41" s="973"/>
      <c r="R41" s="963"/>
      <c r="S41" s="974">
        <f>COUNTIF('3'!J7:J18,"&lt;=1,0")</f>
        <v>3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86" t="s">
        <v>91</v>
      </c>
      <c r="AK41" s="986"/>
      <c r="AL41" s="975">
        <f>SUM(('3'!AK38+'3'!AM38)/'3'!Y28)*1000</f>
        <v>578.6598689002185</v>
      </c>
      <c r="AM41" s="975"/>
      <c r="AO41" s="986" t="s">
        <v>91</v>
      </c>
      <c r="AP41" s="986"/>
      <c r="AQ41" s="975">
        <f>SUM(('3'!AP38+'3'!AR38)/'3'!Y30)*1000</f>
        <v>5.5554739773767396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1027" t="s">
        <v>95</v>
      </c>
      <c r="M43" s="1027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1027"/>
      <c r="M44" s="1027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7</v>
      </c>
      <c r="Z44" s="142" t="s">
        <v>101</v>
      </c>
      <c r="AA44" s="143">
        <v>0</v>
      </c>
      <c r="AB44" s="142" t="s">
        <v>101</v>
      </c>
      <c r="AC44" s="143">
        <v>130</v>
      </c>
      <c r="AD44" s="982"/>
      <c r="AE44" s="982"/>
      <c r="AF44" s="983" t="s">
        <v>102</v>
      </c>
      <c r="AG44" s="1028">
        <f>SUM('3'!Y45,'3'!AA45,'3'!AC45,'3'!AE45)</f>
        <v>81028.100000000006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COUNTIF('3'!I7:I18,"&lt;=5,0")</f>
        <v>12</v>
      </c>
      <c r="I45" s="986"/>
      <c r="J45" s="986"/>
      <c r="K45" s="133"/>
      <c r="L45" s="1029">
        <f>COUNTA('3'!L37)</f>
        <v>1</v>
      </c>
      <c r="M45" s="1029"/>
      <c r="O45" s="144"/>
      <c r="P45" s="145"/>
      <c r="Q45" s="987">
        <f>'3'!S41-'3'!O41</f>
        <v>3</v>
      </c>
      <c r="R45" s="987"/>
      <c r="S45" s="987"/>
      <c r="T45" s="146"/>
      <c r="X45" s="147" t="s">
        <v>104</v>
      </c>
      <c r="Y45" s="148">
        <f>'3'!Y44*275.3</f>
        <v>1927.1000000000001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36101</v>
      </c>
      <c r="AD45" s="147" t="s">
        <v>104</v>
      </c>
      <c r="AE45" s="149">
        <v>43000</v>
      </c>
      <c r="AF45" s="983"/>
      <c r="AG45" s="1028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89" t="s">
        <v>106</v>
      </c>
      <c r="AG46" s="990">
        <f>SUM('3'!Y47,'3'!AA47,'3'!AC47,'3'!AE47)</f>
        <v>107767.37299999999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'3'!Y45*'3'!Y46</f>
        <v>2563.0430000000001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48014.33</v>
      </c>
      <c r="AD47" s="147" t="s">
        <v>108</v>
      </c>
      <c r="AE47" s="148">
        <f>'3'!AE45*'3'!AE46</f>
        <v>57190</v>
      </c>
      <c r="AF47" s="989"/>
      <c r="AG47" s="990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1031" t="s">
        <v>111</v>
      </c>
      <c r="Y50" s="1031"/>
      <c r="Z50" s="1031"/>
      <c r="AA50" s="1031"/>
      <c r="AB50" s="1031"/>
      <c r="AC50" s="1031"/>
      <c r="AD50" s="1031"/>
      <c r="AE50" s="1031"/>
      <c r="AF50" s="1031"/>
      <c r="AG50" s="1031"/>
    </row>
    <row r="51" spans="15:44" ht="16.5" customHeight="1">
      <c r="O51" s="968">
        <f>COUNTA('3'!O7:O18)</f>
        <v>12</v>
      </c>
      <c r="P51" s="968">
        <f>COUNTA('3'!W17:W28)</f>
        <v>0</v>
      </c>
      <c r="R51" s="986">
        <f>COUNTIF('3'!O7:O18,"&gt;=0,5")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SUM('3'!Y53,'3'!AA53,'3'!AC53,'3'!AE53)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'3'!AS7</f>
        <v>1.262</v>
      </c>
      <c r="Z54" s="151" t="s">
        <v>105</v>
      </c>
      <c r="AA54" s="153">
        <f>'3'!Y54</f>
        <v>1.262</v>
      </c>
      <c r="AB54" s="151" t="s">
        <v>105</v>
      </c>
      <c r="AC54" s="153">
        <f>'3'!Y54</f>
        <v>1.262</v>
      </c>
      <c r="AD54" s="151" t="s">
        <v>105</v>
      </c>
      <c r="AE54" s="154">
        <f>'3'!Y54</f>
        <v>1.262</v>
      </c>
      <c r="AF54" s="989" t="s">
        <v>106</v>
      </c>
      <c r="AG54" s="990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89"/>
      <c r="AG55" s="990"/>
      <c r="AI55" s="151" t="s">
        <v>105</v>
      </c>
      <c r="AJ55" s="152">
        <f>'3'!Y54</f>
        <v>1.262</v>
      </c>
      <c r="AK55" s="151" t="s">
        <v>105</v>
      </c>
      <c r="AL55" s="152">
        <f>'3'!AJ55</f>
        <v>1.262</v>
      </c>
      <c r="AM55" s="151" t="s">
        <v>105</v>
      </c>
      <c r="AN55" s="152">
        <f>'3'!AJ55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>
      <c r="O57" s="997">
        <f>COUNTA('3'!N7:N18)</f>
        <v>12</v>
      </c>
      <c r="P57" s="997"/>
      <c r="R57" s="998">
        <f>COUNTIF('3'!N7:N18,"&gt;=6")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32" t="s">
        <v>118</v>
      </c>
      <c r="Y60" s="1032"/>
      <c r="Z60" s="1002"/>
      <c r="AA60" s="1002"/>
      <c r="AB60" s="1032" t="s">
        <v>119</v>
      </c>
      <c r="AC60" s="1032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'3'!AJ56+'3'!AL56+'3'!AN56</f>
        <v>0</v>
      </c>
      <c r="AM61" s="1005"/>
      <c r="AN61" s="1004" t="s">
        <v>121</v>
      </c>
      <c r="AO61" s="1004"/>
      <c r="AP61" s="1004"/>
      <c r="AQ61" s="1005">
        <f>'3'!AJ49+'3'!AL49+'3'!AN49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'3'!AA32</f>
        <v>63853.3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'3'!AL61-'3'!AL62</f>
        <v>0</v>
      </c>
      <c r="AM63" s="1005"/>
      <c r="AN63" s="1004" t="s">
        <v>125</v>
      </c>
      <c r="AO63" s="1004"/>
      <c r="AP63" s="1004"/>
      <c r="AQ63" s="1005">
        <f>'3'!AQ61-'3'!AQ62</f>
        <v>-63853.3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'2'!$Y$68</f>
        <v>#REF!</v>
      </c>
      <c r="Z65" s="1007"/>
      <c r="AA65" s="1007"/>
      <c r="AB65" s="174" t="s">
        <v>126</v>
      </c>
      <c r="AC65" s="216">
        <f>'2'!$AC$68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SUM('3'!AK38,'3'!AP38)</f>
        <v>2951</v>
      </c>
      <c r="Z67" s="1007"/>
      <c r="AA67" s="1007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 t="e">
        <f>SUM('3'!Y63,'3'!Y65)-'3'!Y67</f>
        <v>#REF!</v>
      </c>
      <c r="Z68" s="1007"/>
      <c r="AA68" s="1007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18" sqref="B18:Q1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21" t="s">
        <v>5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21"/>
      <c r="E3" s="1021"/>
      <c r="F3" s="1021"/>
      <c r="G3" s="1021"/>
      <c r="H3" s="1021"/>
      <c r="I3" s="1021"/>
      <c r="J3" s="1021"/>
      <c r="K3" s="1021"/>
      <c r="L3" s="1021"/>
      <c r="M3" s="1021"/>
      <c r="N3" s="1021"/>
      <c r="O3" s="1021"/>
      <c r="P3" s="1021"/>
      <c r="Q3" s="1021"/>
      <c r="R3" s="1021"/>
      <c r="S3" s="1021"/>
      <c r="T3" s="1021"/>
      <c r="U3" s="1021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1033" t="s">
        <v>12</v>
      </c>
      <c r="S4" s="1033"/>
      <c r="T4" s="1034" t="s">
        <v>13</v>
      </c>
      <c r="U4" s="103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1033"/>
      <c r="S5" s="1033"/>
      <c r="T5" s="1034"/>
      <c r="U5" s="103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5"/>
      <c r="V6" s="926"/>
      <c r="W6" s="926"/>
      <c r="X6" s="13">
        <v>4.1666666666666699E-2</v>
      </c>
      <c r="Y6" s="52">
        <v>2750</v>
      </c>
      <c r="Z6" s="180">
        <v>2016</v>
      </c>
      <c r="AA6" s="15">
        <v>1</v>
      </c>
      <c r="AB6" s="56">
        <f>IF('4'!AA6=1,(('4'!Z6*'4'!$AS$6*'4'!$AT$6)/('4'!Y6*0.0036)),IF('4'!AA6=2,(('4'!Z6*'4'!$AS$7*'4'!$AT$7)/('4'!Y6*0.0036))))</f>
        <v>135.41818181818184</v>
      </c>
      <c r="AC6" s="56"/>
      <c r="AD6" s="18">
        <f>(('4'!AC6*'4'!$Q$10*1000000))/('4'!Y6*3600)</f>
        <v>0</v>
      </c>
      <c r="AE6" s="19">
        <v>3000</v>
      </c>
      <c r="AF6" s="182">
        <f>('4'!AE6/24)*0.454</f>
        <v>56.75</v>
      </c>
      <c r="AG6" s="19">
        <v>500</v>
      </c>
      <c r="AH6" s="182">
        <f>('4'!AG6/24)*0.454</f>
        <v>9.4583333333333339</v>
      </c>
      <c r="AI6" s="19">
        <v>3000</v>
      </c>
      <c r="AJ6" s="182">
        <f>('4'!AI6/24)*0.454</f>
        <v>56.75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700</v>
      </c>
      <c r="C7" s="184">
        <v>10</v>
      </c>
      <c r="D7" s="184">
        <v>7.5</v>
      </c>
      <c r="E7" s="184">
        <v>2.5</v>
      </c>
      <c r="F7" s="184">
        <v>140</v>
      </c>
      <c r="G7" s="184">
        <v>3.1</v>
      </c>
      <c r="H7" s="184">
        <v>2.6</v>
      </c>
      <c r="I7" s="184" t="s">
        <v>443</v>
      </c>
      <c r="J7" s="184">
        <v>1.8</v>
      </c>
      <c r="K7" s="184">
        <v>6.8</v>
      </c>
      <c r="L7" s="184">
        <v>4.8</v>
      </c>
      <c r="M7" s="184">
        <v>4.8</v>
      </c>
      <c r="N7" s="184">
        <v>4.5</v>
      </c>
      <c r="O7" s="184">
        <v>3.2</v>
      </c>
      <c r="P7" s="184">
        <v>0.3</v>
      </c>
      <c r="Q7" s="184">
        <v>1.5</v>
      </c>
      <c r="R7" s="36">
        <f>'3'!$Z$29</f>
        <v>2016</v>
      </c>
      <c r="S7" s="185">
        <f>'3'!$AB$29</f>
        <v>134.24657534246577</v>
      </c>
      <c r="T7" s="36">
        <f>'3'!$Y$29</f>
        <v>2774</v>
      </c>
      <c r="U7" s="32" t="str">
        <f>IF('4'!AA6=1,'4'!AR6,'4'!AR7)</f>
        <v>S.A.L</v>
      </c>
      <c r="V7" s="1016">
        <f>ESCALA!$B$5</f>
        <v>0</v>
      </c>
      <c r="W7" s="1016"/>
      <c r="X7" s="13">
        <v>8.3333333333333301E-2</v>
      </c>
      <c r="Y7" s="52">
        <v>2763</v>
      </c>
      <c r="Z7" s="180">
        <v>2016</v>
      </c>
      <c r="AA7" s="15">
        <v>1</v>
      </c>
      <c r="AB7" s="56">
        <f>IF('4'!AA7=1,(('4'!Z7*'4'!$AS$6*'4'!$AT$6)/('4'!Y7*0.0036)),IF('4'!AA7=2,(('4'!Z7*'4'!$AS$7*'4'!$AT$7)/('4'!Y7*0.0036))))</f>
        <v>134.78103510676803</v>
      </c>
      <c r="AC7" s="56"/>
      <c r="AD7" s="18">
        <f>(('4'!AC7*'4'!$Q$10*1000000))/('4'!Y7*3600)</f>
        <v>0</v>
      </c>
      <c r="AE7" s="19">
        <v>3000</v>
      </c>
      <c r="AF7" s="182">
        <f>('4'!AE7/24)*0.454</f>
        <v>56.75</v>
      </c>
      <c r="AG7" s="19">
        <v>500</v>
      </c>
      <c r="AH7" s="182">
        <f>('4'!AG7/24)*0.454</f>
        <v>9.4583333333333339</v>
      </c>
      <c r="AI7" s="19">
        <v>3000</v>
      </c>
      <c r="AJ7" s="182">
        <f>('4'!AI7/24)*0.454</f>
        <v>56.75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700</v>
      </c>
      <c r="C8" s="184">
        <v>7.5</v>
      </c>
      <c r="D8" s="184">
        <v>7.5</v>
      </c>
      <c r="E8" s="184">
        <v>2.5</v>
      </c>
      <c r="F8" s="184">
        <v>135</v>
      </c>
      <c r="G8" s="184">
        <v>2.9</v>
      </c>
      <c r="H8" s="184">
        <v>2.6</v>
      </c>
      <c r="I8" s="184">
        <v>0.9</v>
      </c>
      <c r="J8" s="184">
        <v>1.86</v>
      </c>
      <c r="K8" s="184">
        <v>6.8</v>
      </c>
      <c r="L8" s="184">
        <v>5</v>
      </c>
      <c r="M8" s="184">
        <v>5</v>
      </c>
      <c r="N8" s="184">
        <v>4.5</v>
      </c>
      <c r="O8" s="184">
        <v>3</v>
      </c>
      <c r="P8" s="184">
        <v>0.2</v>
      </c>
      <c r="Q8" s="184">
        <v>1.2</v>
      </c>
      <c r="R8" s="34">
        <f>'4'!Z7</f>
        <v>2016</v>
      </c>
      <c r="S8" s="35">
        <f>'4'!AB7</f>
        <v>134.78103510676803</v>
      </c>
      <c r="T8" s="36">
        <f>'4'!Y7</f>
        <v>2763</v>
      </c>
      <c r="U8" s="32" t="str">
        <f>IF('4'!AA7=1,'4'!AR6,'4'!AR7)</f>
        <v>S.A.L</v>
      </c>
      <c r="V8" s="1016"/>
      <c r="W8" s="1016"/>
      <c r="X8" s="13">
        <v>0.125</v>
      </c>
      <c r="Y8" s="52">
        <v>2852</v>
      </c>
      <c r="Z8" s="180">
        <v>2016</v>
      </c>
      <c r="AA8" s="15">
        <v>1</v>
      </c>
      <c r="AB8" s="56">
        <f>IF('4'!AA8=1,(('4'!Z8*'4'!$AS$6*'4'!$AT$6)/('4'!Y8*0.0036)),IF('4'!AA8=2,(('4'!Z8*'4'!$AS$7*'4'!$AT$7)/('4'!Y8*0.0036))))</f>
        <v>130.57503506311363</v>
      </c>
      <c r="AC8" s="56"/>
      <c r="AD8" s="18">
        <f>(('4'!AC8*'4'!$Q$10*1000000))/('4'!Y8*3600)</f>
        <v>0</v>
      </c>
      <c r="AE8" s="19">
        <v>3000</v>
      </c>
      <c r="AF8" s="182">
        <f>('4'!AE8/24)*0.454</f>
        <v>56.75</v>
      </c>
      <c r="AG8" s="19">
        <v>500</v>
      </c>
      <c r="AH8" s="182">
        <f>('4'!AG8/24)*0.454</f>
        <v>9.4583333333333339</v>
      </c>
      <c r="AI8" s="19">
        <v>3000</v>
      </c>
      <c r="AJ8" s="182">
        <f>('4'!AI8/24)*0.454</f>
        <v>56.75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700</v>
      </c>
      <c r="C9" s="184">
        <v>7.5</v>
      </c>
      <c r="D9" s="184">
        <v>7.5</v>
      </c>
      <c r="E9" s="184">
        <v>2.5</v>
      </c>
      <c r="F9" s="184">
        <v>129</v>
      </c>
      <c r="G9" s="184">
        <v>2.8</v>
      </c>
      <c r="H9" s="184">
        <v>2.5</v>
      </c>
      <c r="I9" s="184">
        <v>0.81</v>
      </c>
      <c r="J9" s="184">
        <v>1.75</v>
      </c>
      <c r="K9" s="184">
        <v>6.8</v>
      </c>
      <c r="L9" s="184">
        <v>5</v>
      </c>
      <c r="M9" s="184">
        <v>5</v>
      </c>
      <c r="N9" s="184">
        <v>4.5</v>
      </c>
      <c r="O9" s="184">
        <v>2.5</v>
      </c>
      <c r="P9" s="184">
        <v>0.1</v>
      </c>
      <c r="Q9" s="184">
        <v>1.2</v>
      </c>
      <c r="R9" s="36">
        <f>'4'!Z9</f>
        <v>2016</v>
      </c>
      <c r="S9" s="35">
        <f>'4'!AB9</f>
        <v>131.82300884955754</v>
      </c>
      <c r="T9" s="36">
        <f>'4'!Y9</f>
        <v>2825</v>
      </c>
      <c r="U9" s="32" t="str">
        <f>IF('4'!AA9=1,'4'!AR6,'4'!AR7)</f>
        <v>S.A.L</v>
      </c>
      <c r="V9" s="1016"/>
      <c r="W9" s="1016"/>
      <c r="X9" s="13">
        <v>0.16666666666666699</v>
      </c>
      <c r="Y9" s="52">
        <v>2825</v>
      </c>
      <c r="Z9" s="180">
        <v>2016</v>
      </c>
      <c r="AA9" s="15">
        <v>1</v>
      </c>
      <c r="AB9" s="56">
        <f>IF('4'!AA9=1,(('4'!Z9*'4'!$AS$6*'4'!$AT$6)/('4'!Y9*0.0036)),IF('4'!AA9=2,(('4'!Z9*'4'!$AS$7*'4'!$AT$7)/('4'!Y9*0.0036))))</f>
        <v>131.82300884955754</v>
      </c>
      <c r="AC9" s="56"/>
      <c r="AD9" s="18">
        <f>(('4'!AC9*'4'!$Q$10*1000000))/('4'!Y9*3600)</f>
        <v>0</v>
      </c>
      <c r="AE9" s="19">
        <v>3000</v>
      </c>
      <c r="AF9" s="182">
        <f>('4'!AE9/24)*0.454</f>
        <v>56.75</v>
      </c>
      <c r="AG9" s="19">
        <v>500</v>
      </c>
      <c r="AH9" s="182">
        <f>('4'!AG9/24)*0.454</f>
        <v>9.4583333333333339</v>
      </c>
      <c r="AI9" s="19">
        <v>3000</v>
      </c>
      <c r="AJ9" s="182">
        <f>('4'!AI9/24)*0.454</f>
        <v>56.75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700</v>
      </c>
      <c r="C10" s="184">
        <v>7.5</v>
      </c>
      <c r="D10" s="184">
        <v>7.5</v>
      </c>
      <c r="E10" s="184">
        <v>2.5</v>
      </c>
      <c r="F10" s="184">
        <v>126</v>
      </c>
      <c r="G10" s="184">
        <v>2.7</v>
      </c>
      <c r="H10" s="184">
        <v>2.5</v>
      </c>
      <c r="I10" s="184">
        <v>0.85</v>
      </c>
      <c r="J10" s="184">
        <v>1.58</v>
      </c>
      <c r="K10" s="184">
        <v>6.8</v>
      </c>
      <c r="L10" s="184">
        <v>5</v>
      </c>
      <c r="M10" s="184">
        <v>5</v>
      </c>
      <c r="N10" s="184">
        <v>4.5</v>
      </c>
      <c r="O10" s="184">
        <v>2.6</v>
      </c>
      <c r="P10" s="184">
        <v>0.2</v>
      </c>
      <c r="Q10" s="184">
        <v>1.2</v>
      </c>
      <c r="R10" s="36">
        <f>'4'!Z11</f>
        <v>2016</v>
      </c>
      <c r="S10" s="35">
        <f>'4'!AB11</f>
        <v>136.11111111111111</v>
      </c>
      <c r="T10" s="36">
        <f>'4'!Y11</f>
        <v>2736</v>
      </c>
      <c r="U10" s="32" t="str">
        <f>IF('4'!AA11=1,'4'!AR6,'4'!AR7)</f>
        <v>S.A.L</v>
      </c>
      <c r="V10" s="1016"/>
      <c r="W10" s="1016"/>
      <c r="X10" s="13">
        <v>0.20833333333333301</v>
      </c>
      <c r="Y10" s="52">
        <v>2795</v>
      </c>
      <c r="Z10" s="180">
        <v>2016</v>
      </c>
      <c r="AA10" s="15">
        <v>1</v>
      </c>
      <c r="AB10" s="56">
        <f>IF('4'!AA10=1,(('4'!Z10*'4'!$AS$6*'4'!$AT$6)/('4'!Y10*0.0036)),IF('4'!AA10=2,(('4'!Z10*'4'!$AS$7*'4'!$AT$7)/('4'!Y10*0.0036))))</f>
        <v>133.23792486583187</v>
      </c>
      <c r="AC10" s="56"/>
      <c r="AD10" s="18">
        <f>(('4'!AC10*'4'!$Q$10*1000000))/('4'!Y10*3600)</f>
        <v>0</v>
      </c>
      <c r="AE10" s="19">
        <v>3000</v>
      </c>
      <c r="AF10" s="182">
        <f>('4'!AE10/24)*0.454</f>
        <v>56.75</v>
      </c>
      <c r="AG10" s="19">
        <v>500</v>
      </c>
      <c r="AH10" s="182">
        <f>('4'!AG10/24)*0.454</f>
        <v>9.4583333333333339</v>
      </c>
      <c r="AI10" s="19">
        <v>3400</v>
      </c>
      <c r="AJ10" s="182">
        <f>('4'!AI10/24)*0.454</f>
        <v>64.316666666666663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650</v>
      </c>
      <c r="C11" s="184">
        <v>10</v>
      </c>
      <c r="D11" s="184">
        <v>10</v>
      </c>
      <c r="E11" s="184">
        <v>2.5</v>
      </c>
      <c r="F11" s="184">
        <v>126</v>
      </c>
      <c r="G11" s="184">
        <v>3.4</v>
      </c>
      <c r="H11" s="184">
        <v>2.9</v>
      </c>
      <c r="I11" s="184">
        <v>0.81</v>
      </c>
      <c r="J11" s="184">
        <v>1.4</v>
      </c>
      <c r="K11" s="184">
        <v>6.8</v>
      </c>
      <c r="L11" s="184">
        <v>4.8</v>
      </c>
      <c r="M11" s="184">
        <v>4.8</v>
      </c>
      <c r="N11" s="184">
        <v>4.8</v>
      </c>
      <c r="O11" s="184">
        <v>2.8</v>
      </c>
      <c r="P11" s="184">
        <v>0.3</v>
      </c>
      <c r="Q11" s="184">
        <v>0</v>
      </c>
      <c r="R11" s="36">
        <f>'4'!Z13</f>
        <v>2016</v>
      </c>
      <c r="S11" s="35">
        <f>'4'!AB13</f>
        <v>134.19819819819821</v>
      </c>
      <c r="T11" s="36">
        <f>'4'!Y13</f>
        <v>2775</v>
      </c>
      <c r="U11" s="32" t="str">
        <f>IF('4'!AA13=1,'4'!AR6,'4'!AR7)</f>
        <v>S.A.L</v>
      </c>
      <c r="V11" s="1016"/>
      <c r="W11" s="1016"/>
      <c r="X11" s="13">
        <v>0.25</v>
      </c>
      <c r="Y11" s="52">
        <v>2736</v>
      </c>
      <c r="Z11" s="180">
        <v>2016</v>
      </c>
      <c r="AA11" s="15">
        <v>1</v>
      </c>
      <c r="AB11" s="56">
        <f>IF('4'!AA11=1,(('4'!Z11*'4'!$AS$6*'4'!$AT$6)/('4'!Y11*0.0036)),IF('4'!AA11=2,(('4'!Z11*'4'!$AS$7*'4'!$AT$7)/('4'!Y11*0.0036))))</f>
        <v>136.11111111111111</v>
      </c>
      <c r="AC11" s="56"/>
      <c r="AD11" s="18">
        <f>(('4'!AC11*'4'!$Q$10*1000000))/('4'!Y11*3600)</f>
        <v>0</v>
      </c>
      <c r="AE11" s="19">
        <v>3000</v>
      </c>
      <c r="AF11" s="182">
        <f>('4'!AE11/24)*0.454</f>
        <v>56.75</v>
      </c>
      <c r="AG11" s="19">
        <v>500</v>
      </c>
      <c r="AH11" s="182">
        <f>('4'!AG11/24)*0.454</f>
        <v>9.4583333333333339</v>
      </c>
      <c r="AI11" s="19">
        <v>3400</v>
      </c>
      <c r="AJ11" s="182">
        <f>('4'!AI11/24)*0.454</f>
        <v>64.316666666666663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650</v>
      </c>
      <c r="C12" s="184">
        <v>10</v>
      </c>
      <c r="D12" s="184">
        <v>10</v>
      </c>
      <c r="E12" s="184">
        <v>2.5</v>
      </c>
      <c r="F12" s="184">
        <v>127</v>
      </c>
      <c r="G12" s="184">
        <v>3.9</v>
      </c>
      <c r="H12" s="184">
        <v>3.6</v>
      </c>
      <c r="I12" s="184">
        <v>0.76</v>
      </c>
      <c r="J12" s="184">
        <v>1.2</v>
      </c>
      <c r="K12" s="184">
        <v>6.8</v>
      </c>
      <c r="L12" s="184">
        <v>4.8</v>
      </c>
      <c r="M12" s="184">
        <v>4.8</v>
      </c>
      <c r="N12" s="184">
        <v>4.8</v>
      </c>
      <c r="O12" s="184">
        <v>2.7</v>
      </c>
      <c r="P12" s="184">
        <v>0.3</v>
      </c>
      <c r="Q12" s="184">
        <v>0</v>
      </c>
      <c r="R12" s="36">
        <f>'4'!Z15</f>
        <v>2016</v>
      </c>
      <c r="S12" s="35">
        <f>'4'!AB15</f>
        <v>135.4674427064387</v>
      </c>
      <c r="T12" s="36">
        <f>'4'!Y15</f>
        <v>2749</v>
      </c>
      <c r="U12" s="32" t="str">
        <f>IF('4'!AA15=1,'4'!AR6,'4'!AR7)</f>
        <v>S.A.L</v>
      </c>
      <c r="V12" s="938">
        <f>ESCALA!$B$6</f>
        <v>0</v>
      </c>
      <c r="W12" s="938"/>
      <c r="X12" s="13">
        <v>0.29166666666666702</v>
      </c>
      <c r="Y12" s="52">
        <v>2765</v>
      </c>
      <c r="Z12" s="180">
        <v>2016</v>
      </c>
      <c r="AA12" s="15">
        <v>1</v>
      </c>
      <c r="AB12" s="56">
        <f>IF('4'!AA12=1,(('4'!Z12*'4'!$AS$6*'4'!$AT$6)/('4'!Y12*0.0036)),IF('4'!AA12=2,(('4'!Z12*'4'!$AS$7*'4'!$AT$7)/('4'!Y12*0.0036))))</f>
        <v>134.6835443037975</v>
      </c>
      <c r="AC12" s="56"/>
      <c r="AD12" s="18">
        <f>(('4'!AC12*'4'!$Q$10*1000000))/('4'!Y12*3600)</f>
        <v>0</v>
      </c>
      <c r="AE12" s="19">
        <v>3000</v>
      </c>
      <c r="AF12" s="182">
        <f>('4'!AE12/24)*0.454</f>
        <v>56.75</v>
      </c>
      <c r="AG12" s="19">
        <v>500</v>
      </c>
      <c r="AH12" s="182">
        <f>('4'!AG12/24)*0.454</f>
        <v>9.4583333333333339</v>
      </c>
      <c r="AI12" s="19">
        <v>3400</v>
      </c>
      <c r="AJ12" s="182">
        <f>('4'!AI12/24)*0.454</f>
        <v>64.316666666666663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650</v>
      </c>
      <c r="C13" s="184">
        <v>10</v>
      </c>
      <c r="D13" s="184">
        <v>10</v>
      </c>
      <c r="E13" s="184">
        <v>2.5</v>
      </c>
      <c r="F13" s="184">
        <v>127</v>
      </c>
      <c r="G13" s="184">
        <v>4.2</v>
      </c>
      <c r="H13" s="184">
        <v>3.8</v>
      </c>
      <c r="I13" s="184">
        <v>0.74</v>
      </c>
      <c r="J13" s="184">
        <v>1.1000000000000001</v>
      </c>
      <c r="K13" s="184">
        <v>6.8</v>
      </c>
      <c r="L13" s="184">
        <v>4.8</v>
      </c>
      <c r="M13" s="184">
        <v>4.8</v>
      </c>
      <c r="N13" s="184">
        <v>4.8</v>
      </c>
      <c r="O13" s="184">
        <v>2.6</v>
      </c>
      <c r="P13" s="184">
        <v>0.3</v>
      </c>
      <c r="Q13" s="184">
        <v>0</v>
      </c>
      <c r="R13" s="36">
        <f>'4'!Z17</f>
        <v>2016</v>
      </c>
      <c r="S13" s="35">
        <f>'4'!AB17</f>
        <v>132.29129662522203</v>
      </c>
      <c r="T13" s="36">
        <f>'4'!Y17</f>
        <v>2815</v>
      </c>
      <c r="U13" s="32" t="str">
        <f>IF('4'!AA17=1,'4'!AR6,'4'!AR7)</f>
        <v>S.A.L</v>
      </c>
      <c r="V13" s="938"/>
      <c r="W13" s="938"/>
      <c r="X13" s="13">
        <v>0.33333333333333298</v>
      </c>
      <c r="Y13" s="52">
        <v>2775</v>
      </c>
      <c r="Z13" s="180">
        <v>2016</v>
      </c>
      <c r="AA13" s="15">
        <v>1</v>
      </c>
      <c r="AB13" s="56">
        <f>IF('4'!AA13=1,(('4'!Z13*'4'!$AS$6*'4'!$AT$6)/('4'!Y13*0.0036)),IF('4'!AA13=2,(('4'!Z13*'4'!$AS$7*'4'!$AT$7)/('4'!Y13*0.0036))))</f>
        <v>134.19819819819821</v>
      </c>
      <c r="AC13" s="56"/>
      <c r="AD13" s="18">
        <f>(('4'!AC13*'4'!$Q$10*1000000))/('4'!Y13*3600)</f>
        <v>0</v>
      </c>
      <c r="AE13" s="19">
        <v>3000</v>
      </c>
      <c r="AF13" s="182">
        <f>('4'!AE13/24)*0.454</f>
        <v>56.75</v>
      </c>
      <c r="AG13" s="19">
        <v>0</v>
      </c>
      <c r="AH13" s="182">
        <f>('4'!AG13/24)*0.454</f>
        <v>0</v>
      </c>
      <c r="AI13" s="19">
        <v>3400</v>
      </c>
      <c r="AJ13" s="182">
        <f>('4'!AI13/24)*0.454</f>
        <v>64.316666666666663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650</v>
      </c>
      <c r="C14" s="184">
        <v>10</v>
      </c>
      <c r="D14" s="184">
        <v>10</v>
      </c>
      <c r="E14" s="184">
        <v>5</v>
      </c>
      <c r="F14" s="184">
        <v>126</v>
      </c>
      <c r="G14" s="184">
        <v>3.7</v>
      </c>
      <c r="H14" s="184">
        <v>3.5</v>
      </c>
      <c r="I14" s="184">
        <v>0.69</v>
      </c>
      <c r="J14" s="184">
        <v>1.3</v>
      </c>
      <c r="K14" s="184">
        <v>6.8</v>
      </c>
      <c r="L14" s="184">
        <v>4.8</v>
      </c>
      <c r="M14" s="184">
        <v>4.8</v>
      </c>
      <c r="N14" s="184">
        <v>4.8</v>
      </c>
      <c r="O14" s="184">
        <v>2.5</v>
      </c>
      <c r="P14" s="184">
        <v>0.3</v>
      </c>
      <c r="Q14" s="184">
        <v>0</v>
      </c>
      <c r="R14" s="36">
        <f>'4'!Z19</f>
        <v>2016</v>
      </c>
      <c r="S14" s="35">
        <f>'4'!AB19</f>
        <v>129.35046891281695</v>
      </c>
      <c r="T14" s="36">
        <f>'4'!Y19</f>
        <v>2879</v>
      </c>
      <c r="U14" s="32" t="str">
        <f>IF('4'!AA19=1,'4'!AR6,'4'!AR7)</f>
        <v>S.A.L</v>
      </c>
      <c r="V14" s="938"/>
      <c r="W14" s="938"/>
      <c r="X14" s="13">
        <v>0.375</v>
      </c>
      <c r="Y14" s="52">
        <v>2737</v>
      </c>
      <c r="Z14" s="180">
        <v>2016</v>
      </c>
      <c r="AA14" s="15">
        <v>1</v>
      </c>
      <c r="AB14" s="56">
        <f>IF('4'!AA14=1,(('4'!Z14*'4'!$AS$6*'4'!$AT$6)/('4'!Y14*0.0036)),IF('4'!AA14=2,(('4'!Z14*'4'!$AS$7*'4'!$AT$7)/('4'!Y14*0.0036))))</f>
        <v>136.06138107416882</v>
      </c>
      <c r="AC14" s="56"/>
      <c r="AD14" s="18">
        <f>(('4'!AC14*'4'!$Q$10*1000000))/('4'!Y14*3600)</f>
        <v>0</v>
      </c>
      <c r="AE14" s="19">
        <v>3000</v>
      </c>
      <c r="AF14" s="182">
        <f>('4'!AE14/24)*0.454</f>
        <v>56.75</v>
      </c>
      <c r="AG14" s="19">
        <v>0</v>
      </c>
      <c r="AH14" s="182">
        <f>('4'!AG14/24)*0.454</f>
        <v>0</v>
      </c>
      <c r="AI14" s="19">
        <v>3400</v>
      </c>
      <c r="AJ14" s="182">
        <f>('4'!AI14/24)*0.454</f>
        <v>64.316666666666663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650</v>
      </c>
      <c r="C15" s="184">
        <v>10</v>
      </c>
      <c r="D15" s="184">
        <v>10</v>
      </c>
      <c r="E15" s="184">
        <v>5</v>
      </c>
      <c r="F15" s="184">
        <v>125</v>
      </c>
      <c r="G15" s="184">
        <v>3.6</v>
      </c>
      <c r="H15" s="184">
        <v>3.4</v>
      </c>
      <c r="I15" s="184">
        <v>0.7</v>
      </c>
      <c r="J15" s="184">
        <v>1.3</v>
      </c>
      <c r="K15" s="184">
        <v>6.8</v>
      </c>
      <c r="L15" s="184">
        <v>4.8</v>
      </c>
      <c r="M15" s="184">
        <v>4.8</v>
      </c>
      <c r="N15" s="184">
        <v>5</v>
      </c>
      <c r="O15" s="184">
        <v>2.5</v>
      </c>
      <c r="P15" s="184">
        <v>0.3</v>
      </c>
      <c r="Q15" s="184">
        <v>0</v>
      </c>
      <c r="R15" s="36">
        <f>'4'!Z21</f>
        <v>2016</v>
      </c>
      <c r="S15" s="35">
        <f>'4'!AB21</f>
        <v>130.30090972708189</v>
      </c>
      <c r="T15" s="36">
        <f>'4'!Y21</f>
        <v>2858</v>
      </c>
      <c r="U15" s="32" t="str">
        <f>IF('4'!AA21=1,'4'!AR6,'4'!AR7)</f>
        <v>S.A.L</v>
      </c>
      <c r="V15" s="938"/>
      <c r="W15" s="938"/>
      <c r="X15" s="13">
        <v>0.41666666666666702</v>
      </c>
      <c r="Y15" s="52">
        <v>2749</v>
      </c>
      <c r="Z15" s="180">
        <v>2016</v>
      </c>
      <c r="AA15" s="15">
        <v>1</v>
      </c>
      <c r="AB15" s="56">
        <f>IF('4'!AA15=1,(('4'!Z15*'4'!$AS$6*'4'!$AT$6)/('4'!Y15*0.0036)),IF('4'!AA15=2,(('4'!Z15*'4'!$AS$7*'4'!$AT$7)/('4'!Y15*0.0036))))</f>
        <v>135.4674427064387</v>
      </c>
      <c r="AC15" s="56"/>
      <c r="AD15" s="18">
        <f>(('4'!AC15*'4'!$Q$10*1000000))/('4'!Y15*3600)</f>
        <v>0</v>
      </c>
      <c r="AE15" s="19">
        <v>3000</v>
      </c>
      <c r="AF15" s="182">
        <f>('4'!AE15/24)*0.454</f>
        <v>56.75</v>
      </c>
      <c r="AG15" s="19">
        <v>0</v>
      </c>
      <c r="AH15" s="182">
        <f>('4'!AG15/24)*0.454</f>
        <v>0</v>
      </c>
      <c r="AI15" s="19">
        <v>3400</v>
      </c>
      <c r="AJ15" s="182">
        <f>('4'!AI15/24)*0.454</f>
        <v>64.316666666666663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650</v>
      </c>
      <c r="C16" s="184">
        <v>10</v>
      </c>
      <c r="D16" s="184">
        <v>10</v>
      </c>
      <c r="E16" s="184">
        <v>5</v>
      </c>
      <c r="F16" s="184">
        <v>124</v>
      </c>
      <c r="G16" s="184">
        <v>3.5</v>
      </c>
      <c r="H16" s="184">
        <v>3.6</v>
      </c>
      <c r="I16" s="184">
        <v>0.71</v>
      </c>
      <c r="J16" s="184">
        <v>1.2</v>
      </c>
      <c r="K16" s="184">
        <v>6.8</v>
      </c>
      <c r="L16" s="184">
        <v>4.8</v>
      </c>
      <c r="M16" s="184">
        <v>4.8</v>
      </c>
      <c r="N16" s="184">
        <v>5</v>
      </c>
      <c r="O16" s="184">
        <v>2.8</v>
      </c>
      <c r="P16" s="184">
        <v>0.4</v>
      </c>
      <c r="Q16" s="184">
        <v>0.8</v>
      </c>
      <c r="R16" s="36">
        <f>'4'!Z23</f>
        <v>2016</v>
      </c>
      <c r="S16" s="35">
        <f>'4'!AB23</f>
        <v>131.54362416107384</v>
      </c>
      <c r="T16" s="36">
        <f>'4'!Y23</f>
        <v>2831</v>
      </c>
      <c r="U16" s="32" t="str">
        <f>IF('4'!AA23=1,'4'!AR6,'4'!AR7)</f>
        <v>S.A.L</v>
      </c>
      <c r="V16" s="938"/>
      <c r="W16" s="938"/>
      <c r="X16" s="13">
        <v>0.45833333333333298</v>
      </c>
      <c r="Y16" s="52">
        <v>2787</v>
      </c>
      <c r="Z16" s="180">
        <v>2016</v>
      </c>
      <c r="AA16" s="15">
        <v>1</v>
      </c>
      <c r="AB16" s="56">
        <f>IF('4'!AA16=1,(('4'!Z16*'4'!$AS$6*'4'!$AT$6)/('4'!Y16*0.0036)),IF('4'!AA16=2,(('4'!Z16*'4'!$AS$7*'4'!$AT$7)/('4'!Y16*0.0036))))</f>
        <v>133.62038033728027</v>
      </c>
      <c r="AC16" s="56"/>
      <c r="AD16" s="18">
        <f>(('4'!AC16*'4'!$Q$10*1000000))/('4'!Y16*3600)</f>
        <v>0</v>
      </c>
      <c r="AE16" s="19">
        <v>3000</v>
      </c>
      <c r="AF16" s="182">
        <f>('4'!AE16/24)*0.454</f>
        <v>56.75</v>
      </c>
      <c r="AG16" s="19">
        <v>0</v>
      </c>
      <c r="AH16" s="182">
        <f>('4'!AG16/24)*0.454</f>
        <v>0</v>
      </c>
      <c r="AI16" s="19">
        <v>3400</v>
      </c>
      <c r="AJ16" s="182">
        <f>('4'!AI16/24)*0.454</f>
        <v>64.316666666666663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650</v>
      </c>
      <c r="C17" s="184">
        <v>10</v>
      </c>
      <c r="D17" s="184">
        <v>10</v>
      </c>
      <c r="E17" s="184">
        <v>2.5</v>
      </c>
      <c r="F17" s="184">
        <v>126</v>
      </c>
      <c r="G17" s="184">
        <v>3.4</v>
      </c>
      <c r="H17" s="184">
        <v>3.8</v>
      </c>
      <c r="I17" s="184">
        <v>0.72</v>
      </c>
      <c r="J17" s="184">
        <v>1.2</v>
      </c>
      <c r="K17" s="184">
        <v>6.8</v>
      </c>
      <c r="L17" s="184">
        <v>4.8</v>
      </c>
      <c r="M17" s="184">
        <v>4.8</v>
      </c>
      <c r="N17" s="184">
        <v>5</v>
      </c>
      <c r="O17" s="184">
        <v>3.2</v>
      </c>
      <c r="P17" s="184">
        <v>0.5</v>
      </c>
      <c r="Q17" s="184">
        <v>1.2</v>
      </c>
      <c r="R17" s="36">
        <f>'4'!Z25</f>
        <v>2016</v>
      </c>
      <c r="S17" s="35">
        <f>'4'!AB25</f>
        <v>131.26542121959818</v>
      </c>
      <c r="T17" s="36">
        <f>'4'!Y25</f>
        <v>2837</v>
      </c>
      <c r="U17" s="32" t="str">
        <f>IF('4'!AA25=1,'4'!AR6,'4'!AR7)</f>
        <v>S.A.L</v>
      </c>
      <c r="V17" s="939">
        <f>ESCALA!$C$6</f>
        <v>0</v>
      </c>
      <c r="W17" s="939"/>
      <c r="X17" s="13">
        <v>0.5</v>
      </c>
      <c r="Y17" s="52">
        <v>2815</v>
      </c>
      <c r="Z17" s="180">
        <v>2016</v>
      </c>
      <c r="AA17" s="15">
        <v>1</v>
      </c>
      <c r="AB17" s="56">
        <f>IF('4'!AA17=1,(('4'!Z17*'4'!$AS$6*'4'!$AT$6)/('4'!Y17*0.0036)),IF('4'!AA17=2,(('4'!Z17*'4'!$AS$7*'4'!$AT$7)/('4'!Y17*0.0036))))</f>
        <v>132.29129662522203</v>
      </c>
      <c r="AC17" s="56"/>
      <c r="AD17" s="18">
        <f>(('4'!AC17*'4'!$Q$10*1000000))/('4'!Y17*3600)</f>
        <v>0</v>
      </c>
      <c r="AE17" s="19">
        <v>3000</v>
      </c>
      <c r="AF17" s="182">
        <f>('4'!AE17/24)*0.454</f>
        <v>56.75</v>
      </c>
      <c r="AG17" s="19">
        <v>0</v>
      </c>
      <c r="AH17" s="182">
        <f>('4'!AG17/24)*0.454</f>
        <v>0</v>
      </c>
      <c r="AI17" s="19">
        <v>3400</v>
      </c>
      <c r="AJ17" s="182">
        <f>('4'!AI17/24)*0.454</f>
        <v>64.316666666666663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650</v>
      </c>
      <c r="C18" s="184">
        <v>10</v>
      </c>
      <c r="D18" s="184">
        <v>10</v>
      </c>
      <c r="E18" s="184">
        <v>2.5</v>
      </c>
      <c r="F18" s="184">
        <v>128</v>
      </c>
      <c r="G18" s="184">
        <v>3.4</v>
      </c>
      <c r="H18" s="184">
        <v>4.3</v>
      </c>
      <c r="I18" s="184">
        <v>0.72</v>
      </c>
      <c r="J18" s="184">
        <v>1.2</v>
      </c>
      <c r="K18" s="184">
        <v>6.8</v>
      </c>
      <c r="L18" s="184">
        <v>4.8</v>
      </c>
      <c r="M18" s="184">
        <v>4.8</v>
      </c>
      <c r="N18" s="184">
        <v>5</v>
      </c>
      <c r="O18" s="184">
        <v>3.6</v>
      </c>
      <c r="P18" s="184">
        <v>0.7</v>
      </c>
      <c r="Q18" s="184">
        <v>1.5</v>
      </c>
      <c r="R18" s="36">
        <f>'4'!Z27</f>
        <v>2016</v>
      </c>
      <c r="S18" s="35">
        <f>'4'!AB27</f>
        <v>128.36952774905205</v>
      </c>
      <c r="T18" s="36">
        <f>'4'!Y27</f>
        <v>2901</v>
      </c>
      <c r="U18" s="32" t="str">
        <f>IF('4'!AA27=1,'4'!AR6,'4'!AR7)</f>
        <v>S.A.L</v>
      </c>
      <c r="V18" s="939"/>
      <c r="W18" s="939"/>
      <c r="X18" s="13">
        <v>0.54166666666666696</v>
      </c>
      <c r="Y18" s="52">
        <v>2163</v>
      </c>
      <c r="Z18" s="180">
        <v>2016</v>
      </c>
      <c r="AA18" s="15">
        <v>1</v>
      </c>
      <c r="AB18" s="56">
        <f>IF('4'!AA18=1,(('4'!Z18*'4'!$AS$6*'4'!$AT$6)/('4'!Y18*0.0036)),IF('4'!AA18=2,(('4'!Z18*'4'!$AS$7*'4'!$AT$7)/('4'!Y18*0.0036))))</f>
        <v>172.16828478964405</v>
      </c>
      <c r="AC18" s="56"/>
      <c r="AD18" s="18">
        <f>(('4'!AC18*'4'!$Q$10*1000000))/('4'!Y18*3600)</f>
        <v>0</v>
      </c>
      <c r="AE18" s="19">
        <v>3000</v>
      </c>
      <c r="AF18" s="182">
        <f>('4'!AE18/24)*0.454</f>
        <v>56.75</v>
      </c>
      <c r="AG18" s="19">
        <v>0</v>
      </c>
      <c r="AH18" s="182">
        <f>('4'!AG18/24)*0.454</f>
        <v>0</v>
      </c>
      <c r="AI18" s="19">
        <v>3400</v>
      </c>
      <c r="AJ18" s="182">
        <f>('4'!AI18/24)*0.454</f>
        <v>64.316666666666663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700</v>
      </c>
      <c r="C19" s="67">
        <f t="array" ref="C19">IF('3'!C7:C18&gt;0.01,AVERAGE('3'!C7:C18),"")</f>
        <v>10.833333333333334</v>
      </c>
      <c r="D19" s="67">
        <f t="array" ref="D19">IF('3'!D7:D18&gt;0.01,AVERAGE('3'!D7:D18),"")</f>
        <v>8.75</v>
      </c>
      <c r="E19" s="67">
        <f t="array" ref="E19">IF('3'!E7:E18&gt;0.01,AVERAGE('3'!E7:E18),"")</f>
        <v>3.75</v>
      </c>
      <c r="F19" s="67">
        <f t="array" ref="F19">IF('3'!F7:F18&gt;0.01,AVERAGE('3'!F7:F18),"")</f>
        <v>153.91666666666666</v>
      </c>
      <c r="G19" s="67">
        <f t="array" ref="G19">IF('3'!G7:G18&gt;0.01,AVERAGE('3'!G7:G18),"")</f>
        <v>3.6500000000000004</v>
      </c>
      <c r="H19" s="67">
        <f t="array" ref="H19">IF('3'!H7:H18&gt;0.01,AVERAGE('3'!H7:H18),"")</f>
        <v>3.0666666666666664</v>
      </c>
      <c r="I19" s="67">
        <f t="array" ref="I19">IF('3'!I7:I18&gt;0.01,AVERAGE('3'!I7:I18),"")</f>
        <v>0.98583333333333334</v>
      </c>
      <c r="J19" s="67">
        <f t="array" ref="J19">IF('3'!J7:J18&gt;0.01,AVERAGE('3'!J7:J18),"")</f>
        <v>1.5158333333333334</v>
      </c>
      <c r="K19" s="67">
        <f t="array" ref="K19">IF('3'!K7:K18&gt;0.01,AVERAGE('3'!K7:K18),"")</f>
        <v>6.799999999999998</v>
      </c>
      <c r="L19" s="218">
        <f t="array" ref="L19">IF('3'!L7:L18&gt;0.01,AVERAGE('3'!L7:L18),"")</f>
        <v>4.7999999999999989</v>
      </c>
      <c r="M19" s="67">
        <f t="array" ref="M19">IF('3'!M7:M18&gt;0.01,AVERAGE('3'!M7:M18),"")</f>
        <v>4.7999999999999989</v>
      </c>
      <c r="N19" s="67">
        <f t="array" ref="N19">IF('3'!N7:N18&gt;0.01,AVERAGE('3'!N7:N18),"")</f>
        <v>4.9416666666666664</v>
      </c>
      <c r="O19" s="67">
        <f t="array" ref="O19">IF('3'!O7:O18&gt;0.01,AVERAGE('3'!O7:O18),"")</f>
        <v>3.3916666666666675</v>
      </c>
      <c r="P19" s="188">
        <f t="array" ref="P19">IF('2'!P7:P18&gt;0.01,AVERAGE('2'!P7:P18),"")</f>
        <v>2.5416666666666665</v>
      </c>
      <c r="Q19" s="189">
        <f t="array" ref="Q19">IF('2'!Q7:Q18&gt;0.01,AVERAGE('2'!Q7:Q18),"")</f>
        <v>1.5916666666666668</v>
      </c>
      <c r="R19" s="189">
        <f t="array" ref="R19">IF('4'!R7:R18&gt;0.01,AVERAGE('4'!R7:R18),"")</f>
        <v>2016</v>
      </c>
      <c r="S19" s="189">
        <f t="array" ref="S19">IF('4'!S7:S18&gt;0.01,AVERAGE('4'!S7:S18),"")</f>
        <v>132.4790516424487</v>
      </c>
      <c r="T19" s="940"/>
      <c r="U19" s="940"/>
      <c r="V19" s="47"/>
      <c r="W19" s="48"/>
      <c r="X19" s="13">
        <v>0.58333333333333304</v>
      </c>
      <c r="Y19" s="52">
        <v>2879</v>
      </c>
      <c r="Z19" s="180">
        <v>2016</v>
      </c>
      <c r="AA19" s="15">
        <v>1</v>
      </c>
      <c r="AB19" s="56">
        <f>IF('4'!AA19=1,(('4'!Z19*'4'!$AS$6*'4'!$AT$6)/('4'!Y19*0.0036)),IF('4'!AA19=2,(('4'!Z19*'4'!$AS$7*'4'!$AT$7)/('4'!Y19*0.0036))))</f>
        <v>129.35046891281695</v>
      </c>
      <c r="AC19" s="56"/>
      <c r="AD19" s="18">
        <f>(('4'!AC19*'4'!$Q$10*1000000))/('4'!Y19*3600)</f>
        <v>0</v>
      </c>
      <c r="AE19" s="19">
        <v>3000</v>
      </c>
      <c r="AF19" s="182">
        <f>('4'!AE19/24)*0.454</f>
        <v>56.75</v>
      </c>
      <c r="AG19" s="19">
        <v>0</v>
      </c>
      <c r="AH19" s="182">
        <f>('4'!AG19/24)*0.454</f>
        <v>0</v>
      </c>
      <c r="AI19" s="19">
        <v>3400</v>
      </c>
      <c r="AJ19" s="182">
        <f>('4'!AI19/24)*0.454</f>
        <v>64.316666666666663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700</v>
      </c>
      <c r="C20" s="67">
        <f>MAX(C7:C18)</f>
        <v>10</v>
      </c>
      <c r="D20" s="67">
        <f>MAX(D7:D18)</f>
        <v>10</v>
      </c>
      <c r="E20" s="67">
        <f>MAX(E7:E18)</f>
        <v>5</v>
      </c>
      <c r="F20" s="67">
        <f>MAX('5'!F7:F18)</f>
        <v>130</v>
      </c>
      <c r="G20" s="67">
        <f>MAX('5'!G7:G18)</f>
        <v>4.2</v>
      </c>
      <c r="H20" s="67">
        <f>MAX('5'!H7:H18)</f>
        <v>6.8</v>
      </c>
      <c r="I20" s="67">
        <f>MAX('5'!I7:I18)</f>
        <v>0.87</v>
      </c>
      <c r="J20" s="67">
        <f>MAX('5'!J7:J18)</f>
        <v>1.8</v>
      </c>
      <c r="K20" s="67">
        <f>MAX('5'!K7:K18)</f>
        <v>7</v>
      </c>
      <c r="L20" s="67">
        <f>MAX('5'!L7:L18)</f>
        <v>4.8</v>
      </c>
      <c r="M20" s="67">
        <f>MAX('5'!M7:M18)</f>
        <v>4.8</v>
      </c>
      <c r="N20" s="67">
        <f>MAX('5'!N7:N18)</f>
        <v>5.7</v>
      </c>
      <c r="O20" s="68">
        <f>MAX('4'!O7:O18)</f>
        <v>3.6</v>
      </c>
      <c r="P20" s="68">
        <f>MAX('5'!P7:P18)</f>
        <v>1.2</v>
      </c>
      <c r="Q20" s="68">
        <f>MAX('5'!Q7:Q18)</f>
        <v>2.5</v>
      </c>
      <c r="R20" s="68">
        <f>MAX('4'!R7:R18)</f>
        <v>2016</v>
      </c>
      <c r="S20" s="68">
        <f>MAX('4'!S7:S18)</f>
        <v>136.11111111111111</v>
      </c>
      <c r="T20" s="940"/>
      <c r="U20" s="940"/>
      <c r="X20" s="13">
        <v>0.625</v>
      </c>
      <c r="Y20" s="52">
        <v>2861</v>
      </c>
      <c r="Z20" s="180">
        <v>2016</v>
      </c>
      <c r="AA20" s="15">
        <v>1</v>
      </c>
      <c r="AB20" s="56">
        <f>IF('4'!AA20=1,(('4'!Z20*'4'!$AS$6*'4'!$AT$6)/('4'!Y20*0.0036)),IF('4'!AA20=2,(('4'!Z20*'4'!$AS$7*'4'!$AT$7)/('4'!Y20*0.0036))))</f>
        <v>130.16427822439707</v>
      </c>
      <c r="AC20" s="56"/>
      <c r="AD20" s="18">
        <f>(('4'!AC20*'4'!$Q$10*1000000))/('4'!Y20*3600)</f>
        <v>0</v>
      </c>
      <c r="AE20" s="19">
        <v>3000</v>
      </c>
      <c r="AF20" s="182">
        <f>('4'!AE20/24)*0.454</f>
        <v>56.75</v>
      </c>
      <c r="AG20" s="19">
        <v>0</v>
      </c>
      <c r="AH20" s="182">
        <v>0</v>
      </c>
      <c r="AI20" s="19">
        <v>3400</v>
      </c>
      <c r="AJ20" s="182">
        <f>('4'!AI20/24)*0.454</f>
        <v>64.316666666666663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650</v>
      </c>
      <c r="C21" s="67">
        <f>MIN('4'!C7:C18)</f>
        <v>7.5</v>
      </c>
      <c r="D21" s="67">
        <f>MIN('4'!D7:D18)</f>
        <v>7.5</v>
      </c>
      <c r="E21" s="67">
        <f>MIN('4'!E7:E18)</f>
        <v>2.5</v>
      </c>
      <c r="F21" s="67">
        <f>MIN('4'!F7:F18)</f>
        <v>124</v>
      </c>
      <c r="G21" s="190">
        <f>MIN('4'!G7:G18)</f>
        <v>2.7</v>
      </c>
      <c r="H21" s="190">
        <f>MIN('4'!H7:H18)</f>
        <v>2.5</v>
      </c>
      <c r="I21" s="190">
        <f>MIN('4'!I7:I18)</f>
        <v>0.69</v>
      </c>
      <c r="J21" s="190">
        <f>MIN('4'!J7:J18)</f>
        <v>1.1000000000000001</v>
      </c>
      <c r="K21" s="190">
        <f>MIN('4'!K7:K18)</f>
        <v>6.8</v>
      </c>
      <c r="L21" s="190">
        <f>MIN('4'!L7:L18)</f>
        <v>4.8</v>
      </c>
      <c r="M21" s="190">
        <f>MIN('4'!M7:M18)</f>
        <v>4.8</v>
      </c>
      <c r="N21" s="190">
        <f>MIN('4'!N7:N18)</f>
        <v>4.5</v>
      </c>
      <c r="O21" s="191">
        <f>MIN('4'!O7:O18)</f>
        <v>2.5</v>
      </c>
      <c r="P21" s="191">
        <f>MIN('4'!P7:P18)</f>
        <v>0.1</v>
      </c>
      <c r="Q21" s="191">
        <f>MIN('4'!Q7:Q18)</f>
        <v>0</v>
      </c>
      <c r="R21" s="191">
        <f>MIN('4'!R7:R18)</f>
        <v>2016</v>
      </c>
      <c r="S21" s="191">
        <f>MIN('4'!S7:S18)</f>
        <v>128.36952774905205</v>
      </c>
      <c r="T21" s="940"/>
      <c r="U21" s="940"/>
      <c r="X21" s="13">
        <v>0.66666666666666696</v>
      </c>
      <c r="Y21" s="52">
        <v>2858</v>
      </c>
      <c r="Z21" s="180">
        <v>2016</v>
      </c>
      <c r="AA21" s="15">
        <v>1</v>
      </c>
      <c r="AB21" s="56">
        <f>IF('4'!AA21=1,(('4'!Z21*'4'!$AS$6*'4'!$AT$6)/('4'!Y21*0.0036)),IF('4'!AA21=2,(('4'!Z21*'4'!$AS$7*'4'!$AT$7)/('4'!Y21*0.0036))))</f>
        <v>130.30090972708189</v>
      </c>
      <c r="AC21" s="56"/>
      <c r="AD21" s="18">
        <f>(('4'!AC21*'4'!$Q$10*1000000))/('4'!Y21*3600)</f>
        <v>0</v>
      </c>
      <c r="AE21" s="19">
        <v>3000</v>
      </c>
      <c r="AF21" s="182">
        <f>('4'!AE21/24)*0.454</f>
        <v>56.75</v>
      </c>
      <c r="AG21" s="19">
        <v>0</v>
      </c>
      <c r="AH21" s="182">
        <f>('4'!AG21/24)*0.454</f>
        <v>0</v>
      </c>
      <c r="AI21" s="19">
        <v>3400</v>
      </c>
      <c r="AJ21" s="182">
        <f>('4'!AI21/24)*0.454</f>
        <v>64.316666666666663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2830</v>
      </c>
      <c r="Z22" s="180">
        <v>2016</v>
      </c>
      <c r="AA22" s="15">
        <v>1</v>
      </c>
      <c r="AB22" s="56">
        <f>IF('4'!AA22=1,(('4'!Z22*'4'!$AS$6*'4'!$AT$6)/('4'!Y22*0.0036)),IF('4'!AA22=2,(('4'!Z22*'4'!$AS$7*'4'!$AT$7)/('4'!Y22*0.0036))))</f>
        <v>131.59010600706716</v>
      </c>
      <c r="AC22" s="56"/>
      <c r="AD22" s="18">
        <f>(('4'!AC22*'4'!$Q$10*1000000))/('4'!Y22*3600)</f>
        <v>0</v>
      </c>
      <c r="AE22" s="19">
        <v>3000</v>
      </c>
      <c r="AF22" s="182">
        <f>('4'!AE22/24)*0.454</f>
        <v>56.75</v>
      </c>
      <c r="AG22" s="19">
        <v>500</v>
      </c>
      <c r="AH22" s="182">
        <f>('4'!AG22/24)*0.454</f>
        <v>9.4583333333333339</v>
      </c>
      <c r="AI22" s="19">
        <v>3400</v>
      </c>
      <c r="AJ22" s="182">
        <f>('4'!AI22/24)*0.454</f>
        <v>64.316666666666663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2831</v>
      </c>
      <c r="Z23" s="180">
        <v>2016</v>
      </c>
      <c r="AA23" s="15">
        <v>1</v>
      </c>
      <c r="AB23" s="56">
        <f>IF('4'!AA23=1,(('4'!Z23*'4'!$AS$6*'4'!$AT$6)/('4'!Y23*0.0036)),IF('4'!AA23=2,(('4'!Z23*'4'!$AS$7*'4'!$AT$7)/('4'!Y23*0.0036))))</f>
        <v>131.54362416107384</v>
      </c>
      <c r="AC23" s="56"/>
      <c r="AD23" s="18">
        <f>(('4'!AC23*'4'!$Q$10*1000000))/('4'!Y23*3600)</f>
        <v>0</v>
      </c>
      <c r="AE23" s="19">
        <v>3000</v>
      </c>
      <c r="AF23" s="182">
        <f>('4'!AE23/24)*0.454</f>
        <v>56.75</v>
      </c>
      <c r="AG23" s="19">
        <v>500</v>
      </c>
      <c r="AH23" s="182">
        <f>('4'!AG23/24)*0.454</f>
        <v>9.4583333333333339</v>
      </c>
      <c r="AI23" s="19">
        <v>3400</v>
      </c>
      <c r="AJ23" s="182">
        <f>('4'!AI23/24)*0.454</f>
        <v>64.316666666666663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2865</v>
      </c>
      <c r="Z24" s="180">
        <v>2016</v>
      </c>
      <c r="AA24" s="15">
        <v>1</v>
      </c>
      <c r="AB24" s="16">
        <f>IF('4'!AA24=1,(('4'!Z24*'4'!$AS$6*'4'!$AT$6)/('4'!Y24*0.0036)),IF('4'!AA24=2,(('4'!Z24*'4'!$AS$7*'4'!$AT$7)/('4'!Y24*0.0036))))</f>
        <v>129.98254799301921</v>
      </c>
      <c r="AC24" s="56"/>
      <c r="AD24" s="18">
        <f>(('4'!AC24*'4'!$Q$10*1000000))/('4'!Y24*3600)</f>
        <v>0</v>
      </c>
      <c r="AE24" s="19">
        <v>3000</v>
      </c>
      <c r="AF24" s="182">
        <f>('4'!AE24/24)*0.454</f>
        <v>56.75</v>
      </c>
      <c r="AG24" s="19">
        <v>500</v>
      </c>
      <c r="AH24" s="182">
        <f>('4'!AG24/24)*0.454</f>
        <v>9.4583333333333339</v>
      </c>
      <c r="AI24" s="19">
        <v>3400</v>
      </c>
      <c r="AJ24" s="182">
        <f>('4'!AI24/24)*0.454</f>
        <v>64.316666666666663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84"/>
      <c r="C25" s="184"/>
      <c r="D25" s="184"/>
      <c r="E25" s="184"/>
      <c r="F25" s="184"/>
      <c r="G25" s="184"/>
      <c r="H25" s="230"/>
      <c r="I25" s="230"/>
      <c r="J25" s="230"/>
      <c r="K25" s="1020"/>
      <c r="L25" s="1020"/>
      <c r="M25" s="1020"/>
      <c r="N25" s="197"/>
      <c r="O25" s="197"/>
      <c r="P25" s="197"/>
      <c r="Q25" s="197"/>
      <c r="R25" s="63" t="e">
        <f>#DIV/0!</f>
        <v>#DIV/0!</v>
      </c>
      <c r="S25" s="64"/>
      <c r="T25" s="1036" t="s">
        <v>0</v>
      </c>
      <c r="U25" s="945">
        <f>ESCALA!$A$6</f>
        <v>44320</v>
      </c>
      <c r="X25" s="13">
        <v>0.83333333333333304</v>
      </c>
      <c r="Y25" s="52">
        <v>2837</v>
      </c>
      <c r="Z25" s="180">
        <v>2016</v>
      </c>
      <c r="AA25" s="15">
        <v>1</v>
      </c>
      <c r="AB25" s="56">
        <f>IF('4'!AA25=1,(('4'!Z25*'4'!$AS$6*'4'!$AT$6)/('4'!Y25*0.0036)),IF('4'!AA25=2,(('4'!Z25*'4'!$AS$7*'4'!$AT$7)/('4'!Y25*0.0036))))</f>
        <v>131.26542121959818</v>
      </c>
      <c r="AC25" s="56"/>
      <c r="AD25" s="18">
        <f>(('4'!AC25*'4'!$Q$10*1000000))/('4'!Y25*3600)</f>
        <v>0</v>
      </c>
      <c r="AE25" s="19">
        <v>3000</v>
      </c>
      <c r="AF25" s="182">
        <f>('4'!AE25/24)*0.454</f>
        <v>56.75</v>
      </c>
      <c r="AG25" s="19">
        <v>500</v>
      </c>
      <c r="AH25" s="182">
        <f>('4'!AG25/24)*0.454</f>
        <v>9.4583333333333339</v>
      </c>
      <c r="AI25" s="19">
        <v>3400</v>
      </c>
      <c r="AJ25" s="182">
        <f>('4'!AI25/24)*0.454</f>
        <v>64.316666666666663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6"/>
      <c r="U26" s="945"/>
      <c r="X26" s="13">
        <v>0.875</v>
      </c>
      <c r="Y26" s="52">
        <v>2875</v>
      </c>
      <c r="Z26" s="180">
        <v>2016</v>
      </c>
      <c r="AA26" s="15">
        <v>1</v>
      </c>
      <c r="AB26" s="56">
        <f>IF('4'!AA26=1,(('4'!Z26*'4'!$AS$6*'4'!$AT$6)/('4'!Y26*0.0036)),IF('4'!AA26=2,(('4'!Z26*'4'!$AS$7*'4'!$AT$7)/('4'!Y26*0.0036))))</f>
        <v>129.53043478260872</v>
      </c>
      <c r="AC26" s="56"/>
      <c r="AD26" s="18">
        <f>(('4'!AC26*'4'!$Q$10*1000000))/('4'!Y26*3600)</f>
        <v>0</v>
      </c>
      <c r="AE26" s="19">
        <v>3000</v>
      </c>
      <c r="AF26" s="182">
        <f>('4'!AE26/24)*0.454</f>
        <v>56.75</v>
      </c>
      <c r="AG26" s="19">
        <v>500</v>
      </c>
      <c r="AH26" s="182">
        <f>('4'!AG26/24)*0.454</f>
        <v>9.4583333333333339</v>
      </c>
      <c r="AI26" s="19">
        <v>3400</v>
      </c>
      <c r="AJ26" s="182">
        <f>('4'!AI26/24)*0.454</f>
        <v>64.316666666666663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226"/>
      <c r="X27" s="13">
        <v>0.91666666666666696</v>
      </c>
      <c r="Y27" s="52">
        <v>2901</v>
      </c>
      <c r="Z27" s="180">
        <v>2016</v>
      </c>
      <c r="AA27" s="15">
        <v>1</v>
      </c>
      <c r="AB27" s="56">
        <f>IF('4'!AA27=1,(('4'!Z27*'4'!$AS$6*'4'!$AT$6)/('4'!Y27*0.0036)),IF('4'!AA27=2,(('4'!Z27*'4'!$AS$7*'4'!$AT$7)/('4'!Y27*0.0036))))</f>
        <v>128.36952774905205</v>
      </c>
      <c r="AC27" s="56"/>
      <c r="AD27" s="18">
        <f>(('4'!AC27*'4'!$Q$10*1000000))/('4'!Y27*3600)</f>
        <v>0</v>
      </c>
      <c r="AE27" s="19">
        <v>3000</v>
      </c>
      <c r="AF27" s="182">
        <f>('4'!AE27/24)*0.454</f>
        <v>56.75</v>
      </c>
      <c r="AG27" s="19">
        <v>500</v>
      </c>
      <c r="AH27" s="182">
        <f>('4'!AG27/24)*0.454</f>
        <v>9.4583333333333339</v>
      </c>
      <c r="AI27" s="19">
        <v>3400</v>
      </c>
      <c r="AJ27" s="182">
        <f>('4'!AI27/24)*0.454</f>
        <v>64.316666666666663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2844</v>
      </c>
      <c r="Z28" s="180">
        <v>2016</v>
      </c>
      <c r="AA28" s="15">
        <v>1</v>
      </c>
      <c r="AB28" s="56">
        <f>IF('4'!AA28=1,(('4'!Z28*'4'!$AS$6*'4'!$AT$6)/('4'!Y28*0.0036)),IF('4'!AA28=2,(('4'!Z28*'4'!$AS$7*'4'!$AT$7)/('4'!Y28*0.0036))))</f>
        <v>130.9423347398031</v>
      </c>
      <c r="AC28" s="56"/>
      <c r="AD28" s="18">
        <f>(('4'!AC28*'4'!$Q$10*1000000))/('4'!Y28*3600)</f>
        <v>0</v>
      </c>
      <c r="AE28" s="19">
        <v>3000</v>
      </c>
      <c r="AF28" s="182">
        <f>('4'!AE28/24)*0.454</f>
        <v>56.75</v>
      </c>
      <c r="AG28" s="19">
        <v>500</v>
      </c>
      <c r="AH28" s="182">
        <f>('4'!AG28/24)*0.454</f>
        <v>9.4583333333333339</v>
      </c>
      <c r="AI28" s="19">
        <v>3400</v>
      </c>
      <c r="AJ28" s="182">
        <f>('4'!AI28/24)*0.454</f>
        <v>64.316666666666663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2870</v>
      </c>
      <c r="Z29" s="180">
        <v>2016</v>
      </c>
      <c r="AA29" s="15">
        <v>1</v>
      </c>
      <c r="AB29" s="56">
        <f>IF('4'!AA29=1,(('4'!Z29*'4'!$AS$6*'4'!$AT$6)/('4'!Y29*0.0036)),IF('4'!AA29=2,(('4'!Z29*'4'!$AS$7*'4'!$AT$7)/('4'!Y29*0.0036))))</f>
        <v>129.75609756097563</v>
      </c>
      <c r="AC29" s="56"/>
      <c r="AD29" s="18">
        <f>(('4'!AC29*'4'!$Q$10*1000000))/('4'!Y29*3600)</f>
        <v>0</v>
      </c>
      <c r="AE29" s="19">
        <v>3000</v>
      </c>
      <c r="AF29" s="182">
        <f>('4'!AE29/24)*0.454</f>
        <v>56.75</v>
      </c>
      <c r="AG29" s="19">
        <v>500</v>
      </c>
      <c r="AH29" s="182">
        <f>('4'!AG29/24)*0.454</f>
        <v>9.4583333333333339</v>
      </c>
      <c r="AI29" s="19">
        <v>3400</v>
      </c>
      <c r="AJ29" s="182">
        <f>('4'!AI29/24)*0.454</f>
        <v>64.316666666666663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SUM('4'!Y6:Y29)*3.6</f>
        <v>241066.80000000002</v>
      </c>
      <c r="Z30" s="80">
        <f>SUM('4'!Z6:Z29)</f>
        <v>48384</v>
      </c>
      <c r="AA30" s="76"/>
      <c r="AB30" s="77"/>
      <c r="AC30" s="76"/>
      <c r="AD30" s="77"/>
      <c r="AE30" s="33"/>
      <c r="AF30" s="182">
        <f>SUM('4'!AF6:AF29)</f>
        <v>1362</v>
      </c>
      <c r="AG30" s="33"/>
      <c r="AH30" s="182">
        <f>SUM('4'!AH6:AH29)</f>
        <v>141.875</v>
      </c>
      <c r="AI30" s="33"/>
      <c r="AJ30" s="182">
        <f>SUM('4'!AJ6:AJ29)</f>
        <v>1513.3333333333323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SUMIF('4'!AA6:AA29,"=1",'4'!Z6:Z29)</f>
        <v>48384</v>
      </c>
      <c r="AA32" s="80">
        <f>'4'!Z32*'4'!AS6</f>
        <v>64350.720000000001</v>
      </c>
      <c r="AB32" s="81">
        <f>SUMIF('4'!$AA$6:$AA$29,"=1",'4'!$AB$6:$AB$29)/COUNTIF('4'!$AA$6:$AA$29,"=1")</f>
        <v>133.88469066361696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AVERAGE('4'!Y6:Y29)</f>
        <v>2790.125</v>
      </c>
      <c r="Z34" s="94">
        <f>AVERAGE('4'!Z6:Z29)</f>
        <v>2016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56.75</v>
      </c>
      <c r="AG34" s="96"/>
      <c r="AH34" s="96">
        <f>AVERAGE('4'!AH6:AH29)</f>
        <v>5.911458333333333</v>
      </c>
      <c r="AI34" s="96"/>
      <c r="AJ34" s="96">
        <f>'4'!AJ30/24</f>
        <v>63.055555555555515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1024" t="s">
        <v>68</v>
      </c>
      <c r="AK35" s="1024"/>
      <c r="AL35" s="1024"/>
      <c r="AM35" s="1024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103" t="s">
        <v>73</v>
      </c>
      <c r="Y36" s="104"/>
      <c r="Z36" s="105"/>
      <c r="AA36" s="106" t="s">
        <v>74</v>
      </c>
      <c r="AB36" s="104">
        <v>4</v>
      </c>
      <c r="AJ36" s="1024"/>
      <c r="AK36" s="1024"/>
      <c r="AL36" s="1024"/>
      <c r="AM36" s="1024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41.8</v>
      </c>
      <c r="D37" s="184">
        <v>6</v>
      </c>
      <c r="E37" s="184">
        <v>5</v>
      </c>
      <c r="F37" s="184">
        <v>2.8</v>
      </c>
      <c r="G37" s="181">
        <v>0.2</v>
      </c>
      <c r="H37" s="181">
        <v>0.2</v>
      </c>
      <c r="I37" s="181">
        <v>0.25</v>
      </c>
      <c r="J37" s="181">
        <v>0.06</v>
      </c>
      <c r="K37" s="181">
        <v>0.06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23">
        <f>'4'!V12</f>
        <v>0</v>
      </c>
      <c r="X37" s="956" t="s">
        <v>75</v>
      </c>
      <c r="Y37" s="956"/>
      <c r="Z37" s="108">
        <f>COUNTA('4'!Z6:Z29)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1588.2423874999999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1598.2313333333323</v>
      </c>
      <c r="AQ38" s="208" t="s">
        <v>78</v>
      </c>
      <c r="AR38" s="210">
        <f>'4'!AP30*1.0561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6.5883912156298576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6.6298276383696644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SUM('4'!AK38,'4'!AM38)</f>
        <v>1588.2423874999999</v>
      </c>
      <c r="AM40" s="969"/>
      <c r="AO40" s="970" t="s">
        <v>90</v>
      </c>
      <c r="AP40" s="970"/>
      <c r="AQ40" s="971">
        <f>SUM('4'!AP38,'4'!AR38)</f>
        <v>1598.2313333333323</v>
      </c>
      <c r="AR40" s="971"/>
    </row>
    <row r="41" spans="1:44" ht="16.5" customHeight="1">
      <c r="A41" s="131">
        <f>COUNTA('4'!E7:E18)</f>
        <v>12</v>
      </c>
      <c r="B41" s="132">
        <f>COUNTA('4'!I7:I18)</f>
        <v>12</v>
      </c>
      <c r="C41" s="972">
        <f>COUNTA('4'!J7:J18)</f>
        <v>12</v>
      </c>
      <c r="D41" s="972">
        <f>COUNTA('4'!K7:K18)</f>
        <v>12</v>
      </c>
      <c r="E41" s="972">
        <f>COUNTIF('4'!E7:E18,"&gt;15")</f>
        <v>0</v>
      </c>
      <c r="F41" s="972"/>
      <c r="G41" s="972">
        <f>COUNTIF('4'!J7:J18,"&gt;1")</f>
        <v>12</v>
      </c>
      <c r="H41" s="972"/>
      <c r="I41" s="133"/>
      <c r="J41" s="972">
        <f>'4'!A41-'4'!E41</f>
        <v>12</v>
      </c>
      <c r="K41" s="972"/>
      <c r="L41" s="972">
        <f>'4'!C41-'4'!G41</f>
        <v>0</v>
      </c>
      <c r="M41" s="972"/>
      <c r="N41" s="133"/>
      <c r="O41" s="973">
        <f>COUNTIF('4'!J7:J18,"&lt;=0,5")</f>
        <v>0</v>
      </c>
      <c r="P41" s="973"/>
      <c r="Q41" s="973"/>
      <c r="R41" s="963"/>
      <c r="S41" s="974">
        <f>COUNTIF('4'!J7:J18,"&lt;=1,0")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SUM(('4'!AK38+'4'!AM38)/'4'!Y30)*1000</f>
        <v>6.5883912156298576</v>
      </c>
      <c r="AM41" s="975"/>
      <c r="AO41" s="970" t="s">
        <v>91</v>
      </c>
      <c r="AP41" s="970"/>
      <c r="AQ41" s="975">
        <f>SUM(('4'!AP38+'4'!AR38)/'4'!Y30)*1000</f>
        <v>6.6298276383696644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1028">
        <f>SUM(Y45,AA45,AC45,AE45)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COUNTIF('4'!I7:I18,"&lt;=5,0")</f>
        <v>11</v>
      </c>
      <c r="I45" s="986"/>
      <c r="J45" s="986"/>
      <c r="K45" s="133"/>
      <c r="L45" s="968">
        <f>COUNTA('4'!L37)</f>
        <v>1</v>
      </c>
      <c r="M45" s="968"/>
      <c r="O45" s="144"/>
      <c r="P45" s="145"/>
      <c r="Q45" s="987">
        <f>'4'!S41-'4'!O41</f>
        <v>0</v>
      </c>
      <c r="R45" s="987"/>
      <c r="S45" s="987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3"/>
      <c r="AG45" s="1028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89" t="s">
        <v>106</v>
      </c>
      <c r="AG46" s="990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89"/>
      <c r="AG47" s="990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COUNTA('4'!O7:O18)</f>
        <v>12</v>
      </c>
      <c r="P51" s="968">
        <f>COUNTA('4'!W17:W28)</f>
        <v>0</v>
      </c>
      <c r="R51" s="986">
        <f>COUNTIF('4'!O7:O18,"&gt;=0,5")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SUM('4'!Y53,'4'!AA53,'4'!AC53,'4'!AE53)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'4'!AS7</f>
        <v>1.262</v>
      </c>
      <c r="Z54" s="151" t="s">
        <v>105</v>
      </c>
      <c r="AA54" s="153">
        <f>'4'!Y54</f>
        <v>1.262</v>
      </c>
      <c r="AB54" s="151" t="s">
        <v>105</v>
      </c>
      <c r="AC54" s="153">
        <f>'4'!Y54</f>
        <v>1.262</v>
      </c>
      <c r="AD54" s="151" t="s">
        <v>105</v>
      </c>
      <c r="AE54" s="154">
        <f>'4'!Y54</f>
        <v>1.262</v>
      </c>
      <c r="AF54" s="989" t="s">
        <v>106</v>
      </c>
      <c r="AG54" s="990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89"/>
      <c r="AG55" s="990"/>
      <c r="AI55" s="151" t="s">
        <v>105</v>
      </c>
      <c r="AJ55" s="152">
        <f>'4'!Y54</f>
        <v>1.262</v>
      </c>
      <c r="AK55" s="151" t="s">
        <v>105</v>
      </c>
      <c r="AL55" s="152">
        <f>'4'!AJ55</f>
        <v>1.262</v>
      </c>
      <c r="AM55" s="151" t="s">
        <v>105</v>
      </c>
      <c r="AN55" s="152">
        <f>'4'!AJ55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88"/>
      <c r="AP56" s="988"/>
      <c r="AQ56" s="988"/>
      <c r="AR56" s="988"/>
    </row>
    <row r="57" spans="15:44" ht="15.75" customHeight="1">
      <c r="O57" s="997">
        <f>COUNTA('4'!N7:N18)</f>
        <v>12</v>
      </c>
      <c r="P57" s="997"/>
      <c r="R57" s="998">
        <f>COUNTIF('4'!N7:N18,"&gt;=6")</f>
        <v>0</v>
      </c>
      <c r="S57" s="998"/>
      <c r="T57" s="998"/>
      <c r="AE57" s="116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O59" s="991" t="s">
        <v>113</v>
      </c>
      <c r="P59" s="991"/>
      <c r="Q59" s="991"/>
      <c r="R59" s="991"/>
      <c r="S59" s="991"/>
      <c r="T59" s="991"/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O60" s="991"/>
      <c r="P60" s="991"/>
      <c r="Q60" s="991"/>
      <c r="R60" s="991"/>
      <c r="S60" s="991"/>
      <c r="T60" s="991"/>
      <c r="X60" s="1032" t="s">
        <v>118</v>
      </c>
      <c r="Y60" s="1032"/>
      <c r="Z60" s="1002"/>
      <c r="AA60" s="1002"/>
      <c r="AB60" s="1032" t="s">
        <v>119</v>
      </c>
      <c r="AC60" s="1032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O61" s="992" t="s">
        <v>114</v>
      </c>
      <c r="P61" s="992"/>
      <c r="R61" s="993" t="s">
        <v>115</v>
      </c>
      <c r="S61" s="993"/>
      <c r="T61" s="993"/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'4'!AJ56+'4'!AL56+'4'!AN56</f>
        <v>0</v>
      </c>
      <c r="AM61" s="1005"/>
      <c r="AN61" s="1004" t="s">
        <v>121</v>
      </c>
      <c r="AO61" s="1004"/>
      <c r="AP61" s="1004"/>
      <c r="AQ61" s="1005">
        <f>'4'!AJ49+'4'!AL49+'4'!AN49</f>
        <v>0</v>
      </c>
      <c r="AR61" s="1005"/>
    </row>
    <row r="62" spans="15:44" ht="15" customHeight="1">
      <c r="O62" s="992"/>
      <c r="P62" s="992"/>
      <c r="R62" s="993"/>
      <c r="S62" s="993"/>
      <c r="T62" s="993"/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'4'!AA32</f>
        <v>64350.720000000001</v>
      </c>
      <c r="AR62" s="1010"/>
    </row>
    <row r="63" spans="15:44" ht="15" customHeight="1">
      <c r="O63" s="997">
        <f>COUNTA('4'!N7:N18)</f>
        <v>12</v>
      </c>
      <c r="P63" s="997"/>
      <c r="R63" s="998">
        <f>COUNTIF('4'!N7:N18,"&gt;=6")</f>
        <v>0</v>
      </c>
      <c r="S63" s="998"/>
      <c r="T63" s="998"/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'4'!AL61-'4'!AL62</f>
        <v>0</v>
      </c>
      <c r="AM63" s="1005"/>
      <c r="AN63" s="1004" t="s">
        <v>125</v>
      </c>
      <c r="AO63" s="1004"/>
      <c r="AP63" s="1004"/>
      <c r="AQ63" s="1005">
        <f>'4'!AQ61-'4'!AQ62</f>
        <v>-64350.720000000001</v>
      </c>
      <c r="AR63" s="1005"/>
    </row>
    <row r="64" spans="15:44" ht="15" customHeight="1">
      <c r="X64" s="168" t="s">
        <v>132</v>
      </c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'3'!$Y$68</f>
        <v>#REF!</v>
      </c>
      <c r="Z65" s="1007"/>
      <c r="AA65" s="1007"/>
      <c r="AB65" s="174" t="s">
        <v>126</v>
      </c>
      <c r="AC65" s="215">
        <f>'3'!AC$68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SUM('4'!AK38,'4'!AP38)</f>
        <v>3186.4737208333322</v>
      </c>
      <c r="Z67" s="1007"/>
      <c r="AA67" s="1007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 t="e">
        <f>SUM('4'!Y63,'4'!Y65)-'4'!Y67-'4'!Y64</f>
        <v>#REF!</v>
      </c>
      <c r="Z68" s="1007"/>
      <c r="AA68" s="1007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7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K25:M2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4" zoomScaleNormal="100" workbookViewId="0">
      <selection activeCell="A29" sqref="A29:U34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3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3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2833</v>
      </c>
      <c r="Z6" s="180">
        <v>2092</v>
      </c>
      <c r="AA6" s="15">
        <v>1</v>
      </c>
      <c r="AB6" s="56">
        <f>IF('5'!AA6=1,(('5'!Z6*'5'!$AS$6*'5'!$AT$6)/('5'!Y6*0.0036)),IF('5'!AA6=2,(('5'!Z6*'5'!$AS$7*'5'!$AT$7)/('5'!Y6*0.0036))))</f>
        <v>136.40624387182805</v>
      </c>
      <c r="AC6" s="56"/>
      <c r="AD6" s="18">
        <f>(('5'!AC6*'5'!$Q$10*1000000))/('5'!Y6*3600)</f>
        <v>0</v>
      </c>
      <c r="AE6" s="19">
        <v>3000</v>
      </c>
      <c r="AF6" s="182">
        <f>('5'!AE6/24)*0.454</f>
        <v>56.75</v>
      </c>
      <c r="AG6" s="19">
        <v>500</v>
      </c>
      <c r="AH6" s="182">
        <f>('5'!AG6/24)*0.454</f>
        <v>9.4583333333333339</v>
      </c>
      <c r="AI6" s="19">
        <v>3400</v>
      </c>
      <c r="AJ6" s="182">
        <f>('5'!AI6/24)*0.454</f>
        <v>64.316666666666663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650</v>
      </c>
      <c r="C7" s="184">
        <v>10</v>
      </c>
      <c r="D7" s="184">
        <v>10</v>
      </c>
      <c r="E7" s="184">
        <v>2.5</v>
      </c>
      <c r="F7" s="184">
        <v>127</v>
      </c>
      <c r="G7" s="184">
        <v>3.2</v>
      </c>
      <c r="H7" s="184">
        <v>4</v>
      </c>
      <c r="I7" s="184">
        <v>0.7</v>
      </c>
      <c r="J7" s="184">
        <v>1.2</v>
      </c>
      <c r="K7" s="184">
        <v>6.8</v>
      </c>
      <c r="L7" s="184">
        <v>4.8</v>
      </c>
      <c r="M7" s="184">
        <v>4.8</v>
      </c>
      <c r="N7" s="184">
        <v>5</v>
      </c>
      <c r="O7" s="184">
        <v>3.8</v>
      </c>
      <c r="P7" s="184">
        <v>1</v>
      </c>
      <c r="Q7" s="184">
        <v>1.8</v>
      </c>
      <c r="R7" s="36">
        <f>'4'!$Z$29</f>
        <v>2016</v>
      </c>
      <c r="S7" s="185">
        <f>'4'!$AB$29</f>
        <v>129.75609756097563</v>
      </c>
      <c r="T7" s="36">
        <f>'4'!$Y$29</f>
        <v>2870</v>
      </c>
      <c r="U7" s="32" t="str">
        <f>IF('5'!AA6=1,'5'!AR6,'5'!AR7)</f>
        <v>S.A.L</v>
      </c>
      <c r="V7" s="1016">
        <f>ESCALA!$B$6</f>
        <v>0</v>
      </c>
      <c r="W7" s="1016"/>
      <c r="X7" s="13">
        <v>8.3333333333333301E-2</v>
      </c>
      <c r="Y7" s="52">
        <v>2864</v>
      </c>
      <c r="Z7" s="180">
        <v>2092</v>
      </c>
      <c r="AA7" s="15">
        <v>1</v>
      </c>
      <c r="AB7" s="56">
        <f>IF('5'!AA7=1,(('5'!Z7*'5'!$AS$6*'5'!$AT$6)/('5'!Y7*0.0036)),IF('5'!AA7=2,(('5'!Z7*'5'!$AS$7*'5'!$AT$7)/('5'!Y7*0.0036))))</f>
        <v>134.92977963997518</v>
      </c>
      <c r="AC7" s="56"/>
      <c r="AD7" s="18">
        <f>(('5'!AC7*'5'!$Q$10*1000000))/('5'!Y7*3600)</f>
        <v>0</v>
      </c>
      <c r="AE7" s="19">
        <v>3000</v>
      </c>
      <c r="AF7" s="182">
        <f>('5'!AE7/24)*0.454</f>
        <v>56.75</v>
      </c>
      <c r="AG7" s="19">
        <v>500</v>
      </c>
      <c r="AH7" s="182">
        <f>('5'!AG7/24)*0.454</f>
        <v>9.4583333333333339</v>
      </c>
      <c r="AI7" s="19">
        <v>3400</v>
      </c>
      <c r="AJ7" s="182">
        <f>('5'!AI7/24)*0.454</f>
        <v>64.316666666666663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650</v>
      </c>
      <c r="C8" s="184">
        <v>10</v>
      </c>
      <c r="D8" s="184">
        <v>10</v>
      </c>
      <c r="E8" s="184">
        <v>2.5</v>
      </c>
      <c r="F8" s="184">
        <v>127</v>
      </c>
      <c r="G8" s="184">
        <v>3</v>
      </c>
      <c r="H8" s="184">
        <v>4.0999999999999996</v>
      </c>
      <c r="I8" s="184">
        <v>0.67</v>
      </c>
      <c r="J8" s="184">
        <v>1.1000000000000001</v>
      </c>
      <c r="K8" s="184">
        <v>6.8</v>
      </c>
      <c r="L8" s="184">
        <v>4.8</v>
      </c>
      <c r="M8" s="184">
        <v>4.8</v>
      </c>
      <c r="N8" s="184">
        <v>5</v>
      </c>
      <c r="O8" s="184">
        <v>3.8</v>
      </c>
      <c r="P8" s="184">
        <v>1.2</v>
      </c>
      <c r="Q8" s="184">
        <v>2</v>
      </c>
      <c r="R8" s="34">
        <f>'5'!Z7</f>
        <v>2092</v>
      </c>
      <c r="S8" s="35">
        <f>'5'!AB7</f>
        <v>134.92977963997518</v>
      </c>
      <c r="T8" s="36">
        <f>'5'!Y7</f>
        <v>2864</v>
      </c>
      <c r="U8" s="32" t="str">
        <f>IF('5'!AA7=1,'5'!AR6,'5'!AR7)</f>
        <v>S.A.L</v>
      </c>
      <c r="V8" s="1016"/>
      <c r="W8" s="1016"/>
      <c r="X8" s="13">
        <v>0.125</v>
      </c>
      <c r="Y8" s="52">
        <v>2843</v>
      </c>
      <c r="Z8" s="180">
        <v>2092</v>
      </c>
      <c r="AA8" s="15">
        <v>1</v>
      </c>
      <c r="AB8" s="56">
        <f>IF('5'!AA8=1,(('5'!Z8*'5'!$AS$6*'5'!$AT$6)/('5'!Y8*0.0036)),IF('5'!AA8=2,(('5'!Z8*'5'!$AS$7*'5'!$AT$7)/('5'!Y8*0.0036))))</f>
        <v>135.92644702387932</v>
      </c>
      <c r="AC8" s="56"/>
      <c r="AD8" s="18">
        <f>(('5'!AC8*'5'!$Q$10*1000000))/('5'!Y8*3600)</f>
        <v>0</v>
      </c>
      <c r="AE8" s="19">
        <v>3000</v>
      </c>
      <c r="AF8" s="182">
        <f>('5'!AE8/24)*0.454</f>
        <v>56.75</v>
      </c>
      <c r="AG8" s="19">
        <v>500</v>
      </c>
      <c r="AH8" s="182">
        <f>('5'!AG8/24)*0.454</f>
        <v>9.4583333333333339</v>
      </c>
      <c r="AI8" s="19">
        <v>3400</v>
      </c>
      <c r="AJ8" s="182">
        <f>('5'!AI8/24)*0.454</f>
        <v>64.316666666666663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650</v>
      </c>
      <c r="C9" s="184">
        <v>10</v>
      </c>
      <c r="D9" s="184">
        <v>12.5</v>
      </c>
      <c r="E9" s="184">
        <v>2.5</v>
      </c>
      <c r="F9" s="184">
        <v>128</v>
      </c>
      <c r="G9" s="184">
        <v>2.8</v>
      </c>
      <c r="H9" s="184">
        <v>4.4000000000000004</v>
      </c>
      <c r="I9" s="184">
        <v>0.66</v>
      </c>
      <c r="J9" s="184">
        <v>1.3</v>
      </c>
      <c r="K9" s="184">
        <v>6.8</v>
      </c>
      <c r="L9" s="184">
        <v>4.8</v>
      </c>
      <c r="M9" s="184">
        <v>4.8</v>
      </c>
      <c r="N9" s="184">
        <v>5</v>
      </c>
      <c r="O9" s="184">
        <v>4</v>
      </c>
      <c r="P9" s="184">
        <v>1.2</v>
      </c>
      <c r="Q9" s="184">
        <v>2.5</v>
      </c>
      <c r="R9" s="36">
        <f>'5'!Z9</f>
        <v>2092</v>
      </c>
      <c r="S9" s="35">
        <f>'5'!AB9</f>
        <v>136.31001371742113</v>
      </c>
      <c r="T9" s="36">
        <f>'5'!Y9</f>
        <v>2835</v>
      </c>
      <c r="U9" s="32" t="str">
        <f>IF('5'!AA9=1,'5'!AR6,'5'!AR7)</f>
        <v>S.A.L</v>
      </c>
      <c r="V9" s="1016"/>
      <c r="W9" s="1016"/>
      <c r="X9" s="13">
        <v>0.16666666666666699</v>
      </c>
      <c r="Y9" s="52">
        <v>2835</v>
      </c>
      <c r="Z9" s="180">
        <v>2092</v>
      </c>
      <c r="AA9" s="15">
        <v>1</v>
      </c>
      <c r="AB9" s="56">
        <f>IF('5'!AA9=1,(('5'!Z9*'5'!$AS$6*'5'!$AT$6)/('5'!Y9*0.0036)),IF('5'!AA9=2,(('5'!Z9*'5'!$AS$7*'5'!$AT$7)/('5'!Y9*0.0036))))</f>
        <v>136.31001371742113</v>
      </c>
      <c r="AC9" s="56"/>
      <c r="AD9" s="18">
        <f>(('5'!AC9*'5'!$Q$10*1000000))/('5'!Y9*3600)</f>
        <v>0</v>
      </c>
      <c r="AE9" s="19">
        <v>3000</v>
      </c>
      <c r="AF9" s="182">
        <f>('5'!AE9/24)*0.454</f>
        <v>56.75</v>
      </c>
      <c r="AG9" s="19">
        <v>500</v>
      </c>
      <c r="AH9" s="182">
        <f>('5'!AG9/24)*0.454</f>
        <v>9.4583333333333339</v>
      </c>
      <c r="AI9" s="19">
        <v>3400</v>
      </c>
      <c r="AJ9" s="182">
        <f>('5'!AI9/24)*0.454</f>
        <v>64.316666666666663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650</v>
      </c>
      <c r="C10" s="184">
        <v>10</v>
      </c>
      <c r="D10" s="184">
        <v>25</v>
      </c>
      <c r="E10" s="184">
        <v>2.5</v>
      </c>
      <c r="F10" s="184">
        <v>128</v>
      </c>
      <c r="G10" s="184">
        <v>2.7</v>
      </c>
      <c r="H10" s="184">
        <v>6.8</v>
      </c>
      <c r="I10" s="184">
        <v>0.64</v>
      </c>
      <c r="J10" s="184">
        <v>1.4</v>
      </c>
      <c r="K10" s="184">
        <v>6.8</v>
      </c>
      <c r="L10" s="184">
        <v>4.8</v>
      </c>
      <c r="M10" s="184">
        <v>4.8</v>
      </c>
      <c r="N10" s="184">
        <v>5</v>
      </c>
      <c r="O10" s="184">
        <v>4</v>
      </c>
      <c r="P10" s="184">
        <v>1.2</v>
      </c>
      <c r="Q10" s="184">
        <v>2.5</v>
      </c>
      <c r="R10" s="36">
        <f>'5'!Z11</f>
        <v>2092</v>
      </c>
      <c r="S10" s="35">
        <f>'5'!AB11</f>
        <v>137.81700744967506</v>
      </c>
      <c r="T10" s="36">
        <f>'5'!Y11</f>
        <v>2804</v>
      </c>
      <c r="U10" s="38" t="str">
        <f>IF('5'!AA11=1,'5'!AR6,'5'!AR7)</f>
        <v>S.A.L</v>
      </c>
      <c r="V10" s="1016"/>
      <c r="W10" s="1016"/>
      <c r="X10" s="13">
        <v>0.20833333333333301</v>
      </c>
      <c r="Y10" s="52">
        <v>2809</v>
      </c>
      <c r="Z10" s="180">
        <v>2092</v>
      </c>
      <c r="AA10" s="15">
        <v>1</v>
      </c>
      <c r="AB10" s="56">
        <f>IF('5'!AA10=1,(('5'!Z10*'5'!$AS$6*'5'!$AT$6)/('5'!Y10*0.0036)),IF('5'!AA10=2,(('5'!Z10*'5'!$AS$7*'5'!$AT$7)/('5'!Y10*0.0036))))</f>
        <v>137.57169415766782</v>
      </c>
      <c r="AC10" s="56"/>
      <c r="AD10" s="18">
        <f>(('5'!AC10*'5'!$Q$10*1000000))/('5'!Y10*3600)</f>
        <v>0</v>
      </c>
      <c r="AE10" s="19">
        <v>3000</v>
      </c>
      <c r="AF10" s="182">
        <f>('5'!AE10/24)*0.454</f>
        <v>56.75</v>
      </c>
      <c r="AG10" s="19">
        <v>500</v>
      </c>
      <c r="AH10" s="182">
        <f>('5'!AG10/24)*0.454</f>
        <v>9.4583333333333339</v>
      </c>
      <c r="AI10" s="19">
        <v>3400</v>
      </c>
      <c r="AJ10" s="182">
        <f>('5'!AI10/24)*0.454</f>
        <v>64.316666666666663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550</v>
      </c>
      <c r="C11" s="184">
        <v>10</v>
      </c>
      <c r="D11" s="184">
        <v>60</v>
      </c>
      <c r="E11" s="184">
        <v>5</v>
      </c>
      <c r="F11" s="184">
        <v>130</v>
      </c>
      <c r="G11" s="184">
        <v>3.6</v>
      </c>
      <c r="H11" s="184">
        <v>2.2000000000000002</v>
      </c>
      <c r="I11" s="184">
        <v>0.65</v>
      </c>
      <c r="J11" s="184">
        <v>1.7</v>
      </c>
      <c r="K11" s="184">
        <v>7</v>
      </c>
      <c r="L11" s="184">
        <v>4.8</v>
      </c>
      <c r="M11" s="184">
        <v>4.8</v>
      </c>
      <c r="N11" s="184">
        <v>5.7</v>
      </c>
      <c r="O11" s="184">
        <v>3.7</v>
      </c>
      <c r="P11" s="184">
        <v>0.4</v>
      </c>
      <c r="Q11" s="186">
        <v>2.2999999999999998</v>
      </c>
      <c r="R11" s="36">
        <f>'5'!Z13</f>
        <v>2092</v>
      </c>
      <c r="S11" s="35">
        <f>'5'!AB13</f>
        <v>140.42110788113698</v>
      </c>
      <c r="T11" s="36">
        <f>'5'!Y13</f>
        <v>2752</v>
      </c>
      <c r="U11" s="40" t="str">
        <f>IF('5'!AA13=1,'5'!AR6,'5'!AR7)</f>
        <v>S.A.L</v>
      </c>
      <c r="V11" s="1016"/>
      <c r="W11" s="1016"/>
      <c r="X11" s="13">
        <v>0.25</v>
      </c>
      <c r="Y11" s="52">
        <v>2804</v>
      </c>
      <c r="Z11" s="180">
        <v>2092</v>
      </c>
      <c r="AA11" s="15">
        <v>1</v>
      </c>
      <c r="AB11" s="56">
        <f>IF('5'!AA11=1,(('5'!Z11*'5'!$AS$6*'5'!$AT$6)/('5'!Y11*0.0036)),IF('5'!AA11=2,(('5'!Z11*'5'!$AS$7*'5'!$AT$7)/('5'!Y11*0.0036))))</f>
        <v>137.81700744967506</v>
      </c>
      <c r="AC11" s="56"/>
      <c r="AD11" s="18">
        <f>(('5'!AC11*'5'!$Q$10*1000000))/('5'!Y11*3600)</f>
        <v>0</v>
      </c>
      <c r="AE11" s="19">
        <v>3000</v>
      </c>
      <c r="AF11" s="182">
        <f>('5'!AE11/24)*0.454</f>
        <v>56.75</v>
      </c>
      <c r="AG11" s="19">
        <v>500</v>
      </c>
      <c r="AH11" s="182">
        <f>('5'!AG11/24)*0.454</f>
        <v>9.4583333333333339</v>
      </c>
      <c r="AI11" s="19">
        <v>3400</v>
      </c>
      <c r="AJ11" s="182">
        <f>('5'!AI11/24)*0.454</f>
        <v>64.316666666666663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550</v>
      </c>
      <c r="C12" s="184">
        <v>10</v>
      </c>
      <c r="D12" s="184">
        <v>60</v>
      </c>
      <c r="E12" s="184">
        <v>5</v>
      </c>
      <c r="F12" s="184">
        <v>130</v>
      </c>
      <c r="G12" s="184">
        <v>3.8</v>
      </c>
      <c r="H12" s="184">
        <v>2.4</v>
      </c>
      <c r="I12" s="184">
        <v>0.65</v>
      </c>
      <c r="J12" s="184">
        <v>1.7</v>
      </c>
      <c r="K12" s="184">
        <v>7</v>
      </c>
      <c r="L12" s="184">
        <v>4.8</v>
      </c>
      <c r="M12" s="184">
        <v>4.8</v>
      </c>
      <c r="N12" s="184">
        <v>5.7</v>
      </c>
      <c r="O12" s="184">
        <v>3.7</v>
      </c>
      <c r="P12" s="184">
        <v>0.4</v>
      </c>
      <c r="Q12" s="186">
        <v>2.2999999999999998</v>
      </c>
      <c r="R12" s="36">
        <f>'5'!Z15</f>
        <v>2092</v>
      </c>
      <c r="S12" s="35">
        <f>'5'!AB15</f>
        <v>135.4500136308759</v>
      </c>
      <c r="T12" s="36">
        <f>'5'!Y15</f>
        <v>2853</v>
      </c>
      <c r="U12" s="41" t="str">
        <f>IF('5'!AA15=1,'5'!AR6,'5'!AR7)</f>
        <v>S.A.L</v>
      </c>
      <c r="V12" s="938">
        <f>ESCALA!$B$7</f>
        <v>0</v>
      </c>
      <c r="W12" s="938"/>
      <c r="X12" s="13">
        <v>0.29166666666666702</v>
      </c>
      <c r="Y12" s="52">
        <v>2721</v>
      </c>
      <c r="Z12" s="180">
        <v>2092</v>
      </c>
      <c r="AA12" s="15">
        <v>1</v>
      </c>
      <c r="AB12" s="56">
        <f>IF('5'!AA12=1,(('5'!Z12*'5'!$AS$6*'5'!$AT$6)/('5'!Y12*0.0036)),IF('5'!AA12=2,(('5'!Z12*'5'!$AS$7*'5'!$AT$7)/('5'!Y12*0.0036))))</f>
        <v>142.02090734615541</v>
      </c>
      <c r="AC12" s="56"/>
      <c r="AD12" s="18">
        <f>(('5'!AC12*'5'!$Q$10*1000000))/('5'!Y12*3600)</f>
        <v>0</v>
      </c>
      <c r="AE12" s="19">
        <v>3000</v>
      </c>
      <c r="AF12" s="182">
        <f>('5'!AE12/24)*0.454</f>
        <v>56.75</v>
      </c>
      <c r="AG12" s="19">
        <v>500</v>
      </c>
      <c r="AH12" s="182">
        <f>('5'!AG12/24)*0.454</f>
        <v>9.4583333333333339</v>
      </c>
      <c r="AI12" s="19">
        <v>3400</v>
      </c>
      <c r="AJ12" s="182">
        <f>('5'!AI12/24)*0.454</f>
        <v>64.316666666666663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550</v>
      </c>
      <c r="C13" s="184">
        <v>10</v>
      </c>
      <c r="D13" s="184">
        <v>30</v>
      </c>
      <c r="E13" s="184">
        <v>5</v>
      </c>
      <c r="F13" s="184">
        <v>128</v>
      </c>
      <c r="G13" s="184">
        <v>3.8</v>
      </c>
      <c r="H13" s="184">
        <v>1</v>
      </c>
      <c r="I13" s="184">
        <v>0.67</v>
      </c>
      <c r="J13" s="184">
        <v>1.6</v>
      </c>
      <c r="K13" s="184">
        <v>7</v>
      </c>
      <c r="L13" s="184">
        <v>4.8</v>
      </c>
      <c r="M13" s="184">
        <v>4.8</v>
      </c>
      <c r="N13" s="184">
        <v>5.7</v>
      </c>
      <c r="O13" s="184">
        <v>3.8</v>
      </c>
      <c r="P13" s="184">
        <v>0.3</v>
      </c>
      <c r="Q13" s="186">
        <v>2.2999999999999998</v>
      </c>
      <c r="R13" s="36">
        <f>'5'!Z17</f>
        <v>2092</v>
      </c>
      <c r="S13" s="35">
        <f>'5'!AB17</f>
        <v>133.94762179857503</v>
      </c>
      <c r="T13" s="36">
        <f>'5'!Y17</f>
        <v>2885</v>
      </c>
      <c r="U13" s="32" t="str">
        <f>IF('5'!AA17=1,'5'!AR6,'5'!AR7)</f>
        <v>S.A.L</v>
      </c>
      <c r="V13" s="938"/>
      <c r="W13" s="938"/>
      <c r="X13" s="13">
        <v>0.33333333333333298</v>
      </c>
      <c r="Y13" s="52">
        <v>2752</v>
      </c>
      <c r="Z13" s="180">
        <v>2092</v>
      </c>
      <c r="AA13" s="15">
        <v>1</v>
      </c>
      <c r="AB13" s="56">
        <f>IF('5'!AA13=1,(('5'!Z13*'5'!$AS$6*'5'!$AT$6)/('5'!Y13*0.0036)),IF('5'!AA13=2,(('5'!Z13*'5'!$AS$7*'5'!$AT$7)/('5'!Y13*0.0036))))</f>
        <v>140.42110788113698</v>
      </c>
      <c r="AC13" s="56"/>
      <c r="AD13" s="18">
        <f>(('5'!AC13*'5'!$Q$10*1000000))/('5'!Y13*3600)</f>
        <v>0</v>
      </c>
      <c r="AE13" s="19">
        <v>3000</v>
      </c>
      <c r="AF13" s="182">
        <f>('5'!AE13/24)*0.454</f>
        <v>56.75</v>
      </c>
      <c r="AG13" s="19">
        <v>500</v>
      </c>
      <c r="AH13" s="182">
        <f>('5'!AG13/24)*0.454</f>
        <v>9.4583333333333339</v>
      </c>
      <c r="AI13" s="19">
        <v>3400</v>
      </c>
      <c r="AJ13" s="182">
        <f>('5'!AI13/24)*0.454</f>
        <v>64.316666666666663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550</v>
      </c>
      <c r="C14" s="184">
        <v>10</v>
      </c>
      <c r="D14" s="184">
        <v>10</v>
      </c>
      <c r="E14" s="184">
        <v>2.5</v>
      </c>
      <c r="F14" s="184">
        <v>126</v>
      </c>
      <c r="G14" s="184">
        <v>3.9</v>
      </c>
      <c r="H14" s="184">
        <v>4.5</v>
      </c>
      <c r="I14" s="184">
        <v>0.68</v>
      </c>
      <c r="J14" s="184">
        <v>1.5</v>
      </c>
      <c r="K14" s="184">
        <v>7</v>
      </c>
      <c r="L14" s="184">
        <v>4.8</v>
      </c>
      <c r="M14" s="184">
        <v>4.8</v>
      </c>
      <c r="N14" s="184">
        <v>5.7</v>
      </c>
      <c r="O14" s="184">
        <v>3.8</v>
      </c>
      <c r="P14" s="184">
        <v>0.2</v>
      </c>
      <c r="Q14" s="186">
        <v>2.2999999999999998</v>
      </c>
      <c r="R14" s="228">
        <f>'5'!Z19</f>
        <v>2092</v>
      </c>
      <c r="S14" s="35">
        <f>'5'!AB19</f>
        <v>135.11849261849264</v>
      </c>
      <c r="T14" s="36">
        <f>'5'!Y19</f>
        <v>2860</v>
      </c>
      <c r="U14" s="32" t="str">
        <f>IF('5'!AA19=1,'5'!AR6,'5'!AR7)</f>
        <v>S.A.L</v>
      </c>
      <c r="V14" s="938"/>
      <c r="W14" s="938"/>
      <c r="X14" s="13">
        <v>0.375</v>
      </c>
      <c r="Y14" s="52">
        <v>2854</v>
      </c>
      <c r="Z14" s="180">
        <v>2092</v>
      </c>
      <c r="AA14" s="15">
        <v>1</v>
      </c>
      <c r="AB14" s="56">
        <f>IF('5'!AA14=1,(('5'!Z14*'5'!$AS$6*'5'!$AT$6)/('5'!Y14*0.0036)),IF('5'!AA14=2,(('5'!Z14*'5'!$AS$7*'5'!$AT$7)/('5'!Y14*0.0036))))</f>
        <v>135.40255392042357</v>
      </c>
      <c r="AC14" s="56"/>
      <c r="AD14" s="18">
        <f>(('5'!AC14*'5'!$Q$10*1000000))/('5'!Y14*3600)</f>
        <v>0</v>
      </c>
      <c r="AE14" s="19">
        <v>3000</v>
      </c>
      <c r="AF14" s="182">
        <f>('5'!AE14/24)*0.454</f>
        <v>56.75</v>
      </c>
      <c r="AG14" s="19">
        <v>500</v>
      </c>
      <c r="AH14" s="182">
        <f>('5'!AG14/24)*0.454</f>
        <v>9.4583333333333339</v>
      </c>
      <c r="AI14" s="19">
        <v>3400</v>
      </c>
      <c r="AJ14" s="182">
        <f>('5'!AI14/24)*0.454</f>
        <v>64.316666666666663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550</v>
      </c>
      <c r="C15" s="184">
        <v>10</v>
      </c>
      <c r="D15" s="184">
        <v>10</v>
      </c>
      <c r="E15" s="184">
        <v>2.5</v>
      </c>
      <c r="F15" s="184">
        <v>129</v>
      </c>
      <c r="G15" s="184">
        <v>4.2</v>
      </c>
      <c r="H15" s="184">
        <v>4.5999999999999996</v>
      </c>
      <c r="I15" s="184">
        <v>0.87</v>
      </c>
      <c r="J15" s="184">
        <v>1.8</v>
      </c>
      <c r="K15" s="184">
        <v>7</v>
      </c>
      <c r="L15" s="184">
        <v>4.8</v>
      </c>
      <c r="M15" s="184">
        <v>4.8</v>
      </c>
      <c r="N15" s="184">
        <v>5.7</v>
      </c>
      <c r="O15" s="184">
        <v>3.7</v>
      </c>
      <c r="P15" s="184">
        <v>1.2</v>
      </c>
      <c r="Q15" s="186">
        <v>1.8</v>
      </c>
      <c r="R15" s="36">
        <f>'5'!Z21</f>
        <v>2092</v>
      </c>
      <c r="S15" s="35">
        <f>'5'!AB21</f>
        <v>134.69462840323769</v>
      </c>
      <c r="T15" s="36">
        <f>'5'!Y21</f>
        <v>2869</v>
      </c>
      <c r="U15" s="32" t="str">
        <f>IF('5'!AA21=1,'5'!AR6,'5'!AR7)</f>
        <v>S.A.L</v>
      </c>
      <c r="V15" s="938"/>
      <c r="W15" s="938"/>
      <c r="X15" s="13">
        <v>0.41666666666666702</v>
      </c>
      <c r="Y15" s="52">
        <v>2853</v>
      </c>
      <c r="Z15" s="180">
        <v>2092</v>
      </c>
      <c r="AA15" s="15">
        <v>1</v>
      </c>
      <c r="AB15" s="56">
        <f>IF('5'!AA15=1,(('5'!Z15*'5'!$AS$6*'5'!$AT$6)/('5'!Y15*0.0036)),IF('5'!AA15=2,(('5'!Z15*'5'!$AS$7*'5'!$AT$7)/('5'!Y15*0.0036))))</f>
        <v>135.4500136308759</v>
      </c>
      <c r="AC15" s="56"/>
      <c r="AD15" s="18">
        <f>(('5'!AC15*'5'!$Q$10*1000000))/('5'!Y15*3600)</f>
        <v>0</v>
      </c>
      <c r="AE15" s="19">
        <v>3000</v>
      </c>
      <c r="AF15" s="182">
        <f>('5'!AE15/24)*0.454</f>
        <v>56.75</v>
      </c>
      <c r="AG15" s="19">
        <v>500</v>
      </c>
      <c r="AH15" s="182">
        <f>('5'!AG15/24)*0.454</f>
        <v>9.4583333333333339</v>
      </c>
      <c r="AI15" s="19">
        <v>3400</v>
      </c>
      <c r="AJ15" s="182">
        <f>('5'!AI15/24)*0.454</f>
        <v>64.316666666666663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550</v>
      </c>
      <c r="C16" s="184">
        <v>7.5</v>
      </c>
      <c r="D16" s="184">
        <v>7.5</v>
      </c>
      <c r="E16" s="184">
        <v>2.5</v>
      </c>
      <c r="F16" s="184">
        <v>127</v>
      </c>
      <c r="G16" s="184">
        <v>3.2</v>
      </c>
      <c r="H16" s="184">
        <v>4.2</v>
      </c>
      <c r="I16" s="184">
        <v>0.85</v>
      </c>
      <c r="J16" s="184">
        <v>1.8</v>
      </c>
      <c r="K16" s="184">
        <v>7</v>
      </c>
      <c r="L16" s="184">
        <v>4.8</v>
      </c>
      <c r="M16" s="184">
        <v>4.8</v>
      </c>
      <c r="N16" s="184">
        <v>5.7</v>
      </c>
      <c r="O16" s="184">
        <v>3.7</v>
      </c>
      <c r="P16" s="184">
        <v>1.1000000000000001</v>
      </c>
      <c r="Q16" s="186">
        <v>1.8</v>
      </c>
      <c r="R16" s="36">
        <f>'5'!Z23</f>
        <v>1752</v>
      </c>
      <c r="S16" s="35">
        <f>'5'!AB23</f>
        <v>111.44398530762169</v>
      </c>
      <c r="T16" s="36">
        <f>'5'!Y23</f>
        <v>2904</v>
      </c>
      <c r="U16" s="32" t="str">
        <f>IF('5'!AA23=1,'5'!AR6,'5'!AR7)</f>
        <v>S.A.L</v>
      </c>
      <c r="V16" s="938"/>
      <c r="W16" s="938"/>
      <c r="X16" s="13">
        <v>0.45833333333333298</v>
      </c>
      <c r="Y16" s="52">
        <v>2869</v>
      </c>
      <c r="Z16" s="180">
        <v>2092</v>
      </c>
      <c r="AA16" s="15">
        <v>1</v>
      </c>
      <c r="AB16" s="56">
        <f>IF('5'!AA16=1,(('5'!Z16*'5'!$AS$6*'5'!$AT$6)/('5'!Y16*0.0036)),IF('5'!AA16=2,(('5'!Z16*'5'!$AS$7*'5'!$AT$7)/('5'!Y16*0.0036))))</f>
        <v>134.69462840323769</v>
      </c>
      <c r="AC16" s="56"/>
      <c r="AD16" s="18">
        <f>(('5'!AC16*'5'!$Q$10*1000000))/('5'!Y16*3600)</f>
        <v>0</v>
      </c>
      <c r="AE16" s="19">
        <v>3000</v>
      </c>
      <c r="AF16" s="182">
        <f>('5'!AE16/24)*0.454</f>
        <v>56.75</v>
      </c>
      <c r="AG16" s="19">
        <v>500</v>
      </c>
      <c r="AH16" s="182">
        <f>('5'!AG16/24)*0.454</f>
        <v>9.4583333333333339</v>
      </c>
      <c r="AI16" s="19">
        <v>3400</v>
      </c>
      <c r="AJ16" s="182">
        <f>('5'!AI16/24)*0.454</f>
        <v>64.316666666666663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550</v>
      </c>
      <c r="C17" s="184">
        <v>5</v>
      </c>
      <c r="D17" s="184">
        <v>7.5</v>
      </c>
      <c r="E17" s="184">
        <v>2.5</v>
      </c>
      <c r="F17" s="184">
        <v>124</v>
      </c>
      <c r="G17" s="184">
        <v>2.8</v>
      </c>
      <c r="H17" s="184">
        <v>3.8</v>
      </c>
      <c r="I17" s="184">
        <v>0.84</v>
      </c>
      <c r="J17" s="184">
        <v>1.7</v>
      </c>
      <c r="K17" s="184">
        <v>7</v>
      </c>
      <c r="L17" s="184">
        <v>4.8</v>
      </c>
      <c r="M17" s="184">
        <v>4.8</v>
      </c>
      <c r="N17" s="184">
        <v>5.7</v>
      </c>
      <c r="O17" s="184">
        <v>3.7</v>
      </c>
      <c r="P17" s="184">
        <v>0.9</v>
      </c>
      <c r="Q17" s="186">
        <v>1.7</v>
      </c>
      <c r="R17" s="36">
        <f>'5'!Z25</f>
        <v>1752</v>
      </c>
      <c r="S17" s="35">
        <f>'5'!AB25</f>
        <v>110.30447625539651</v>
      </c>
      <c r="T17" s="36">
        <f>'5'!Y25</f>
        <v>2934</v>
      </c>
      <c r="U17" s="32" t="str">
        <f>IF('5'!AA25=1,'5'!AR6,'5'!AR7)</f>
        <v>S.A.L</v>
      </c>
      <c r="V17" s="939">
        <f>ESCALA!$C$7</f>
        <v>0</v>
      </c>
      <c r="W17" s="939"/>
      <c r="X17" s="13">
        <v>0.5</v>
      </c>
      <c r="Y17" s="52">
        <v>2885</v>
      </c>
      <c r="Z17" s="180">
        <v>2092</v>
      </c>
      <c r="AA17" s="15">
        <v>1</v>
      </c>
      <c r="AB17" s="56">
        <f>IF('5'!AA17=1,(('5'!Z17*'5'!$AS$6*'5'!$AT$6)/('5'!Y17*0.0036)),IF('5'!AA17=2,(('5'!Z17*'5'!$AS$7*'5'!$AT$7)/('5'!Y17*0.0036))))</f>
        <v>133.94762179857503</v>
      </c>
      <c r="AC17" s="56"/>
      <c r="AD17" s="18">
        <f>(('5'!AC17*'5'!$Q$10*1000000))/('5'!Y17*3600)</f>
        <v>0</v>
      </c>
      <c r="AE17" s="19">
        <v>3000</v>
      </c>
      <c r="AF17" s="182">
        <f>('5'!AE17/24)*0.454</f>
        <v>56.75</v>
      </c>
      <c r="AG17" s="19">
        <v>500</v>
      </c>
      <c r="AH17" s="182">
        <f>('5'!AG17/24)*0.454</f>
        <v>9.4583333333333339</v>
      </c>
      <c r="AI17" s="19">
        <v>3400</v>
      </c>
      <c r="AJ17" s="182">
        <f>('5'!AI17/24)*0.454</f>
        <v>64.316666666666663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550</v>
      </c>
      <c r="C18" s="184">
        <v>5</v>
      </c>
      <c r="D18" s="184">
        <v>7.5</v>
      </c>
      <c r="E18" s="184">
        <v>2.5</v>
      </c>
      <c r="F18" s="184">
        <v>125</v>
      </c>
      <c r="G18" s="184">
        <v>2.9</v>
      </c>
      <c r="H18" s="184">
        <v>3.5</v>
      </c>
      <c r="I18" s="184">
        <v>0.84</v>
      </c>
      <c r="J18" s="184">
        <v>1.7</v>
      </c>
      <c r="K18" s="184">
        <v>7</v>
      </c>
      <c r="L18" s="184">
        <v>4.8</v>
      </c>
      <c r="M18" s="184">
        <v>4.8</v>
      </c>
      <c r="N18" s="184">
        <v>5.7</v>
      </c>
      <c r="O18" s="184">
        <v>3.7</v>
      </c>
      <c r="P18" s="184">
        <v>0.8</v>
      </c>
      <c r="Q18" s="186">
        <v>1.7</v>
      </c>
      <c r="R18" s="36">
        <f>'5'!Z27</f>
        <v>1752</v>
      </c>
      <c r="S18" s="35">
        <f>'5'!AB27</f>
        <v>114.80430412675891</v>
      </c>
      <c r="T18" s="36">
        <f>'5'!Y27</f>
        <v>2819</v>
      </c>
      <c r="U18" s="32" t="str">
        <f>IF('5'!AA27=1,'5'!AR6,'5'!AR7)</f>
        <v>S.A.L</v>
      </c>
      <c r="V18" s="939"/>
      <c r="W18" s="939"/>
      <c r="X18" s="13">
        <v>0.54166666666666696</v>
      </c>
      <c r="Y18" s="52">
        <v>2875</v>
      </c>
      <c r="Z18" s="180">
        <v>2092</v>
      </c>
      <c r="AA18" s="15">
        <v>1</v>
      </c>
      <c r="AB18" s="56">
        <f>IF('5'!AA18=1,(('5'!Z18*'5'!$AS$6*'5'!$AT$6)/('5'!Y18*0.0036)),IF('5'!AA18=2,(('5'!Z18*'5'!$AS$7*'5'!$AT$7)/('5'!Y18*0.0036))))</f>
        <v>134.41352657004833</v>
      </c>
      <c r="AC18" s="56"/>
      <c r="AD18" s="18">
        <f>(('5'!AC18*'5'!$Q$10*1000000))/('5'!Y18*3600)</f>
        <v>0</v>
      </c>
      <c r="AE18" s="19">
        <v>3000</v>
      </c>
      <c r="AF18" s="182">
        <f>('5'!AE18/24)*0.454</f>
        <v>56.75</v>
      </c>
      <c r="AG18" s="19">
        <v>500</v>
      </c>
      <c r="AH18" s="182">
        <f>('5'!AG18/24)*0.454</f>
        <v>9.4583333333333339</v>
      </c>
      <c r="AI18" s="19">
        <v>3400</v>
      </c>
      <c r="AJ18" s="182">
        <f>('5'!AI18/24)*0.454</f>
        <v>64.316666666666663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583.33333333333337</v>
      </c>
      <c r="C19" s="67">
        <f t="array" ref="C19">IF('5'!C7:C18&gt;0.01,AVERAGE('5'!C7:C18),"")</f>
        <v>8.9583333333333339</v>
      </c>
      <c r="D19" s="67">
        <f t="array" ref="D19">IF('5'!D7:D18&gt;0.01,AVERAGE('5'!D7:D18),"")</f>
        <v>20.833333333333332</v>
      </c>
      <c r="E19" s="67">
        <f t="array" ref="E19">IF('5'!E7:E18&gt;0.01,AVERAGE('5'!E7:E18),"")</f>
        <v>3.125</v>
      </c>
      <c r="F19" s="67">
        <f t="array" ref="F19">IF('5'!F7:F18&gt;0.01,AVERAGE('5'!F7:F18),"")</f>
        <v>127.41666666666667</v>
      </c>
      <c r="G19" s="67">
        <f t="array" ref="G19">IF('5'!G7:G18&gt;0.01,AVERAGE('5'!G7:G18),"")</f>
        <v>3.3249999999999993</v>
      </c>
      <c r="H19" s="67">
        <f t="array" ref="H19">IF('5'!H7:H18&gt;0.01,AVERAGE('5'!H7:H18),"")</f>
        <v>3.7916666666666665</v>
      </c>
      <c r="I19" s="67">
        <f t="array" ref="I19">IF('5'!I7:I18&gt;0.01,AVERAGE('5'!I7:I18),"")</f>
        <v>0.72666666666666668</v>
      </c>
      <c r="J19" s="67">
        <f t="array" ref="J19">IF('5'!J7:J18&gt;0.01,AVERAGE('5'!J7:J18),"")</f>
        <v>1.5416666666666667</v>
      </c>
      <c r="K19" s="67">
        <f t="array" ref="K19">IF('5'!K7:K18&gt;0.01,AVERAGE('5'!K7:K18),"")</f>
        <v>6.9333333333333336</v>
      </c>
      <c r="L19" s="67">
        <f t="array" ref="L19">IF('5'!L7:L18&gt;0.01,AVERAGE('5'!L7:L18),"")</f>
        <v>4.7999999999999989</v>
      </c>
      <c r="M19" s="67">
        <f t="array" ref="M19">IF('5'!M7:M18&gt;0.01,AVERAGE('5'!M7:M18),"")</f>
        <v>4.7999999999999989</v>
      </c>
      <c r="N19" s="67">
        <f t="array" ref="N19">IF('5'!N7:N18&gt;0.01,AVERAGE('5'!N7:N18),"")</f>
        <v>5.4666666666666677</v>
      </c>
      <c r="O19" s="67">
        <f t="array" ref="O19">IF('5'!O7:O18&gt;0.01,AVERAGE('5'!O7:O18),"")</f>
        <v>3.7833333333333345</v>
      </c>
      <c r="P19" s="188">
        <f t="array" ref="P19">IF('5'!P7:P18&gt;0.01,AVERAGE('5'!P7:P18),"")</f>
        <v>0.82500000000000018</v>
      </c>
      <c r="Q19" s="189">
        <f t="array" ref="Q19">IF('5'!Q7:Q18&gt;0.01,AVERAGE('5'!Q7:Q18),"")</f>
        <v>2.0833333333333335</v>
      </c>
      <c r="R19" s="189">
        <f t="array" ref="R19">IF('5'!R7:R18&gt;0.01,AVERAGE('5'!R7:R18),"")</f>
        <v>2000.6666666666667</v>
      </c>
      <c r="S19" s="189">
        <f t="array" ref="S19">IF('5'!S7:S18&gt;0.01,AVERAGE('5'!S7:S18),"")</f>
        <v>129.58312736584523</v>
      </c>
      <c r="T19" s="1038"/>
      <c r="U19" s="1038"/>
      <c r="V19" s="47"/>
      <c r="W19" s="48"/>
      <c r="X19" s="13">
        <v>0.58333333333333304</v>
      </c>
      <c r="Y19" s="52">
        <v>2860</v>
      </c>
      <c r="Z19" s="180">
        <v>2092</v>
      </c>
      <c r="AA19" s="15">
        <v>1</v>
      </c>
      <c r="AB19" s="56">
        <f>IF('5'!AA19=1,(('5'!Z19*'5'!$AS$6*'5'!$AT$6)/('5'!Y19*0.0036)),IF('5'!AA19=2,(('5'!Z19*'5'!$AS$7*'5'!$AT$7)/('5'!Y19*0.0036))))</f>
        <v>135.11849261849264</v>
      </c>
      <c r="AC19" s="56"/>
      <c r="AD19" s="18">
        <f>(('5'!AC19*'5'!$Q$10*1000000))/('5'!Y19*3600)</f>
        <v>0</v>
      </c>
      <c r="AE19" s="19">
        <v>3000</v>
      </c>
      <c r="AF19" s="182">
        <f>('5'!AE19/24)*0.454</f>
        <v>56.75</v>
      </c>
      <c r="AG19" s="19">
        <v>500</v>
      </c>
      <c r="AH19" s="182">
        <f>('5'!AG19/24)*0.454</f>
        <v>9.4583333333333339</v>
      </c>
      <c r="AI19" s="19">
        <v>3000</v>
      </c>
      <c r="AJ19" s="182">
        <f>('5'!AI19/24)*0.454</f>
        <v>56.75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650</v>
      </c>
      <c r="C20" s="67">
        <f>MAX('5'!C7:C18)</f>
        <v>10</v>
      </c>
      <c r="D20" s="67">
        <f>MAX('5'!D7:D18)</f>
        <v>60</v>
      </c>
      <c r="E20" s="67">
        <f>MAX('5'!E7:E18)</f>
        <v>5</v>
      </c>
      <c r="F20" s="67">
        <f>MAX('5'!F7:F18)</f>
        <v>130</v>
      </c>
      <c r="G20" s="67">
        <f>MAX('5'!G7:G18)</f>
        <v>4.2</v>
      </c>
      <c r="H20" s="67">
        <f>MAX('5'!H7:H18)</f>
        <v>6.8</v>
      </c>
      <c r="I20" s="67">
        <f>MAX('5'!I7:I18)</f>
        <v>0.87</v>
      </c>
      <c r="J20" s="67">
        <f>MAX('5'!J7:J18)</f>
        <v>1.8</v>
      </c>
      <c r="K20" s="67">
        <f>MAX('5'!K7:K18)</f>
        <v>7</v>
      </c>
      <c r="L20" s="67">
        <f>MAX('5'!L7:L18)</f>
        <v>4.8</v>
      </c>
      <c r="M20" s="67">
        <f>MAX('5'!M7:M18)</f>
        <v>4.8</v>
      </c>
      <c r="N20" s="67">
        <f>MAX('5'!N7:N18)</f>
        <v>5.7</v>
      </c>
      <c r="O20" s="68">
        <f>MAX('5'!O7:O18)</f>
        <v>4</v>
      </c>
      <c r="P20" s="68">
        <f>MAX('5'!P7:P18)</f>
        <v>1.2</v>
      </c>
      <c r="Q20" s="68">
        <f>MAX('5'!Q7:Q18)</f>
        <v>2.5</v>
      </c>
      <c r="R20" s="68">
        <f>MAX('5'!R7:R18)</f>
        <v>2092</v>
      </c>
      <c r="S20" s="68">
        <f>MAX('5'!S7:S18)</f>
        <v>140.42110788113698</v>
      </c>
      <c r="T20" s="1038"/>
      <c r="U20" s="1038"/>
      <c r="X20" s="13">
        <v>0.625</v>
      </c>
      <c r="Y20" s="52">
        <v>2882</v>
      </c>
      <c r="Z20" s="180">
        <v>2092</v>
      </c>
      <c r="AA20" s="15">
        <v>1</v>
      </c>
      <c r="AB20" s="56">
        <f>IF('5'!AA20=1,(('5'!Z20*'5'!$AS$6*'5'!$AT$6)/('5'!Y20*0.0036)),IF('5'!AA20=2,(('5'!Z20*'5'!$AS$7*'5'!$AT$7)/('5'!Y20*0.0036))))</f>
        <v>134.0870537435423</v>
      </c>
      <c r="AC20" s="56"/>
      <c r="AD20" s="18">
        <f>(('5'!AC20*'5'!$Q$10*1000000))/('5'!Y20*3600)</f>
        <v>0</v>
      </c>
      <c r="AE20" s="19">
        <v>3000</v>
      </c>
      <c r="AF20" s="182">
        <f>('5'!AE20/24)*0.454</f>
        <v>56.75</v>
      </c>
      <c r="AG20" s="19">
        <v>500</v>
      </c>
      <c r="AH20" s="182">
        <f>('5'!AG20/24)*0.454</f>
        <v>9.4583333333333339</v>
      </c>
      <c r="AI20" s="19">
        <v>3000</v>
      </c>
      <c r="AJ20" s="182">
        <f>('5'!AI20/24)*0.454</f>
        <v>56.75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550</v>
      </c>
      <c r="C21" s="67">
        <f>MIN('5'!C7:C18)</f>
        <v>5</v>
      </c>
      <c r="D21" s="67">
        <f>MIN('5'!D7:D18)</f>
        <v>7.5</v>
      </c>
      <c r="E21" s="67">
        <f>MIN('5'!E7:E18)</f>
        <v>2.5</v>
      </c>
      <c r="F21" s="67">
        <f>MIN('5'!F7:F18)</f>
        <v>124</v>
      </c>
      <c r="G21" s="190">
        <f>MIN('5'!G7:G18)</f>
        <v>2.7</v>
      </c>
      <c r="H21" s="190">
        <f>MIN('5'!H7:H18)</f>
        <v>1</v>
      </c>
      <c r="I21" s="190">
        <f>MIN('5'!I7:I18)</f>
        <v>0.64</v>
      </c>
      <c r="J21" s="190">
        <f>MIN('5'!J7:J18)</f>
        <v>1.1000000000000001</v>
      </c>
      <c r="K21" s="190">
        <f>MIN('5'!K7:K18)</f>
        <v>6.8</v>
      </c>
      <c r="L21" s="190">
        <f>MIN('5'!L7:L18)</f>
        <v>4.8</v>
      </c>
      <c r="M21" s="190">
        <f>MIN('5'!M7:M18)</f>
        <v>4.8</v>
      </c>
      <c r="N21" s="190">
        <f>MIN('5'!N7:N18)</f>
        <v>5</v>
      </c>
      <c r="O21" s="191">
        <f>MIN('5'!O7:O18)</f>
        <v>3.7</v>
      </c>
      <c r="P21" s="191">
        <f>MIN('5'!P7:P18)</f>
        <v>0.2</v>
      </c>
      <c r="Q21" s="191">
        <f>MIN('5'!Q7:Q18)</f>
        <v>1.7</v>
      </c>
      <c r="R21" s="191">
        <f>MIN('5'!R7:R18)</f>
        <v>1752</v>
      </c>
      <c r="S21" s="191">
        <f>MIN('5'!S7:S18)</f>
        <v>110.30447625539651</v>
      </c>
      <c r="T21" s="1038"/>
      <c r="U21" s="1038"/>
      <c r="X21" s="13">
        <v>0.66666666666666696</v>
      </c>
      <c r="Y21" s="52">
        <v>2869</v>
      </c>
      <c r="Z21" s="180">
        <v>2092</v>
      </c>
      <c r="AA21" s="15">
        <v>1</v>
      </c>
      <c r="AB21" s="56">
        <f>IF('5'!AA21=1,(('5'!Z21*'5'!$AS$6*'5'!$AT$6)/('5'!Y21*0.0036)),IF('5'!AA21=2,(('5'!Z21*'5'!$AS$7*'5'!$AT$7)/('5'!Y21*0.0036))))</f>
        <v>134.69462840323769</v>
      </c>
      <c r="AC21" s="56"/>
      <c r="AD21" s="18">
        <f>(('5'!AC21*'5'!$Q$10*1000000))/('5'!Y21*3600)</f>
        <v>0</v>
      </c>
      <c r="AE21" s="19">
        <v>3000</v>
      </c>
      <c r="AF21" s="182">
        <f>('5'!AE21/24)*0.454</f>
        <v>56.75</v>
      </c>
      <c r="AG21" s="19">
        <v>500</v>
      </c>
      <c r="AH21" s="182">
        <f>('5'!AG21/24)*0.454</f>
        <v>9.4583333333333339</v>
      </c>
      <c r="AI21" s="19">
        <v>3000</v>
      </c>
      <c r="AJ21" s="182">
        <f>('5'!AI21/24)*0.454</f>
        <v>56.75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1038"/>
      <c r="U22" s="1038"/>
      <c r="X22" s="13">
        <v>0.70833333333333304</v>
      </c>
      <c r="Y22" s="52">
        <v>2884</v>
      </c>
      <c r="Z22" s="180">
        <v>1752</v>
      </c>
      <c r="AA22" s="15">
        <v>1</v>
      </c>
      <c r="AB22" s="56">
        <f>IF('5'!AA22=1,(('5'!Z22*'5'!$AS$6*'5'!$AT$6)/('5'!Y22*0.0036)),IF('5'!AA22=2,(('5'!Z22*'5'!$AS$7*'5'!$AT$7)/('5'!Y22*0.0036))))</f>
        <v>112.21682847896442</v>
      </c>
      <c r="AC22" s="56"/>
      <c r="AD22" s="18">
        <f>(('5'!AC22*'5'!$Q$10*1000000))/('5'!Y22*3600)</f>
        <v>0</v>
      </c>
      <c r="AE22" s="19">
        <v>3000</v>
      </c>
      <c r="AF22" s="182">
        <f>('5'!AE22/24)*0.454</f>
        <v>56.75</v>
      </c>
      <c r="AG22" s="19">
        <v>500</v>
      </c>
      <c r="AH22" s="182">
        <f>('5'!AG22/24)*0.454</f>
        <v>9.4583333333333339</v>
      </c>
      <c r="AI22" s="19">
        <v>3000</v>
      </c>
      <c r="AJ22" s="182">
        <f>('5'!AI22/24)*0.454</f>
        <v>56.75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1038"/>
      <c r="U23" s="1038"/>
      <c r="X23" s="13">
        <v>0.75</v>
      </c>
      <c r="Y23" s="52">
        <v>2904</v>
      </c>
      <c r="Z23" s="180">
        <v>1752</v>
      </c>
      <c r="AA23" s="15">
        <v>1</v>
      </c>
      <c r="AB23" s="56">
        <f>IF('5'!AA23=1,(('5'!Z23*'5'!$AS$6*'5'!$AT$6)/('5'!Y23*0.0036)),IF('5'!AA23=2,(('5'!Z23*'5'!$AS$7*'5'!$AT$7)/('5'!Y23*0.0036))))</f>
        <v>111.44398530762169</v>
      </c>
      <c r="AC23" s="56"/>
      <c r="AD23" s="18">
        <f>(('5'!AC23*'5'!$Q$10*1000000))/('5'!Y23*3600)</f>
        <v>0</v>
      </c>
      <c r="AE23" s="19">
        <v>3000</v>
      </c>
      <c r="AF23" s="182">
        <f>('5'!AE23/24)*0.454</f>
        <v>56.75</v>
      </c>
      <c r="AG23" s="19">
        <v>500</v>
      </c>
      <c r="AH23" s="182">
        <f>('5'!AG23/24)*0.454</f>
        <v>9.4583333333333339</v>
      </c>
      <c r="AI23" s="19">
        <v>3000</v>
      </c>
      <c r="AJ23" s="182">
        <f>('5'!AI23/24)*0.454</f>
        <v>56.75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38"/>
      <c r="U24" s="1038"/>
      <c r="X24" s="13">
        <v>0.79166666666666696</v>
      </c>
      <c r="Y24" s="52">
        <v>2900</v>
      </c>
      <c r="Z24" s="180">
        <v>1752</v>
      </c>
      <c r="AA24" s="15">
        <v>1</v>
      </c>
      <c r="AB24" s="16">
        <f>IF('5'!AA24=1,(('5'!Z24*'5'!$AS$6*'5'!$AT$6)/('5'!Y24*0.0036)),IF('5'!AA24=2,(('5'!Z24*'5'!$AS$7*'5'!$AT$7)/('5'!Y24*0.0036))))</f>
        <v>111.5977011494253</v>
      </c>
      <c r="AC24" s="56"/>
      <c r="AD24" s="18">
        <f>(('5'!AC24*'5'!$Q$10*1000000))/('5'!Y24*3600)</f>
        <v>0</v>
      </c>
      <c r="AE24" s="19">
        <v>3000</v>
      </c>
      <c r="AF24" s="182">
        <f>('5'!AE24/24)*0.454</f>
        <v>56.75</v>
      </c>
      <c r="AG24" s="19">
        <v>500</v>
      </c>
      <c r="AH24" s="182">
        <f>('5'!AG24/24)*0.454</f>
        <v>9.4583333333333339</v>
      </c>
      <c r="AI24" s="19">
        <v>3000</v>
      </c>
      <c r="AJ24" s="182">
        <f>('5'!AI24/24)*0.454</f>
        <v>56.75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/>
      <c r="C25" s="196">
        <v>0.8</v>
      </c>
      <c r="D25" s="196">
        <v>0.96</v>
      </c>
      <c r="E25" s="196">
        <v>1.7</v>
      </c>
      <c r="F25" s="196">
        <v>0.69</v>
      </c>
      <c r="G25" s="196"/>
      <c r="H25" s="196">
        <v>1.863</v>
      </c>
      <c r="I25" s="196">
        <v>1.04</v>
      </c>
      <c r="J25" s="196"/>
      <c r="K25" s="196">
        <v>1.18</v>
      </c>
      <c r="L25" s="196">
        <v>12.5</v>
      </c>
      <c r="M25" s="196">
        <v>10.4</v>
      </c>
      <c r="N25" s="196">
        <v>11.5</v>
      </c>
      <c r="O25" s="196">
        <v>5.26</v>
      </c>
      <c r="P25" s="196"/>
      <c r="Q25" s="196"/>
      <c r="R25" s="63" t="e">
        <f>#DIV/0!</f>
        <v>#DIV/0!</v>
      </c>
      <c r="S25" s="64"/>
      <c r="T25" s="1039" t="s">
        <v>0</v>
      </c>
      <c r="U25" s="1040">
        <f>ESCALA!$A$7</f>
        <v>44321</v>
      </c>
      <c r="X25" s="13">
        <v>0.83333333333333304</v>
      </c>
      <c r="Y25" s="52">
        <v>2934</v>
      </c>
      <c r="Z25" s="180">
        <v>1752</v>
      </c>
      <c r="AA25" s="15">
        <v>1</v>
      </c>
      <c r="AB25" s="56">
        <f>IF('5'!AA25=1,(('5'!Z25*'5'!$AS$6*'5'!$AT$6)/('5'!Y25*0.0036)),IF('5'!AA25=2,(('5'!Z25*'5'!$AS$7*'5'!$AT$7)/('5'!Y25*0.0036))))</f>
        <v>110.30447625539651</v>
      </c>
      <c r="AC25" s="56"/>
      <c r="AD25" s="18">
        <f>(('5'!AC25*'5'!$Q$10*1000000))/('5'!Y25*3600)</f>
        <v>0</v>
      </c>
      <c r="AE25" s="19">
        <v>3000</v>
      </c>
      <c r="AF25" s="182">
        <f>('5'!AE25/24)*0.454</f>
        <v>56.75</v>
      </c>
      <c r="AG25" s="19">
        <v>500</v>
      </c>
      <c r="AH25" s="182">
        <f>('5'!AG25/24)*0.454</f>
        <v>9.4583333333333339</v>
      </c>
      <c r="AI25" s="19">
        <v>3000</v>
      </c>
      <c r="AJ25" s="182">
        <f>('5'!AI25/24)*0.454</f>
        <v>56.75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9"/>
      <c r="U26" s="1040"/>
      <c r="X26" s="13">
        <v>0.875</v>
      </c>
      <c r="Y26" s="52">
        <v>2871</v>
      </c>
      <c r="Z26" s="180">
        <v>1752</v>
      </c>
      <c r="AA26" s="15">
        <v>1</v>
      </c>
      <c r="AB26" s="56">
        <f>IF('5'!AA26=1,(('5'!Z26*'5'!$AS$6*'5'!$AT$6)/('5'!Y26*0.0036)),IF('5'!AA26=2,(('5'!Z26*'5'!$AS$7*'5'!$AT$7)/('5'!Y26*0.0036))))</f>
        <v>112.72495065598515</v>
      </c>
      <c r="AC26" s="56"/>
      <c r="AD26" s="18">
        <f>(('5'!AC26*'5'!$Q$10*1000000))/('5'!Y26*3600)</f>
        <v>0</v>
      </c>
      <c r="AE26" s="19">
        <v>3000</v>
      </c>
      <c r="AF26" s="182">
        <f>('5'!AE26/24)*0.454</f>
        <v>56.75</v>
      </c>
      <c r="AG26" s="19">
        <v>500</v>
      </c>
      <c r="AH26" s="182">
        <f>('5'!AG26/24)*0.454</f>
        <v>9.4583333333333339</v>
      </c>
      <c r="AI26" s="19">
        <v>3000</v>
      </c>
      <c r="AJ26" s="182">
        <f>('5'!AI26/24)*0.454</f>
        <v>56.75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1"/>
      <c r="S27" s="1041"/>
      <c r="T27" s="1041"/>
      <c r="U27" s="72"/>
      <c r="X27" s="13">
        <v>0.91666666666666696</v>
      </c>
      <c r="Y27" s="52">
        <v>2819</v>
      </c>
      <c r="Z27" s="180">
        <v>1752</v>
      </c>
      <c r="AA27" s="15">
        <v>1</v>
      </c>
      <c r="AB27" s="56">
        <f>IF('5'!AA27=1,(('5'!Z27*'5'!$AS$6*'5'!$AT$6)/('5'!Y27*0.0036)),IF('5'!AA27=2,(('5'!Z27*'5'!$AS$7*'5'!$AT$7)/('5'!Y27*0.0036))))</f>
        <v>114.80430412675891</v>
      </c>
      <c r="AC27" s="56"/>
      <c r="AD27" s="18">
        <f>(('5'!AC27*'5'!$Q$10*1000000))/('5'!Y27*3600)</f>
        <v>0</v>
      </c>
      <c r="AE27" s="19">
        <v>3000</v>
      </c>
      <c r="AF27" s="182">
        <f>('5'!AE27/24)*0.454</f>
        <v>56.75</v>
      </c>
      <c r="AG27" s="19">
        <v>500</v>
      </c>
      <c r="AH27" s="182">
        <f>('5'!AG27/24)*0.454</f>
        <v>9.4583333333333339</v>
      </c>
      <c r="AI27" s="19">
        <v>3000</v>
      </c>
      <c r="AJ27" s="182">
        <f>('5'!AI27/24)*0.454</f>
        <v>56.75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2840</v>
      </c>
      <c r="Z28" s="180">
        <v>1752</v>
      </c>
      <c r="AA28" s="15">
        <v>1</v>
      </c>
      <c r="AB28" s="56">
        <f>IF('5'!AA28=1,(('5'!Z28*'5'!$AS$6*'5'!$AT$6)/('5'!Y28*0.0036)),IF('5'!AA28=2,(('5'!Z28*'5'!$AS$7*'5'!$AT$7)/('5'!Y28*0.0036))))</f>
        <v>113.95539906103288</v>
      </c>
      <c r="AC28" s="56"/>
      <c r="AD28" s="18">
        <f>(('5'!AC28*'5'!$Q$10*1000000))/('5'!Y28*3600)</f>
        <v>0</v>
      </c>
      <c r="AE28" s="19">
        <v>3000</v>
      </c>
      <c r="AF28" s="182">
        <f>('5'!AE28/24)*0.454</f>
        <v>56.75</v>
      </c>
      <c r="AG28" s="19">
        <v>500</v>
      </c>
      <c r="AH28" s="182">
        <f>('5'!AG28/24)*0.454</f>
        <v>9.4583333333333339</v>
      </c>
      <c r="AI28" s="19">
        <v>3000</v>
      </c>
      <c r="AJ28" s="182">
        <f>('5'!AI28/24)*0.454</f>
        <v>56.75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2866</v>
      </c>
      <c r="Z29" s="180">
        <v>1752</v>
      </c>
      <c r="AA29" s="15">
        <v>1</v>
      </c>
      <c r="AB29" s="56">
        <f>IF('5'!AA29=1,(('5'!Z29*'5'!$AS$6*'5'!$AT$6)/('5'!Y29*0.0036)),IF('5'!AA29=2,(('5'!Z29*'5'!$AS$7*'5'!$AT$7)/('5'!Y29*0.0036))))</f>
        <v>112.92160967666901</v>
      </c>
      <c r="AC29" s="56"/>
      <c r="AD29" s="18">
        <f>(('5'!AC29*'5'!$Q$10*1000000))/('5'!Y29*3600)</f>
        <v>0</v>
      </c>
      <c r="AE29" s="19">
        <v>3000</v>
      </c>
      <c r="AF29" s="182">
        <f>('5'!AE29/24)*0.454</f>
        <v>56.75</v>
      </c>
      <c r="AG29" s="19">
        <v>500</v>
      </c>
      <c r="AH29" s="182">
        <f>('5'!AG29/24)*0.454</f>
        <v>9.4583333333333339</v>
      </c>
      <c r="AI29" s="19">
        <v>3000</v>
      </c>
      <c r="AJ29" s="182">
        <f>('5'!AI29/24)*0.454</f>
        <v>56.75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SUM('5'!Y6:Y29)*3.6</f>
        <v>246333.6</v>
      </c>
      <c r="Z30" s="80">
        <f>SUM('5'!Z6:Z29)</f>
        <v>47488</v>
      </c>
      <c r="AA30" s="76"/>
      <c r="AB30" s="77"/>
      <c r="AC30" s="76"/>
      <c r="AD30" s="77"/>
      <c r="AE30" s="33"/>
      <c r="AF30" s="182">
        <f>SUM('5'!AF6:AF29)</f>
        <v>1362</v>
      </c>
      <c r="AG30" s="33"/>
      <c r="AH30" s="182">
        <f>SUM('5'!AH6:AH29)</f>
        <v>227.00000000000009</v>
      </c>
      <c r="AI30" s="33"/>
      <c r="AJ30" s="182">
        <f>SUM('5'!AJ6:AJ29)</f>
        <v>1460.3666666666663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SUMIF('5'!AA6:AA29,"=1",'5'!Z6:Z29)</f>
        <v>47488</v>
      </c>
      <c r="AA32" s="80">
        <f>'5'!Z32*'5'!AS6</f>
        <v>63159.040000000001</v>
      </c>
      <c r="AB32" s="81">
        <f>SUMIF('5'!$AA$6:$AA$29,"=1",'5'!$AB$6:$AB$29)/COUNTIF('5'!$AA$6:$AA$29,"=1")</f>
        <v>128.29920728700105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AVERAGE('5'!Y6:Y29)</f>
        <v>2851.0833333333335</v>
      </c>
      <c r="Z34" s="94">
        <f>AVERAGE('5'!Z6:Z29)</f>
        <v>1978.6666666666667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56.75</v>
      </c>
      <c r="AG34" s="96"/>
      <c r="AH34" s="96">
        <f>AVERAGE('5'!AH6:AH29)</f>
        <v>9.4583333333333375</v>
      </c>
      <c r="AI34" s="96"/>
      <c r="AJ34" s="96">
        <f>'5'!AJ30/24</f>
        <v>60.848611111111097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2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2"/>
      <c r="X36" s="229" t="s">
        <v>73</v>
      </c>
      <c r="Y36" s="104">
        <v>0</v>
      </c>
      <c r="Z36" s="105"/>
      <c r="AA36" s="106" t="s">
        <v>74</v>
      </c>
      <c r="AB36" s="104">
        <v>5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49.8</v>
      </c>
      <c r="D37" s="184">
        <v>4</v>
      </c>
      <c r="E37" s="184">
        <v>4</v>
      </c>
      <c r="F37" s="184">
        <v>3.6</v>
      </c>
      <c r="G37" s="184">
        <v>0.3</v>
      </c>
      <c r="H37" s="184">
        <v>0.3</v>
      </c>
      <c r="I37" s="230">
        <v>0.3</v>
      </c>
      <c r="J37" s="230">
        <v>0.1</v>
      </c>
      <c r="K37" s="230">
        <v>0.1</v>
      </c>
      <c r="L37" s="1020"/>
      <c r="M37" s="1020"/>
      <c r="N37" s="1020"/>
      <c r="O37" s="10"/>
      <c r="P37" s="10"/>
      <c r="Q37" s="10"/>
      <c r="R37" s="10"/>
      <c r="S37" s="10"/>
      <c r="T37" s="10"/>
      <c r="U37" s="223">
        <f>'5'!V12</f>
        <v>0</v>
      </c>
      <c r="X37" s="956" t="s">
        <v>75</v>
      </c>
      <c r="Y37" s="956"/>
      <c r="Z37" s="108">
        <f>COUNTA('5'!Z6:Z29)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1678.1429000000001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1460.3666666666663</v>
      </c>
      <c r="AQ38" s="208" t="s">
        <v>78</v>
      </c>
      <c r="AR38" s="210">
        <f>'5'!AP30*1.0561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6.8124807172062596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5.9284103616667245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SUM('5'!AK38,'5'!AM38)</f>
        <v>1678.1429000000001</v>
      </c>
      <c r="AM40" s="969"/>
      <c r="AO40" s="970" t="s">
        <v>90</v>
      </c>
      <c r="AP40" s="970"/>
      <c r="AQ40" s="971">
        <f>SUM('5'!AP38,'5'!AR38)</f>
        <v>1460.3666666666663</v>
      </c>
      <c r="AR40" s="971"/>
    </row>
    <row r="41" spans="1:44" ht="16.5" customHeight="1">
      <c r="A41" s="131">
        <f>COUNTA('5'!E7:E18)</f>
        <v>12</v>
      </c>
      <c r="B41" s="132">
        <f>COUNTA('5'!I7:I18)</f>
        <v>12</v>
      </c>
      <c r="C41" s="972">
        <f>COUNTA('5'!J7:J18)</f>
        <v>12</v>
      </c>
      <c r="D41" s="972">
        <f>COUNTA('5'!K7:K18)</f>
        <v>12</v>
      </c>
      <c r="E41" s="972">
        <f>COUNTIF('5'!E7:E18,"&gt;15")</f>
        <v>0</v>
      </c>
      <c r="F41" s="972"/>
      <c r="G41" s="972">
        <f>COUNTIF('5'!J7:J18,"&gt;1")</f>
        <v>12</v>
      </c>
      <c r="H41" s="972"/>
      <c r="I41" s="133"/>
      <c r="J41" s="972">
        <f>'5'!A41-'5'!E41</f>
        <v>12</v>
      </c>
      <c r="K41" s="972"/>
      <c r="L41" s="972">
        <f>'5'!C41-'5'!G41</f>
        <v>0</v>
      </c>
      <c r="M41" s="972"/>
      <c r="N41" s="133"/>
      <c r="O41" s="973">
        <f>COUNTIF('5'!J7:J18,"&lt;=0,5")</f>
        <v>0</v>
      </c>
      <c r="P41" s="973"/>
      <c r="Q41" s="973"/>
      <c r="R41" s="963"/>
      <c r="S41" s="974">
        <f>COUNTIF('5'!J7:J18,"&lt;=1,0")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SUM(('5'!AK38+'5'!AM38)/'5'!Y30)*1000</f>
        <v>6.8124807172062596</v>
      </c>
      <c r="AM41" s="975"/>
      <c r="AO41" s="970" t="s">
        <v>91</v>
      </c>
      <c r="AP41" s="970"/>
      <c r="AQ41" s="975">
        <f>SUM(('5'!AP38+'5'!AR38)/'5'!Y30)*1000</f>
        <v>5.9284103616667245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155</v>
      </c>
      <c r="Z44" s="142" t="s">
        <v>101</v>
      </c>
      <c r="AA44" s="143"/>
      <c r="AB44" s="142" t="s">
        <v>101</v>
      </c>
      <c r="AC44" s="143">
        <v>4</v>
      </c>
      <c r="AD44" s="982"/>
      <c r="AE44" s="982"/>
      <c r="AF44" s="983" t="s">
        <v>102</v>
      </c>
      <c r="AG44" s="1028">
        <f>SUM('5'!Y45,'5'!AA45,'5'!AC45,'5'!AE45)</f>
        <v>98782.3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COUNTIF('5'!I7:I18,"&lt;=5,0")</f>
        <v>12</v>
      </c>
      <c r="I45" s="986"/>
      <c r="J45" s="986"/>
      <c r="K45" s="133"/>
      <c r="L45" s="968">
        <f>COUNTA('5'!L37)</f>
        <v>0</v>
      </c>
      <c r="M45" s="968"/>
      <c r="O45" s="144"/>
      <c r="P45" s="145"/>
      <c r="Q45" s="987">
        <f>'5'!S41-'5'!O41</f>
        <v>0</v>
      </c>
      <c r="R45" s="987"/>
      <c r="S45" s="987"/>
      <c r="T45" s="146"/>
      <c r="X45" s="147" t="s">
        <v>104</v>
      </c>
      <c r="Y45" s="148">
        <f>'5'!Y44*275.3</f>
        <v>42671.5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1110.8</v>
      </c>
      <c r="AD45" s="147" t="s">
        <v>104</v>
      </c>
      <c r="AE45" s="149">
        <v>55000</v>
      </c>
      <c r="AF45" s="983"/>
      <c r="AG45" s="1028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89" t="s">
        <v>106</v>
      </c>
      <c r="AG46" s="1028">
        <f>SUM('5'!Y47,'5'!AA47,'5'!AC47,'5'!AE47)</f>
        <v>131380.459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'5'!Y45*'5'!Y46</f>
        <v>56753.095000000001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1477.364</v>
      </c>
      <c r="AD47" s="147" t="s">
        <v>108</v>
      </c>
      <c r="AE47" s="148">
        <f>'5'!AE45*'5'!AE46</f>
        <v>73150</v>
      </c>
      <c r="AF47" s="989"/>
      <c r="AG47" s="1028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COUNTA('5'!O7:O18)</f>
        <v>12</v>
      </c>
      <c r="P51" s="968">
        <f>COUNTA('5'!W17:W28)</f>
        <v>0</v>
      </c>
      <c r="R51" s="986">
        <f>COUNTIF('5'!O7:O18,"&gt;=0,5")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SUM('5'!Y53,'5'!AA53,'5'!AC53,'5'!AE53)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'5'!AS7</f>
        <v>1.262</v>
      </c>
      <c r="Z54" s="151" t="s">
        <v>105</v>
      </c>
      <c r="AA54" s="153">
        <f>'5'!Y54</f>
        <v>1.262</v>
      </c>
      <c r="AB54" s="151" t="s">
        <v>105</v>
      </c>
      <c r="AC54" s="153">
        <f>'5'!Y54</f>
        <v>1.262</v>
      </c>
      <c r="AD54" s="151" t="s">
        <v>105</v>
      </c>
      <c r="AE54" s="154">
        <f>'5'!Y54</f>
        <v>1.262</v>
      </c>
      <c r="AF54" s="989" t="s">
        <v>106</v>
      </c>
      <c r="AG54" s="990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89"/>
      <c r="AG55" s="990"/>
      <c r="AI55" s="151" t="s">
        <v>105</v>
      </c>
      <c r="AJ55" s="152">
        <f>'5'!Y54</f>
        <v>1.262</v>
      </c>
      <c r="AK55" s="151" t="s">
        <v>105</v>
      </c>
      <c r="AL55" s="152">
        <f>'5'!AJ55</f>
        <v>1.262</v>
      </c>
      <c r="AM55" s="151" t="s">
        <v>105</v>
      </c>
      <c r="AN55" s="152">
        <f>'5'!AJ55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88"/>
      <c r="AP56" s="988"/>
      <c r="AQ56" s="988"/>
      <c r="AR56" s="988"/>
    </row>
    <row r="57" spans="15:44" ht="15.75" customHeight="1">
      <c r="O57" s="997">
        <f>COUNTA('5'!N7:N18)</f>
        <v>12</v>
      </c>
      <c r="P57" s="997"/>
      <c r="R57" s="998">
        <f>COUNTIF('5'!N7:N18,"&gt;=6")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'5'!AJ56+'5'!AL56+'5'!AN56</f>
        <v>0</v>
      </c>
      <c r="AM61" s="1005"/>
      <c r="AN61" s="1004" t="s">
        <v>121</v>
      </c>
      <c r="AO61" s="1004"/>
      <c r="AP61" s="1004"/>
      <c r="AQ61" s="1005">
        <f>'5'!AJ49+'5'!AL49+'5'!AN49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'5'!AA32</f>
        <v>63159.040000000001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'5'!AL61-'5'!AL62</f>
        <v>0</v>
      </c>
      <c r="AM63" s="1005"/>
      <c r="AN63" s="1004" t="s">
        <v>125</v>
      </c>
      <c r="AO63" s="1004"/>
      <c r="AP63" s="1004"/>
      <c r="AQ63" s="1005">
        <f>'5'!AQ61-'5'!AQ62</f>
        <v>-63159.040000000001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'4'!$Y$68</f>
        <v>#REF!</v>
      </c>
      <c r="Z65" s="1007"/>
      <c r="AA65" s="1007"/>
      <c r="AB65" s="174" t="s">
        <v>126</v>
      </c>
      <c r="AC65" s="216">
        <f>'4'!$AC$68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SUM('5'!AK38,'5'!AP38)</f>
        <v>3138.5095666666666</v>
      </c>
      <c r="Z67" s="1007"/>
      <c r="AA67" s="1007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 t="e">
        <f>SUM('5'!Y63,'5'!Y65)-'5'!Y67</f>
        <v>#REF!</v>
      </c>
      <c r="Z68" s="1007"/>
      <c r="AA68" s="1007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29" sqref="A29:U34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2803</v>
      </c>
      <c r="Z6" s="180">
        <v>1752</v>
      </c>
      <c r="AA6" s="15">
        <v>1</v>
      </c>
      <c r="AB6" s="56">
        <f>IF('6'!AA11=1,(('6'!Z11*'6'!$AS$6*'6'!$AT$6)/('6'!Y11*0.0036)),IF('6'!AA11=2,(('6'!Z11*'6'!$AS$7*'6'!$AT$7)/('6'!Y11*0.0036))))</f>
        <v>114.64163419530054</v>
      </c>
      <c r="AC6" s="56"/>
      <c r="AD6" s="18">
        <f>(('6'!AC6*'6'!$Q$10*1000000))/('6'!Y6*3600)</f>
        <v>0</v>
      </c>
      <c r="AE6" s="19">
        <v>3000</v>
      </c>
      <c r="AF6" s="182">
        <f>('6'!AE6/24)*0.454</f>
        <v>56.75</v>
      </c>
      <c r="AG6" s="19">
        <v>500</v>
      </c>
      <c r="AH6" s="182">
        <f>('6'!AG6/24)*0.454</f>
        <v>9.4583333333333339</v>
      </c>
      <c r="AI6" s="19">
        <v>3000</v>
      </c>
      <c r="AJ6" s="182">
        <f>('6'!AI6/24)*0.454</f>
        <v>56.75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550</v>
      </c>
      <c r="C7" s="184">
        <v>5</v>
      </c>
      <c r="D7" s="184">
        <v>7.5</v>
      </c>
      <c r="E7" s="184">
        <v>2.5</v>
      </c>
      <c r="F7" s="184">
        <v>124</v>
      </c>
      <c r="G7" s="184">
        <v>3</v>
      </c>
      <c r="H7" s="184">
        <v>3.5</v>
      </c>
      <c r="I7" s="184">
        <v>0.82</v>
      </c>
      <c r="J7" s="184">
        <v>1.7</v>
      </c>
      <c r="K7" s="184">
        <v>7</v>
      </c>
      <c r="L7" s="184">
        <v>4.8</v>
      </c>
      <c r="M7" s="184">
        <v>4.8</v>
      </c>
      <c r="N7" s="184">
        <v>5.7</v>
      </c>
      <c r="O7" s="184">
        <v>3.7</v>
      </c>
      <c r="P7" s="184">
        <v>1</v>
      </c>
      <c r="Q7" s="186">
        <v>1.7</v>
      </c>
      <c r="R7" s="36">
        <f>'5'!$Z$29</f>
        <v>1752</v>
      </c>
      <c r="S7" s="185">
        <f>'5'!$AB$29</f>
        <v>112.92160967666901</v>
      </c>
      <c r="T7" s="36">
        <f>'5'!$Y$29</f>
        <v>2866</v>
      </c>
      <c r="U7" s="32" t="str">
        <f>IF('6'!AA6=1,'6'!AR6,'6'!AR7)</f>
        <v>S.A.L</v>
      </c>
      <c r="V7" s="1016">
        <f>ESCALA!$B$7</f>
        <v>0</v>
      </c>
      <c r="W7" s="1016"/>
      <c r="X7" s="13">
        <v>8.3333333333333301E-2</v>
      </c>
      <c r="Y7" s="52">
        <v>2877</v>
      </c>
      <c r="Z7" s="180">
        <v>1752</v>
      </c>
      <c r="AA7" s="15">
        <v>1</v>
      </c>
      <c r="AB7" s="56">
        <f>IF('6'!AA12=1,(('6'!Z12*'6'!$AS$6*'6'!$AT$6)/('6'!Y12*0.0036)),IF('6'!AA12=2,(('6'!Z12*'6'!$AS$7*'6'!$AT$7)/('6'!Y12*0.0036))))</f>
        <v>116.49868010559157</v>
      </c>
      <c r="AC7" s="56"/>
      <c r="AD7" s="18">
        <f>(('6'!AC7*'6'!$Q$10*1000000))/('6'!Y7*3600)</f>
        <v>0</v>
      </c>
      <c r="AE7" s="19">
        <v>3000</v>
      </c>
      <c r="AF7" s="182">
        <f>('6'!AE7/24)*0.454</f>
        <v>56.75</v>
      </c>
      <c r="AG7" s="19">
        <v>500</v>
      </c>
      <c r="AH7" s="182">
        <f>('6'!AG7/24)*0.454</f>
        <v>9.4583333333333339</v>
      </c>
      <c r="AI7" s="19">
        <v>3000</v>
      </c>
      <c r="AJ7" s="182">
        <f>('6'!AI7/24)*0.454</f>
        <v>56.75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550</v>
      </c>
      <c r="C8" s="184">
        <v>5</v>
      </c>
      <c r="D8" s="184">
        <v>7.5</v>
      </c>
      <c r="E8" s="184">
        <v>2.5</v>
      </c>
      <c r="F8" s="184">
        <v>127</v>
      </c>
      <c r="G8" s="184">
        <v>3</v>
      </c>
      <c r="H8" s="184">
        <v>3.5</v>
      </c>
      <c r="I8" s="184">
        <v>0.8</v>
      </c>
      <c r="J8" s="184">
        <v>1.7</v>
      </c>
      <c r="K8" s="184">
        <v>7</v>
      </c>
      <c r="L8" s="184">
        <v>4.8</v>
      </c>
      <c r="M8" s="184">
        <v>4.8</v>
      </c>
      <c r="N8" s="184">
        <v>5.7</v>
      </c>
      <c r="O8" s="184">
        <v>3.7</v>
      </c>
      <c r="P8" s="184">
        <v>1.2</v>
      </c>
      <c r="Q8" s="186">
        <v>1.7</v>
      </c>
      <c r="R8" s="34">
        <f>'6'!Z7</f>
        <v>1752</v>
      </c>
      <c r="S8" s="35">
        <f>'6'!AB7</f>
        <v>116.49868010559157</v>
      </c>
      <c r="T8" s="36">
        <f>'6'!Y7</f>
        <v>2877</v>
      </c>
      <c r="U8" s="32" t="str">
        <f>IF('6'!AA7=1,'6'!AR6,'6'!AR7)</f>
        <v>S.A.L</v>
      </c>
      <c r="V8" s="1016"/>
      <c r="W8" s="1016"/>
      <c r="X8" s="13">
        <v>0.125</v>
      </c>
      <c r="Y8" s="52">
        <v>2839</v>
      </c>
      <c r="Z8" s="180">
        <v>1752</v>
      </c>
      <c r="AA8" s="15">
        <v>1</v>
      </c>
      <c r="AB8" s="56">
        <f>IF('6'!AA13=1,(('6'!Z13*'6'!$AS$6*'6'!$AT$6)/('6'!Y13*0.0036)),IF('6'!AA13=2,(('6'!Z13*'6'!$AS$7*'6'!$AT$7)/('6'!Y13*0.0036))))</f>
        <v>114.96743635287153</v>
      </c>
      <c r="AC8" s="56"/>
      <c r="AD8" s="18">
        <f>(('6'!AC8*'6'!$Q$10*1000000))/('6'!Y8*3600)</f>
        <v>0</v>
      </c>
      <c r="AE8" s="19">
        <v>3000</v>
      </c>
      <c r="AF8" s="182">
        <f>('6'!AE8/24)*0.454</f>
        <v>56.75</v>
      </c>
      <c r="AG8" s="19">
        <v>500</v>
      </c>
      <c r="AH8" s="182">
        <f>('6'!AG8/24)*0.454</f>
        <v>9.4583333333333339</v>
      </c>
      <c r="AI8" s="19">
        <v>3000</v>
      </c>
      <c r="AJ8" s="182">
        <f>('6'!AI8/24)*0.454</f>
        <v>56.75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550</v>
      </c>
      <c r="C9" s="184">
        <v>7.5</v>
      </c>
      <c r="D9" s="184">
        <v>7.5</v>
      </c>
      <c r="E9" s="184">
        <v>2.5</v>
      </c>
      <c r="F9" s="184">
        <v>130</v>
      </c>
      <c r="G9" s="184">
        <v>3.1</v>
      </c>
      <c r="H9" s="184">
        <v>3.4</v>
      </c>
      <c r="I9" s="184">
        <v>0.77</v>
      </c>
      <c r="J9" s="184">
        <v>1.7</v>
      </c>
      <c r="K9" s="184">
        <v>7</v>
      </c>
      <c r="L9" s="184">
        <v>4.8</v>
      </c>
      <c r="M9" s="184">
        <v>4.8</v>
      </c>
      <c r="N9" s="184">
        <v>5.7</v>
      </c>
      <c r="O9" s="184">
        <v>3.7</v>
      </c>
      <c r="P9" s="184">
        <v>1.5</v>
      </c>
      <c r="Q9" s="186">
        <v>1.6</v>
      </c>
      <c r="R9" s="36">
        <f>'6'!Z9</f>
        <v>1752</v>
      </c>
      <c r="S9" s="35">
        <f>'6'!AB9</f>
        <v>114.11612599905972</v>
      </c>
      <c r="T9" s="36">
        <f>'6'!Y9</f>
        <v>2806</v>
      </c>
      <c r="U9" s="32" t="str">
        <f>IF('6'!AA9=1,'6'!AR6,'6'!AR7)</f>
        <v>S.A.L</v>
      </c>
      <c r="V9" s="1016"/>
      <c r="W9" s="1016"/>
      <c r="X9" s="13">
        <v>0.16666666666666699</v>
      </c>
      <c r="Y9" s="52">
        <v>2806</v>
      </c>
      <c r="Z9" s="180">
        <v>1752</v>
      </c>
      <c r="AA9" s="15">
        <v>1</v>
      </c>
      <c r="AB9" s="56">
        <f>IF('6'!AA14=1,(('6'!Z14*'6'!$AS$6*'6'!$AT$6)/('6'!Y14*0.0036)),IF('6'!AA14=2,(('6'!Z14*'6'!$AS$7*'6'!$AT$7)/('6'!Y14*0.0036))))</f>
        <v>114.11612599905972</v>
      </c>
      <c r="AC9" s="56"/>
      <c r="AD9" s="18">
        <f>(('6'!AC9*'6'!$Q$10*1000000))/('6'!Y9*3600)</f>
        <v>0</v>
      </c>
      <c r="AE9" s="19">
        <v>3000</v>
      </c>
      <c r="AF9" s="182">
        <f>('6'!AE9/24)*0.454</f>
        <v>56.75</v>
      </c>
      <c r="AG9" s="19">
        <v>500</v>
      </c>
      <c r="AH9" s="182">
        <f>('6'!AG9/24)*0.454</f>
        <v>9.4583333333333339</v>
      </c>
      <c r="AI9" s="19">
        <v>3000</v>
      </c>
      <c r="AJ9" s="182">
        <f>('6'!AI9/24)*0.454</f>
        <v>56.75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550</v>
      </c>
      <c r="C10" s="184">
        <v>7.5</v>
      </c>
      <c r="D10" s="184">
        <v>7.5</v>
      </c>
      <c r="E10" s="184">
        <v>2.5</v>
      </c>
      <c r="F10" s="184">
        <v>133</v>
      </c>
      <c r="G10" s="184">
        <v>3.2</v>
      </c>
      <c r="H10" s="184">
        <v>3.4</v>
      </c>
      <c r="I10" s="184">
        <v>0.73</v>
      </c>
      <c r="J10" s="184">
        <v>1.7</v>
      </c>
      <c r="K10" s="184">
        <v>7</v>
      </c>
      <c r="L10" s="184">
        <v>4.8</v>
      </c>
      <c r="M10" s="184">
        <v>4.8</v>
      </c>
      <c r="N10" s="184">
        <v>5.7</v>
      </c>
      <c r="O10" s="184">
        <v>3.7</v>
      </c>
      <c r="P10" s="184">
        <v>1.6</v>
      </c>
      <c r="Q10" s="186">
        <v>1.6</v>
      </c>
      <c r="R10" s="36">
        <f>'6'!Z11</f>
        <v>1752</v>
      </c>
      <c r="S10" s="35">
        <f>'6'!AB11</f>
        <v>114.64163419530054</v>
      </c>
      <c r="T10" s="36">
        <f>'6'!Y11</f>
        <v>2823</v>
      </c>
      <c r="U10" s="32" t="str">
        <f>IF('6'!AA11=1,'6'!AR6,'6'!AR7)</f>
        <v>S.A.L</v>
      </c>
      <c r="V10" s="1016"/>
      <c r="W10" s="1016"/>
      <c r="X10" s="13">
        <v>0.20833333333333301</v>
      </c>
      <c r="Y10" s="52">
        <v>2821</v>
      </c>
      <c r="Z10" s="180">
        <v>1752</v>
      </c>
      <c r="AA10" s="15">
        <v>1</v>
      </c>
      <c r="AB10" s="56">
        <f>IF('6'!AA15=1,(('6'!Z15*'6'!$AS$6*'6'!$AT$6)/('6'!Y15*0.0036)),IF('6'!AA15=2,(('6'!Z15*'6'!$AS$7*'6'!$AT$7)/('6'!Y15*0.0036))))</f>
        <v>114.92660984848487</v>
      </c>
      <c r="AC10" s="56"/>
      <c r="AD10" s="18">
        <f>(('6'!AC10*'6'!$Q$10*1000000))/('6'!Y10*3600)</f>
        <v>0</v>
      </c>
      <c r="AE10" s="19">
        <v>3000</v>
      </c>
      <c r="AF10" s="182">
        <f>('6'!AE10/24)*0.454</f>
        <v>56.75</v>
      </c>
      <c r="AG10" s="19">
        <v>500</v>
      </c>
      <c r="AH10" s="182">
        <f>('6'!AG10/24)*0.454</f>
        <v>9.4583333333333339</v>
      </c>
      <c r="AI10" s="19">
        <v>3000</v>
      </c>
      <c r="AJ10" s="182">
        <f>('6'!AI10/24)*0.454</f>
        <v>56.75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550</v>
      </c>
      <c r="C11" s="184">
        <v>10</v>
      </c>
      <c r="D11" s="184">
        <v>7.5</v>
      </c>
      <c r="E11" s="184">
        <v>2.5</v>
      </c>
      <c r="F11" s="184">
        <v>131</v>
      </c>
      <c r="G11" s="184">
        <v>3.8</v>
      </c>
      <c r="H11" s="184">
        <v>2.8</v>
      </c>
      <c r="I11" s="184">
        <v>0.81</v>
      </c>
      <c r="J11" s="184">
        <v>1.88</v>
      </c>
      <c r="K11" s="184">
        <v>7</v>
      </c>
      <c r="L11" s="184">
        <v>4.8</v>
      </c>
      <c r="M11" s="184">
        <v>4.8</v>
      </c>
      <c r="N11" s="184">
        <v>5</v>
      </c>
      <c r="O11" s="184">
        <v>3.6</v>
      </c>
      <c r="P11" s="184">
        <v>0.3</v>
      </c>
      <c r="Q11" s="186">
        <v>0.5</v>
      </c>
      <c r="R11" s="36">
        <f>'6'!Z13</f>
        <v>1752</v>
      </c>
      <c r="S11" s="35">
        <f>'6'!AB13</f>
        <v>114.96743635287153</v>
      </c>
      <c r="T11" s="36">
        <f>'6'!Y13</f>
        <v>2815</v>
      </c>
      <c r="U11" s="32" t="str">
        <f>IF('6'!AA13=1,'6'!AR6,'6'!AR7)</f>
        <v>S.A.L</v>
      </c>
      <c r="V11" s="1016"/>
      <c r="W11" s="1016"/>
      <c r="X11" s="13">
        <v>0.25</v>
      </c>
      <c r="Y11" s="52">
        <v>2823</v>
      </c>
      <c r="Z11" s="180">
        <v>1752</v>
      </c>
      <c r="AA11" s="15">
        <v>1</v>
      </c>
      <c r="AB11" s="56">
        <f>IF('6'!AA11=1,(('6'!Z11*'6'!$AS$6*'6'!$AT$6)/('6'!Y11*0.0036)),IF('6'!AA11=2,(('6'!Z11*'6'!$AS$7*'6'!$AT$7)/('6'!Y11*0.0036))))</f>
        <v>114.64163419530054</v>
      </c>
      <c r="AC11" s="56"/>
      <c r="AD11" s="18">
        <f>(('6'!AC11*'6'!$Q$10*1000000))/('6'!Y11*3600)</f>
        <v>0</v>
      </c>
      <c r="AE11" s="19">
        <v>3000</v>
      </c>
      <c r="AF11" s="182">
        <f>('6'!AE11/24)*0.454</f>
        <v>56.75</v>
      </c>
      <c r="AG11" s="19">
        <v>500</v>
      </c>
      <c r="AH11" s="182">
        <f>('6'!AG11/24)*0.454</f>
        <v>9.4583333333333339</v>
      </c>
      <c r="AI11" s="19">
        <v>3000</v>
      </c>
      <c r="AJ11" s="182">
        <f>('6'!AI11/24)*0.454</f>
        <v>56.75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4">
        <v>550</v>
      </c>
      <c r="C12" s="184">
        <v>7.5</v>
      </c>
      <c r="D12" s="184">
        <v>7.5</v>
      </c>
      <c r="E12" s="184">
        <v>2.5</v>
      </c>
      <c r="F12" s="184">
        <v>136</v>
      </c>
      <c r="G12" s="184">
        <v>3.3</v>
      </c>
      <c r="H12" s="184">
        <v>2.7</v>
      </c>
      <c r="I12" s="184">
        <v>0.82</v>
      </c>
      <c r="J12" s="184">
        <v>1.61</v>
      </c>
      <c r="K12" s="184">
        <v>7</v>
      </c>
      <c r="L12" s="184">
        <v>4.8</v>
      </c>
      <c r="M12" s="184">
        <v>4.8</v>
      </c>
      <c r="N12" s="184">
        <v>4.5</v>
      </c>
      <c r="O12" s="184">
        <v>3.6</v>
      </c>
      <c r="P12" s="184">
        <v>0.6</v>
      </c>
      <c r="Q12" s="186">
        <v>0.7</v>
      </c>
      <c r="R12" s="36">
        <f>'6'!Z15</f>
        <v>1752</v>
      </c>
      <c r="S12" s="35">
        <f>'6'!AB15</f>
        <v>114.92660984848487</v>
      </c>
      <c r="T12" s="36">
        <f>'6'!Y15</f>
        <v>2816</v>
      </c>
      <c r="U12" s="32" t="str">
        <f>IF('6'!AA15=1,'6'!AR6,'6'!AR7)</f>
        <v>S.A.L</v>
      </c>
      <c r="V12" s="938">
        <f>ESCALA!$B$8</f>
        <v>0</v>
      </c>
      <c r="W12" s="938"/>
      <c r="X12" s="13">
        <v>0.29166666666666702</v>
      </c>
      <c r="Y12" s="52">
        <v>2778</v>
      </c>
      <c r="Z12" s="180">
        <v>1752</v>
      </c>
      <c r="AA12" s="15">
        <v>1</v>
      </c>
      <c r="AB12" s="56">
        <f>IF('6'!AA12=1,(('6'!Z12*'6'!$AS$6*'6'!$AT$6)/('6'!Y12*0.0036)),IF('6'!AA12=2,(('6'!Z12*'6'!$AS$7*'6'!$AT$7)/('6'!Y12*0.0036))))</f>
        <v>116.49868010559157</v>
      </c>
      <c r="AD12" s="18">
        <f>(('6'!AC15*'6'!$Q$10*1000000))/('6'!Y12*3600)</f>
        <v>0</v>
      </c>
      <c r="AE12" s="19">
        <v>3000</v>
      </c>
      <c r="AF12" s="182">
        <f>('6'!AE12/24)*0.454</f>
        <v>56.75</v>
      </c>
      <c r="AG12" s="19">
        <v>500</v>
      </c>
      <c r="AH12" s="182">
        <f>('6'!AG12/24)*0.454</f>
        <v>9.4583333333333339</v>
      </c>
      <c r="AI12" s="19">
        <v>3000</v>
      </c>
      <c r="AJ12" s="182">
        <f>('6'!AI12/24)*0.454</f>
        <v>56.75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4">
        <v>550</v>
      </c>
      <c r="C13" s="184">
        <v>10</v>
      </c>
      <c r="D13" s="184">
        <v>7.5</v>
      </c>
      <c r="E13" s="184">
        <v>2.5</v>
      </c>
      <c r="F13" s="184">
        <v>130</v>
      </c>
      <c r="G13" s="184">
        <v>3.6</v>
      </c>
      <c r="H13" s="184">
        <v>2.8</v>
      </c>
      <c r="I13" s="184">
        <v>0.81</v>
      </c>
      <c r="J13" s="184">
        <v>1.56</v>
      </c>
      <c r="K13" s="184">
        <v>7</v>
      </c>
      <c r="L13" s="184">
        <v>4.8</v>
      </c>
      <c r="M13" s="184">
        <v>4.8</v>
      </c>
      <c r="N13" s="184">
        <v>4.5</v>
      </c>
      <c r="O13" s="184">
        <v>3.6</v>
      </c>
      <c r="P13" s="184">
        <v>0.6</v>
      </c>
      <c r="Q13" s="186">
        <v>1</v>
      </c>
      <c r="R13" s="36">
        <f>'6'!Z17</f>
        <v>1752</v>
      </c>
      <c r="S13" s="35">
        <f>'6'!AB17</f>
        <v>113.59541359541362</v>
      </c>
      <c r="T13" s="36">
        <f>'6'!Y17</f>
        <v>2849</v>
      </c>
      <c r="U13" s="32" t="str">
        <f>IF('6'!AA17=1,'6'!AR6,'6'!AR7)</f>
        <v>S.A.L</v>
      </c>
      <c r="V13" s="938"/>
      <c r="W13" s="938"/>
      <c r="X13" s="13">
        <v>0.33333333333333298</v>
      </c>
      <c r="Y13" s="52">
        <v>2815</v>
      </c>
      <c r="Z13" s="180">
        <v>1752</v>
      </c>
      <c r="AA13" s="15">
        <v>1</v>
      </c>
      <c r="AB13" s="56">
        <f>IF('6'!AA13=1,(('6'!Z13*'6'!$AS$6*'6'!$AT$6)/('6'!Y13*0.0036)),IF('6'!AA13=2,(('6'!Z13*'6'!$AS$7*'6'!$AT$7)/('6'!Y13*0.0036))))</f>
        <v>114.96743635287153</v>
      </c>
      <c r="AD13" s="18">
        <f>(('6'!AC16*'6'!$Q$10*1000000))/('6'!Y13*3600)</f>
        <v>0</v>
      </c>
      <c r="AE13" s="19">
        <v>3000</v>
      </c>
      <c r="AF13" s="182">
        <f>('6'!AE13/24)*0.454</f>
        <v>56.75</v>
      </c>
      <c r="AG13" s="19">
        <v>500</v>
      </c>
      <c r="AH13" s="182">
        <f>('6'!AG13/24)*0.454</f>
        <v>9.4583333333333339</v>
      </c>
      <c r="AI13" s="19">
        <v>3000</v>
      </c>
      <c r="AJ13" s="182">
        <f>('6'!AI13/24)*0.454</f>
        <v>56.75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4">
        <v>550</v>
      </c>
      <c r="C14" s="184">
        <v>10</v>
      </c>
      <c r="D14" s="184">
        <v>7.5</v>
      </c>
      <c r="E14" s="184">
        <v>2.5</v>
      </c>
      <c r="F14" s="184">
        <v>127</v>
      </c>
      <c r="G14" s="184">
        <v>3.7</v>
      </c>
      <c r="H14" s="184">
        <v>2.6</v>
      </c>
      <c r="I14" s="184">
        <v>0.76</v>
      </c>
      <c r="J14" s="184">
        <v>1.67</v>
      </c>
      <c r="K14" s="184">
        <v>7</v>
      </c>
      <c r="L14" s="184">
        <v>4.8</v>
      </c>
      <c r="M14" s="184">
        <v>4.8</v>
      </c>
      <c r="N14" s="184">
        <v>4.5</v>
      </c>
      <c r="O14" s="184">
        <v>3.6</v>
      </c>
      <c r="P14" s="184">
        <v>0.5</v>
      </c>
      <c r="Q14" s="186">
        <v>0.8</v>
      </c>
      <c r="R14" s="36">
        <f>'6'!Z19</f>
        <v>1832</v>
      </c>
      <c r="S14" s="35">
        <f>'6'!AB19</f>
        <v>117.95437821927888</v>
      </c>
      <c r="T14" s="36">
        <f>'6'!Y19</f>
        <v>2869</v>
      </c>
      <c r="U14" s="32" t="str">
        <f>IF('6'!AA19=1,'6'!AR6,'6'!AR7)</f>
        <v>S.A.L</v>
      </c>
      <c r="V14" s="938"/>
      <c r="W14" s="938"/>
      <c r="X14" s="13">
        <v>0.375</v>
      </c>
      <c r="Y14" s="52">
        <v>2836</v>
      </c>
      <c r="Z14" s="180">
        <v>1752</v>
      </c>
      <c r="AA14" s="15">
        <v>1</v>
      </c>
      <c r="AB14" s="56">
        <f>IF('6'!AA14=1,(('6'!Z14*'6'!$AS$6*'6'!$AT$6)/('6'!Y14*0.0036)),IF('6'!AA14=2,(('6'!Z14*'6'!$AS$7*'6'!$AT$7)/('6'!Y14*0.0036))))</f>
        <v>114.11612599905972</v>
      </c>
      <c r="AC14" s="56"/>
      <c r="AD14" s="18">
        <f>(('6'!AC14*'6'!$Q$10*1000000))/('6'!Y14*3600)</f>
        <v>0</v>
      </c>
      <c r="AE14" s="19">
        <v>3000</v>
      </c>
      <c r="AF14" s="182">
        <f>('6'!AE14/24)*0.454</f>
        <v>56.75</v>
      </c>
      <c r="AG14" s="19">
        <v>500</v>
      </c>
      <c r="AH14" s="182">
        <f>('6'!AG14/24)*0.454</f>
        <v>9.4583333333333339</v>
      </c>
      <c r="AI14" s="19">
        <v>3000</v>
      </c>
      <c r="AJ14" s="182">
        <f>('6'!AI14/24)*0.454</f>
        <v>56.75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4">
        <v>550</v>
      </c>
      <c r="C15" s="184">
        <v>10</v>
      </c>
      <c r="D15" s="184">
        <v>7.5</v>
      </c>
      <c r="E15" s="184">
        <v>2.5</v>
      </c>
      <c r="F15" s="184">
        <v>127</v>
      </c>
      <c r="G15" s="184">
        <v>3.8</v>
      </c>
      <c r="H15" s="184">
        <v>2.5</v>
      </c>
      <c r="I15" s="184">
        <v>0.81</v>
      </c>
      <c r="J15" s="184">
        <v>1.71</v>
      </c>
      <c r="K15" s="184">
        <v>7</v>
      </c>
      <c r="L15" s="184">
        <v>4.8</v>
      </c>
      <c r="M15" s="184">
        <v>4.8</v>
      </c>
      <c r="N15" s="184">
        <v>4.5</v>
      </c>
      <c r="O15" s="184">
        <v>3.6</v>
      </c>
      <c r="P15" s="184">
        <v>0.5</v>
      </c>
      <c r="Q15" s="186">
        <v>0.6</v>
      </c>
      <c r="R15" s="36">
        <f>'6'!Z21</f>
        <v>1832</v>
      </c>
      <c r="S15" s="35">
        <f>'6'!AB21</f>
        <v>120.51677746122189</v>
      </c>
      <c r="T15" s="36">
        <f>'6'!Y21</f>
        <v>2808</v>
      </c>
      <c r="U15" s="32" t="str">
        <f>IF('6'!AA21=1,'6'!AR6,'6'!AR7)</f>
        <v>S.A.L</v>
      </c>
      <c r="V15" s="938"/>
      <c r="W15" s="938"/>
      <c r="X15" s="13">
        <v>0.41666666666666702</v>
      </c>
      <c r="Y15" s="52">
        <v>2816</v>
      </c>
      <c r="Z15" s="180">
        <v>1752</v>
      </c>
      <c r="AA15" s="15">
        <v>1</v>
      </c>
      <c r="AB15" s="56">
        <f>IF('6'!AA15=1,(('6'!Z15*'6'!$AS$6*'6'!$AT$6)/('6'!Y15*0.0036)),IF('6'!AA15=2,(('6'!Z15*'6'!$AS$7*'6'!$AT$7)/('6'!Y15*0.0036))))</f>
        <v>114.92660984848487</v>
      </c>
      <c r="AC15" s="56"/>
      <c r="AD15" s="18">
        <f>(('6'!AC15*'6'!$Q$10*1000000))/('6'!Y15*3600)</f>
        <v>0</v>
      </c>
      <c r="AE15" s="19">
        <v>3000</v>
      </c>
      <c r="AF15" s="182">
        <f>('6'!AE15/24)*0.454</f>
        <v>56.75</v>
      </c>
      <c r="AG15" s="19">
        <v>500</v>
      </c>
      <c r="AH15" s="182">
        <f>('6'!AG15/24)*0.454</f>
        <v>9.4583333333333339</v>
      </c>
      <c r="AI15" s="19">
        <v>3000</v>
      </c>
      <c r="AJ15" s="182">
        <f>('6'!AI15/24)*0.454</f>
        <v>56.75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4">
        <v>550</v>
      </c>
      <c r="C16" s="184">
        <v>10</v>
      </c>
      <c r="D16" s="184">
        <v>7.5</v>
      </c>
      <c r="E16" s="184">
        <v>2.5</v>
      </c>
      <c r="F16" s="184">
        <v>126</v>
      </c>
      <c r="G16" s="184">
        <v>3.7</v>
      </c>
      <c r="H16" s="184">
        <v>2.7</v>
      </c>
      <c r="I16" s="184">
        <v>0.8</v>
      </c>
      <c r="J16" s="184">
        <v>1.82</v>
      </c>
      <c r="K16" s="184">
        <v>7</v>
      </c>
      <c r="L16" s="184">
        <v>4.8</v>
      </c>
      <c r="M16" s="184">
        <v>4.8</v>
      </c>
      <c r="N16" s="184">
        <v>4.5</v>
      </c>
      <c r="O16" s="184">
        <v>3.6</v>
      </c>
      <c r="P16" s="184">
        <v>0.6</v>
      </c>
      <c r="Q16" s="186">
        <v>0.8</v>
      </c>
      <c r="R16" s="36">
        <f>'6'!Z23</f>
        <v>1832</v>
      </c>
      <c r="S16" s="35">
        <f>'6'!AB23</f>
        <v>120.13173983355027</v>
      </c>
      <c r="T16" s="36">
        <f>'6'!Y23</f>
        <v>2817</v>
      </c>
      <c r="U16" s="32" t="str">
        <f>IF('6'!AA23=1,'6'!AR6,'6'!AR7)</f>
        <v>S.A.L</v>
      </c>
      <c r="V16" s="938"/>
      <c r="W16" s="938"/>
      <c r="X16" s="13">
        <v>0.45833333333333298</v>
      </c>
      <c r="Y16" s="52">
        <v>2231</v>
      </c>
      <c r="Z16" s="180">
        <v>1752</v>
      </c>
      <c r="AA16" s="15">
        <v>1</v>
      </c>
      <c r="AB16" s="56">
        <f>IF('6'!AA16=1,(('6'!Z16*'6'!$AS$6*'6'!$AT$6)/('6'!Y16*0.0036)),IF('6'!AA16=2,(('6'!Z16*'6'!$AS$7*'6'!$AT$7)/('6'!Y16*0.0036))))</f>
        <v>145.06200507993429</v>
      </c>
      <c r="AC16" s="56"/>
      <c r="AD16" s="18">
        <f>(('6'!AC16*'6'!$Q$10*1000000))/('6'!Y16*3600)</f>
        <v>0</v>
      </c>
      <c r="AE16" s="19">
        <v>3000</v>
      </c>
      <c r="AF16" s="182">
        <f>('6'!AE16/24)*0.454</f>
        <v>56.75</v>
      </c>
      <c r="AG16" s="19">
        <v>500</v>
      </c>
      <c r="AH16" s="182">
        <f>('6'!AG16/24)*0.454</f>
        <v>9.4583333333333339</v>
      </c>
      <c r="AI16" s="19">
        <v>3000</v>
      </c>
      <c r="AJ16" s="182">
        <f>('6'!AI16/24)*0.454</f>
        <v>56.75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4">
        <v>550</v>
      </c>
      <c r="C17" s="184">
        <v>10</v>
      </c>
      <c r="D17" s="184">
        <v>7.5</v>
      </c>
      <c r="E17" s="184">
        <v>2.5</v>
      </c>
      <c r="F17" s="184">
        <v>126</v>
      </c>
      <c r="G17" s="184">
        <v>3.7</v>
      </c>
      <c r="H17" s="184">
        <v>2.9</v>
      </c>
      <c r="I17" s="184">
        <v>0.81</v>
      </c>
      <c r="J17" s="184">
        <v>1.8</v>
      </c>
      <c r="K17" s="184">
        <v>7</v>
      </c>
      <c r="L17" s="184">
        <v>5</v>
      </c>
      <c r="M17" s="184">
        <v>5</v>
      </c>
      <c r="N17" s="184">
        <v>4.5</v>
      </c>
      <c r="O17" s="184">
        <v>3.6</v>
      </c>
      <c r="P17" s="184">
        <v>0.8</v>
      </c>
      <c r="Q17" s="186">
        <v>1</v>
      </c>
      <c r="R17" s="36">
        <f>'6'!Z25</f>
        <v>1752</v>
      </c>
      <c r="S17" s="35">
        <f>'6'!AB25</f>
        <v>112.21682847896442</v>
      </c>
      <c r="T17" s="36">
        <f>'6'!Y25</f>
        <v>2884</v>
      </c>
      <c r="U17" s="32" t="str">
        <f>IF('6'!AA24=1,'6'!AR6,'6'!AR7)</f>
        <v>S.A.L</v>
      </c>
      <c r="V17" s="939">
        <f>ESCALA!$C$8</f>
        <v>0</v>
      </c>
      <c r="W17" s="939"/>
      <c r="X17" s="13">
        <v>0.5</v>
      </c>
      <c r="Y17" s="52">
        <v>2849</v>
      </c>
      <c r="Z17" s="180">
        <v>1752</v>
      </c>
      <c r="AA17" s="15">
        <v>1</v>
      </c>
      <c r="AB17" s="56">
        <f>IF('6'!AA17=1,(('6'!Z17*'6'!$AS$6*'6'!$AT$6)/('6'!Y17*0.0036)),IF('6'!AA17=2,(('6'!Z17*'6'!$AS$7*'6'!$AT$7)/('6'!Y17*0.0036))))</f>
        <v>113.59541359541362</v>
      </c>
      <c r="AC17" s="56"/>
      <c r="AD17" s="18">
        <f>(('6'!AC17*'6'!$Q$10*1000000))/('6'!Y17*3600)</f>
        <v>0</v>
      </c>
      <c r="AE17" s="19">
        <v>3000</v>
      </c>
      <c r="AF17" s="182">
        <f>('6'!AE17/24)*0.454</f>
        <v>56.75</v>
      </c>
      <c r="AG17" s="19">
        <v>500</v>
      </c>
      <c r="AH17" s="182">
        <f>('6'!AG17/24)*0.454</f>
        <v>9.4583333333333339</v>
      </c>
      <c r="AI17" s="19">
        <v>3000</v>
      </c>
      <c r="AJ17" s="182">
        <f>('6'!AI17/24)*0.454</f>
        <v>56.75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4">
        <v>550</v>
      </c>
      <c r="C18" s="184">
        <v>10</v>
      </c>
      <c r="D18" s="184">
        <v>7.5</v>
      </c>
      <c r="E18" s="184">
        <v>2.5</v>
      </c>
      <c r="F18" s="184">
        <v>128</v>
      </c>
      <c r="G18" s="184">
        <v>3.5</v>
      </c>
      <c r="H18" s="184">
        <v>3</v>
      </c>
      <c r="I18" s="184">
        <v>0.78</v>
      </c>
      <c r="J18" s="184">
        <v>1.73</v>
      </c>
      <c r="K18" s="184">
        <v>7</v>
      </c>
      <c r="L18" s="184">
        <v>5</v>
      </c>
      <c r="M18" s="184">
        <v>5</v>
      </c>
      <c r="N18" s="184">
        <v>4.5</v>
      </c>
      <c r="O18" s="184">
        <v>3.6</v>
      </c>
      <c r="P18" s="184">
        <v>1</v>
      </c>
      <c r="Q18" s="186">
        <v>1.2</v>
      </c>
      <c r="R18" s="36">
        <f>'6'!Z27</f>
        <v>1752</v>
      </c>
      <c r="S18" s="35">
        <f>'6'!AB27</f>
        <v>115.54206830893729</v>
      </c>
      <c r="T18" s="36">
        <f>'6'!Y27</f>
        <v>2801</v>
      </c>
      <c r="U18" s="32" t="str">
        <f>IF('6'!AA27=1,'6'!AR6,'6'!AR7)</f>
        <v>S.A.L</v>
      </c>
      <c r="V18" s="939"/>
      <c r="W18" s="939"/>
      <c r="X18" s="13">
        <v>0.54166666666666696</v>
      </c>
      <c r="Y18" s="52">
        <v>2847</v>
      </c>
      <c r="Z18" s="180">
        <v>1752</v>
      </c>
      <c r="AA18" s="15">
        <v>1</v>
      </c>
      <c r="AB18" s="56">
        <f>IF('6'!AA18=1,(('6'!Z18*'6'!$AS$6*'6'!$AT$6)/('6'!Y18*0.0036)),IF('6'!AA18=2,(('6'!Z18*'6'!$AS$7*'6'!$AT$7)/('6'!Y18*0.0036))))</f>
        <v>113.67521367521368</v>
      </c>
      <c r="AC18" s="56"/>
      <c r="AD18" s="18">
        <f>(('6'!AC18*'6'!$Q$10*1000000))/('6'!Y17*3600)</f>
        <v>0</v>
      </c>
      <c r="AE18" s="19">
        <v>3000</v>
      </c>
      <c r="AF18" s="182">
        <f>('6'!AE18/24)*0.454</f>
        <v>56.75</v>
      </c>
      <c r="AG18" s="19">
        <v>500</v>
      </c>
      <c r="AH18" s="182">
        <f>('6'!AG18/24)*0.454</f>
        <v>9.4583333333333339</v>
      </c>
      <c r="AI18" s="19">
        <v>3000</v>
      </c>
      <c r="AJ18" s="182">
        <f>('6'!AI18/24)*0.454</f>
        <v>56.75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550</v>
      </c>
      <c r="C19" s="187">
        <f t="array" ref="C19">IF('6'!C7:C18&gt;0.01,AVERAGE('6'!C7:C18),"")</f>
        <v>8.5416666666666661</v>
      </c>
      <c r="D19" s="187">
        <f t="array" ref="D19">IF('6'!D7:D18&gt;0.01,AVERAGE('6'!D7:D18),"")</f>
        <v>7.5</v>
      </c>
      <c r="E19" s="67">
        <f t="array" ref="E19">IF('6'!E7:E18&gt;0.01,AVERAGE('6'!E7:E18),"")</f>
        <v>2.5</v>
      </c>
      <c r="F19" s="67">
        <f t="array" ref="F19">IF('6'!F7:F18&gt;0.01,AVERAGE('6'!F7:F18),"")</f>
        <v>128.75</v>
      </c>
      <c r="G19" s="67">
        <f t="array" ref="G19">IF('6'!G7:G18&gt;0.01,AVERAGE('6'!G7:G18),"")</f>
        <v>3.4500000000000006</v>
      </c>
      <c r="H19" s="67">
        <f t="array" ref="H19">IF('6'!H7:H18&gt;0.01,AVERAGE('6'!H7:H18),"")</f>
        <v>2.9833333333333338</v>
      </c>
      <c r="I19" s="67">
        <f t="array" ref="I19">IF('6'!I7:I18&gt;0.01,AVERAGE('6'!I7:I18),"")</f>
        <v>0.79333333333333333</v>
      </c>
      <c r="J19" s="67">
        <f t="array" ref="J19">IF('6'!J7:J18&gt;0.01,AVERAGE('6'!J7:J18),"")</f>
        <v>1.7150000000000001</v>
      </c>
      <c r="K19" s="67">
        <f t="array" ref="K19">IF('6'!K7:K18&gt;0.01,AVERAGE('6'!K7:K18),"")</f>
        <v>7</v>
      </c>
      <c r="L19" s="67">
        <f t="array" ref="L19">IF('6'!L7:L18&gt;0.01,AVERAGE('6'!L7:L18),"")</f>
        <v>4.833333333333333</v>
      </c>
      <c r="M19" s="67">
        <f t="array" ref="M19">IF('6'!M7:M18&gt;0.01,AVERAGE('6'!M7:M18),"")</f>
        <v>4.833333333333333</v>
      </c>
      <c r="N19" s="67">
        <f t="array" ref="N19">IF('6'!N7:N18&gt;0.01,AVERAGE('6'!N7:N18),"")</f>
        <v>4.9416666666666664</v>
      </c>
      <c r="O19" s="67">
        <f t="array" ref="O19">IF('6'!O7:O18&gt;0.01,AVERAGE('6'!O7:O18),"")</f>
        <v>3.6333333333333342</v>
      </c>
      <c r="P19" s="188">
        <f t="array" ref="P19">IF('6'!P7:P18&gt;0.01,AVERAGE('6'!P7:P18),"")</f>
        <v>0.85000000000000009</v>
      </c>
      <c r="Q19" s="189">
        <f t="array" ref="Q19">IF('6'!Q7:Q18&gt;0.01,AVERAGE('6'!Q7:Q18),"")</f>
        <v>1.1000000000000001</v>
      </c>
      <c r="R19" s="189">
        <f t="array" ref="R19">IF('6'!R7:R18&gt;0.01,AVERAGE('6'!R7:R18),"")</f>
        <v>1772</v>
      </c>
      <c r="S19" s="189">
        <f t="array" ref="S19">IF('6'!S7:S18&gt;0.01,AVERAGE('6'!S7:S18),"")</f>
        <v>115.66910850627862</v>
      </c>
      <c r="T19" s="940"/>
      <c r="U19" s="940"/>
      <c r="V19" s="47"/>
      <c r="W19" s="48"/>
      <c r="X19" s="13">
        <v>0.58333333333333304</v>
      </c>
      <c r="Y19" s="52">
        <v>2869</v>
      </c>
      <c r="Z19" s="180">
        <v>1832</v>
      </c>
      <c r="AA19" s="15">
        <v>1</v>
      </c>
      <c r="AB19" s="56">
        <f>IF('6'!AA19=1,(('6'!Z19*'6'!$AS$6*'6'!$AT$6)/('6'!Y19*0.0036)),IF('6'!AA19=2,(('6'!Z19*'6'!$AS$7*'6'!$AT$7)/('6'!Y19*0.0036))))</f>
        <v>117.95437821927888</v>
      </c>
      <c r="AC19" s="56"/>
      <c r="AD19" s="18">
        <f>(('6'!AC19*'6'!$Q$10*1000000))/('6'!Y19*3600)</f>
        <v>0</v>
      </c>
      <c r="AE19" s="19">
        <v>3000</v>
      </c>
      <c r="AF19" s="182">
        <f>('6'!AE19/24)*0.454</f>
        <v>56.75</v>
      </c>
      <c r="AG19" s="19">
        <v>500</v>
      </c>
      <c r="AH19" s="182">
        <f>('6'!AG19/24)*0.454</f>
        <v>9.4583333333333339</v>
      </c>
      <c r="AI19" s="19">
        <v>3000</v>
      </c>
      <c r="AJ19" s="182">
        <f>('6'!AI19/24)*0.454</f>
        <v>56.75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550</v>
      </c>
      <c r="C20" s="187">
        <f>MAX('6'!C7:C18)</f>
        <v>10</v>
      </c>
      <c r="D20" s="67">
        <f>MAX('6'!D7:D18)</f>
        <v>7.5</v>
      </c>
      <c r="E20" s="67">
        <f>MAX('6'!E7:E18)</f>
        <v>2.5</v>
      </c>
      <c r="F20" s="67">
        <f>MAX('6'!F7:F18)</f>
        <v>136</v>
      </c>
      <c r="G20" s="67">
        <f>MAX('6'!G7:G18)</f>
        <v>3.8</v>
      </c>
      <c r="H20" s="67">
        <f>MAX('6'!H7:H18)</f>
        <v>3.5</v>
      </c>
      <c r="I20" s="67">
        <f>MAX('6'!I7:I18)</f>
        <v>0.82</v>
      </c>
      <c r="J20" s="67">
        <f>MAX('6'!J7:J18)</f>
        <v>1.88</v>
      </c>
      <c r="K20" s="67">
        <f>MAX('6'!K7:K18)</f>
        <v>7</v>
      </c>
      <c r="L20" s="67">
        <f>MAX('6'!L7:L18)</f>
        <v>5</v>
      </c>
      <c r="M20" s="67">
        <f>MAX('6'!M7:M18)</f>
        <v>5</v>
      </c>
      <c r="N20" s="67">
        <f>MAX('6'!N7:N18)</f>
        <v>5.7</v>
      </c>
      <c r="O20" s="68">
        <f>MAX('6'!O7:O18)</f>
        <v>3.7</v>
      </c>
      <c r="P20" s="68">
        <f>MAX('6'!P7:P18)</f>
        <v>1.6</v>
      </c>
      <c r="Q20" s="68">
        <f>MAX('6'!Q7:Q18)</f>
        <v>1.7</v>
      </c>
      <c r="R20" s="68">
        <f>MAX('6'!R7:R18)</f>
        <v>1832</v>
      </c>
      <c r="S20" s="68">
        <f>MAX('6'!S7:S18)</f>
        <v>120.51677746122189</v>
      </c>
      <c r="T20" s="940"/>
      <c r="U20" s="940"/>
      <c r="X20" s="13">
        <v>0.625</v>
      </c>
      <c r="Y20" s="52">
        <v>2834</v>
      </c>
      <c r="Z20" s="180">
        <v>1832</v>
      </c>
      <c r="AA20" s="15">
        <v>1</v>
      </c>
      <c r="AB20" s="56">
        <f>IF('6'!AA20=1,(('6'!Z20*'6'!$AS$6*'6'!$AT$6)/('6'!Y20*0.0036)),IF('6'!AA20=2,(('6'!Z20*'6'!$AS$7*'6'!$AT$7)/('6'!Y20*0.0036))))</f>
        <v>119.41111895240337</v>
      </c>
      <c r="AC20" s="56"/>
      <c r="AD20" s="18">
        <f>(('6'!AC20*'6'!$Q$10*1000000))/('6'!Y20*3600)</f>
        <v>0</v>
      </c>
      <c r="AE20" s="19">
        <v>3000</v>
      </c>
      <c r="AF20" s="182">
        <f>('6'!AE20/24)*0.454</f>
        <v>56.75</v>
      </c>
      <c r="AG20" s="19">
        <v>500</v>
      </c>
      <c r="AH20" s="182">
        <f>('6'!AG20/24)*0.454</f>
        <v>9.4583333333333339</v>
      </c>
      <c r="AI20" s="19">
        <v>3000</v>
      </c>
      <c r="AJ20" s="182">
        <f>('6'!AI20/24)*0.454</f>
        <v>56.75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550</v>
      </c>
      <c r="C21" s="67">
        <f>MIN('6'!C7:C18)</f>
        <v>5</v>
      </c>
      <c r="D21" s="67">
        <f>MIN('6'!D7:D18)</f>
        <v>7.5</v>
      </c>
      <c r="E21" s="67">
        <f>MIN('6'!E7:E18)</f>
        <v>2.5</v>
      </c>
      <c r="F21" s="67">
        <f>MIN('6'!F7:F18)</f>
        <v>124</v>
      </c>
      <c r="G21" s="190">
        <f>MIN('6'!G7:G18)</f>
        <v>3</v>
      </c>
      <c r="H21" s="190">
        <f>MIN('6'!H7:H18)</f>
        <v>2.5</v>
      </c>
      <c r="I21" s="190">
        <f>MIN('6'!I7:I18)</f>
        <v>0.73</v>
      </c>
      <c r="J21" s="190">
        <f>MIN('6'!J7:J18)</f>
        <v>1.56</v>
      </c>
      <c r="K21" s="190">
        <f>MIN('6'!K7:K18)</f>
        <v>7</v>
      </c>
      <c r="L21" s="190">
        <f>MIN('6'!L7:L18)</f>
        <v>4.8</v>
      </c>
      <c r="M21" s="190">
        <f>MIN('6'!M7:M18)</f>
        <v>4.8</v>
      </c>
      <c r="N21" s="190">
        <f>MIN('6'!N7:N18)</f>
        <v>4.5</v>
      </c>
      <c r="O21" s="191">
        <f>MIN('6'!O7:O18)</f>
        <v>3.6</v>
      </c>
      <c r="P21" s="191">
        <f>MIN('6'!P7:P18)</f>
        <v>0.3</v>
      </c>
      <c r="Q21" s="191">
        <f>MIN('6'!Q7:Q18)</f>
        <v>0.5</v>
      </c>
      <c r="R21" s="191">
        <f>MIN('6'!R7:R18)</f>
        <v>1752</v>
      </c>
      <c r="S21" s="191">
        <f>MIN('6'!S7:S18)</f>
        <v>112.21682847896442</v>
      </c>
      <c r="T21" s="940"/>
      <c r="U21" s="940"/>
      <c r="X21" s="13">
        <v>0.66666666666666696</v>
      </c>
      <c r="Y21" s="52">
        <v>2808</v>
      </c>
      <c r="Z21" s="180">
        <v>1832</v>
      </c>
      <c r="AA21" s="15">
        <v>1</v>
      </c>
      <c r="AB21" s="56">
        <f>IF('6'!AA21=1,(('6'!Z21*'6'!$AS$6*'6'!$AT$6)/('6'!Y21*0.0036)),IF('6'!AA21=2,(('6'!Z21*'6'!$AS$7*'6'!$AT$7)/('6'!Y21*0.0036))))</f>
        <v>120.51677746122189</v>
      </c>
      <c r="AC21" s="56"/>
      <c r="AD21" s="18">
        <f>(('6'!AC21*'6'!$Q$10*1000000))/('6'!Y21*3600)</f>
        <v>0</v>
      </c>
      <c r="AE21" s="19">
        <v>3000</v>
      </c>
      <c r="AF21" s="182">
        <f>('6'!AE21/24)*0.454</f>
        <v>56.75</v>
      </c>
      <c r="AG21" s="19">
        <v>500</v>
      </c>
      <c r="AH21" s="182">
        <f>('6'!AG21/24)*0.454</f>
        <v>9.4583333333333339</v>
      </c>
      <c r="AI21" s="19">
        <v>3000</v>
      </c>
      <c r="AJ21" s="182">
        <f>('6'!AI21/24)*0.454</f>
        <v>56.75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2838</v>
      </c>
      <c r="Z22" s="180">
        <v>1832</v>
      </c>
      <c r="AA22" s="15">
        <v>1</v>
      </c>
      <c r="AB22" s="56">
        <f>IF('6'!AA22=1,(('6'!Z22*'6'!$AS$6*'6'!$AT$6)/('6'!Y22*0.0036)),IF('6'!AA22=2,(('6'!Z22*'6'!$AS$7*'6'!$AT$7)/('6'!Y22*0.0036))))</f>
        <v>119.24281575444367</v>
      </c>
      <c r="AC22" s="56"/>
      <c r="AD22" s="18">
        <f>(('6'!AC22*'6'!$Q$10*1000000))/('6'!Y22*3600)</f>
        <v>0</v>
      </c>
      <c r="AE22" s="19">
        <v>3000</v>
      </c>
      <c r="AF22" s="182">
        <f>('6'!AE22/24)*0.454</f>
        <v>56.75</v>
      </c>
      <c r="AG22" s="19">
        <v>500</v>
      </c>
      <c r="AH22" s="182">
        <f>('6'!AG22/24)*0.454</f>
        <v>9.4583333333333339</v>
      </c>
      <c r="AI22" s="19">
        <v>3000</v>
      </c>
      <c r="AJ22" s="182">
        <f>('6'!AI22/24)*0.454</f>
        <v>56.75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2817</v>
      </c>
      <c r="Z23" s="180">
        <v>1832</v>
      </c>
      <c r="AA23" s="15">
        <v>1</v>
      </c>
      <c r="AB23" s="56">
        <f>IF('6'!AA23=1,(('6'!Z23*'6'!$AS$6*'6'!$AT$6)/('6'!Y23*0.0036)),IF('6'!AA23=2,(('6'!Z23*'6'!$AS$7*'6'!$AT$7)/('6'!Y23*0.0036))))</f>
        <v>120.13173983355027</v>
      </c>
      <c r="AC23" s="56"/>
      <c r="AD23" s="18">
        <f>(('6'!AC23*'6'!$Q$10*1000000))/('6'!Y23*3600)</f>
        <v>0</v>
      </c>
      <c r="AE23" s="19">
        <v>3000</v>
      </c>
      <c r="AF23" s="182">
        <f>('6'!AE23/24)*0.454</f>
        <v>56.75</v>
      </c>
      <c r="AG23" s="19">
        <v>500</v>
      </c>
      <c r="AH23" s="182">
        <f>('6'!AG23/24)*0.454</f>
        <v>9.4583333333333339</v>
      </c>
      <c r="AI23" s="19">
        <v>3000</v>
      </c>
      <c r="AJ23" s="182">
        <f>('6'!AI23/24)*0.454</f>
        <v>56.75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2770</v>
      </c>
      <c r="Z24" s="180">
        <v>1832</v>
      </c>
      <c r="AA24" s="15">
        <v>1</v>
      </c>
      <c r="AB24" s="56">
        <f>IF('6'!AA24=1,(('6'!Z24*'6'!$AS$6*'6'!$AT$6)/('6'!Y24*0.0036)),IF('6'!AA24=2,(('6'!Z24*'6'!$AS$7*'6'!$AT$7)/('6'!Y24*0.0036))))</f>
        <v>122.17007621339752</v>
      </c>
      <c r="AC24" s="56"/>
      <c r="AD24" s="18">
        <f>(('6'!AC24*'6'!$Q$10*1000000))/('6'!Y24*3600)</f>
        <v>0</v>
      </c>
      <c r="AE24" s="19">
        <v>3000</v>
      </c>
      <c r="AF24" s="182">
        <f>('6'!AE24/24)*0.454</f>
        <v>56.75</v>
      </c>
      <c r="AG24" s="19">
        <v>500</v>
      </c>
      <c r="AH24" s="182">
        <f>('6'!AG24/24)*0.454</f>
        <v>9.4583333333333339</v>
      </c>
      <c r="AI24" s="19">
        <v>3000</v>
      </c>
      <c r="AJ24" s="182">
        <f>('6'!AI24/24)*0.454</f>
        <v>56.75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2.1549999999999998</v>
      </c>
      <c r="C25" s="196">
        <v>1.76</v>
      </c>
      <c r="D25" s="196">
        <v>1.28</v>
      </c>
      <c r="E25" s="196">
        <v>1.59</v>
      </c>
      <c r="F25" s="196">
        <v>1.78</v>
      </c>
      <c r="G25" s="196">
        <v>186</v>
      </c>
      <c r="H25" s="196">
        <v>1.85</v>
      </c>
      <c r="I25" s="196">
        <v>1.73</v>
      </c>
      <c r="J25" s="196">
        <v>0.69</v>
      </c>
      <c r="K25" s="196">
        <v>1.96</v>
      </c>
      <c r="L25" s="196">
        <v>1.88</v>
      </c>
      <c r="M25" s="196">
        <v>2.0099999999999998</v>
      </c>
      <c r="N25" s="196">
        <v>1.94</v>
      </c>
      <c r="O25" s="196">
        <v>1.56</v>
      </c>
      <c r="P25" s="196">
        <v>1.49</v>
      </c>
      <c r="Q25" s="196">
        <v>1.36</v>
      </c>
      <c r="R25" s="63" t="e">
        <f>#DIV/0!</f>
        <v>#DIV/0!</v>
      </c>
      <c r="S25" s="64"/>
      <c r="T25" s="1017" t="s">
        <v>0</v>
      </c>
      <c r="U25" s="1043">
        <f>ESCALA!$A$8</f>
        <v>44322</v>
      </c>
      <c r="X25" s="13">
        <v>0.83333333333333304</v>
      </c>
      <c r="Y25" s="52">
        <v>2884</v>
      </c>
      <c r="Z25" s="180">
        <v>1752</v>
      </c>
      <c r="AA25" s="15">
        <v>1</v>
      </c>
      <c r="AB25" s="56">
        <f>IF('6'!AA25=1,(('6'!Z25*'6'!$AS$6*'6'!$AT$6)/('6'!Y25*0.0036)),IF('6'!AA25=2,(('6'!Z25*'6'!$AS$7*'6'!$AT$7)/('6'!Y25*0.0036))))</f>
        <v>112.21682847896442</v>
      </c>
      <c r="AC25" s="56"/>
      <c r="AD25" s="18">
        <f>(('6'!AC25*'6'!$Q$10*1000000))/('6'!Y25*3600)</f>
        <v>0</v>
      </c>
      <c r="AE25" s="19">
        <v>3000</v>
      </c>
      <c r="AF25" s="182">
        <f>('6'!AE25/24)*0.454</f>
        <v>56.75</v>
      </c>
      <c r="AG25" s="19">
        <v>500</v>
      </c>
      <c r="AH25" s="182">
        <f>('6'!AG25/24)*0.454</f>
        <v>9.4583333333333339</v>
      </c>
      <c r="AI25" s="19">
        <v>3000</v>
      </c>
      <c r="AJ25" s="182">
        <f>('6'!AI25/24)*0.454</f>
        <v>56.75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17"/>
      <c r="U26" s="1043"/>
      <c r="X26" s="13">
        <v>0.875</v>
      </c>
      <c r="Y26" s="52">
        <v>2817</v>
      </c>
      <c r="Z26" s="180">
        <v>1752</v>
      </c>
      <c r="AA26" s="15">
        <v>1</v>
      </c>
      <c r="AB26" s="56">
        <f>IF('6'!AA26=1,(('6'!Z26*'6'!$AS$6*'6'!$AT$6)/('6'!Y26*0.0036)),IF('6'!AA26=2,(('6'!Z26*'6'!$AS$7*'6'!$AT$7)/('6'!Y26*0.0036))))</f>
        <v>114.88581232990181</v>
      </c>
      <c r="AC26" s="56"/>
      <c r="AD26" s="18">
        <f>(('6'!AC26*'6'!$Q$10*1000000))/('6'!Y26*3600)</f>
        <v>0</v>
      </c>
      <c r="AE26" s="19">
        <v>3000</v>
      </c>
      <c r="AF26" s="182">
        <f>('6'!AE26/24)*0.454</f>
        <v>56.75</v>
      </c>
      <c r="AG26" s="19">
        <v>500</v>
      </c>
      <c r="AH26" s="182">
        <f>('6'!AG26/24)*0.454</f>
        <v>9.4583333333333339</v>
      </c>
      <c r="AI26" s="19">
        <v>3000</v>
      </c>
      <c r="AJ26" s="182">
        <f>('6'!AI26/24)*0.454</f>
        <v>56.75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2801</v>
      </c>
      <c r="Z27" s="180">
        <v>1752</v>
      </c>
      <c r="AA27" s="15">
        <v>1</v>
      </c>
      <c r="AB27" s="56">
        <f>IF('6'!AA27=1,(('6'!Z27*'6'!$AS$6*'6'!$AT$6)/('6'!Y27*0.0036)),IF('6'!AA27=2,(('6'!Z27*'6'!$AS$7*'6'!$AT$7)/('6'!Y27*0.0036))))</f>
        <v>115.54206830893729</v>
      </c>
      <c r="AC27" s="56"/>
      <c r="AD27" s="18">
        <f>(('6'!AC27*'6'!$Q$10*1000000))/('6'!Y27*3600)</f>
        <v>0</v>
      </c>
      <c r="AE27" s="19">
        <v>3000</v>
      </c>
      <c r="AF27" s="182">
        <f>('6'!AE27/24)*0.454</f>
        <v>56.75</v>
      </c>
      <c r="AG27" s="19">
        <v>500</v>
      </c>
      <c r="AH27" s="182">
        <f>('6'!AG27/24)*0.454</f>
        <v>9.4583333333333339</v>
      </c>
      <c r="AI27" s="19">
        <v>3000</v>
      </c>
      <c r="AJ27" s="182">
        <f>('6'!AI27/24)*0.454</f>
        <v>56.75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2785</v>
      </c>
      <c r="Z28" s="180">
        <v>1752</v>
      </c>
      <c r="AA28" s="15">
        <v>1</v>
      </c>
      <c r="AB28" s="56">
        <f>IF('6'!AA28=1,(('6'!Z28*'6'!$AS$6*'6'!$AT$6)/('6'!Y28*0.0036)),IF('6'!AA28=2,(('6'!Z28*'6'!$AS$7*'6'!$AT$7)/('6'!Y28*0.0036))))</f>
        <v>116.20586475164573</v>
      </c>
      <c r="AC28" s="56"/>
      <c r="AD28" s="18">
        <f>(('6'!AC28*'6'!$Q$10*1000000))/('6'!Y28*3600)</f>
        <v>0</v>
      </c>
      <c r="AE28" s="19">
        <v>3000</v>
      </c>
      <c r="AF28" s="182">
        <f>('6'!AE28/24)*0.454</f>
        <v>56.75</v>
      </c>
      <c r="AG28" s="19">
        <v>500</v>
      </c>
      <c r="AH28" s="182">
        <f>('6'!AG28/24)*0.454</f>
        <v>9.4583333333333339</v>
      </c>
      <c r="AI28" s="19">
        <v>3000</v>
      </c>
      <c r="AJ28" s="182">
        <f>('6'!AI28/24)*0.454</f>
        <v>56.75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2822</v>
      </c>
      <c r="Z29" s="180">
        <v>1752</v>
      </c>
      <c r="AA29" s="15">
        <v>1</v>
      </c>
      <c r="AB29" s="56">
        <f>IF('6'!AA29=1,(('6'!Z29*'6'!$AS$6*'6'!$AT$6)/('6'!Y29*0.0036)),IF('6'!AA29=2,(('6'!Z29*'6'!$AS$7*'6'!$AT$7)/('6'!Y29*0.0036))))</f>
        <v>114.68225844554691</v>
      </c>
      <c r="AC29" s="56"/>
      <c r="AD29" s="18">
        <f>(('6'!AC29*'6'!$Q$10*1000000))/('6'!Y29*3600)</f>
        <v>0</v>
      </c>
      <c r="AE29" s="19">
        <v>3000</v>
      </c>
      <c r="AF29" s="182">
        <f>('6'!AE29/24)*0.454</f>
        <v>56.75</v>
      </c>
      <c r="AG29" s="19">
        <v>500</v>
      </c>
      <c r="AH29" s="182">
        <f>('6'!AG29/24)*0.454</f>
        <v>9.4583333333333339</v>
      </c>
      <c r="AI29" s="19">
        <v>3000</v>
      </c>
      <c r="AJ29" s="182">
        <f>('6'!AI29/24)*0.454</f>
        <v>56.75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231">
        <f>SUM('6'!Y6:Y29)*3.6</f>
        <v>241869.6</v>
      </c>
      <c r="Z30" s="80">
        <f>SUM('6'!Z6:Z29)</f>
        <v>42528</v>
      </c>
      <c r="AA30" s="76"/>
      <c r="AB30" s="77"/>
      <c r="AC30" s="76"/>
      <c r="AD30" s="77"/>
      <c r="AE30" s="33"/>
      <c r="AF30" s="182">
        <f>SUM('6'!AF6:AF29)</f>
        <v>1362</v>
      </c>
      <c r="AG30" s="33"/>
      <c r="AH30" s="182">
        <f>SUM('6'!AH6:AH29)</f>
        <v>227.00000000000009</v>
      </c>
      <c r="AI30" s="33"/>
      <c r="AJ30" s="182">
        <f>SUM('6'!AJ6:AJ29)</f>
        <v>1362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SUMIF('6'!AA6:AA29,"=1",'6'!Z6:Z29)</f>
        <v>42528</v>
      </c>
      <c r="AA32" s="80">
        <f>'6'!Z32*'6'!AS6</f>
        <v>56562.240000000005</v>
      </c>
      <c r="AB32" s="81">
        <f>SUMIF('6'!$AA$6:$AA$29,"=1",'6'!$AB$6:$AB$29)/COUNTIF('6'!$AA$6:$AA$29,"=1")</f>
        <v>117.3163893376029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AVERAGE('6'!Y6:Y29)</f>
        <v>2799.4166666666665</v>
      </c>
      <c r="Z34" s="94">
        <f>AVERAGE('6'!Z6:Z29)</f>
        <v>1772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56.75</v>
      </c>
      <c r="AG34" s="96"/>
      <c r="AH34" s="96">
        <f>AVERAGE('6'!AH6:AH29)</f>
        <v>9.4583333333333375</v>
      </c>
      <c r="AI34" s="96"/>
      <c r="AJ34" s="96">
        <f>'6'!AJ30/24</f>
        <v>56.75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49.8</v>
      </c>
      <c r="D37" s="184">
        <v>4</v>
      </c>
      <c r="E37" s="184">
        <v>2</v>
      </c>
      <c r="F37" s="184">
        <v>3.2</v>
      </c>
      <c r="G37" s="184">
        <v>0.2</v>
      </c>
      <c r="H37" s="184">
        <v>0</v>
      </c>
      <c r="I37" s="181">
        <v>0.2</v>
      </c>
      <c r="J37" s="181">
        <v>0.1</v>
      </c>
      <c r="K37" s="181">
        <v>0.1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33">
        <f>'6'!V12</f>
        <v>0</v>
      </c>
      <c r="X37" s="956" t="s">
        <v>75</v>
      </c>
      <c r="Y37" s="956"/>
      <c r="Z37" s="108">
        <f>COUNTA('6'!Z6:Z29)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1589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1362</v>
      </c>
      <c r="AQ38" s="208" t="s">
        <v>78</v>
      </c>
      <c r="AR38" s="210">
        <f>'6'!AP30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6.5696557153110602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5.6311334702666223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SUM('6'!AK38,'6'!AM38)</f>
        <v>1589</v>
      </c>
      <c r="AM40" s="969"/>
      <c r="AO40" s="970" t="s">
        <v>90</v>
      </c>
      <c r="AP40" s="970"/>
      <c r="AQ40" s="971">
        <f>SUM('6'!AP38,'6'!AR38)</f>
        <v>1362</v>
      </c>
      <c r="AR40" s="971"/>
    </row>
    <row r="41" spans="1:44" ht="16.5" customHeight="1">
      <c r="A41" s="131">
        <f>COUNTA('6'!E7:E18)</f>
        <v>12</v>
      </c>
      <c r="B41" s="132">
        <f>COUNTA('6'!I7:I18)</f>
        <v>12</v>
      </c>
      <c r="C41" s="972">
        <f>COUNTA('6'!J7:J18)</f>
        <v>12</v>
      </c>
      <c r="D41" s="972">
        <f>COUNTA('6'!K7:K18)</f>
        <v>12</v>
      </c>
      <c r="E41" s="972">
        <f>COUNTIF('6'!E7:E18,"&gt;15")</f>
        <v>0</v>
      </c>
      <c r="F41" s="972"/>
      <c r="G41" s="972">
        <f>COUNTIF('6'!J7:J18,"&gt;1")</f>
        <v>12</v>
      </c>
      <c r="H41" s="972"/>
      <c r="I41" s="133"/>
      <c r="J41" s="972">
        <f>'6'!A41-'6'!E41</f>
        <v>12</v>
      </c>
      <c r="K41" s="972"/>
      <c r="L41" s="972">
        <f>'6'!C41-'6'!G41</f>
        <v>0</v>
      </c>
      <c r="M41" s="972"/>
      <c r="N41" s="133"/>
      <c r="O41" s="973">
        <f>COUNTIF('6'!J7:J18,"&lt;=0,5")</f>
        <v>0</v>
      </c>
      <c r="P41" s="973"/>
      <c r="Q41" s="973"/>
      <c r="R41" s="963"/>
      <c r="S41" s="974">
        <f>COUNTIF('6'!J7:J18,"&lt;=1,0")</f>
        <v>0</v>
      </c>
      <c r="T41" s="974"/>
      <c r="U41" s="134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SUM(('6'!AK38+'6'!AM38)/'6'!Y30)*1000</f>
        <v>6.5696557153110602</v>
      </c>
      <c r="AM41" s="975"/>
      <c r="AO41" s="970" t="s">
        <v>91</v>
      </c>
      <c r="AP41" s="970"/>
      <c r="AQ41" s="975">
        <f>SUM(('6'!AP38+'6'!AR38)/'6'!Y30)*1000</f>
        <v>5.6311334702666223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50</v>
      </c>
      <c r="Z44" s="142" t="s">
        <v>101</v>
      </c>
      <c r="AA44" s="143">
        <v>0</v>
      </c>
      <c r="AB44" s="142" t="s">
        <v>101</v>
      </c>
      <c r="AC44" s="143">
        <v>157</v>
      </c>
      <c r="AD44" s="982"/>
      <c r="AE44" s="982"/>
      <c r="AF44" s="983" t="s">
        <v>102</v>
      </c>
      <c r="AG44" s="984">
        <f>SUM('6'!Y45,'6'!AA45,'6'!AC45,'6'!AE45)</f>
        <v>76363.899999999994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COUNTIF('6'!I7:I18,"&lt;=5,0")</f>
        <v>12</v>
      </c>
      <c r="I45" s="986"/>
      <c r="J45" s="986"/>
      <c r="K45" s="133"/>
      <c r="L45" s="968">
        <f>COUNTA('6'!L37)</f>
        <v>1</v>
      </c>
      <c r="M45" s="968"/>
      <c r="O45" s="144"/>
      <c r="P45" s="145"/>
      <c r="Q45" s="987">
        <f>'6'!S41-'6'!O41</f>
        <v>0</v>
      </c>
      <c r="R45" s="987"/>
      <c r="S45" s="987"/>
      <c r="T45" s="146"/>
      <c r="X45" s="147" t="s">
        <v>104</v>
      </c>
      <c r="Y45" s="148">
        <f>'6'!Y44*275.3</f>
        <v>13765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43598.9</v>
      </c>
      <c r="AD45" s="147" t="s">
        <v>104</v>
      </c>
      <c r="AE45" s="149">
        <v>19000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89" t="s">
        <v>106</v>
      </c>
      <c r="AG46" s="990">
        <f>SUM('6'!Y47,'6'!AA47,'6'!AC47,'6'!AE47)</f>
        <v>101563.98700000001</v>
      </c>
      <c r="AI46" s="142" t="s">
        <v>101</v>
      </c>
      <c r="AJ46" s="143">
        <v>7</v>
      </c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'6'!Y45*'6'!Y46</f>
        <v>18307.45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57986.537000000004</v>
      </c>
      <c r="AD47" s="147" t="s">
        <v>108</v>
      </c>
      <c r="AE47" s="148">
        <f>'6'!AE45*'6'!AE46</f>
        <v>25270</v>
      </c>
      <c r="AF47" s="989"/>
      <c r="AG47" s="990"/>
      <c r="AI47" s="147" t="s">
        <v>104</v>
      </c>
      <c r="AJ47" s="148">
        <f>'6'!AJ46*275.3</f>
        <v>1927.1000000000001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'6'!AJ47*'6'!AJ48</f>
        <v>2563.0430000000001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COUNTA('6'!O7:O18)</f>
        <v>12</v>
      </c>
      <c r="P51" s="968">
        <f>COUNTA('6'!W17:W28)</f>
        <v>0</v>
      </c>
      <c r="R51" s="986">
        <f>COUNTIF('6'!O7:O18,"&gt;=0,5")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SUM('6'!Y53,'6'!AA53,'6'!AC53,'6'!AE53)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'6'!AS7</f>
        <v>1.262</v>
      </c>
      <c r="Z54" s="151" t="s">
        <v>105</v>
      </c>
      <c r="AA54" s="153">
        <f>'6'!Y54</f>
        <v>1.262</v>
      </c>
      <c r="AB54" s="151" t="s">
        <v>105</v>
      </c>
      <c r="AC54" s="153">
        <f>'6'!Y54</f>
        <v>1.262</v>
      </c>
      <c r="AD54" s="151" t="s">
        <v>105</v>
      </c>
      <c r="AE54" s="154">
        <f>'6'!Y54</f>
        <v>1.262</v>
      </c>
      <c r="AF54" s="989" t="s">
        <v>106</v>
      </c>
      <c r="AG54" s="990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88"/>
      <c r="AP54" s="988"/>
      <c r="AQ54" s="988"/>
      <c r="AR54" s="988"/>
    </row>
    <row r="55" spans="15:44" ht="18.7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89"/>
      <c r="AG55" s="990"/>
      <c r="AI55" s="151" t="s">
        <v>105</v>
      </c>
      <c r="AJ55" s="152">
        <f>'6'!Y54</f>
        <v>1.262</v>
      </c>
      <c r="AK55" s="151" t="s">
        <v>105</v>
      </c>
      <c r="AL55" s="152">
        <f>'6'!AJ55</f>
        <v>1.262</v>
      </c>
      <c r="AM55" s="151" t="s">
        <v>105</v>
      </c>
      <c r="AN55" s="152">
        <f>'6'!AJ55</f>
        <v>1.262</v>
      </c>
      <c r="AO55" s="988"/>
      <c r="AP55" s="988"/>
      <c r="AQ55" s="988"/>
      <c r="AR55" s="988"/>
    </row>
    <row r="56" spans="15:44" ht="16.5" customHeight="1">
      <c r="O56" s="992"/>
      <c r="P56" s="992"/>
      <c r="R56" s="993"/>
      <c r="S56" s="993"/>
      <c r="T56" s="993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88"/>
      <c r="AP56" s="988"/>
      <c r="AQ56" s="988"/>
      <c r="AR56" s="988"/>
    </row>
    <row r="57" spans="15:44" ht="15.75" customHeight="1">
      <c r="O57" s="997">
        <f>COUNTA('6'!N7:N18)</f>
        <v>12</v>
      </c>
      <c r="P57" s="997"/>
      <c r="R57" s="998">
        <f>COUNTIF('6'!N7:N18,"&gt;=6")</f>
        <v>0</v>
      </c>
      <c r="S57" s="998"/>
      <c r="T57" s="998"/>
      <c r="AE57" s="47"/>
    </row>
    <row r="58" spans="15:44" ht="16.5" customHeight="1">
      <c r="X58" s="999" t="s">
        <v>116</v>
      </c>
      <c r="Y58" s="999"/>
      <c r="Z58" s="999"/>
      <c r="AA58" s="999"/>
      <c r="AB58" s="999"/>
      <c r="AC58" s="999"/>
    </row>
    <row r="59" spans="15:44" ht="16.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6.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6.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'6'!AJ56+'6'!AL56+'6'!AN56</f>
        <v>0</v>
      </c>
      <c r="AM61" s="1005"/>
      <c r="AN61" s="1004" t="s">
        <v>121</v>
      </c>
      <c r="AO61" s="1004"/>
      <c r="AP61" s="1004"/>
      <c r="AQ61" s="1005">
        <f>AJ49+AL49+AN49</f>
        <v>2563.0430000000001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56562.240000000005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'6'!AL61-'6'!AL62</f>
        <v>0</v>
      </c>
      <c r="AM63" s="1005"/>
      <c r="AN63" s="1004" t="s">
        <v>125</v>
      </c>
      <c r="AO63" s="1004"/>
      <c r="AP63" s="1004"/>
      <c r="AQ63" s="1005">
        <f>AQ61-AQ62</f>
        <v>-53999.197000000007</v>
      </c>
      <c r="AR63" s="1005"/>
    </row>
    <row r="64" spans="15:44" ht="15" customHeight="1">
      <c r="X64" s="168"/>
      <c r="Y64" s="169"/>
      <c r="Z64" s="1007"/>
      <c r="AA64" s="1007"/>
      <c r="AB64" s="237"/>
      <c r="AC64" s="171">
        <v>0</v>
      </c>
    </row>
    <row r="65" spans="24:29" ht="39" customHeight="1">
      <c r="X65" s="172" t="s">
        <v>126</v>
      </c>
      <c r="Y65" s="215" t="e">
        <f>'5'!$Y$68</f>
        <v>#REF!</v>
      </c>
      <c r="Z65" s="1007"/>
      <c r="AA65" s="1007"/>
      <c r="AB65" s="174" t="s">
        <v>126</v>
      </c>
      <c r="AC65" s="238">
        <f>'5'!$AC$68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SUM('6'!AK38,'6'!AP38)</f>
        <v>2951</v>
      </c>
      <c r="Z67" s="1007"/>
      <c r="AA67" s="1007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 t="e">
        <f>SUM('6'!Y63,'6'!Y65)-'6'!Y67</f>
        <v>#REF!</v>
      </c>
      <c r="Z68" s="1007"/>
      <c r="AA68" s="1007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Z28" sqref="Z28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46" t="s">
        <v>13</v>
      </c>
      <c r="U4" s="102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46"/>
      <c r="U5" s="102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3.9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26"/>
      <c r="W6" s="926"/>
      <c r="X6" s="13">
        <v>4.1666666666666699E-2</v>
      </c>
      <c r="Y6" s="52">
        <v>2862</v>
      </c>
      <c r="Z6" s="180">
        <v>1752</v>
      </c>
      <c r="AA6" s="15">
        <v>1</v>
      </c>
      <c r="AB6" s="56">
        <f>IF('6'!AA11=1,(('6'!Z11*'6'!$AS$6*'6'!$AT$6)/('6'!Y11*0.0036)),IF('6'!AA11=2,(('6'!Z11*'6'!$AS$7*'6'!$AT$7)/('6'!Y11*0.0036))))</f>
        <v>114.64163419530054</v>
      </c>
      <c r="AC6" s="56"/>
      <c r="AD6" s="18"/>
      <c r="AE6" s="19">
        <v>3000</v>
      </c>
      <c r="AF6" s="182">
        <f>('7'!AE6/24)*0.454</f>
        <v>56.75</v>
      </c>
      <c r="AG6" s="19">
        <v>500</v>
      </c>
      <c r="AH6" s="182">
        <f>('7'!AG6/24)*0.454</f>
        <v>9.4583333333333339</v>
      </c>
      <c r="AI6" s="19">
        <v>3000</v>
      </c>
      <c r="AJ6" s="182">
        <f>('7'!AI6/24)*0.454</f>
        <v>56.75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5" customHeight="1">
      <c r="A7" s="28">
        <v>0</v>
      </c>
      <c r="B7" s="184">
        <v>550</v>
      </c>
      <c r="C7" s="184">
        <v>7.5</v>
      </c>
      <c r="D7" s="184">
        <v>7.5</v>
      </c>
      <c r="E7" s="184">
        <v>2.5</v>
      </c>
      <c r="F7" s="184">
        <v>125</v>
      </c>
      <c r="G7" s="184">
        <v>3.3</v>
      </c>
      <c r="H7" s="184">
        <v>2.8</v>
      </c>
      <c r="I7" s="184">
        <v>0.72</v>
      </c>
      <c r="J7" s="184">
        <v>1.65</v>
      </c>
      <c r="K7" s="184">
        <v>7</v>
      </c>
      <c r="L7" s="184">
        <v>5</v>
      </c>
      <c r="M7" s="184">
        <v>5</v>
      </c>
      <c r="N7" s="184">
        <v>4.5</v>
      </c>
      <c r="O7" s="184">
        <v>3.6</v>
      </c>
      <c r="P7" s="184">
        <v>1.2</v>
      </c>
      <c r="Q7" s="186">
        <v>1.5</v>
      </c>
      <c r="R7" s="36">
        <f>'6'!$Z$29</f>
        <v>1752</v>
      </c>
      <c r="S7" s="185">
        <f>'6'!$AB$29</f>
        <v>114.68225844554691</v>
      </c>
      <c r="T7" s="36">
        <f>'6'!$Y$29</f>
        <v>2822</v>
      </c>
      <c r="U7" s="32" t="str">
        <f>IF('7'!AA6=1,'7'!AR6,'7'!AR7)</f>
        <v>S.A.L</v>
      </c>
      <c r="V7" s="939">
        <f>ESCALA!$C$8</f>
        <v>0</v>
      </c>
      <c r="W7" s="939"/>
      <c r="X7" s="13">
        <v>8.3333333333333301E-2</v>
      </c>
      <c r="Y7" s="52">
        <v>2758</v>
      </c>
      <c r="Z7" s="180">
        <v>1752</v>
      </c>
      <c r="AA7" s="15">
        <v>1</v>
      </c>
      <c r="AB7" s="56">
        <f>IF('6'!AA12=1,(('6'!Z12*'6'!$AS$6*'6'!$AT$6)/('6'!Y12*0.0036)),IF('6'!AA12=2,(('6'!Z12*'6'!$AS$7*'6'!$AT$7)/('6'!Y12*0.0036))))</f>
        <v>116.49868010559157</v>
      </c>
      <c r="AC7" s="56"/>
      <c r="AD7" s="18"/>
      <c r="AE7" s="19">
        <v>3000</v>
      </c>
      <c r="AF7" s="182">
        <f>('7'!AE7/24)*0.454</f>
        <v>56.75</v>
      </c>
      <c r="AG7" s="19">
        <v>500</v>
      </c>
      <c r="AH7" s="182">
        <f>('7'!AG7/24)*0.454</f>
        <v>9.4583333333333339</v>
      </c>
      <c r="AI7" s="19">
        <v>3000</v>
      </c>
      <c r="AJ7" s="182">
        <f>('7'!AI7/24)*0.454</f>
        <v>56.75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550</v>
      </c>
      <c r="C8" s="184">
        <v>7.5</v>
      </c>
      <c r="D8" s="184">
        <v>7.5</v>
      </c>
      <c r="E8" s="184">
        <v>2.5</v>
      </c>
      <c r="F8" s="184">
        <v>125</v>
      </c>
      <c r="G8" s="184">
        <v>3.1</v>
      </c>
      <c r="H8" s="184">
        <v>2.7</v>
      </c>
      <c r="I8" s="184">
        <v>0.7</v>
      </c>
      <c r="J8" s="184">
        <v>1.66</v>
      </c>
      <c r="K8" s="184">
        <v>7</v>
      </c>
      <c r="L8" s="184">
        <v>5</v>
      </c>
      <c r="M8" s="184">
        <v>5</v>
      </c>
      <c r="N8" s="184">
        <v>4.5</v>
      </c>
      <c r="O8" s="184">
        <v>3.6</v>
      </c>
      <c r="P8" s="184">
        <v>1.5</v>
      </c>
      <c r="Q8" s="186">
        <v>1.5</v>
      </c>
      <c r="R8" s="34">
        <f>Z7</f>
        <v>1752</v>
      </c>
      <c r="S8" s="35">
        <f>AB7</f>
        <v>116.49868010559157</v>
      </c>
      <c r="T8" s="36">
        <f>Y7</f>
        <v>2758</v>
      </c>
      <c r="U8" s="32" t="str">
        <f>IF('7'!AA7=1,'7'!AR6,'7'!AR7)</f>
        <v>S.A.L</v>
      </c>
      <c r="V8" s="939"/>
      <c r="W8" s="939"/>
      <c r="X8" s="13">
        <v>0.125</v>
      </c>
      <c r="Y8" s="52">
        <v>2839</v>
      </c>
      <c r="Z8" s="180">
        <v>1752</v>
      </c>
      <c r="AA8" s="15">
        <v>1</v>
      </c>
      <c r="AB8" s="56">
        <f>IF('6'!AA13=1,(('6'!Z13*'6'!$AS$6*'6'!$AT$6)/('6'!Y13*0.0036)),IF('6'!AA13=2,(('6'!Z13*'6'!$AS$7*'6'!$AT$7)/('6'!Y13*0.0036))))</f>
        <v>114.96743635287153</v>
      </c>
      <c r="AC8" s="56"/>
      <c r="AD8" s="18"/>
      <c r="AE8" s="19">
        <v>3000</v>
      </c>
      <c r="AF8" s="182">
        <f>('7'!AE8/24)*0.454</f>
        <v>56.75</v>
      </c>
      <c r="AG8" s="19">
        <v>500</v>
      </c>
      <c r="AH8" s="182">
        <f>('7'!AG8/24)*0.454</f>
        <v>9.4583333333333339</v>
      </c>
      <c r="AI8" s="19">
        <v>3000</v>
      </c>
      <c r="AJ8" s="182">
        <f>('7'!AI8/24)*0.454</f>
        <v>56.75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550</v>
      </c>
      <c r="C9" s="184">
        <v>7.5</v>
      </c>
      <c r="D9" s="184">
        <v>7.5</v>
      </c>
      <c r="E9" s="184">
        <v>2.5</v>
      </c>
      <c r="F9" s="184">
        <v>122</v>
      </c>
      <c r="G9" s="184">
        <v>3.1</v>
      </c>
      <c r="H9" s="184">
        <v>2.7</v>
      </c>
      <c r="I9" s="184">
        <v>0.7</v>
      </c>
      <c r="J9" s="184">
        <v>1.63</v>
      </c>
      <c r="K9" s="184">
        <v>7</v>
      </c>
      <c r="L9" s="184">
        <v>5</v>
      </c>
      <c r="M9" s="184">
        <v>5</v>
      </c>
      <c r="N9" s="184">
        <v>4.5</v>
      </c>
      <c r="O9" s="184">
        <v>3.6</v>
      </c>
      <c r="P9" s="184">
        <v>1.5</v>
      </c>
      <c r="Q9" s="186">
        <v>1.5</v>
      </c>
      <c r="R9" s="36">
        <f>Z9</f>
        <v>1752</v>
      </c>
      <c r="S9" s="35">
        <f>AB9</f>
        <v>114.11612599905972</v>
      </c>
      <c r="T9" s="36">
        <f>Y9</f>
        <v>2825</v>
      </c>
      <c r="U9" s="32" t="str">
        <f>IF('7'!AA9=1,'7'!AR6,'7'!AR7)</f>
        <v>S.A.L</v>
      </c>
      <c r="V9" s="939"/>
      <c r="W9" s="939"/>
      <c r="X9" s="13">
        <v>0.16666666666666699</v>
      </c>
      <c r="Y9" s="52">
        <v>2825</v>
      </c>
      <c r="Z9" s="180">
        <v>1752</v>
      </c>
      <c r="AA9" s="15">
        <v>1</v>
      </c>
      <c r="AB9" s="56">
        <f>IF('6'!AA14=1,(('6'!Z14*'6'!$AS$6*'6'!$AT$6)/('6'!Y14*0.0036)),IF('6'!AA14=2,(('6'!Z14*'6'!$AS$7*'6'!$AT$7)/('6'!Y14*0.0036))))</f>
        <v>114.11612599905972</v>
      </c>
      <c r="AC9" s="56"/>
      <c r="AD9" s="18"/>
      <c r="AE9" s="19">
        <v>3000</v>
      </c>
      <c r="AF9" s="182">
        <f>('7'!AE9/24)*0.454</f>
        <v>56.75</v>
      </c>
      <c r="AG9" s="19">
        <v>500</v>
      </c>
      <c r="AH9" s="182">
        <f>('7'!AG9/24)*0.454</f>
        <v>9.4583333333333339</v>
      </c>
      <c r="AI9" s="19">
        <v>2500</v>
      </c>
      <c r="AJ9" s="182">
        <f>('7'!AI9/24)*0.454</f>
        <v>47.291666666666671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6" t="s">
        <v>37</v>
      </c>
      <c r="AR9" s="936"/>
      <c r="AS9" s="936"/>
      <c r="AT9" s="37" t="s">
        <v>39</v>
      </c>
    </row>
    <row r="10" spans="1:47" ht="15" customHeight="1">
      <c r="A10" s="28">
        <v>0.25</v>
      </c>
      <c r="B10" s="184">
        <v>550</v>
      </c>
      <c r="C10" s="184">
        <v>7.5</v>
      </c>
      <c r="D10" s="184">
        <v>7.5</v>
      </c>
      <c r="E10" s="184">
        <v>2.5</v>
      </c>
      <c r="F10" s="184">
        <v>119</v>
      </c>
      <c r="G10" s="184">
        <v>3</v>
      </c>
      <c r="H10" s="184">
        <v>2.6</v>
      </c>
      <c r="I10" s="184">
        <v>0.68</v>
      </c>
      <c r="J10" s="184">
        <v>1.4</v>
      </c>
      <c r="K10" s="184">
        <v>7</v>
      </c>
      <c r="L10" s="184">
        <v>5</v>
      </c>
      <c r="M10" s="184">
        <v>5</v>
      </c>
      <c r="N10" s="184">
        <v>4.5</v>
      </c>
      <c r="O10" s="184">
        <v>3.8</v>
      </c>
      <c r="P10" s="184">
        <v>1.5</v>
      </c>
      <c r="Q10" s="186">
        <v>1.3</v>
      </c>
      <c r="R10" s="36">
        <f>Z11</f>
        <v>1752</v>
      </c>
      <c r="S10" s="35">
        <f>AB11</f>
        <v>114.64163419530054</v>
      </c>
      <c r="T10" s="36">
        <f>Y11</f>
        <v>2796</v>
      </c>
      <c r="U10" s="32" t="str">
        <f>IF('7'!AA11=1,'7'!AR6,'7'!AR7)</f>
        <v>S.A.L</v>
      </c>
      <c r="V10" s="939"/>
      <c r="W10" s="939"/>
      <c r="X10" s="13">
        <v>0.20833333333333301</v>
      </c>
      <c r="Y10" s="52">
        <v>2785</v>
      </c>
      <c r="Z10" s="180">
        <v>1752</v>
      </c>
      <c r="AA10" s="15">
        <v>1</v>
      </c>
      <c r="AB10" s="56">
        <f>IF('6'!AA15=1,(('6'!Z15*'6'!$AS$6*'6'!$AT$6)/('6'!Y15*0.0036)),IF('6'!AA15=2,(('6'!Z15*'6'!$AS$7*'6'!$AT$7)/('6'!Y15*0.0036))))</f>
        <v>114.92660984848487</v>
      </c>
      <c r="AC10" s="56"/>
      <c r="AD10" s="18"/>
      <c r="AE10" s="19">
        <v>3000</v>
      </c>
      <c r="AF10" s="182">
        <f>('7'!AE10/24)*0.454</f>
        <v>56.75</v>
      </c>
      <c r="AG10" s="19">
        <v>500</v>
      </c>
      <c r="AH10" s="182">
        <f>('7'!AG10/24)*0.454</f>
        <v>9.4583333333333339</v>
      </c>
      <c r="AI10" s="19">
        <v>2500</v>
      </c>
      <c r="AJ10" s="182">
        <f>('7'!AI10/24)*0.454</f>
        <v>47.291666666666671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37" t="s">
        <v>51</v>
      </c>
      <c r="AR10" s="937"/>
      <c r="AS10" s="937"/>
      <c r="AT10" s="39">
        <v>2E-3</v>
      </c>
    </row>
    <row r="11" spans="1:47" ht="15" customHeight="1">
      <c r="A11" s="28">
        <v>0.33333333333333298</v>
      </c>
      <c r="B11" s="184">
        <v>550</v>
      </c>
      <c r="C11" s="184">
        <v>7.5</v>
      </c>
      <c r="D11" s="184">
        <v>7.5</v>
      </c>
      <c r="E11" s="184">
        <v>2.5</v>
      </c>
      <c r="F11" s="184">
        <v>118</v>
      </c>
      <c r="G11" s="184">
        <v>3.7</v>
      </c>
      <c r="H11" s="184">
        <v>4.0999999999999996</v>
      </c>
      <c r="I11" s="184">
        <v>0.75</v>
      </c>
      <c r="J11" s="184">
        <v>1.4</v>
      </c>
      <c r="K11" s="184">
        <v>7</v>
      </c>
      <c r="L11" s="184">
        <v>5</v>
      </c>
      <c r="M11" s="184">
        <v>5</v>
      </c>
      <c r="N11" s="184">
        <v>4.5</v>
      </c>
      <c r="O11" s="184">
        <v>3.6</v>
      </c>
      <c r="P11" s="184"/>
      <c r="Q11" s="186"/>
      <c r="R11" s="36">
        <f>Z19</f>
        <v>1752</v>
      </c>
      <c r="S11" s="35">
        <f>AB13</f>
        <v>114.96743635287153</v>
      </c>
      <c r="T11" s="36">
        <f>Y13</f>
        <v>2833</v>
      </c>
      <c r="U11" s="32" t="str">
        <f>IF('7'!AA13=1,'7'!AR6,'7'!AR7)</f>
        <v>S.A.L</v>
      </c>
      <c r="V11" s="939"/>
      <c r="W11" s="939"/>
      <c r="X11" s="13">
        <v>0.25</v>
      </c>
      <c r="Y11" s="52">
        <v>2796</v>
      </c>
      <c r="Z11" s="180">
        <v>1752</v>
      </c>
      <c r="AA11" s="15">
        <v>1</v>
      </c>
      <c r="AB11" s="56">
        <f>IF('6'!AA11=1,(('6'!Z11*'6'!$AS$6*'6'!$AT$6)/('6'!Y11*0.0036)),IF('6'!AA11=2,(('6'!Z11*'6'!$AS$7*'6'!$AT$7)/('6'!Y11*0.0036))))</f>
        <v>114.64163419530054</v>
      </c>
      <c r="AC11" s="56"/>
      <c r="AD11" s="18"/>
      <c r="AE11" s="19">
        <v>3000</v>
      </c>
      <c r="AF11" s="182">
        <f>('7'!AE11/24)*0.454</f>
        <v>56.75</v>
      </c>
      <c r="AG11" s="19">
        <v>500</v>
      </c>
      <c r="AH11" s="182">
        <f>('7'!AG11/24)*0.454</f>
        <v>9.4583333333333339</v>
      </c>
      <c r="AI11" s="19">
        <v>3000</v>
      </c>
      <c r="AJ11" s="182">
        <f>('7'!AI11/24)*0.454</f>
        <v>56.75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550</v>
      </c>
      <c r="C12" s="184">
        <v>7.5</v>
      </c>
      <c r="D12" s="184">
        <v>7.5</v>
      </c>
      <c r="E12" s="184">
        <v>2.5</v>
      </c>
      <c r="F12" s="184">
        <v>119</v>
      </c>
      <c r="G12" s="184">
        <v>3.5</v>
      </c>
      <c r="H12" s="184">
        <v>3.7</v>
      </c>
      <c r="I12" s="184">
        <v>0.78</v>
      </c>
      <c r="J12" s="184">
        <v>1.3</v>
      </c>
      <c r="K12" s="184">
        <v>7</v>
      </c>
      <c r="L12" s="184">
        <v>5</v>
      </c>
      <c r="M12" s="184">
        <v>5</v>
      </c>
      <c r="N12" s="184">
        <v>4.5</v>
      </c>
      <c r="O12" s="184">
        <v>3.6</v>
      </c>
      <c r="P12" s="184"/>
      <c r="Q12" s="186"/>
      <c r="R12" s="36">
        <f>Z15</f>
        <v>1752</v>
      </c>
      <c r="S12" s="35">
        <f>AB15</f>
        <v>114.92660984848487</v>
      </c>
      <c r="T12" s="36">
        <f>Y15</f>
        <v>2790</v>
      </c>
      <c r="U12" s="32" t="str">
        <f>IF('7'!AA15=1,'7'!AR6,'7'!AR7)</f>
        <v>S.A.L</v>
      </c>
      <c r="V12" s="939">
        <f>ESCALA!$B$9</f>
        <v>0</v>
      </c>
      <c r="W12" s="939"/>
      <c r="X12" s="13">
        <v>0.29166666666666702</v>
      </c>
      <c r="Y12" s="52">
        <v>2811</v>
      </c>
      <c r="Z12" s="180">
        <v>1752</v>
      </c>
      <c r="AA12" s="15">
        <v>1</v>
      </c>
      <c r="AB12" s="56">
        <f>IF('6'!AA12=1,(('6'!Z12*'6'!$AS$6*'6'!$AT$6)/('6'!Y12*0.0036)),IF('6'!AA12=2,(('6'!Z12*'6'!$AS$7*'6'!$AT$7)/('6'!Y12*0.0036))))</f>
        <v>116.49868010559157</v>
      </c>
      <c r="AC12" s="56"/>
      <c r="AD12" s="18"/>
      <c r="AE12" s="19">
        <v>3000</v>
      </c>
      <c r="AF12" s="182">
        <f>('7'!AE12/24)*0.454</f>
        <v>56.75</v>
      </c>
      <c r="AG12" s="19">
        <v>500</v>
      </c>
      <c r="AH12" s="182">
        <f>('7'!AG12/24)*0.454</f>
        <v>9.4583333333333339</v>
      </c>
      <c r="AI12" s="19">
        <v>3000</v>
      </c>
      <c r="AJ12" s="182">
        <f>('7'!AI12/24)*0.454</f>
        <v>56.75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550</v>
      </c>
      <c r="C13" s="184">
        <v>7.5</v>
      </c>
      <c r="D13" s="184">
        <v>12.5</v>
      </c>
      <c r="E13" s="184">
        <v>2.5</v>
      </c>
      <c r="F13" s="184">
        <v>118</v>
      </c>
      <c r="G13" s="184">
        <v>3.5</v>
      </c>
      <c r="H13" s="184">
        <v>4.7</v>
      </c>
      <c r="I13" s="184">
        <v>0.74</v>
      </c>
      <c r="J13" s="184">
        <v>1.5</v>
      </c>
      <c r="K13" s="184">
        <v>7</v>
      </c>
      <c r="L13" s="184">
        <v>5</v>
      </c>
      <c r="M13" s="184">
        <v>5</v>
      </c>
      <c r="N13" s="184">
        <v>4.5</v>
      </c>
      <c r="O13" s="184">
        <v>3.6</v>
      </c>
      <c r="P13" s="184"/>
      <c r="Q13" s="186"/>
      <c r="R13" s="36">
        <f>Z17</f>
        <v>1752</v>
      </c>
      <c r="S13" s="35">
        <f>AB17</f>
        <v>113.59541359541362</v>
      </c>
      <c r="T13" s="36">
        <f>Y17</f>
        <v>2771</v>
      </c>
      <c r="U13" s="32" t="str">
        <f>IF('7'!AA17=1,'7'!AR6,'7'!AR7)</f>
        <v>S.A.L</v>
      </c>
      <c r="V13" s="939"/>
      <c r="W13" s="939"/>
      <c r="X13" s="13">
        <v>0.33333333333333298</v>
      </c>
      <c r="Y13" s="52">
        <v>2833</v>
      </c>
      <c r="Z13" s="180">
        <v>1752</v>
      </c>
      <c r="AA13" s="15">
        <v>1</v>
      </c>
      <c r="AB13" s="56">
        <f>IF('6'!AA13=1,(('6'!Z13*'6'!$AS$6*'6'!$AT$6)/('6'!Y13*0.0036)),IF('6'!AA13=2,(('6'!Z13*'6'!$AS$7*'6'!$AT$7)/('6'!Y13*0.0036))))</f>
        <v>114.96743635287153</v>
      </c>
      <c r="AC13" s="56"/>
      <c r="AD13" s="18"/>
      <c r="AE13" s="19">
        <v>3000</v>
      </c>
      <c r="AF13" s="182">
        <f>('7'!AE13/24)*0.454</f>
        <v>56.75</v>
      </c>
      <c r="AG13" s="19">
        <v>500</v>
      </c>
      <c r="AH13" s="182">
        <f>('7'!AG13/24)*0.454</f>
        <v>9.4583333333333339</v>
      </c>
      <c r="AI13" s="19">
        <v>3000</v>
      </c>
      <c r="AJ13" s="182">
        <f>('7'!AI13/24)*0.454</f>
        <v>56.75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550</v>
      </c>
      <c r="C14" s="184">
        <v>7.5</v>
      </c>
      <c r="D14" s="184">
        <v>15</v>
      </c>
      <c r="E14" s="184">
        <v>2.5</v>
      </c>
      <c r="F14" s="184">
        <v>116</v>
      </c>
      <c r="G14" s="184">
        <v>3.6</v>
      </c>
      <c r="H14" s="184">
        <v>6.1</v>
      </c>
      <c r="I14" s="184">
        <v>0.71</v>
      </c>
      <c r="J14" s="184">
        <v>1.7</v>
      </c>
      <c r="K14" s="184">
        <v>7</v>
      </c>
      <c r="L14" s="184">
        <v>5</v>
      </c>
      <c r="M14" s="184">
        <v>5</v>
      </c>
      <c r="N14" s="184">
        <v>4.5</v>
      </c>
      <c r="O14" s="184">
        <v>3.5</v>
      </c>
      <c r="P14" s="184"/>
      <c r="Q14" s="186"/>
      <c r="R14" s="36" t="e">
        <f>#REF!</f>
        <v>#REF!</v>
      </c>
      <c r="S14" s="35">
        <f>AB19</f>
        <v>117.95437821927888</v>
      </c>
      <c r="T14" s="36">
        <f>Y19</f>
        <v>2811</v>
      </c>
      <c r="U14" s="32" t="str">
        <f>IF('7'!AA19=1,'7'!AR6,'7'!AR7)</f>
        <v>S.A.L</v>
      </c>
      <c r="V14" s="939"/>
      <c r="W14" s="939"/>
      <c r="X14" s="13">
        <v>0.375</v>
      </c>
      <c r="Y14" s="181">
        <v>2497</v>
      </c>
      <c r="Z14" s="180">
        <v>1752</v>
      </c>
      <c r="AA14" s="15">
        <v>1</v>
      </c>
      <c r="AB14" s="56">
        <f>IF('6'!AA14=1,(('6'!Z14*'6'!$AS$6*'6'!$AT$6)/('6'!Y14*0.0036)),IF('6'!AA14=2,(('6'!Z14*'6'!$AS$7*'6'!$AT$7)/('6'!Y14*0.0036))))</f>
        <v>114.11612599905972</v>
      </c>
      <c r="AC14" s="56"/>
      <c r="AD14" s="18"/>
      <c r="AE14" s="19">
        <v>3000</v>
      </c>
      <c r="AF14" s="182">
        <f>('7'!AE14/24)*0.454</f>
        <v>56.75</v>
      </c>
      <c r="AG14" s="19">
        <v>500</v>
      </c>
      <c r="AH14" s="182">
        <f>('7'!AG14/24)*0.454</f>
        <v>9.4583333333333339</v>
      </c>
      <c r="AI14" s="19">
        <v>3000</v>
      </c>
      <c r="AJ14" s="182">
        <f>('7'!AI14/24)*0.454</f>
        <v>56.75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500</v>
      </c>
      <c r="C15" s="184">
        <v>7.5</v>
      </c>
      <c r="D15" s="184">
        <v>15</v>
      </c>
      <c r="E15" s="184">
        <v>2.5</v>
      </c>
      <c r="F15" s="184">
        <v>113</v>
      </c>
      <c r="G15" s="184">
        <v>3.4</v>
      </c>
      <c r="H15" s="184">
        <v>6.8</v>
      </c>
      <c r="I15" s="184">
        <v>0.75</v>
      </c>
      <c r="J15" s="184">
        <v>1.7</v>
      </c>
      <c r="K15" s="184">
        <v>7</v>
      </c>
      <c r="L15" s="184">
        <v>5</v>
      </c>
      <c r="M15" s="184">
        <v>5</v>
      </c>
      <c r="N15" s="184">
        <v>4.5</v>
      </c>
      <c r="O15" s="184">
        <v>3.5</v>
      </c>
      <c r="P15" s="184"/>
      <c r="Q15" s="186"/>
      <c r="R15" s="36">
        <f>Z21</f>
        <v>1752</v>
      </c>
      <c r="S15" s="35">
        <f>AB21</f>
        <v>120.51677746122189</v>
      </c>
      <c r="T15" s="36">
        <f>Y21</f>
        <v>2903</v>
      </c>
      <c r="U15" s="32" t="str">
        <f>IF('7'!AA21=1,'7'!AR6,'7'!AR7)</f>
        <v>S.A.L</v>
      </c>
      <c r="V15" s="939"/>
      <c r="W15" s="939"/>
      <c r="X15" s="13">
        <v>0.41666666666666702</v>
      </c>
      <c r="Y15" s="52">
        <v>2790</v>
      </c>
      <c r="Z15" s="180">
        <v>1752</v>
      </c>
      <c r="AA15" s="15">
        <v>1</v>
      </c>
      <c r="AB15" s="56">
        <f>IF('6'!AA15=1,(('6'!Z15*'6'!$AS$6*'6'!$AT$6)/('6'!Y15*0.0036)),IF('6'!AA15=2,(('6'!Z15*'6'!$AS$7*'6'!$AT$7)/('6'!Y15*0.0036))))</f>
        <v>114.92660984848487</v>
      </c>
      <c r="AC15" s="56"/>
      <c r="AD15" s="18"/>
      <c r="AE15" s="19">
        <v>3000</v>
      </c>
      <c r="AF15" s="182">
        <f>('7'!AE15/24)*0.454</f>
        <v>56.75</v>
      </c>
      <c r="AG15" s="19">
        <v>500</v>
      </c>
      <c r="AH15" s="182">
        <f>('7'!AG15/24)*0.454</f>
        <v>9.4583333333333339</v>
      </c>
      <c r="AI15" s="19">
        <v>3000</v>
      </c>
      <c r="AJ15" s="182">
        <f>('7'!AI15/24)*0.454</f>
        <v>56.75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0">
        <v>450</v>
      </c>
      <c r="C16" s="184">
        <v>7.5</v>
      </c>
      <c r="D16" s="184">
        <v>20</v>
      </c>
      <c r="E16" s="184">
        <v>2.5</v>
      </c>
      <c r="F16" s="184">
        <v>110</v>
      </c>
      <c r="G16" s="184">
        <v>3</v>
      </c>
      <c r="H16" s="184">
        <v>7.4</v>
      </c>
      <c r="I16" s="184">
        <v>0.78</v>
      </c>
      <c r="J16" s="184">
        <v>1.8</v>
      </c>
      <c r="K16" s="184">
        <v>7</v>
      </c>
      <c r="L16" s="184">
        <v>5</v>
      </c>
      <c r="M16" s="184">
        <v>5</v>
      </c>
      <c r="N16" s="184">
        <v>4.5</v>
      </c>
      <c r="O16" s="184">
        <v>3.6</v>
      </c>
      <c r="P16" s="184"/>
      <c r="Q16" s="186"/>
      <c r="R16" s="36">
        <f>Z23</f>
        <v>1752</v>
      </c>
      <c r="S16" s="35">
        <f>AB23</f>
        <v>120.13173983355027</v>
      </c>
      <c r="T16" s="36">
        <f>Y23</f>
        <v>3092</v>
      </c>
      <c r="U16" s="32" t="str">
        <f>IF('7'!AA23=1,'7'!AR6,'7'!AR7)</f>
        <v>S.A.L</v>
      </c>
      <c r="V16" s="939"/>
      <c r="W16" s="939"/>
      <c r="X16" s="13">
        <v>0.45833333333333298</v>
      </c>
      <c r="Y16" s="52">
        <v>2823</v>
      </c>
      <c r="Z16" s="180">
        <v>1752</v>
      </c>
      <c r="AA16" s="15">
        <v>1</v>
      </c>
      <c r="AB16" s="56">
        <f>IF('6'!AA16=1,(('6'!Z16*'6'!$AS$6*'6'!$AT$6)/('6'!Y16*0.0036)),IF('6'!AA16=2,(('6'!Z16*'6'!$AS$7*'6'!$AT$7)/('6'!Y16*0.0036))))</f>
        <v>145.06200507993429</v>
      </c>
      <c r="AC16" s="56"/>
      <c r="AD16" s="18"/>
      <c r="AE16" s="19">
        <v>3000</v>
      </c>
      <c r="AF16" s="182">
        <f>('7'!AE16/24)*0.454</f>
        <v>56.75</v>
      </c>
      <c r="AG16" s="19">
        <v>500</v>
      </c>
      <c r="AH16" s="182">
        <f>('7'!AG16/24)*0.454</f>
        <v>9.4583333333333339</v>
      </c>
      <c r="AI16" s="19">
        <v>3000</v>
      </c>
      <c r="AJ16" s="182">
        <f>('7'!AI16/24)*0.454</f>
        <v>56.75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0">
        <v>400</v>
      </c>
      <c r="C17" s="184">
        <v>7.5</v>
      </c>
      <c r="D17" s="184">
        <v>20</v>
      </c>
      <c r="E17" s="184">
        <v>2.5</v>
      </c>
      <c r="F17" s="184">
        <v>108</v>
      </c>
      <c r="G17" s="184">
        <v>2.7</v>
      </c>
      <c r="H17" s="184">
        <v>7.9</v>
      </c>
      <c r="I17" s="184">
        <v>0.83</v>
      </c>
      <c r="J17" s="184">
        <v>1.8</v>
      </c>
      <c r="K17" s="184">
        <v>7</v>
      </c>
      <c r="L17" s="184">
        <v>5</v>
      </c>
      <c r="M17" s="184">
        <v>5</v>
      </c>
      <c r="N17" s="184">
        <v>4.5</v>
      </c>
      <c r="O17" s="184">
        <v>3.6</v>
      </c>
      <c r="P17" s="184"/>
      <c r="Q17" s="186"/>
      <c r="R17" s="36">
        <f>Z25</f>
        <v>1752</v>
      </c>
      <c r="S17" s="35">
        <f>AB25</f>
        <v>112.21682847896442</v>
      </c>
      <c r="T17" s="36">
        <f>Y25</f>
        <v>3033</v>
      </c>
      <c r="U17" s="32" t="str">
        <f>IF('7'!AA25=1,'7'!AR6,'7'!AR7)</f>
        <v>S.A.L</v>
      </c>
      <c r="V17" s="939">
        <f>ESCALA!$C$9</f>
        <v>0</v>
      </c>
      <c r="W17" s="939"/>
      <c r="X17" s="13">
        <v>0.5</v>
      </c>
      <c r="Y17" s="52">
        <v>2771</v>
      </c>
      <c r="Z17" s="180">
        <v>1752</v>
      </c>
      <c r="AA17" s="15">
        <v>1</v>
      </c>
      <c r="AB17" s="56">
        <f>IF('6'!AA17=1,(('6'!Z17*'6'!$AS$6*'6'!$AT$6)/('6'!Y17*0.0036)),IF('6'!AA17=2,(('6'!Z17*'6'!$AS$7*'6'!$AT$7)/('6'!Y17*0.0036))))</f>
        <v>113.59541359541362</v>
      </c>
      <c r="AC17" s="56"/>
      <c r="AD17" s="18"/>
      <c r="AE17" s="19">
        <v>3000</v>
      </c>
      <c r="AF17" s="182">
        <f>('7'!AE17/24)*0.454</f>
        <v>56.75</v>
      </c>
      <c r="AG17" s="19">
        <v>500</v>
      </c>
      <c r="AH17" s="182">
        <f>('7'!AG17/24)*0.454</f>
        <v>9.4583333333333339</v>
      </c>
      <c r="AI17" s="19">
        <v>3000</v>
      </c>
      <c r="AJ17" s="182">
        <f>('7'!AI17/24)*0.454</f>
        <v>56.75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0">
        <v>400</v>
      </c>
      <c r="C18" s="184">
        <v>7.5</v>
      </c>
      <c r="D18" s="184">
        <v>25</v>
      </c>
      <c r="E18" s="184">
        <v>2.5</v>
      </c>
      <c r="F18" s="184">
        <v>106</v>
      </c>
      <c r="G18" s="184">
        <v>2.6</v>
      </c>
      <c r="H18" s="184">
        <v>8.3000000000000007</v>
      </c>
      <c r="I18" s="184">
        <v>0.85</v>
      </c>
      <c r="J18" s="184">
        <v>1.7</v>
      </c>
      <c r="K18" s="184">
        <v>7</v>
      </c>
      <c r="L18" s="184">
        <v>5</v>
      </c>
      <c r="M18" s="184">
        <v>5</v>
      </c>
      <c r="N18" s="184">
        <v>4.5</v>
      </c>
      <c r="O18" s="184">
        <v>3.8</v>
      </c>
      <c r="P18" s="184"/>
      <c r="Q18" s="186"/>
      <c r="R18" s="36">
        <f>Z27</f>
        <v>1752</v>
      </c>
      <c r="S18" s="35">
        <f>AB27</f>
        <v>115.54206830893729</v>
      </c>
      <c r="T18" s="36">
        <f>Y27</f>
        <v>2956</v>
      </c>
      <c r="U18" s="32" t="str">
        <f>IF('7'!AA27=1,'7'!AR6,'7'!AR7)</f>
        <v>S.A.L</v>
      </c>
      <c r="V18" s="939"/>
      <c r="W18" s="939"/>
      <c r="X18" s="13">
        <v>0.54166666666666696</v>
      </c>
      <c r="Y18" s="52">
        <v>2831</v>
      </c>
      <c r="Z18" s="180">
        <v>1752</v>
      </c>
      <c r="AA18" s="15">
        <v>1</v>
      </c>
      <c r="AB18" s="56">
        <f>IF('6'!AA18=1,(('6'!Z18*'6'!$AS$6*'6'!$AT$6)/('6'!Y18*0.0036)),IF('6'!AA18=2,(('6'!Z18*'6'!$AS$7*'6'!$AT$7)/('6'!Y18*0.0036))))</f>
        <v>113.67521367521368</v>
      </c>
      <c r="AC18" s="56"/>
      <c r="AD18" s="18"/>
      <c r="AE18" s="19">
        <v>3000</v>
      </c>
      <c r="AF18" s="182">
        <f>('7'!AE18/24)*0.454</f>
        <v>56.75</v>
      </c>
      <c r="AG18" s="19">
        <v>500</v>
      </c>
      <c r="AH18" s="182">
        <f>('7'!AG18/24)*0.454</f>
        <v>9.4583333333333339</v>
      </c>
      <c r="AI18" s="19">
        <v>3000</v>
      </c>
      <c r="AJ18" s="182">
        <f>('7'!AI18/24)*0.454</f>
        <v>56.75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512.5</v>
      </c>
      <c r="C19" s="67">
        <f t="array" ref="C19">IF('7'!C7:C18&gt;0.01,AVERAGE('7'!C7:C18),"")</f>
        <v>7.5</v>
      </c>
      <c r="D19" s="67">
        <f t="array" ref="D19">IF('7'!D7:D18&gt;0.01,AVERAGE('7'!D7:D18),"")</f>
        <v>12.708333333333334</v>
      </c>
      <c r="E19" s="67">
        <f t="array" ref="E19">IF('7'!E7:E18&gt;0.01,AVERAGE('7'!E7:E18),"")</f>
        <v>2.5</v>
      </c>
      <c r="F19" s="67">
        <f t="array" ref="F19">IF('7'!F7:F18&gt;0.01,AVERAGE('7'!F7:F18),"")</f>
        <v>116.58333333333333</v>
      </c>
      <c r="G19" s="67">
        <f t="array" ref="G19">IF('7'!G7:G18&gt;0.01,AVERAGE('7'!G7:G18),"")</f>
        <v>3.2083333333333339</v>
      </c>
      <c r="H19" s="67">
        <f t="array" ref="H19">IF('7'!H7:H18&gt;0.01,AVERAGE('7'!H7:H18),"")</f>
        <v>4.9833333333333334</v>
      </c>
      <c r="I19" s="67">
        <f t="array" ref="I19">IF('7'!I7:I18&gt;0.01,AVERAGE('7'!I7:I18),"")</f>
        <v>0.74916666666666665</v>
      </c>
      <c r="J19" s="67">
        <f t="array" ref="J19">IF('7'!J7:J18&gt;0.01,AVERAGE('7'!J7:J18),"")</f>
        <v>1.6033333333333333</v>
      </c>
      <c r="K19" s="67">
        <f t="array" ref="K19">IF('7'!K7:K18&gt;0.01,AVERAGE('7'!K7:K18),"")</f>
        <v>7</v>
      </c>
      <c r="L19" s="67">
        <f t="array" ref="L19">IF('7'!L7:L18&gt;0.01,AVERAGE('7'!L7:L18),"")</f>
        <v>5</v>
      </c>
      <c r="M19" s="67">
        <f t="array" ref="M19">IF('7'!M7:M18&gt;0.01,AVERAGE('7'!M7:M18),"")</f>
        <v>5</v>
      </c>
      <c r="N19" s="67">
        <f t="array" ref="N19">IF('7'!N7:N18&gt;0.01,AVERAGE('7'!N7:N18),"")</f>
        <v>4.5</v>
      </c>
      <c r="O19" s="67">
        <f t="array" ref="O19">IF('7'!O7:O18&gt;0.01,AVERAGE('7'!O7:O18),"")</f>
        <v>3.6166666666666671</v>
      </c>
      <c r="P19" s="67">
        <f t="array" ref="P19">IF('7'!P7:P18&gt;0.01,AVERAGE('7'!P7:P18),"")</f>
        <v>1.425</v>
      </c>
      <c r="Q19" s="67">
        <f t="array" ref="Q19">IF('7'!Q7:Q18&gt;0.01,AVERAGE('7'!Q7:Q18),"")</f>
        <v>1.45</v>
      </c>
      <c r="R19" s="67" t="e">
        <f t="array" ref="R19">IF('7'!R7:R18&gt;0.01,AVERAGE('7'!R7:R18),"")</f>
        <v>#REF!</v>
      </c>
      <c r="S19" s="67">
        <f t="array" ref="S19">IF('7'!S7:S18&gt;0.01,AVERAGE('7'!S7:S18),"")</f>
        <v>115.81582923701843</v>
      </c>
      <c r="T19" s="940"/>
      <c r="U19" s="940"/>
      <c r="V19" s="47"/>
      <c r="W19" s="48"/>
      <c r="X19" s="13">
        <v>0.58333333333333304</v>
      </c>
      <c r="Y19" s="52">
        <v>2811</v>
      </c>
      <c r="Z19" s="180">
        <v>1752</v>
      </c>
      <c r="AA19" s="15">
        <v>1</v>
      </c>
      <c r="AB19" s="56">
        <f>IF('6'!AA19=1,(('6'!Z19*'6'!$AS$6*'6'!$AT$6)/('6'!Y19*0.0036)),IF('6'!AA19=2,(('6'!Z19*'6'!$AS$7*'6'!$AT$7)/('6'!Y19*0.0036))))</f>
        <v>117.95437821927888</v>
      </c>
      <c r="AC19" s="56"/>
      <c r="AD19" s="18"/>
      <c r="AE19" s="19">
        <v>3000</v>
      </c>
      <c r="AF19" s="182">
        <f>('7'!AE19/24)*0.454</f>
        <v>56.75</v>
      </c>
      <c r="AG19" s="19">
        <v>500</v>
      </c>
      <c r="AH19" s="182">
        <f>('7'!AG19/24)*0.454</f>
        <v>9.4583333333333339</v>
      </c>
      <c r="AI19" s="19">
        <v>3000</v>
      </c>
      <c r="AJ19" s="182">
        <f>('7'!AI19/24)*0.454</f>
        <v>56.75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550</v>
      </c>
      <c r="C20" s="67">
        <f>MAX('7'!C7:C18)</f>
        <v>7.5</v>
      </c>
      <c r="D20" s="67">
        <f>MAX('7'!D7:D18)</f>
        <v>25</v>
      </c>
      <c r="E20" s="67">
        <f>MAX('7'!E7:E18)</f>
        <v>2.5</v>
      </c>
      <c r="F20" s="67">
        <f>MAX('7'!F7:F18)</f>
        <v>125</v>
      </c>
      <c r="G20" s="67">
        <f>MAX('7'!G7:G18)</f>
        <v>3.7</v>
      </c>
      <c r="H20" s="67">
        <f>MAX('7'!H7:H18)</f>
        <v>8.3000000000000007</v>
      </c>
      <c r="I20" s="67">
        <f>MAX('7'!I7:I18)</f>
        <v>0.85</v>
      </c>
      <c r="J20" s="67">
        <f>MAX('7'!J7:J18)</f>
        <v>1.8</v>
      </c>
      <c r="K20" s="67">
        <f>MAX('7'!K7:K18)</f>
        <v>7</v>
      </c>
      <c r="L20" s="67">
        <f>MAX('7'!L7:L18)</f>
        <v>5</v>
      </c>
      <c r="M20" s="67">
        <f>MAX('7'!M7:M18)</f>
        <v>5</v>
      </c>
      <c r="N20" s="67">
        <f>MAX('7'!N7:N18)</f>
        <v>4.5</v>
      </c>
      <c r="O20" s="68">
        <f>MAX('7'!O7:O18)</f>
        <v>3.8</v>
      </c>
      <c r="P20" s="68">
        <f>MAX('7'!P7:P18)</f>
        <v>1.5</v>
      </c>
      <c r="Q20" s="68">
        <f>MAX('7'!Q7:Q18)</f>
        <v>1.5</v>
      </c>
      <c r="R20" s="68" t="e">
        <f>MAX('7'!R7:R18)</f>
        <v>#REF!</v>
      </c>
      <c r="S20" s="68">
        <f>MAX('7'!S7:S18)</f>
        <v>120.51677746122189</v>
      </c>
      <c r="T20" s="940"/>
      <c r="U20" s="940"/>
      <c r="X20" s="13">
        <v>0.625</v>
      </c>
      <c r="Y20" s="52">
        <v>2846</v>
      </c>
      <c r="Z20" s="180">
        <v>1752</v>
      </c>
      <c r="AA20" s="15">
        <v>1</v>
      </c>
      <c r="AB20" s="56">
        <f>IF('6'!AA20=1,(('6'!Z20*'6'!$AS$6*'6'!$AT$6)/('6'!Y20*0.0036)),IF('6'!AA20=2,(('6'!Z20*'6'!$AS$7*'6'!$AT$7)/('6'!Y20*0.0036))))</f>
        <v>119.41111895240337</v>
      </c>
      <c r="AC20" s="56"/>
      <c r="AD20" s="18"/>
      <c r="AE20" s="19">
        <v>3000</v>
      </c>
      <c r="AF20" s="182">
        <f>('7'!AE20/24)*0.454</f>
        <v>56.75</v>
      </c>
      <c r="AG20" s="19">
        <v>500</v>
      </c>
      <c r="AH20" s="182">
        <f>('7'!AG20/24)*0.454</f>
        <v>9.4583333333333339</v>
      </c>
      <c r="AI20" s="19">
        <v>3000</v>
      </c>
      <c r="AJ20" s="182">
        <f>('7'!AI20/24)*0.454</f>
        <v>56.75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400</v>
      </c>
      <c r="C21" s="67">
        <f>MIN('7'!C7:C18)</f>
        <v>7.5</v>
      </c>
      <c r="D21" s="67">
        <f>MIN('7'!D7:D18)</f>
        <v>7.5</v>
      </c>
      <c r="E21" s="67">
        <f>MIN('7'!E7:E18)</f>
        <v>2.5</v>
      </c>
      <c r="F21" s="67">
        <f>MIN('7'!F7:F18)</f>
        <v>106</v>
      </c>
      <c r="G21" s="190">
        <f>MIN('7'!G7:G18)</f>
        <v>2.6</v>
      </c>
      <c r="H21" s="190">
        <f>MIN('7'!H7:H18)</f>
        <v>2.6</v>
      </c>
      <c r="I21" s="190">
        <f>MIN('7'!I7:I18)</f>
        <v>0.68</v>
      </c>
      <c r="J21" s="190">
        <f>MIN('7'!J7:J18)</f>
        <v>1.3</v>
      </c>
      <c r="K21" s="190">
        <f>MIN('7'!K7:K18)</f>
        <v>7</v>
      </c>
      <c r="L21" s="190">
        <f>MIN('7'!L7:L18)</f>
        <v>5</v>
      </c>
      <c r="M21" s="190">
        <f>MIN('7'!M7:M18)</f>
        <v>5</v>
      </c>
      <c r="N21" s="190">
        <f>MIN('7'!N7:N18)</f>
        <v>4.5</v>
      </c>
      <c r="O21" s="191">
        <f>MIN('7'!O7:O18)</f>
        <v>3.5</v>
      </c>
      <c r="P21" s="191">
        <f>MIN('7'!P7:P18)</f>
        <v>1.2</v>
      </c>
      <c r="Q21" s="191">
        <f>MIN('7'!Q7:Q18)</f>
        <v>1.3</v>
      </c>
      <c r="R21" s="191" t="e">
        <f>MIN('7'!R7:R18)</f>
        <v>#REF!</v>
      </c>
      <c r="S21" s="191">
        <f>MIN('7'!S7:S18)</f>
        <v>112.21682847896442</v>
      </c>
      <c r="T21" s="940"/>
      <c r="U21" s="940"/>
      <c r="X21" s="13">
        <v>0.66666666666666696</v>
      </c>
      <c r="Y21" s="52">
        <v>2903</v>
      </c>
      <c r="Z21" s="180">
        <v>1752</v>
      </c>
      <c r="AA21" s="15">
        <v>1</v>
      </c>
      <c r="AB21" s="56">
        <f>IF('6'!AA21=1,(('6'!Z21*'6'!$AS$6*'6'!$AT$6)/('6'!Y21*0.0036)),IF('6'!AA21=2,(('6'!Z21*'6'!$AS$7*'6'!$AT$7)/('6'!Y21*0.0036))))</f>
        <v>120.51677746122189</v>
      </c>
      <c r="AC21" s="56"/>
      <c r="AD21" s="18"/>
      <c r="AE21" s="19">
        <v>3000</v>
      </c>
      <c r="AF21" s="182">
        <f>('7'!AE21/24)*0.454</f>
        <v>56.75</v>
      </c>
      <c r="AG21" s="19">
        <v>500</v>
      </c>
      <c r="AH21" s="182">
        <f>('7'!AG21/24)*0.454</f>
        <v>9.4583333333333339</v>
      </c>
      <c r="AI21" s="19">
        <v>3000</v>
      </c>
      <c r="AJ21" s="182">
        <f>('7'!AI21/24)*0.454</f>
        <v>56.75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2902</v>
      </c>
      <c r="Z22" s="180">
        <v>1752</v>
      </c>
      <c r="AA22" s="15">
        <v>1</v>
      </c>
      <c r="AB22" s="56">
        <f>IF('6'!AA22=1,(('6'!Z22*'6'!$AS$6*'6'!$AT$6)/('6'!Y22*0.0036)),IF('6'!AA22=2,(('6'!Z22*'6'!$AS$7*'6'!$AT$7)/('6'!Y22*0.0036))))</f>
        <v>119.24281575444367</v>
      </c>
      <c r="AC22" s="56"/>
      <c r="AD22" s="18"/>
      <c r="AE22" s="19">
        <v>3000</v>
      </c>
      <c r="AF22" s="182">
        <f>('7'!AE22/24)*0.454</f>
        <v>56.75</v>
      </c>
      <c r="AG22" s="19">
        <v>500</v>
      </c>
      <c r="AH22" s="182">
        <f>('7'!AG22/24)*0.454</f>
        <v>9.4583333333333339</v>
      </c>
      <c r="AI22" s="19">
        <v>3000</v>
      </c>
      <c r="AJ22" s="182">
        <f>('7'!AI22/24)*0.454</f>
        <v>56.75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/>
      <c r="S23" s="58" t="s">
        <v>57</v>
      </c>
      <c r="T23" s="940"/>
      <c r="U23" s="940"/>
      <c r="X23" s="13">
        <v>0.75</v>
      </c>
      <c r="Y23" s="52">
        <v>3092</v>
      </c>
      <c r="Z23" s="180">
        <v>1752</v>
      </c>
      <c r="AA23" s="15">
        <v>1</v>
      </c>
      <c r="AB23" s="56">
        <f>IF('6'!AA23=1,(('6'!Z23*'6'!$AS$6*'6'!$AT$6)/('6'!Y23*0.0036)),IF('6'!AA23=2,(('6'!Z23*'6'!$AS$7*'6'!$AT$7)/('6'!Y23*0.0036))))</f>
        <v>120.13173983355027</v>
      </c>
      <c r="AC23" s="56"/>
      <c r="AD23" s="18"/>
      <c r="AE23" s="19">
        <v>3000</v>
      </c>
      <c r="AF23" s="182">
        <f>('7'!AE23/24)*0.454</f>
        <v>56.75</v>
      </c>
      <c r="AG23" s="19">
        <v>500</v>
      </c>
      <c r="AH23" s="182">
        <f>('7'!AG23/24)*0.454</f>
        <v>9.4583333333333339</v>
      </c>
      <c r="AI23" s="19">
        <v>3000</v>
      </c>
      <c r="AJ23" s="182">
        <f>('7'!AI23/24)*0.454</f>
        <v>56.75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3149</v>
      </c>
      <c r="Z24" s="180">
        <v>1752</v>
      </c>
      <c r="AA24" s="15">
        <v>1</v>
      </c>
      <c r="AB24" s="56">
        <f>IF('6'!AA24=1,(('6'!Z24*'6'!$AS$6*'6'!$AT$6)/('6'!Y24*0.0036)),IF('6'!AA24=2,(('6'!Z24*'6'!$AS$7*'6'!$AT$7)/('6'!Y24*0.0036))))</f>
        <v>122.17007621339752</v>
      </c>
      <c r="AC24" s="56"/>
      <c r="AD24" s="18"/>
      <c r="AE24" s="19">
        <v>3000</v>
      </c>
      <c r="AF24" s="193">
        <f>('7'!AE24/24)*0.454</f>
        <v>56.75</v>
      </c>
      <c r="AG24" s="19">
        <v>500</v>
      </c>
      <c r="AH24" s="193">
        <f>('7'!AG24/24)*0.454</f>
        <v>9.4583333333333339</v>
      </c>
      <c r="AI24" s="19">
        <v>3000</v>
      </c>
      <c r="AJ24" s="193">
        <f>('7'!AI24/24)*0.454</f>
        <v>56.75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/>
      <c r="S25" s="64"/>
      <c r="T25" s="1017" t="s">
        <v>0</v>
      </c>
      <c r="U25" s="1047">
        <f>ESCALA!$A$10</f>
        <v>44324</v>
      </c>
      <c r="X25" s="13">
        <v>0.83333333333333304</v>
      </c>
      <c r="Y25" s="52">
        <v>3033</v>
      </c>
      <c r="Z25" s="180">
        <v>1752</v>
      </c>
      <c r="AA25" s="15">
        <v>1</v>
      </c>
      <c r="AB25" s="56">
        <f>IF('6'!AA25=1,(('6'!Z25*'6'!$AS$6*'6'!$AT$6)/('6'!Y25*0.0036)),IF('6'!AA25=2,(('6'!Z25*'6'!$AS$7*'6'!$AT$7)/('6'!Y25*0.0036))))</f>
        <v>112.21682847896442</v>
      </c>
      <c r="AC25" s="56"/>
      <c r="AD25" s="18"/>
      <c r="AE25" s="19">
        <v>3000</v>
      </c>
      <c r="AF25" s="182">
        <f>('7'!AE25/24)*0.454</f>
        <v>56.75</v>
      </c>
      <c r="AG25" s="19">
        <v>500</v>
      </c>
      <c r="AH25" s="182">
        <f>('7'!AG25/24)*0.454</f>
        <v>9.4583333333333339</v>
      </c>
      <c r="AI25" s="19">
        <v>3000</v>
      </c>
      <c r="AJ25" s="182">
        <f>('7'!AI25/24)*0.454</f>
        <v>56.75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/>
      <c r="S26" s="65"/>
      <c r="T26" s="1017"/>
      <c r="U26" s="1047"/>
      <c r="X26" s="13">
        <v>0.875</v>
      </c>
      <c r="Y26" s="52">
        <v>3058</v>
      </c>
      <c r="Z26" s="180">
        <v>1752</v>
      </c>
      <c r="AA26" s="15">
        <v>1</v>
      </c>
      <c r="AB26" s="56">
        <f>IF('6'!AA26=1,(('6'!Z26*'6'!$AS$6*'6'!$AT$6)/('6'!Y26*0.0036)),IF('6'!AA26=2,(('6'!Z26*'6'!$AS$7*'6'!$AT$7)/('6'!Y26*0.0036))))</f>
        <v>114.88581232990181</v>
      </c>
      <c r="AC26" s="56"/>
      <c r="AD26" s="18"/>
      <c r="AE26" s="19">
        <v>3000</v>
      </c>
      <c r="AF26" s="182">
        <f>('7'!AE26/24)*0.454</f>
        <v>56.75</v>
      </c>
      <c r="AG26" s="19">
        <v>500</v>
      </c>
      <c r="AH26" s="182">
        <f>('7'!AG26/24)*0.454</f>
        <v>9.4583333333333339</v>
      </c>
      <c r="AI26" s="19">
        <v>3000</v>
      </c>
      <c r="AJ26" s="182">
        <f>('7'!AI26/24)*0.454</f>
        <v>56.75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2956</v>
      </c>
      <c r="Z27" s="180">
        <v>1752</v>
      </c>
      <c r="AA27" s="15">
        <v>1</v>
      </c>
      <c r="AB27" s="56">
        <f>IF('6'!AA27=1,(('6'!Z27*'6'!$AS$6*'6'!$AT$6)/('6'!Y27*0.0036)),IF('6'!AA27=2,(('6'!Z27*'6'!$AS$7*'6'!$AT$7)/('6'!Y27*0.0036))))</f>
        <v>115.54206830893729</v>
      </c>
      <c r="AC27" s="56"/>
      <c r="AD27" s="18"/>
      <c r="AE27" s="19">
        <v>3000</v>
      </c>
      <c r="AF27" s="182">
        <f>('7'!AE27/24)*0.454</f>
        <v>56.75</v>
      </c>
      <c r="AG27" s="19">
        <v>500</v>
      </c>
      <c r="AH27" s="182">
        <f>('7'!AG27/24)*0.454</f>
        <v>9.4583333333333339</v>
      </c>
      <c r="AI27" s="19">
        <v>3000</v>
      </c>
      <c r="AJ27" s="182">
        <f>('7'!AI27/24)*0.454</f>
        <v>56.75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2906</v>
      </c>
      <c r="Z28" s="180">
        <v>1752</v>
      </c>
      <c r="AA28" s="15">
        <v>1</v>
      </c>
      <c r="AB28" s="56">
        <f>IF('6'!AA28=1,(('6'!Z28*'6'!$AS$6*'6'!$AT$6)/('6'!Y28*0.0036)),IF('6'!AA28=2,(('6'!Z28*'6'!$AS$7*'6'!$AT$7)/('6'!Y28*0.0036))))</f>
        <v>116.20586475164573</v>
      </c>
      <c r="AC28" s="56"/>
      <c r="AD28" s="18"/>
      <c r="AE28" s="19">
        <v>3000</v>
      </c>
      <c r="AF28" s="182">
        <f>('7'!AE28/24)*0.454</f>
        <v>56.75</v>
      </c>
      <c r="AG28" s="19">
        <v>500</v>
      </c>
      <c r="AH28" s="182">
        <f>('7'!AG28/24)*0.454</f>
        <v>9.4583333333333339</v>
      </c>
      <c r="AI28" s="19">
        <v>3000</v>
      </c>
      <c r="AJ28" s="182">
        <f>('7'!AI28/24)*0.454</f>
        <v>56.75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3096</v>
      </c>
      <c r="Z29" s="180">
        <v>1752</v>
      </c>
      <c r="AA29" s="15">
        <v>1</v>
      </c>
      <c r="AB29" s="56">
        <f>IF('6'!AA29=1,(('6'!Z29*'6'!$AS$6*'6'!$AT$6)/('6'!Y29*0.0036)),IF('6'!AA29=2,(('6'!Z29*'6'!$AS$7*'6'!$AT$7)/('6'!Y29*0.0036))))</f>
        <v>114.68225844554691</v>
      </c>
      <c r="AC29" s="56"/>
      <c r="AD29" s="18"/>
      <c r="AE29" s="19">
        <v>3000</v>
      </c>
      <c r="AF29" s="182">
        <f>('7'!AE29/24)*0.454</f>
        <v>56.75</v>
      </c>
      <c r="AG29" s="19">
        <v>500</v>
      </c>
      <c r="AH29" s="182">
        <f>('7'!AG29/24)*0.454</f>
        <v>9.4583333333333339</v>
      </c>
      <c r="AI29" s="19">
        <v>3000</v>
      </c>
      <c r="AJ29" s="182">
        <f>('7'!AI29/24)*0.454</f>
        <v>56.75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SUM('7'!Y6:Y29)*3.6</f>
        <v>248302.80000000002</v>
      </c>
      <c r="Z30" s="80">
        <f>SUM('7'!Z6:Z29)</f>
        <v>42048</v>
      </c>
      <c r="AA30" s="76"/>
      <c r="AB30" s="77"/>
      <c r="AC30" s="76"/>
      <c r="AD30" s="77"/>
      <c r="AE30" s="33"/>
      <c r="AF30" s="182">
        <f>SUM('7'!AF6:AF29)</f>
        <v>1362</v>
      </c>
      <c r="AG30" s="33"/>
      <c r="AH30" s="182">
        <f>SUM('7'!AH6:AH29)</f>
        <v>227.00000000000009</v>
      </c>
      <c r="AI30" s="33"/>
      <c r="AJ30" s="182">
        <f>SUM('7'!AJ6:AJ29)</f>
        <v>1343.0833333333335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SUMIF('7'!AA6:AA29,"=1",'7'!Z6:Z29)</f>
        <v>42048</v>
      </c>
      <c r="AA32" s="80">
        <f>'7'!Z32*'7'!AS6</f>
        <v>55503.360000000001</v>
      </c>
      <c r="AB32" s="81">
        <f>SUMIF('7'!$AA$6:$AA$29,"=1",'7'!$AB$6:$AB$29)/COUNTIF('7'!$AA$6:$AA$29,"=1")</f>
        <v>117.3163893376029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AVERAGE('7'!Y6:Y29)</f>
        <v>2873.875</v>
      </c>
      <c r="Z34" s="94">
        <f>AVERAGE('7'!Z6:Z29)</f>
        <v>1752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56.75</v>
      </c>
      <c r="AG34" s="98"/>
      <c r="AH34" s="96">
        <f>AVERAGE('7'!AH6:AH29)</f>
        <v>9.4583333333333375</v>
      </c>
      <c r="AI34" s="96"/>
      <c r="AJ34" s="96">
        <f>'7'!AJ30/24</f>
        <v>55.961805555555564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2" t="s">
        <v>15</v>
      </c>
      <c r="X35" s="952" t="s">
        <v>66</v>
      </c>
      <c r="Y35" s="952"/>
      <c r="Z35" s="101"/>
      <c r="AA35" s="1048" t="s">
        <v>67</v>
      </c>
      <c r="AB35" s="1048"/>
      <c r="AC35" s="242"/>
      <c r="AD35" s="243"/>
      <c r="AE35" s="244"/>
      <c r="AF35" s="245"/>
      <c r="AG35" s="246"/>
      <c r="AH35" s="247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2"/>
      <c r="X36" s="103" t="s">
        <v>74</v>
      </c>
      <c r="Y36" s="104">
        <v>0</v>
      </c>
      <c r="Z36" s="105"/>
      <c r="AA36" s="106" t="s">
        <v>74</v>
      </c>
      <c r="AB36" s="104"/>
      <c r="AC36" s="248"/>
      <c r="AD36" s="248"/>
      <c r="AE36" s="248"/>
      <c r="AF36" s="249"/>
      <c r="AG36" s="249"/>
      <c r="AH36" s="250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230">
        <v>45.8</v>
      </c>
      <c r="D37" s="230">
        <v>5</v>
      </c>
      <c r="E37" s="230">
        <v>4</v>
      </c>
      <c r="F37" s="184">
        <v>3</v>
      </c>
      <c r="G37" s="181">
        <v>0.2</v>
      </c>
      <c r="H37" s="181">
        <v>0.1</v>
      </c>
      <c r="I37" s="181">
        <v>0.2</v>
      </c>
      <c r="J37" s="181">
        <v>0.1</v>
      </c>
      <c r="K37" s="181">
        <v>0.06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'7'!V12</f>
        <v>0</v>
      </c>
      <c r="X37" s="1025" t="s">
        <v>75</v>
      </c>
      <c r="Y37" s="1025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1589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1343.0833333333335</v>
      </c>
      <c r="AQ38" s="208" t="s">
        <v>78</v>
      </c>
      <c r="AR38" s="210">
        <f>'7'!AP30</f>
        <v>0</v>
      </c>
    </row>
    <row r="39" spans="1:44" ht="21.6" customHeight="1">
      <c r="A39" s="959" t="s">
        <v>79</v>
      </c>
      <c r="B39" s="959"/>
      <c r="C39" s="959" t="s">
        <v>80</v>
      </c>
      <c r="D39" s="959"/>
      <c r="E39" s="1049" t="s">
        <v>81</v>
      </c>
      <c r="F39" s="1049"/>
      <c r="G39" s="1049"/>
      <c r="H39" s="1049"/>
      <c r="J39" s="1050" t="s">
        <v>82</v>
      </c>
      <c r="K39" s="1050"/>
      <c r="L39" s="1050"/>
      <c r="M39" s="1050"/>
      <c r="O39" s="1051" t="s">
        <v>83</v>
      </c>
      <c r="P39" s="1051"/>
      <c r="Q39" s="1051"/>
      <c r="R39" s="1052" t="s">
        <v>84</v>
      </c>
      <c r="S39" s="1053" t="s">
        <v>85</v>
      </c>
      <c r="T39" s="1053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6.3994445491553051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5.4090543213098412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1051"/>
      <c r="P40" s="1051"/>
      <c r="Q40" s="1051"/>
      <c r="R40" s="1052"/>
      <c r="S40" s="1053"/>
      <c r="T40" s="1053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SUM('7'!AK38,'7'!AM38)</f>
        <v>1589</v>
      </c>
      <c r="AM40" s="969"/>
      <c r="AO40" s="970" t="s">
        <v>90</v>
      </c>
      <c r="AP40" s="970"/>
      <c r="AQ40" s="971">
        <f>SUM('7'!AP38,'7'!AR38)</f>
        <v>1343.0833333333335</v>
      </c>
      <c r="AR40" s="971"/>
    </row>
    <row r="41" spans="1:44" ht="15.75" customHeight="1">
      <c r="A41" s="131">
        <f>COUNTA('7'!E7:E18)</f>
        <v>12</v>
      </c>
      <c r="B41" s="132">
        <f>COUNTA('7'!I7:I18)</f>
        <v>12</v>
      </c>
      <c r="C41" s="972">
        <f>COUNTA('7'!J7:J18)</f>
        <v>12</v>
      </c>
      <c r="D41" s="972">
        <f>COUNTA('7'!K7:K18)</f>
        <v>12</v>
      </c>
      <c r="E41" s="972">
        <f>COUNTIF('7'!E7:E18,"&gt;15")</f>
        <v>0</v>
      </c>
      <c r="F41" s="972"/>
      <c r="G41" s="972">
        <f>COUNTIF('7'!J7:J18,"&gt;1")</f>
        <v>12</v>
      </c>
      <c r="H41" s="972"/>
      <c r="I41" s="133"/>
      <c r="J41" s="972">
        <f>'7'!A41-'7'!E41</f>
        <v>12</v>
      </c>
      <c r="K41" s="972"/>
      <c r="L41" s="972">
        <f>'7'!C41-'7'!G41</f>
        <v>0</v>
      </c>
      <c r="M41" s="972"/>
      <c r="N41" s="133"/>
      <c r="O41" s="973">
        <f>COUNTIF('7'!J7:J18,"&lt;=0,5")</f>
        <v>0</v>
      </c>
      <c r="P41" s="973"/>
      <c r="Q41" s="973"/>
      <c r="R41" s="1052"/>
      <c r="S41" s="974">
        <f>COUNTIF('7'!J7:J18,"&lt;=1,0")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SUM(('7'!AK38+'7'!AM38)/'7'!Y30)*1000</f>
        <v>6.3994445491553051</v>
      </c>
      <c r="AM41" s="975"/>
      <c r="AO41" s="970" t="s">
        <v>91</v>
      </c>
      <c r="AP41" s="970"/>
      <c r="AQ41" s="975">
        <f>SUM(('7'!AP38+'7'!AR38)/'7'!Y30)*1000</f>
        <v>5.4090543213098412</v>
      </c>
      <c r="AR41" s="975"/>
    </row>
    <row r="42" spans="1:44" ht="18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93" t="s">
        <v>94</v>
      </c>
      <c r="I43" s="993"/>
      <c r="J43" s="993"/>
      <c r="L43" s="993" t="s">
        <v>95</v>
      </c>
      <c r="M43" s="993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93"/>
      <c r="I44" s="993"/>
      <c r="J44" s="993"/>
      <c r="L44" s="993"/>
      <c r="M44" s="993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65</v>
      </c>
      <c r="Z44" s="142" t="s">
        <v>101</v>
      </c>
      <c r="AA44" s="143">
        <v>0</v>
      </c>
      <c r="AB44" s="142" t="s">
        <v>101</v>
      </c>
      <c r="AC44" s="143">
        <v>140</v>
      </c>
      <c r="AD44" s="982"/>
      <c r="AE44" s="982"/>
      <c r="AF44" s="983" t="s">
        <v>102</v>
      </c>
      <c r="AG44" s="984">
        <f>SUM('7'!Y45,'7'!AA45,'7'!AC45,'7'!AE45)</f>
        <v>204772.5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COUNTIF('7'!I7:I18,"&lt;=5,0")</f>
        <v>12</v>
      </c>
      <c r="I45" s="986"/>
      <c r="J45" s="986"/>
      <c r="K45" s="133"/>
      <c r="L45" s="968">
        <f>COUNTA('7'!L37)</f>
        <v>0</v>
      </c>
      <c r="M45" s="968"/>
      <c r="O45" s="144"/>
      <c r="P45" s="145"/>
      <c r="Q45" s="987">
        <f>'7'!S41-'7'!O41</f>
        <v>0</v>
      </c>
      <c r="R45" s="987"/>
      <c r="S45" s="987"/>
      <c r="T45" s="146"/>
      <c r="X45" s="147" t="s">
        <v>104</v>
      </c>
      <c r="Y45" s="148">
        <f>'7'!Y44*275.3</f>
        <v>17894.5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38878</v>
      </c>
      <c r="AD45" s="147" t="s">
        <v>104</v>
      </c>
      <c r="AE45" s="149">
        <v>148000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54"/>
      <c r="AP45" s="1054"/>
      <c r="AQ45" s="1054"/>
      <c r="AR45" s="1054"/>
    </row>
    <row r="46" spans="1:44" ht="15.75" customHeight="1">
      <c r="F46" s="150"/>
      <c r="X46" s="151" t="s">
        <v>105</v>
      </c>
      <c r="Y46" s="152">
        <f>'7'!AS6</f>
        <v>1.32</v>
      </c>
      <c r="Z46" s="151" t="s">
        <v>105</v>
      </c>
      <c r="AA46" s="152">
        <v>0.1</v>
      </c>
      <c r="AB46" s="151" t="s">
        <v>105</v>
      </c>
      <c r="AC46" s="152">
        <f>'7'!Y46</f>
        <v>1.32</v>
      </c>
      <c r="AD46" s="151" t="s">
        <v>105</v>
      </c>
      <c r="AE46" s="253">
        <f>'7'!Y46</f>
        <v>1.32</v>
      </c>
      <c r="AF46" s="989" t="s">
        <v>106</v>
      </c>
      <c r="AG46" s="990">
        <f>SUM('7'!Y47,'7'!AA47,'7'!AC47,'7'!AE47)</f>
        <v>270299.7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4"/>
      <c r="AP46" s="1054"/>
      <c r="AQ46" s="1054"/>
      <c r="AR46" s="1054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'7'!Y45*'7'!Y46</f>
        <v>23620.74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51318.96</v>
      </c>
      <c r="AD47" s="147" t="s">
        <v>108</v>
      </c>
      <c r="AE47" s="148">
        <f>'7'!AE45*'7'!AE46</f>
        <v>195360</v>
      </c>
      <c r="AF47" s="989"/>
      <c r="AG47" s="990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4"/>
      <c r="AP47" s="1054"/>
      <c r="AQ47" s="1054"/>
      <c r="AR47" s="105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1.32</v>
      </c>
      <c r="AK48" s="158" t="s">
        <v>105</v>
      </c>
      <c r="AL48" s="152">
        <f>'7'!AJ48</f>
        <v>1.32</v>
      </c>
      <c r="AM48" s="158" t="s">
        <v>105</v>
      </c>
      <c r="AN48" s="152">
        <f>'7'!AJ48</f>
        <v>1.32</v>
      </c>
      <c r="AO48" s="1054"/>
      <c r="AP48" s="1054"/>
      <c r="AQ48" s="1054"/>
      <c r="AR48" s="1054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4"/>
      <c r="AP49" s="1054"/>
      <c r="AQ49" s="1054"/>
      <c r="AR49" s="1054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COUNTA('7'!O7:O18)</f>
        <v>12</v>
      </c>
      <c r="P51" s="968">
        <f>COUNTA('7'!W17:W28)</f>
        <v>0</v>
      </c>
      <c r="R51" s="986">
        <f>COUNTIF('7'!O7:O18,"&gt;=0,5")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SUM('7'!Y53,'7'!AA53,'7'!AC53,'7'!AE53)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54"/>
      <c r="AP52" s="1054"/>
      <c r="AQ52" s="1054"/>
      <c r="AR52" s="1054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4"/>
      <c r="AP53" s="1054"/>
      <c r="AQ53" s="1054"/>
      <c r="AR53" s="1054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'7'!AS7</f>
        <v>1.262</v>
      </c>
      <c r="Z54" s="151" t="s">
        <v>105</v>
      </c>
      <c r="AA54" s="152">
        <f>'7'!Y54</f>
        <v>1.262</v>
      </c>
      <c r="AB54" s="151" t="s">
        <v>105</v>
      </c>
      <c r="AC54" s="152">
        <f>'7'!Y54</f>
        <v>1.262</v>
      </c>
      <c r="AD54" s="151" t="s">
        <v>105</v>
      </c>
      <c r="AE54" s="253">
        <f>'7'!Y54</f>
        <v>1.262</v>
      </c>
      <c r="AF54" s="989" t="s">
        <v>106</v>
      </c>
      <c r="AG54" s="990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4"/>
      <c r="AP54" s="1054"/>
      <c r="AQ54" s="1054"/>
      <c r="AR54" s="1054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89"/>
      <c r="AG55" s="990"/>
      <c r="AI55" s="151" t="s">
        <v>105</v>
      </c>
      <c r="AJ55" s="152">
        <f>'7'!Y54</f>
        <v>1.262</v>
      </c>
      <c r="AK55" s="151" t="s">
        <v>105</v>
      </c>
      <c r="AL55" s="152">
        <f>'7'!AJ55</f>
        <v>1.262</v>
      </c>
      <c r="AM55" s="151" t="s">
        <v>105</v>
      </c>
      <c r="AN55" s="152">
        <f>'7'!AJ55</f>
        <v>1.262</v>
      </c>
      <c r="AO55" s="1054"/>
      <c r="AP55" s="1054"/>
      <c r="AQ55" s="1054"/>
      <c r="AR55" s="1054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4"/>
      <c r="AP56" s="1054"/>
      <c r="AQ56" s="1054"/>
      <c r="AR56" s="1054"/>
    </row>
    <row r="57" spans="15:44" ht="15.75" customHeight="1">
      <c r="O57" s="997">
        <f>COUNTA('7'!N7:N18)</f>
        <v>12</v>
      </c>
      <c r="P57" s="997"/>
      <c r="R57" s="998">
        <f>COUNTIF('7'!N7:N18,"&gt;=6")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55" t="s">
        <v>119</v>
      </c>
      <c r="AC60" s="1055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'7'!AJ56+'7'!AL56+'7'!AN56</f>
        <v>0</v>
      </c>
      <c r="AM61" s="1005"/>
      <c r="AN61" s="1004" t="s">
        <v>121</v>
      </c>
      <c r="AO61" s="1004"/>
      <c r="AP61" s="1004"/>
      <c r="AQ61" s="1005">
        <f>'7'!AJ49+'7'!AL49+'7'!AN49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'7'!AA32</f>
        <v>55503.360000000001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'7'!AL61-'7'!AL62</f>
        <v>0</v>
      </c>
      <c r="AM63" s="1005"/>
      <c r="AN63" s="1004" t="s">
        <v>125</v>
      </c>
      <c r="AO63" s="1004"/>
      <c r="AP63" s="1004"/>
      <c r="AQ63" s="1005">
        <f>'7'!AQ61-'7'!AQ62</f>
        <v>-55503.360000000001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/>
      <c r="Z65" s="1007"/>
      <c r="AA65" s="1007"/>
      <c r="AB65" s="174" t="s">
        <v>126</v>
      </c>
      <c r="AC65" s="238"/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/>
      <c r="Z67" s="1007"/>
      <c r="AA67" s="1007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07"/>
      <c r="AA68" s="1007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81">
        <v>2948</v>
      </c>
      <c r="Z6" s="181">
        <v>1752</v>
      </c>
      <c r="AA6" s="254">
        <v>1</v>
      </c>
      <c r="AB6" s="56">
        <f>IF('8'!AA6=1,(('8'!Z6*'8'!$AS$6*'8'!$AT$6)/('8'!Y6*0.0036)),IF('8'!AA6=2,(('8'!Z6*'8'!$AS$7*'8'!$AT$7)/('8'!Y6*0.0036))))</f>
        <v>109.78064224332883</v>
      </c>
      <c r="AC6" s="56"/>
      <c r="AD6" s="18">
        <f>(('8'!AC6*'8'!$Q$10*1000000))/('8'!Y6*3600)</f>
        <v>0</v>
      </c>
      <c r="AE6" s="181">
        <v>3000</v>
      </c>
      <c r="AF6" s="182">
        <f>('8'!AE6/24)*0.454</f>
        <v>56.75</v>
      </c>
      <c r="AG6" s="19">
        <v>500</v>
      </c>
      <c r="AH6" s="182">
        <f>('8'!AG6/24)*0.454</f>
        <v>9.4583333333333339</v>
      </c>
      <c r="AI6" s="19">
        <v>3000</v>
      </c>
      <c r="AJ6" s="182">
        <f>('8'!AI6/24)*0.454</f>
        <v>56.75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0">
        <v>400</v>
      </c>
      <c r="C7" s="184">
        <v>5</v>
      </c>
      <c r="D7" s="184">
        <v>5</v>
      </c>
      <c r="E7" s="184">
        <v>2.5</v>
      </c>
      <c r="F7" s="184">
        <v>106</v>
      </c>
      <c r="G7" s="184">
        <v>2.5</v>
      </c>
      <c r="H7" s="184">
        <v>2.2999999999999998</v>
      </c>
      <c r="I7" s="184">
        <v>0.85</v>
      </c>
      <c r="J7" s="184">
        <v>1.7</v>
      </c>
      <c r="K7" s="184">
        <v>7</v>
      </c>
      <c r="L7" s="184">
        <v>5</v>
      </c>
      <c r="M7" s="184">
        <v>5</v>
      </c>
      <c r="N7" s="184">
        <v>4.5</v>
      </c>
      <c r="O7" s="184">
        <v>3.6</v>
      </c>
      <c r="P7" s="184">
        <v>1.4</v>
      </c>
      <c r="Q7" s="186">
        <v>1.5</v>
      </c>
      <c r="R7" s="36">
        <f>'7'!$Z$29</f>
        <v>1752</v>
      </c>
      <c r="S7" s="185">
        <f>'7'!AB29</f>
        <v>114.68225844554691</v>
      </c>
      <c r="T7" s="36">
        <f>'7'!Y29</f>
        <v>3096</v>
      </c>
      <c r="U7" s="32" t="str">
        <f>IF('8'!AA6=1,'8'!AR6,'8'!AR7)</f>
        <v>S.A.L</v>
      </c>
      <c r="V7" s="1016">
        <f>ESCALA!$C$9</f>
        <v>0</v>
      </c>
      <c r="W7" s="1016"/>
      <c r="X7" s="13">
        <v>8.3333333333333301E-2</v>
      </c>
      <c r="Y7" s="181">
        <v>3131</v>
      </c>
      <c r="Z7" s="181">
        <v>1752</v>
      </c>
      <c r="AA7" s="254">
        <v>1</v>
      </c>
      <c r="AB7" s="56">
        <f>IF('8'!AA7=1,(('8'!Z7*'8'!$AS$6*'8'!$AT$6)/('8'!Y7*0.0036)),IF('8'!AA7=2,(('8'!Z7*'8'!$AS$7*'8'!$AT$7)/('8'!Y7*0.0036))))</f>
        <v>103.36420738848081</v>
      </c>
      <c r="AC7" s="56"/>
      <c r="AD7" s="18">
        <f>(('8'!AC7*'8'!$Q$10*1000000))/('8'!Y7*3600)</f>
        <v>0</v>
      </c>
      <c r="AE7" s="181">
        <v>3000</v>
      </c>
      <c r="AF7" s="182">
        <f>('8'!AE7/24)*0.454</f>
        <v>56.75</v>
      </c>
      <c r="AG7" s="19">
        <v>500</v>
      </c>
      <c r="AH7" s="182">
        <f>('8'!AG7/24)*0.454</f>
        <v>9.4583333333333339</v>
      </c>
      <c r="AI7" s="19">
        <v>3000</v>
      </c>
      <c r="AJ7" s="182">
        <f>('8'!AI7/24)*0.454</f>
        <v>56.75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400</v>
      </c>
      <c r="C8" s="184">
        <v>5</v>
      </c>
      <c r="D8" s="184">
        <v>5</v>
      </c>
      <c r="E8" s="184">
        <v>2.5</v>
      </c>
      <c r="F8" s="184">
        <v>104</v>
      </c>
      <c r="G8" s="184">
        <v>2.5</v>
      </c>
      <c r="H8" s="184">
        <v>2.5</v>
      </c>
      <c r="I8" s="184">
        <v>0.87</v>
      </c>
      <c r="J8" s="184">
        <v>1.7</v>
      </c>
      <c r="K8" s="184">
        <v>7</v>
      </c>
      <c r="L8" s="184">
        <v>5</v>
      </c>
      <c r="M8" s="184">
        <v>5</v>
      </c>
      <c r="N8" s="184">
        <v>4.5</v>
      </c>
      <c r="O8" s="184">
        <v>3.6</v>
      </c>
      <c r="P8" s="184">
        <v>1.4</v>
      </c>
      <c r="Q8" s="186">
        <v>1.7</v>
      </c>
      <c r="R8" s="34">
        <f>'8'!Z7</f>
        <v>1752</v>
      </c>
      <c r="S8" s="35">
        <f>'8'!AB7</f>
        <v>103.36420738848081</v>
      </c>
      <c r="T8" s="36">
        <f>'8'!Y7</f>
        <v>3131</v>
      </c>
      <c r="U8" s="32" t="str">
        <f>IF('8'!AA7=1,'8'!AR6,'8'!AR7)</f>
        <v>S.A.L</v>
      </c>
      <c r="V8" s="1016"/>
      <c r="W8" s="1016"/>
      <c r="X8" s="13">
        <v>0.125</v>
      </c>
      <c r="Y8" s="181">
        <v>3103</v>
      </c>
      <c r="Z8" s="181">
        <v>1752</v>
      </c>
      <c r="AA8" s="254">
        <v>1</v>
      </c>
      <c r="AB8" s="56">
        <f>IF('8'!AA8=1,(('8'!Z8*'8'!$AS$6*'8'!$AT$6)/('8'!Y8*0.0036)),IF('8'!AA8=2,(('8'!Z8*'8'!$AS$7*'8'!$AT$7)/('8'!Y8*0.0036))))</f>
        <v>104.29691696207972</v>
      </c>
      <c r="AC8" s="56"/>
      <c r="AD8" s="18">
        <f>(('8'!AC8*'8'!$Q$10*1000000))/('8'!Y8*3600)</f>
        <v>0</v>
      </c>
      <c r="AE8" s="181">
        <v>3000</v>
      </c>
      <c r="AF8" s="182">
        <f>('8'!AE8/24)*0.454</f>
        <v>56.75</v>
      </c>
      <c r="AG8" s="19">
        <v>500</v>
      </c>
      <c r="AH8" s="182">
        <f>('8'!AG8/24)*0.454</f>
        <v>9.4583333333333339</v>
      </c>
      <c r="AI8" s="19">
        <v>3000</v>
      </c>
      <c r="AJ8" s="182">
        <f>('8'!AI8/24)*0.454</f>
        <v>56.75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0">
        <v>400</v>
      </c>
      <c r="C9" s="184">
        <v>5</v>
      </c>
      <c r="D9" s="184">
        <v>5</v>
      </c>
      <c r="E9" s="184">
        <v>2.5</v>
      </c>
      <c r="F9" s="184">
        <v>102</v>
      </c>
      <c r="G9" s="184">
        <v>2.6</v>
      </c>
      <c r="H9" s="184">
        <v>2.6</v>
      </c>
      <c r="I9" s="184">
        <v>0.87</v>
      </c>
      <c r="J9" s="184">
        <v>1.6</v>
      </c>
      <c r="K9" s="184">
        <v>7</v>
      </c>
      <c r="L9" s="184">
        <v>5</v>
      </c>
      <c r="M9" s="184">
        <v>5</v>
      </c>
      <c r="N9" s="184">
        <v>4.5</v>
      </c>
      <c r="O9" s="184">
        <v>3.6</v>
      </c>
      <c r="P9" s="184">
        <v>1.5</v>
      </c>
      <c r="Q9" s="186">
        <v>1.8</v>
      </c>
      <c r="R9" s="36">
        <f>'8'!Z9</f>
        <v>1752</v>
      </c>
      <c r="S9" s="35">
        <f>'8'!AB9</f>
        <v>106.84494332563004</v>
      </c>
      <c r="T9" s="36">
        <f>'8'!Y9</f>
        <v>3029</v>
      </c>
      <c r="U9" s="32" t="str">
        <f>IF('8'!AA9=1,'8'!AR6,'8'!AR7)</f>
        <v>S.A.L</v>
      </c>
      <c r="V9" s="1016"/>
      <c r="W9" s="1016"/>
      <c r="X9" s="13">
        <v>0.16666666666666699</v>
      </c>
      <c r="Y9" s="181">
        <v>3029</v>
      </c>
      <c r="Z9" s="181">
        <v>1752</v>
      </c>
      <c r="AA9" s="254">
        <v>1</v>
      </c>
      <c r="AB9" s="56">
        <f>IF('8'!AA9=1,(('8'!Z9*'8'!$AS$6*'8'!$AT$6)/('8'!Y9*0.0036)),IF('8'!AA9=2,(('8'!Z9*'8'!$AS$7*'8'!$AT$7)/('8'!Y9*0.0036))))</f>
        <v>106.84494332563004</v>
      </c>
      <c r="AC9" s="56"/>
      <c r="AD9" s="18">
        <f>(('8'!AC9*'8'!$Q$10*1000000))/('8'!Y9*3600)</f>
        <v>0</v>
      </c>
      <c r="AE9" s="181">
        <v>3000</v>
      </c>
      <c r="AF9" s="182">
        <f>('8'!AE9/24)*0.454</f>
        <v>56.75</v>
      </c>
      <c r="AG9" s="19">
        <v>500</v>
      </c>
      <c r="AH9" s="182">
        <f>('8'!AG9/24)*0.454</f>
        <v>9.4583333333333339</v>
      </c>
      <c r="AI9" s="19">
        <v>3000</v>
      </c>
      <c r="AJ9" s="182">
        <f>('8'!AI9/24)*0.454</f>
        <v>56.75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0">
        <v>400</v>
      </c>
      <c r="C10" s="184">
        <v>5</v>
      </c>
      <c r="D10" s="184">
        <v>5</v>
      </c>
      <c r="E10" s="184">
        <v>2.5</v>
      </c>
      <c r="F10" s="184">
        <v>100</v>
      </c>
      <c r="G10" s="184">
        <v>2.7</v>
      </c>
      <c r="H10" s="184">
        <v>2.6</v>
      </c>
      <c r="I10" s="184">
        <v>0.89</v>
      </c>
      <c r="J10" s="184">
        <v>1.6</v>
      </c>
      <c r="K10" s="184">
        <v>7</v>
      </c>
      <c r="L10" s="184">
        <v>5</v>
      </c>
      <c r="M10" s="184">
        <v>5</v>
      </c>
      <c r="N10" s="184">
        <v>4.5</v>
      </c>
      <c r="O10" s="184">
        <v>3.6</v>
      </c>
      <c r="P10" s="184">
        <v>1.5</v>
      </c>
      <c r="Q10" s="186">
        <v>2</v>
      </c>
      <c r="R10" s="36">
        <f>'8'!Z11</f>
        <v>1752</v>
      </c>
      <c r="S10" s="35">
        <f>'8'!AB11</f>
        <v>107.37668657376688</v>
      </c>
      <c r="T10" s="36">
        <f>'8'!Y11</f>
        <v>3014</v>
      </c>
      <c r="U10" s="32" t="str">
        <f>IF('8'!AA11=1,'8'!AR6,'8'!AR7)</f>
        <v>S.A.L</v>
      </c>
      <c r="V10" s="1016"/>
      <c r="W10" s="1016"/>
      <c r="X10" s="13">
        <v>0.20833333333333301</v>
      </c>
      <c r="Y10" s="181">
        <v>3029</v>
      </c>
      <c r="Z10" s="181">
        <v>1752</v>
      </c>
      <c r="AA10" s="254">
        <v>1</v>
      </c>
      <c r="AB10" s="56">
        <f>IF('8'!AA10=1,(('8'!Z10*'8'!$AS$6*'8'!$AT$6)/('8'!Y10*0.0036)),IF('8'!AA10=2,(('8'!Z10*'8'!$AS$7*'8'!$AT$7)/('8'!Y10*0.0036))))</f>
        <v>106.84494332563004</v>
      </c>
      <c r="AC10" s="56"/>
      <c r="AD10" s="18">
        <f>(('8'!AC10*'8'!$Q$10*1000000))/('8'!Y10*3600)</f>
        <v>0</v>
      </c>
      <c r="AE10" s="181">
        <v>3000</v>
      </c>
      <c r="AF10" s="182">
        <f>('8'!AE10/24)*0.454</f>
        <v>56.75</v>
      </c>
      <c r="AG10" s="19">
        <v>500</v>
      </c>
      <c r="AH10" s="182">
        <f>('8'!AG10/24)*0.454</f>
        <v>9.4583333333333339</v>
      </c>
      <c r="AI10" s="19">
        <v>3000</v>
      </c>
      <c r="AJ10" s="182">
        <f>('8'!AI10/24)*0.454</f>
        <v>56.75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250</v>
      </c>
      <c r="C11" s="184">
        <v>7.5</v>
      </c>
      <c r="D11" s="184">
        <v>7.5</v>
      </c>
      <c r="E11" s="184">
        <v>2.5</v>
      </c>
      <c r="F11" s="184">
        <v>94</v>
      </c>
      <c r="G11" s="184">
        <v>2.8</v>
      </c>
      <c r="H11" s="184">
        <v>2.1</v>
      </c>
      <c r="I11" s="184">
        <v>0.77</v>
      </c>
      <c r="J11" s="184">
        <v>1.7</v>
      </c>
      <c r="K11" s="184">
        <v>7.3</v>
      </c>
      <c r="L11" s="184">
        <v>5.8</v>
      </c>
      <c r="M11" s="184">
        <v>5.8</v>
      </c>
      <c r="N11" s="184">
        <v>6</v>
      </c>
      <c r="O11" s="184">
        <v>3.8</v>
      </c>
      <c r="P11" s="184">
        <v>0.6</v>
      </c>
      <c r="Q11" s="186">
        <v>1.7</v>
      </c>
      <c r="R11" s="36">
        <f>'8'!Z13</f>
        <v>1752</v>
      </c>
      <c r="S11" s="35">
        <f>'8'!AB13</f>
        <v>108.89412292507853</v>
      </c>
      <c r="T11" s="36">
        <f>'8'!Y13</f>
        <v>2972</v>
      </c>
      <c r="U11" s="32" t="str">
        <f>IF('8'!AA13=1,'8'!AR6,'8'!AR7)</f>
        <v>S.A.L</v>
      </c>
      <c r="V11" s="1016"/>
      <c r="W11" s="1016"/>
      <c r="X11" s="13">
        <v>0.25</v>
      </c>
      <c r="Y11" s="181">
        <v>3014</v>
      </c>
      <c r="Z11" s="181">
        <v>1752</v>
      </c>
      <c r="AA11" s="254">
        <v>1</v>
      </c>
      <c r="AB11" s="56">
        <f>IF('8'!AA11=1,(('8'!Z11*'8'!$AS$6*'8'!$AT$6)/('8'!Y11*0.0036)),IF('8'!AA11=2,(('8'!Z11*'8'!$AS$7*'8'!$AT$7)/('8'!Y11*0.0036))))</f>
        <v>107.37668657376688</v>
      </c>
      <c r="AC11" s="56"/>
      <c r="AD11" s="18">
        <f>(('8'!AC11*'8'!$Q$10*1000000))/('8'!Y11*3600)</f>
        <v>0</v>
      </c>
      <c r="AE11" s="181">
        <v>3000</v>
      </c>
      <c r="AF11" s="182">
        <f>('8'!AE11/24)*0.454</f>
        <v>56.75</v>
      </c>
      <c r="AG11" s="19">
        <v>500</v>
      </c>
      <c r="AH11" s="182">
        <f>('8'!AG11/24)*0.454</f>
        <v>9.4583333333333339</v>
      </c>
      <c r="AI11" s="19">
        <v>3000</v>
      </c>
      <c r="AJ11" s="182">
        <f>('8'!AI11/24)*0.454</f>
        <v>56.75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250</v>
      </c>
      <c r="C12" s="184">
        <v>7.5</v>
      </c>
      <c r="D12" s="184">
        <v>7.5</v>
      </c>
      <c r="E12" s="184">
        <v>2.5</v>
      </c>
      <c r="F12" s="184">
        <v>95</v>
      </c>
      <c r="G12" s="184">
        <v>2.8</v>
      </c>
      <c r="H12" s="184">
        <v>2.2000000000000002</v>
      </c>
      <c r="I12" s="184">
        <v>0.78</v>
      </c>
      <c r="J12" s="184">
        <v>1.7</v>
      </c>
      <c r="K12" s="184">
        <v>7.3</v>
      </c>
      <c r="L12" s="184">
        <v>5.8</v>
      </c>
      <c r="M12" s="184">
        <v>5.8</v>
      </c>
      <c r="N12" s="184">
        <v>6</v>
      </c>
      <c r="O12" s="184">
        <v>3.8</v>
      </c>
      <c r="P12" s="184">
        <v>0.6</v>
      </c>
      <c r="Q12" s="186">
        <v>1.7</v>
      </c>
      <c r="R12" s="36">
        <f>'8'!Z15</f>
        <v>1752</v>
      </c>
      <c r="S12" s="35">
        <f>'8'!AB15</f>
        <v>105.41802388707929</v>
      </c>
      <c r="T12" s="36">
        <f>'8'!Y15</f>
        <v>3070</v>
      </c>
      <c r="U12" s="32" t="str">
        <f>IF('8'!AA15=1,'8'!AR6,'8'!AR7)</f>
        <v>S.A.L</v>
      </c>
      <c r="V12" s="938">
        <f>ESCALA!$B$10</f>
        <v>0</v>
      </c>
      <c r="W12" s="938"/>
      <c r="X12" s="13">
        <v>0.29166666666666702</v>
      </c>
      <c r="Y12" s="181">
        <v>3091</v>
      </c>
      <c r="Z12" s="181">
        <v>1752</v>
      </c>
      <c r="AA12" s="254">
        <v>1</v>
      </c>
      <c r="AB12" s="56">
        <f>IF('8'!AA12=1,(('8'!Z12*'8'!$AS$6*'8'!$AT$6)/('8'!Y12*0.0036)),IF('8'!AA12=2,(('8'!Z12*'8'!$AS$7*'8'!$AT$7)/('8'!Y12*0.0036))))</f>
        <v>104.70182249541682</v>
      </c>
      <c r="AC12" s="56"/>
      <c r="AD12" s="18">
        <f>(('8'!AC12*'8'!$Q$10*1000000))/('8'!Y12*3600)</f>
        <v>0</v>
      </c>
      <c r="AE12" s="181">
        <v>3500</v>
      </c>
      <c r="AF12" s="182">
        <f>('8'!AE12/24)*0.454</f>
        <v>66.208333333333343</v>
      </c>
      <c r="AG12" s="19">
        <v>500</v>
      </c>
      <c r="AH12" s="182">
        <f>('8'!AG12/24)*0.454</f>
        <v>9.4583333333333339</v>
      </c>
      <c r="AI12" s="19">
        <v>3000</v>
      </c>
      <c r="AJ12" s="182">
        <f>('8'!AI12/24)*0.454</f>
        <v>56.75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250</v>
      </c>
      <c r="C13" s="184">
        <v>7.5</v>
      </c>
      <c r="D13" s="184">
        <v>7.5</v>
      </c>
      <c r="E13" s="184">
        <v>2.5</v>
      </c>
      <c r="F13" s="184">
        <v>95</v>
      </c>
      <c r="G13" s="184">
        <v>3.1</v>
      </c>
      <c r="H13" s="184">
        <v>2.2000000000000002</v>
      </c>
      <c r="I13" s="184">
        <v>0.85</v>
      </c>
      <c r="J13" s="184">
        <v>1.5</v>
      </c>
      <c r="K13" s="184">
        <v>7.3</v>
      </c>
      <c r="L13" s="184">
        <v>5.8</v>
      </c>
      <c r="M13" s="184">
        <v>5.8</v>
      </c>
      <c r="N13" s="184">
        <v>6</v>
      </c>
      <c r="O13" s="184">
        <v>3.8</v>
      </c>
      <c r="P13" s="184">
        <v>0.5</v>
      </c>
      <c r="Q13" s="186">
        <v>1.7</v>
      </c>
      <c r="R13" s="36">
        <f>'8'!Z17</f>
        <v>1752</v>
      </c>
      <c r="S13" s="35">
        <f>'8'!AB17</f>
        <v>104.73570658036678</v>
      </c>
      <c r="T13" s="36">
        <f>'8'!Y17</f>
        <v>3090</v>
      </c>
      <c r="U13" s="32" t="str">
        <f>IF('8'!AA17=1,'8'!AR6,'8'!AR7)</f>
        <v>S.A.L</v>
      </c>
      <c r="V13" s="938"/>
      <c r="W13" s="938"/>
      <c r="X13" s="13">
        <v>0.33333333333333298</v>
      </c>
      <c r="Y13" s="181">
        <v>2972</v>
      </c>
      <c r="Z13" s="181">
        <v>1752</v>
      </c>
      <c r="AA13" s="254">
        <v>1</v>
      </c>
      <c r="AB13" s="56">
        <f>IF('8'!AA13=1,(('8'!Z13*'8'!$AS$6*'8'!$AT$6)/('8'!Y13*0.0036)),IF('8'!AA13=2,(('8'!Z13*'8'!$AS$7*'8'!$AT$7)/('8'!Y13*0.0036))))</f>
        <v>108.89412292507853</v>
      </c>
      <c r="AC13" s="56"/>
      <c r="AD13" s="18">
        <f>(('8'!AC13*'8'!$Q$10*1000000))/('8'!Y13*3600)</f>
        <v>0</v>
      </c>
      <c r="AE13" s="181">
        <v>3500</v>
      </c>
      <c r="AF13" s="182">
        <f>('8'!AE13/24)*0.454</f>
        <v>66.208333333333343</v>
      </c>
      <c r="AG13" s="19">
        <v>500</v>
      </c>
      <c r="AH13" s="182">
        <f>('8'!AG13/24)*0.454</f>
        <v>9.4583333333333339</v>
      </c>
      <c r="AI13" s="19">
        <v>3000</v>
      </c>
      <c r="AJ13" s="182">
        <f>('8'!AI13/24)*0.454</f>
        <v>56.75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250</v>
      </c>
      <c r="C14" s="184">
        <v>7.5</v>
      </c>
      <c r="D14" s="184">
        <v>7.5</v>
      </c>
      <c r="E14" s="184">
        <v>2.5</v>
      </c>
      <c r="F14" s="184">
        <v>95</v>
      </c>
      <c r="G14" s="184">
        <v>3.4</v>
      </c>
      <c r="H14" s="184">
        <v>2.2000000000000002</v>
      </c>
      <c r="I14" s="184">
        <v>0.89</v>
      </c>
      <c r="J14" s="184">
        <v>1.4</v>
      </c>
      <c r="K14" s="184">
        <v>7.3</v>
      </c>
      <c r="L14" s="184">
        <v>5.8</v>
      </c>
      <c r="M14" s="184">
        <v>5.8</v>
      </c>
      <c r="N14" s="184">
        <v>6</v>
      </c>
      <c r="O14" s="184">
        <v>3.8</v>
      </c>
      <c r="P14" s="184">
        <v>0.3</v>
      </c>
      <c r="Q14" s="186">
        <v>1.7</v>
      </c>
      <c r="R14" s="36">
        <f>'8'!Z19</f>
        <v>1752</v>
      </c>
      <c r="S14" s="35">
        <f>'8'!AB19</f>
        <v>107.26991492652746</v>
      </c>
      <c r="T14" s="36">
        <f>'8'!Y19</f>
        <v>3017</v>
      </c>
      <c r="U14" s="32" t="str">
        <f>IF('8'!AA19=1,'8'!AR6,'8'!AR7)</f>
        <v>S.A.L</v>
      </c>
      <c r="V14" s="938"/>
      <c r="W14" s="938"/>
      <c r="X14" s="13">
        <v>0.375</v>
      </c>
      <c r="Y14" s="181">
        <v>3043</v>
      </c>
      <c r="Z14" s="181">
        <v>1752</v>
      </c>
      <c r="AA14" s="254">
        <v>1</v>
      </c>
      <c r="AB14" s="56">
        <f>IF('8'!AA14=1,(('8'!Z14*'8'!$AS$6*'8'!$AT$6)/('8'!Y14*0.0036)),IF('8'!AA14=2,(('8'!Z14*'8'!$AS$7*'8'!$AT$7)/('8'!Y14*0.0036))))</f>
        <v>106.35337934056305</v>
      </c>
      <c r="AC14" s="56"/>
      <c r="AD14" s="18">
        <f>(('8'!AC14*'8'!$Q$10*1000000))/('8'!Y14*3600)</f>
        <v>0</v>
      </c>
      <c r="AE14" s="181">
        <v>3500</v>
      </c>
      <c r="AF14" s="182">
        <f>('8'!AE14/24)*0.454</f>
        <v>66.208333333333343</v>
      </c>
      <c r="AG14" s="19">
        <v>500</v>
      </c>
      <c r="AH14" s="182">
        <f>('8'!AG14/24)*0.454</f>
        <v>9.4583333333333339</v>
      </c>
      <c r="AI14" s="19">
        <v>3000</v>
      </c>
      <c r="AJ14" s="182">
        <f>('8'!AI14/24)*0.454</f>
        <v>56.75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250</v>
      </c>
      <c r="C15" s="184">
        <v>7.5</v>
      </c>
      <c r="D15" s="184">
        <v>7.5</v>
      </c>
      <c r="E15" s="184">
        <v>2.5</v>
      </c>
      <c r="F15" s="184">
        <v>94</v>
      </c>
      <c r="G15" s="184">
        <v>3</v>
      </c>
      <c r="H15" s="184">
        <v>1.9</v>
      </c>
      <c r="I15" s="184">
        <v>0.85</v>
      </c>
      <c r="J15" s="184">
        <v>2</v>
      </c>
      <c r="K15" s="184">
        <v>7.3</v>
      </c>
      <c r="L15" s="184">
        <v>5.8</v>
      </c>
      <c r="M15" s="184">
        <v>5.8</v>
      </c>
      <c r="N15" s="184">
        <v>6</v>
      </c>
      <c r="O15" s="184">
        <v>3.6</v>
      </c>
      <c r="P15" s="184">
        <v>0.5</v>
      </c>
      <c r="Q15" s="186">
        <v>0.8</v>
      </c>
      <c r="R15" s="36">
        <f>'8'!Z21</f>
        <v>1752</v>
      </c>
      <c r="S15" s="35">
        <f>'8'!AB21</f>
        <v>110.37971805366078</v>
      </c>
      <c r="T15" s="36">
        <f>'8'!Y21</f>
        <v>2932</v>
      </c>
      <c r="U15" s="32" t="str">
        <f>IF('8'!AA21=1,'8'!AR6,'8'!AR7)</f>
        <v>S.A.L</v>
      </c>
      <c r="V15" s="938"/>
      <c r="W15" s="938"/>
      <c r="X15" s="13">
        <v>0.41666666666666702</v>
      </c>
      <c r="Y15" s="181">
        <v>3070</v>
      </c>
      <c r="Z15" s="181">
        <v>1752</v>
      </c>
      <c r="AA15" s="254">
        <v>1</v>
      </c>
      <c r="AB15" s="56">
        <f>IF('8'!AA15=1,(('8'!Z15*'8'!$AS$6*'8'!$AT$6)/('8'!Y15*0.0036)),IF('8'!AA15=2,(('8'!Z15*'8'!$AS$7*'8'!$AT$7)/('8'!Y15*0.0036))))</f>
        <v>105.41802388707929</v>
      </c>
      <c r="AC15" s="56"/>
      <c r="AD15" s="18">
        <f>(('8'!AC15*'8'!$Q$10*1000000))/('8'!Y15*3600)</f>
        <v>0</v>
      </c>
      <c r="AE15" s="181">
        <v>3500</v>
      </c>
      <c r="AF15" s="182">
        <f>('8'!AE15/24)*0.454</f>
        <v>66.208333333333343</v>
      </c>
      <c r="AG15" s="19">
        <v>500</v>
      </c>
      <c r="AH15" s="182">
        <f>('8'!AG15/24)*0.454</f>
        <v>9.4583333333333339</v>
      </c>
      <c r="AI15" s="19">
        <v>3000</v>
      </c>
      <c r="AJ15" s="182">
        <f>('8'!AI15/24)*0.454</f>
        <v>56.75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250</v>
      </c>
      <c r="C16" s="184">
        <v>7.5</v>
      </c>
      <c r="D16" s="184">
        <v>7.5</v>
      </c>
      <c r="E16" s="184">
        <v>2.5</v>
      </c>
      <c r="F16" s="184">
        <v>97</v>
      </c>
      <c r="G16" s="184">
        <v>2.8</v>
      </c>
      <c r="H16" s="184">
        <v>2</v>
      </c>
      <c r="I16" s="184">
        <v>0.82</v>
      </c>
      <c r="J16" s="184">
        <v>1.7</v>
      </c>
      <c r="K16" s="184">
        <v>7.3</v>
      </c>
      <c r="L16" s="184">
        <v>5.8</v>
      </c>
      <c r="M16" s="184">
        <v>5.8</v>
      </c>
      <c r="N16" s="184">
        <v>6</v>
      </c>
      <c r="O16" s="184">
        <v>3.6</v>
      </c>
      <c r="P16" s="184">
        <v>0.5</v>
      </c>
      <c r="Q16" s="186">
        <v>1.2</v>
      </c>
      <c r="R16" s="36">
        <f>'8'!Z23</f>
        <v>1752</v>
      </c>
      <c r="S16" s="35">
        <f>'8'!AB23</f>
        <v>106.07451108926037</v>
      </c>
      <c r="T16" s="36">
        <f>'8'!Y23</f>
        <v>3051</v>
      </c>
      <c r="U16" s="32" t="str">
        <f>IF('8'!AA23=1,'8'!AR6,'8'!AR7)</f>
        <v>S.A.L</v>
      </c>
      <c r="V16" s="938"/>
      <c r="W16" s="938"/>
      <c r="X16" s="13">
        <v>0.45833333333333298</v>
      </c>
      <c r="Y16" s="181">
        <v>2933</v>
      </c>
      <c r="Z16" s="181">
        <v>1752</v>
      </c>
      <c r="AA16" s="254">
        <v>1</v>
      </c>
      <c r="AB16" s="56">
        <f>IF('8'!AA16=1,(('8'!Z16*'8'!$AS$6*'8'!$AT$6)/('8'!Y16*0.0036)),IF('8'!AA16=2,(('8'!Z16*'8'!$AS$7*'8'!$AT$7)/('8'!Y16*0.0036))))</f>
        <v>110.34208432776454</v>
      </c>
      <c r="AC16" s="56"/>
      <c r="AD16" s="18">
        <f>(('8'!AC16*'8'!$Q$10*1000000))/('8'!Y16*3600)</f>
        <v>0</v>
      </c>
      <c r="AE16" s="181">
        <v>3500</v>
      </c>
      <c r="AF16" s="182">
        <f>('8'!AE16/24)*0.454</f>
        <v>66.208333333333343</v>
      </c>
      <c r="AG16" s="19">
        <v>500</v>
      </c>
      <c r="AH16" s="182">
        <f>('8'!AG16/24)*0.454</f>
        <v>9.4583333333333339</v>
      </c>
      <c r="AI16" s="19">
        <v>3000</v>
      </c>
      <c r="AJ16" s="182">
        <f>('8'!AI16/24)*0.454</f>
        <v>56.75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250</v>
      </c>
      <c r="C17" s="184">
        <v>7.5</v>
      </c>
      <c r="D17" s="184">
        <v>7.5</v>
      </c>
      <c r="E17" s="184">
        <v>2.5</v>
      </c>
      <c r="F17" s="184">
        <v>100</v>
      </c>
      <c r="G17" s="184">
        <v>2.6</v>
      </c>
      <c r="H17" s="184">
        <v>2.2000000000000002</v>
      </c>
      <c r="I17" s="184">
        <v>0.79</v>
      </c>
      <c r="J17" s="184">
        <v>1.4</v>
      </c>
      <c r="K17" s="184">
        <v>7.3</v>
      </c>
      <c r="L17" s="184">
        <v>5.8</v>
      </c>
      <c r="M17" s="184">
        <v>5.8</v>
      </c>
      <c r="N17" s="184">
        <v>6</v>
      </c>
      <c r="O17" s="184">
        <v>3.6</v>
      </c>
      <c r="P17" s="184">
        <v>0.5</v>
      </c>
      <c r="Q17" s="186">
        <v>1.6</v>
      </c>
      <c r="R17" s="36">
        <f>'8'!Z25</f>
        <v>1752</v>
      </c>
      <c r="S17" s="35">
        <f>'8'!AB25</f>
        <v>107.23437154848688</v>
      </c>
      <c r="T17" s="36">
        <f>'8'!Y25</f>
        <v>3018</v>
      </c>
      <c r="U17" s="32" t="str">
        <f>IF('8'!AA25=1,'8'!AR6,'8'!AR7)</f>
        <v>S.A.L</v>
      </c>
      <c r="V17" s="939">
        <f>ESCALA!$C$10</f>
        <v>0</v>
      </c>
      <c r="W17" s="939"/>
      <c r="X17" s="13">
        <v>0.5</v>
      </c>
      <c r="Y17" s="181">
        <v>3090</v>
      </c>
      <c r="Z17" s="181">
        <v>1752</v>
      </c>
      <c r="AA17" s="254">
        <v>1</v>
      </c>
      <c r="AB17" s="56">
        <f>IF('8'!AA17=1,(('8'!Z17*'8'!$AS$6*'8'!$AT$6)/('8'!Y17*0.0036)),IF('8'!AA17=2,(('8'!Z17*'8'!$AS$7*'8'!$AT$7)/('8'!Y17*0.0036))))</f>
        <v>104.73570658036678</v>
      </c>
      <c r="AC17" s="56"/>
      <c r="AD17" s="18">
        <f>(('8'!AC17*'8'!$Q$10*1000000))/('8'!Y17*3600)</f>
        <v>0</v>
      </c>
      <c r="AE17" s="181">
        <v>3500</v>
      </c>
      <c r="AF17" s="182">
        <f>('8'!AE17/24)*0.454</f>
        <v>66.208333333333343</v>
      </c>
      <c r="AG17" s="19">
        <v>500</v>
      </c>
      <c r="AH17" s="182">
        <f>('8'!AG17/24)*0.454</f>
        <v>9.4583333333333339</v>
      </c>
      <c r="AI17" s="19">
        <v>3000</v>
      </c>
      <c r="AJ17" s="182">
        <f>('8'!AI17/24)*0.454</f>
        <v>56.75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250</v>
      </c>
      <c r="C18" s="184">
        <v>7.5</v>
      </c>
      <c r="D18" s="184">
        <v>7.5</v>
      </c>
      <c r="E18" s="184">
        <v>2.5</v>
      </c>
      <c r="F18" s="184">
        <v>101</v>
      </c>
      <c r="G18" s="184">
        <v>2.8</v>
      </c>
      <c r="H18" s="184">
        <v>2.2000000000000002</v>
      </c>
      <c r="I18" s="184">
        <v>0.78</v>
      </c>
      <c r="J18" s="184">
        <v>1.3</v>
      </c>
      <c r="K18" s="184">
        <v>7.3</v>
      </c>
      <c r="L18" s="184">
        <v>5.8</v>
      </c>
      <c r="M18" s="184">
        <v>5.8</v>
      </c>
      <c r="N18" s="184">
        <v>6</v>
      </c>
      <c r="O18" s="184">
        <v>3.6</v>
      </c>
      <c r="P18" s="184">
        <v>0.5</v>
      </c>
      <c r="Q18" s="186">
        <v>1.5</v>
      </c>
      <c r="R18" s="36">
        <f>'8'!Z27</f>
        <v>1752</v>
      </c>
      <c r="S18" s="35">
        <f>'8'!AB27</f>
        <v>106.2137621704409</v>
      </c>
      <c r="T18" s="36">
        <f>'8'!Y27</f>
        <v>3047</v>
      </c>
      <c r="U18" s="32" t="str">
        <f>IF('8'!AA27=1,'8'!AR6,'8'!AR7)</f>
        <v>S.A.L</v>
      </c>
      <c r="V18" s="939"/>
      <c r="W18" s="939"/>
      <c r="X18" s="13">
        <v>0.54166666666666696</v>
      </c>
      <c r="Y18" s="181">
        <v>2992</v>
      </c>
      <c r="Z18" s="181">
        <v>1752</v>
      </c>
      <c r="AA18" s="254">
        <v>1</v>
      </c>
      <c r="AB18" s="56">
        <f>IF('8'!AA18=1,(('8'!Z18*'8'!$AS$6*'8'!$AT$6)/('8'!Y18*0.0036)),IF('8'!AA18=2,(('8'!Z18*'8'!$AS$7*'8'!$AT$7)/('8'!Y18*0.0036))))</f>
        <v>108.1662210338681</v>
      </c>
      <c r="AC18" s="56"/>
      <c r="AD18" s="18">
        <f>(('8'!AC18*'8'!$Q$10*1000000))/('8'!Y18*3600)</f>
        <v>0</v>
      </c>
      <c r="AE18" s="181">
        <v>3500</v>
      </c>
      <c r="AF18" s="182">
        <f>('8'!AE18/24)*0.454</f>
        <v>66.208333333333343</v>
      </c>
      <c r="AG18" s="19">
        <v>500</v>
      </c>
      <c r="AH18" s="182">
        <f>('8'!AG18/24)*0.454</f>
        <v>9.4583333333333339</v>
      </c>
      <c r="AI18" s="19">
        <v>3000</v>
      </c>
      <c r="AJ18" s="182">
        <f>('8'!AI18/24)*0.454</f>
        <v>56.75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300</v>
      </c>
      <c r="C19" s="67">
        <f t="array" ref="C19">IF('8'!C7:C18&gt;0.01,AVERAGE('8'!C7:C18),"")</f>
        <v>6.666666666666667</v>
      </c>
      <c r="D19" s="67">
        <f t="array" ref="D19">IF('8'!D7:D18&gt;0.01,AVERAGE('8'!D7:D18),"")</f>
        <v>6.666666666666667</v>
      </c>
      <c r="E19" s="67">
        <f t="array" ref="E19">IF('8'!E7:E18&gt;0.01,AVERAGE('8'!E7:E18),"")</f>
        <v>2.5</v>
      </c>
      <c r="F19" s="67">
        <f t="array" ref="F19">IF('8'!F7:F18&gt;0.01,AVERAGE('8'!F7:F18),"")</f>
        <v>98.583333333333329</v>
      </c>
      <c r="G19" s="67">
        <f t="array" ref="G19">IF('8'!G7:G18&gt;0.01,AVERAGE('8'!G7:G18),"")</f>
        <v>2.8000000000000003</v>
      </c>
      <c r="H19" s="67">
        <f t="array" ref="H19">IF('8'!H7:H18&gt;0.01,AVERAGE('8'!H7:H18),"")</f>
        <v>2.2499999999999996</v>
      </c>
      <c r="I19" s="67">
        <f t="array" ref="I19">IF('8'!I7:I18&gt;0.01,AVERAGE('8'!I7:I18),"")</f>
        <v>0.83416666666666661</v>
      </c>
      <c r="J19" s="67">
        <f t="array" ref="J19">IF('8'!J7:J18&gt;0.01,AVERAGE('8'!J7:J18),"")</f>
        <v>1.6083333333333332</v>
      </c>
      <c r="K19" s="67">
        <f t="array" ref="K19">IF('8'!K7:K18&gt;0.01,AVERAGE('8'!K7:K18),"")</f>
        <v>7.1999999999999984</v>
      </c>
      <c r="L19" s="67">
        <f t="array" ref="L19">IF('8'!L7:L18&gt;0.01,AVERAGE('8'!L7:L18),"")</f>
        <v>5.5333333333333323</v>
      </c>
      <c r="M19" s="67">
        <f t="array" ref="M19">IF('8'!M7:M18&gt;0.01,AVERAGE('8'!M7:M18),"")</f>
        <v>5.5333333333333323</v>
      </c>
      <c r="N19" s="67">
        <f t="array" ref="N19">IF('8'!N7:N18&gt;0.01,AVERAGE('8'!N7:N18),"")</f>
        <v>5.5</v>
      </c>
      <c r="O19" s="67">
        <f t="array" ref="O19">IF('8'!O7:O18&gt;0.01,AVERAGE('8'!O7:O18),"")</f>
        <v>3.6666666666666674</v>
      </c>
      <c r="P19" s="67">
        <f t="array" ref="P19">IF('8'!P7:P18&gt;0.01,AVERAGE('8'!P7:P18),"")</f>
        <v>0.81666666666666654</v>
      </c>
      <c r="Q19" s="67">
        <f t="array" ref="Q19">IF('8'!Q7:Q18&gt;0.01,AVERAGE('8'!Q7:Q18),"")</f>
        <v>1.575</v>
      </c>
      <c r="R19" s="67">
        <f t="array" ref="R19">IF('8'!R7:R18&gt;0.01,AVERAGE('8'!R7:R18),"")</f>
        <v>1752</v>
      </c>
      <c r="S19" s="189">
        <f>AVERAGE('8'!S7:S18)</f>
        <v>107.37401890952715</v>
      </c>
      <c r="T19" s="940"/>
      <c r="U19" s="940"/>
      <c r="V19" s="47"/>
      <c r="W19" s="48"/>
      <c r="X19" s="13">
        <v>0.58333333333333304</v>
      </c>
      <c r="Y19" s="181">
        <v>3017</v>
      </c>
      <c r="Z19" s="181">
        <v>1752</v>
      </c>
      <c r="AA19" s="254">
        <v>1</v>
      </c>
      <c r="AB19" s="56">
        <f>IF('8'!AA19=1,(('8'!Z19*'8'!$AS$6*'8'!$AT$6)/('8'!Y19*0.0036)),IF('8'!AA19=2,(('8'!Z19*'8'!$AS$7*'8'!$AT$7)/('8'!Y19*0.0036))))</f>
        <v>107.26991492652746</v>
      </c>
      <c r="AC19" s="56"/>
      <c r="AD19" s="18">
        <f>(('8'!AC19*'8'!$Q$10*1000000))/('8'!Y19*3600)</f>
        <v>0</v>
      </c>
      <c r="AE19" s="181">
        <v>3500</v>
      </c>
      <c r="AF19" s="182">
        <f>('8'!AE19/24)*0.454</f>
        <v>66.208333333333343</v>
      </c>
      <c r="AG19" s="19">
        <v>500</v>
      </c>
      <c r="AH19" s="182">
        <f>('8'!AG19/24)*0.454</f>
        <v>9.4583333333333339</v>
      </c>
      <c r="AI19" s="19">
        <v>3000</v>
      </c>
      <c r="AJ19" s="182">
        <f>('8'!AI19/24)*0.454</f>
        <v>56.75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400</v>
      </c>
      <c r="C20" s="67">
        <f>MAX('8'!C7:C18)</f>
        <v>7.5</v>
      </c>
      <c r="D20" s="67">
        <f>MAX('8'!D7:D18)</f>
        <v>7.5</v>
      </c>
      <c r="E20" s="67">
        <f>MAX('8'!E7:E18)</f>
        <v>2.5</v>
      </c>
      <c r="F20" s="67">
        <f>MAX('8'!F7:F18)</f>
        <v>106</v>
      </c>
      <c r="G20" s="67">
        <f>MAX('8'!G7:G18)</f>
        <v>3.4</v>
      </c>
      <c r="H20" s="67">
        <f>MAX('8'!H7:H18)</f>
        <v>2.6</v>
      </c>
      <c r="I20" s="67">
        <f>MAX('8'!I7:I18)</f>
        <v>0.89</v>
      </c>
      <c r="J20" s="67">
        <f>MAX('8'!J7:J18)</f>
        <v>2</v>
      </c>
      <c r="K20" s="67">
        <f>MAX('8'!K7:K18)</f>
        <v>7.3</v>
      </c>
      <c r="L20" s="67">
        <f>MAX('8'!L7:L18)</f>
        <v>5.8</v>
      </c>
      <c r="M20" s="67">
        <f>MAX('8'!M7:M18)</f>
        <v>5.8</v>
      </c>
      <c r="N20" s="67">
        <f>MAX('8'!N7:N18)</f>
        <v>6</v>
      </c>
      <c r="O20" s="68">
        <f>MAX('8'!O7:O18)</f>
        <v>3.8</v>
      </c>
      <c r="P20" s="68">
        <f>MAX('8'!P7:P18)</f>
        <v>1.5</v>
      </c>
      <c r="Q20" s="68">
        <f>MAX('8'!Q7:Q18)</f>
        <v>2</v>
      </c>
      <c r="R20" s="68">
        <f>MAX('8'!R7:R18)</f>
        <v>1752</v>
      </c>
      <c r="S20" s="68">
        <f>MAX('8'!S7:S18)</f>
        <v>114.68225844554691</v>
      </c>
      <c r="T20" s="940"/>
      <c r="U20" s="940"/>
      <c r="X20" s="13">
        <v>0.625</v>
      </c>
      <c r="Y20" s="181">
        <v>2913</v>
      </c>
      <c r="Z20" s="181">
        <v>1752</v>
      </c>
      <c r="AA20" s="254">
        <v>1</v>
      </c>
      <c r="AB20" s="56">
        <f>IF('8'!AA20=1,(('8'!Z20*'8'!$AS$6*'8'!$AT$6)/('8'!Y20*0.0036)),IF('8'!AA20=2,(('8'!Z20*'8'!$AS$7*'8'!$AT$7)/('8'!Y20*0.0036))))</f>
        <v>111.09966815425106</v>
      </c>
      <c r="AC20" s="56"/>
      <c r="AD20" s="18">
        <f>(('8'!AC20*'8'!$Q$10*1000000))/('8'!Y20*3600)</f>
        <v>0</v>
      </c>
      <c r="AE20" s="181">
        <v>3500</v>
      </c>
      <c r="AF20" s="182">
        <f>('8'!AE20/24)*0.454</f>
        <v>66.208333333333343</v>
      </c>
      <c r="AG20" s="19">
        <v>500</v>
      </c>
      <c r="AH20" s="182">
        <f>('8'!AG20/24)*0.454</f>
        <v>9.4583333333333339</v>
      </c>
      <c r="AI20" s="19">
        <v>3000</v>
      </c>
      <c r="AJ20" s="182">
        <f>('8'!AI20/24)*0.454</f>
        <v>56.75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250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94</v>
      </c>
      <c r="G21" s="190">
        <f>MIN('8'!G7:G18)</f>
        <v>2.5</v>
      </c>
      <c r="H21" s="190">
        <f>MIN('8'!H7:H18)</f>
        <v>1.9</v>
      </c>
      <c r="I21" s="190">
        <f>MIN('8'!I7:I18)</f>
        <v>0.77</v>
      </c>
      <c r="J21" s="190">
        <f>MIN('8'!J7:J18)</f>
        <v>1.3</v>
      </c>
      <c r="K21" s="190">
        <f>MIN('8'!K7:K18)</f>
        <v>7</v>
      </c>
      <c r="L21" s="190">
        <f>MIN('8'!L7:L18)</f>
        <v>5</v>
      </c>
      <c r="M21" s="190">
        <f>MIN('8'!M7:M18)</f>
        <v>5</v>
      </c>
      <c r="N21" s="190">
        <f>MIN('8'!N7:N18)</f>
        <v>4.5</v>
      </c>
      <c r="O21" s="191">
        <f>MIN('8'!O7:O18)</f>
        <v>3.6</v>
      </c>
      <c r="P21" s="191">
        <f>MIN('8'!P7:P18)</f>
        <v>0.3</v>
      </c>
      <c r="Q21" s="191">
        <f>MIN('8'!Q7:Q18)</f>
        <v>0.8</v>
      </c>
      <c r="R21" s="191">
        <f>MIN('8'!R7:R18)</f>
        <v>1752</v>
      </c>
      <c r="S21" s="191">
        <f>MIN('8'!S7:S18)</f>
        <v>103.36420738848081</v>
      </c>
      <c r="T21" s="940"/>
      <c r="U21" s="940"/>
      <c r="X21" s="13">
        <v>0.66666666666666696</v>
      </c>
      <c r="Y21" s="181">
        <v>2932</v>
      </c>
      <c r="Z21" s="181">
        <v>1752</v>
      </c>
      <c r="AA21" s="254">
        <v>1</v>
      </c>
      <c r="AB21" s="56">
        <f>IF('8'!AA21=1,(('8'!Z21*'8'!$AS$6*'8'!$AT$6)/('8'!Y21*0.0036)),IF('8'!AA21=2,(('8'!Z21*'8'!$AS$7*'8'!$AT$7)/('8'!Y21*0.0036))))</f>
        <v>110.37971805366078</v>
      </c>
      <c r="AC21" s="56"/>
      <c r="AD21" s="18">
        <f>(('8'!AC21*'8'!$Q$10*1000000))/('8'!Y21*3600)</f>
        <v>0</v>
      </c>
      <c r="AE21" s="181">
        <v>3500</v>
      </c>
      <c r="AF21" s="182">
        <f>('8'!AE21/24)*0.454</f>
        <v>66.208333333333343</v>
      </c>
      <c r="AG21" s="19">
        <v>500</v>
      </c>
      <c r="AH21" s="182">
        <f>('8'!AG21/24)*0.454</f>
        <v>9.4583333333333339</v>
      </c>
      <c r="AI21" s="19">
        <v>3000</v>
      </c>
      <c r="AJ21" s="182">
        <f>('8'!AI21/24)*0.454</f>
        <v>56.75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81">
        <v>2943</v>
      </c>
      <c r="Z22" s="181">
        <v>1752</v>
      </c>
      <c r="AA22" s="254">
        <v>1</v>
      </c>
      <c r="AB22" s="56">
        <f>IF('8'!AA22=1,(('8'!Z22*'8'!$AS$6*'8'!$AT$6)/('8'!Y22*0.0036)),IF('8'!AA22=2,(('8'!Z22*'8'!$AS$7*'8'!$AT$7)/('8'!Y22*0.0036))))</f>
        <v>109.96715369804058</v>
      </c>
      <c r="AC22" s="56"/>
      <c r="AD22" s="18">
        <f>(('8'!AC22*'8'!$Q$10*1000000))/('8'!Y22*3600)</f>
        <v>0</v>
      </c>
      <c r="AE22" s="181">
        <v>3500</v>
      </c>
      <c r="AF22" s="182">
        <f>('8'!AE22/24)*0.454</f>
        <v>66.208333333333343</v>
      </c>
      <c r="AG22" s="19">
        <v>500</v>
      </c>
      <c r="AH22" s="182">
        <f>('8'!AG22/24)*0.454</f>
        <v>9.4583333333333339</v>
      </c>
      <c r="AI22" s="19">
        <v>3000</v>
      </c>
      <c r="AJ22" s="182">
        <f>('8'!AI22/24)*0.454</f>
        <v>56.75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81">
        <v>3051</v>
      </c>
      <c r="Z23" s="181">
        <v>1752</v>
      </c>
      <c r="AA23" s="254">
        <v>1</v>
      </c>
      <c r="AB23" s="56">
        <f>IF('8'!AA23=1,(('8'!Z23*'8'!$AS$6*'8'!$AT$6)/('8'!Y23*0.0036)),IF('8'!AA23=2,(('8'!Z23*'8'!$AS$7*'8'!$AT$7)/('8'!Y23*0.0036))))</f>
        <v>106.07451108926037</v>
      </c>
      <c r="AC23" s="56"/>
      <c r="AD23" s="18">
        <f>(('8'!AC23*'8'!$Q$10*1000000))/('8'!Y23*3600)</f>
        <v>0</v>
      </c>
      <c r="AE23" s="181">
        <v>3500</v>
      </c>
      <c r="AF23" s="182">
        <f>('8'!AE23/24)*0.454</f>
        <v>66.208333333333343</v>
      </c>
      <c r="AG23" s="19">
        <v>500</v>
      </c>
      <c r="AH23" s="182">
        <f>('8'!AG23/24)*0.454</f>
        <v>9.4583333333333339</v>
      </c>
      <c r="AI23" s="19">
        <v>3000</v>
      </c>
      <c r="AJ23" s="182">
        <f>('8'!AI23/24)*0.454</f>
        <v>56.75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81">
        <v>3121</v>
      </c>
      <c r="Z24" s="181">
        <v>1752</v>
      </c>
      <c r="AA24" s="254">
        <v>1</v>
      </c>
      <c r="AB24" s="16">
        <f>IF('8'!AA24=1,(('8'!Z24*'8'!$AS$6*'8'!$AT$6)/('8'!Y24*0.0036)),IF('8'!AA24=2,(('8'!Z24*'8'!$AS$7*'8'!$AT$7)/('8'!Y24*0.0036))))</f>
        <v>103.6953967745381</v>
      </c>
      <c r="AC24" s="56"/>
      <c r="AD24" s="18">
        <f>(('8'!AC24*'8'!$Q$10*1000000))/('8'!Y24*3600)</f>
        <v>0</v>
      </c>
      <c r="AE24" s="181">
        <v>3500</v>
      </c>
      <c r="AF24" s="193">
        <f>('8'!AE24/24)*0.454</f>
        <v>66.208333333333343</v>
      </c>
      <c r="AG24" s="19">
        <v>500</v>
      </c>
      <c r="AH24" s="193">
        <f>('8'!AG24/24)*0.454</f>
        <v>9.4583333333333339</v>
      </c>
      <c r="AI24" s="19">
        <v>3000</v>
      </c>
      <c r="AJ24" s="193">
        <f>('8'!AI24/24)*0.454</f>
        <v>56.75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>
        <v>2.2000000000000002</v>
      </c>
      <c r="D25" s="196">
        <v>0.87</v>
      </c>
      <c r="E25" s="197">
        <v>2.1</v>
      </c>
      <c r="F25" s="197">
        <v>3</v>
      </c>
      <c r="G25" s="197"/>
      <c r="H25" s="197">
        <v>1</v>
      </c>
      <c r="I25" s="197">
        <v>0.63</v>
      </c>
      <c r="J25" s="197"/>
      <c r="K25" s="197">
        <v>1</v>
      </c>
      <c r="L25" s="197">
        <v>0.73</v>
      </c>
      <c r="M25" s="197">
        <v>4.9000000000000004</v>
      </c>
      <c r="N25" s="197"/>
      <c r="O25" s="197">
        <v>1.9</v>
      </c>
      <c r="P25" s="197"/>
      <c r="Q25" s="197"/>
      <c r="R25" s="63" t="e">
        <f>#DIV/0!</f>
        <v>#DIV/0!</v>
      </c>
      <c r="S25" s="64"/>
      <c r="T25" s="1017" t="s">
        <v>0</v>
      </c>
      <c r="U25" s="1043">
        <f>ESCALA!$A$10</f>
        <v>44324</v>
      </c>
      <c r="X25" s="13">
        <v>0.83333333333333304</v>
      </c>
      <c r="Y25" s="181">
        <v>3018</v>
      </c>
      <c r="Z25" s="181">
        <v>1752</v>
      </c>
      <c r="AA25" s="254">
        <v>1</v>
      </c>
      <c r="AB25" s="56">
        <f>IF('8'!AA25=1,(('8'!Z25*'8'!$AS$6*'8'!$AT$6)/('8'!Y25*0.0036)),IF('8'!AA25=2,(('8'!Z25*'8'!$AS$7*'8'!$AT$7)/('8'!Y25*0.0036))))</f>
        <v>107.23437154848688</v>
      </c>
      <c r="AC25" s="56"/>
      <c r="AD25" s="18">
        <f>(('8'!AC25*'8'!$Q$10*1000000))/('8'!Y25*3600)</f>
        <v>0</v>
      </c>
      <c r="AE25" s="181">
        <v>3500</v>
      </c>
      <c r="AF25" s="182">
        <f>('8'!AE25/24)*0.454</f>
        <v>66.208333333333343</v>
      </c>
      <c r="AG25" s="19">
        <v>500</v>
      </c>
      <c r="AH25" s="182">
        <f>('8'!AG25/24)*0.454</f>
        <v>9.4583333333333339</v>
      </c>
      <c r="AI25" s="19">
        <v>3000</v>
      </c>
      <c r="AJ25" s="182">
        <f>('8'!AI25/24)*0.454</f>
        <v>56.75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17"/>
      <c r="U26" s="1043"/>
      <c r="X26" s="13">
        <v>0.875</v>
      </c>
      <c r="Y26" s="181">
        <v>3062</v>
      </c>
      <c r="Z26" s="181">
        <v>1752</v>
      </c>
      <c r="AA26" s="254">
        <v>1</v>
      </c>
      <c r="AB26" s="56">
        <f>IF('8'!AA26=1,(('8'!Z26*'8'!$AS$6*'8'!$AT$6)/('8'!Y26*0.0036)),IF('8'!AA26=2,(('8'!Z26*'8'!$AS$7*'8'!$AT$7)/('8'!Y26*0.0036))))</f>
        <v>105.69344654909648</v>
      </c>
      <c r="AC26" s="56"/>
      <c r="AD26" s="18">
        <f>(('8'!AC26*'8'!$Q$10*1000000))/('8'!Y26*3600)</f>
        <v>0</v>
      </c>
      <c r="AE26" s="181">
        <v>3500</v>
      </c>
      <c r="AF26" s="182">
        <f>('8'!AE26/24)*0.454</f>
        <v>66.208333333333343</v>
      </c>
      <c r="AG26" s="19">
        <v>500</v>
      </c>
      <c r="AH26" s="182">
        <f>('8'!AG26/24)*0.454</f>
        <v>9.4583333333333339</v>
      </c>
      <c r="AI26" s="19">
        <v>3000</v>
      </c>
      <c r="AJ26" s="182">
        <f>('8'!AI26/24)*0.454</f>
        <v>56.75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81">
        <v>3047</v>
      </c>
      <c r="Z27" s="181">
        <v>1752</v>
      </c>
      <c r="AA27" s="254">
        <v>1</v>
      </c>
      <c r="AB27" s="56">
        <f>IF('8'!AA27=1,(('8'!Z27*'8'!$AS$6*'8'!$AT$6)/('8'!Y27*0.0036)),IF('8'!AA27=2,(('8'!Z27*'8'!$AS$7*'8'!$AT$7)/('8'!Y27*0.0036))))</f>
        <v>106.2137621704409</v>
      </c>
      <c r="AC27" s="56"/>
      <c r="AD27" s="18">
        <f>(('8'!AC27*'8'!$Q$10*1000000))/('8'!Y27*3600)</f>
        <v>0</v>
      </c>
      <c r="AE27" s="181">
        <v>3500</v>
      </c>
      <c r="AF27" s="182">
        <f>('8'!AE27/24)*0.454</f>
        <v>66.208333333333343</v>
      </c>
      <c r="AG27" s="19">
        <v>500</v>
      </c>
      <c r="AH27" s="182">
        <f>('8'!AG27/24)*0.454</f>
        <v>9.4583333333333339</v>
      </c>
      <c r="AI27" s="19">
        <v>3000</v>
      </c>
      <c r="AJ27" s="182">
        <f>('8'!AI27/24)*0.454</f>
        <v>56.75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81">
        <v>3012</v>
      </c>
      <c r="Z28" s="181">
        <v>1752</v>
      </c>
      <c r="AA28" s="254">
        <v>1</v>
      </c>
      <c r="AB28" s="56">
        <f>IF('8'!AA28=1,(('8'!Z28*'8'!$AS$6*'8'!$AT$6)/('8'!Y28*0.0036)),IF('8'!AA28=2,(('8'!Z28*'8'!$AS$7*'8'!$AT$7)/('8'!Y28*0.0036))))</f>
        <v>107.44798583444003</v>
      </c>
      <c r="AC28" s="56"/>
      <c r="AD28" s="18">
        <f>(('8'!AC28*'8'!$Q$10*1000000))/('8'!Y28*3600)</f>
        <v>0</v>
      </c>
      <c r="AE28" s="181">
        <v>3500</v>
      </c>
      <c r="AF28" s="182">
        <f>('8'!AE28/24)*0.454</f>
        <v>66.208333333333343</v>
      </c>
      <c r="AG28" s="19">
        <v>500</v>
      </c>
      <c r="AH28" s="182">
        <f>('8'!AG28/24)*0.454</f>
        <v>9.4583333333333339</v>
      </c>
      <c r="AI28" s="19">
        <v>3000</v>
      </c>
      <c r="AJ28" s="182">
        <f>('8'!AI28/24)*0.454</f>
        <v>56.75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81">
        <v>2974</v>
      </c>
      <c r="Z29" s="181">
        <v>1752</v>
      </c>
      <c r="AA29" s="254">
        <v>1</v>
      </c>
      <c r="AB29" s="56">
        <f>IF('8'!AA29=1,(('8'!Z29*'8'!$AS$6*'8'!$AT$6)/('8'!Y29*0.0036)),IF('8'!AA29=2,(('8'!Z29*'8'!$AS$7*'8'!$AT$7)/('8'!Y29*0.0036))))</f>
        <v>108.82089217664202</v>
      </c>
      <c r="AC29" s="56"/>
      <c r="AD29" s="18">
        <f>(('8'!AC29*'8'!$Q$10*1000000))/('8'!Y29*3600)</f>
        <v>0</v>
      </c>
      <c r="AE29" s="181">
        <v>3500</v>
      </c>
      <c r="AF29" s="182">
        <f>('8'!AE29/24)*0.454</f>
        <v>66.208333333333343</v>
      </c>
      <c r="AG29" s="19">
        <v>500</v>
      </c>
      <c r="AH29" s="182">
        <f>('8'!AG29/24)*0.454</f>
        <v>9.4583333333333339</v>
      </c>
      <c r="AI29" s="19">
        <v>3000</v>
      </c>
      <c r="AJ29" s="182">
        <f>('8'!AI29/24)*0.454</f>
        <v>56.75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SUM('8'!Y6:Y29)*3.6</f>
        <v>261126</v>
      </c>
      <c r="Z30" s="80">
        <f>SUM('8'!Z6:Z29)</f>
        <v>42048</v>
      </c>
      <c r="AA30" s="76"/>
      <c r="AB30" s="77"/>
      <c r="AC30" s="76"/>
      <c r="AD30" s="77"/>
      <c r="AE30" s="33"/>
      <c r="AF30" s="182">
        <f>SUM('8'!AF6:AF29)</f>
        <v>1532.2499999999998</v>
      </c>
      <c r="AG30" s="33"/>
      <c r="AH30" s="182">
        <f>SUM('8'!AH6:AH29)</f>
        <v>227.00000000000009</v>
      </c>
      <c r="AI30" s="33"/>
      <c r="AJ30" s="182">
        <f>SUM('8'!AJ6:AJ29)</f>
        <v>1362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SUMIF('8'!AA6:AA29,"=1",'8'!Z6:Z29)</f>
        <v>42048</v>
      </c>
      <c r="AA32" s="80">
        <f>'8'!Z32*'8'!AS6</f>
        <v>55923.840000000004</v>
      </c>
      <c r="AB32" s="81">
        <f>SUMIF('8'!$AA$6:$AA$29,"=1",'8'!$AB$6:$AB$29)/COUNTIF('8'!$AA$6:$AA$29,"=1")</f>
        <v>107.12568839101823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AVERAGE('8'!Y6:Y29)</f>
        <v>3022.2916666666665</v>
      </c>
      <c r="Z34" s="94">
        <f>AVERAGE('8'!Z6:Z29)</f>
        <v>1752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63.843749999999993</v>
      </c>
      <c r="AG34" s="98"/>
      <c r="AH34" s="96">
        <f>AVERAGE('8'!AH6:AH29)</f>
        <v>9.4583333333333375</v>
      </c>
      <c r="AI34" s="96"/>
      <c r="AJ34" s="96">
        <f>'8'!AJ30/24</f>
        <v>56.75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1048" t="s">
        <v>67</v>
      </c>
      <c r="AB35" s="1048"/>
      <c r="AC35" s="242"/>
      <c r="AD35" s="243"/>
      <c r="AE35" s="244"/>
      <c r="AF35" s="245"/>
      <c r="AG35" s="246"/>
      <c r="AH35" s="247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106" t="s">
        <v>74</v>
      </c>
      <c r="Y36" s="104">
        <v>0</v>
      </c>
      <c r="Z36" s="105"/>
      <c r="AA36" s="106" t="s">
        <v>74</v>
      </c>
      <c r="AB36" s="104">
        <v>5</v>
      </c>
      <c r="AC36" s="248"/>
      <c r="AD36" s="248"/>
      <c r="AE36" s="248"/>
      <c r="AF36" s="249"/>
      <c r="AG36" s="249"/>
      <c r="AH36" s="250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230">
        <v>0</v>
      </c>
      <c r="D37" s="230">
        <v>4</v>
      </c>
      <c r="E37" s="230">
        <v>4</v>
      </c>
      <c r="F37" s="184">
        <v>3.4</v>
      </c>
      <c r="G37" s="181">
        <v>0.4</v>
      </c>
      <c r="H37" s="181">
        <v>0.2</v>
      </c>
      <c r="I37" s="181">
        <v>0.3</v>
      </c>
      <c r="J37" s="181">
        <v>0.1</v>
      </c>
      <c r="K37" s="181">
        <v>0.06</v>
      </c>
      <c r="L37" s="1020"/>
      <c r="M37" s="1020"/>
      <c r="N37" s="1020"/>
      <c r="O37" s="10"/>
      <c r="P37" s="10"/>
      <c r="Q37" s="10"/>
      <c r="R37" s="10"/>
      <c r="S37" s="10"/>
      <c r="T37" s="10"/>
      <c r="U37" s="255">
        <f>'8'!V12</f>
        <v>0</v>
      </c>
      <c r="X37" s="1056" t="s">
        <v>75</v>
      </c>
      <c r="Y37" s="1056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51">
        <v>0</v>
      </c>
      <c r="D38" s="251"/>
      <c r="E38" s="252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1759.2499999999998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1362</v>
      </c>
      <c r="AQ38" s="208" t="s">
        <v>78</v>
      </c>
      <c r="AR38" s="210">
        <f>'8'!AP30</f>
        <v>0</v>
      </c>
    </row>
    <row r="39" spans="1:44" ht="23.8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6.7371690295106568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5.2158727970405092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SUM('8'!AK38,'8'!AM38)</f>
        <v>1759.2499999999998</v>
      </c>
      <c r="AM40" s="969"/>
      <c r="AO40" s="970" t="s">
        <v>90</v>
      </c>
      <c r="AP40" s="970"/>
      <c r="AQ40" s="971">
        <f>SUM('8'!AP38,'8'!AR38)</f>
        <v>1362</v>
      </c>
      <c r="AR40" s="971"/>
    </row>
    <row r="41" spans="1:44" ht="15.75" customHeight="1">
      <c r="A41" s="131">
        <f>COUNTA('8'!E7:E18)</f>
        <v>12</v>
      </c>
      <c r="B41" s="132">
        <f>COUNTA('8'!I7:I18)</f>
        <v>12</v>
      </c>
      <c r="C41" s="972">
        <f>COUNTA('8'!J7:J18)</f>
        <v>12</v>
      </c>
      <c r="D41" s="972">
        <f>COUNTA('8'!K7:K18)</f>
        <v>12</v>
      </c>
      <c r="E41" s="972">
        <f>COUNTIF('8'!E7:E18,"&gt;15")</f>
        <v>0</v>
      </c>
      <c r="F41" s="972"/>
      <c r="G41" s="972">
        <f>COUNTIF('8'!J7:J18,"&gt;1")</f>
        <v>12</v>
      </c>
      <c r="H41" s="972"/>
      <c r="I41" s="133"/>
      <c r="J41" s="972">
        <f>'8'!A41-'8'!E41</f>
        <v>12</v>
      </c>
      <c r="K41" s="972"/>
      <c r="L41" s="972">
        <f>'8'!C41-'8'!G41</f>
        <v>0</v>
      </c>
      <c r="M41" s="972"/>
      <c r="N41" s="133"/>
      <c r="O41" s="973">
        <f>COUNTIF('8'!J7:J18,"&lt;=0,5")</f>
        <v>0</v>
      </c>
      <c r="P41" s="973"/>
      <c r="Q41" s="973"/>
      <c r="R41" s="963"/>
      <c r="S41" s="974">
        <f>COUNTIF('8'!J7:J18,"&lt;=1,0")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SUM(('8'!AK38+'8'!AM38)/'8'!Y30)*1000</f>
        <v>6.7371690295106568</v>
      </c>
      <c r="AM41" s="975"/>
      <c r="AO41" s="970" t="s">
        <v>91</v>
      </c>
      <c r="AP41" s="970"/>
      <c r="AQ41" s="975">
        <f>SUM(('8'!AP38+'8'!AR38)/'8'!Y30)*1000</f>
        <v>5.2158727970405092</v>
      </c>
      <c r="AR41" s="975"/>
    </row>
    <row r="42" spans="1:44" ht="18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1057" t="s">
        <v>94</v>
      </c>
      <c r="I43" s="1057"/>
      <c r="J43" s="1057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21.6" customHeight="1">
      <c r="A44" s="135"/>
      <c r="B44" s="135"/>
      <c r="C44" s="135"/>
      <c r="H44" s="1057"/>
      <c r="I44" s="1057"/>
      <c r="J44" s="1057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34</v>
      </c>
      <c r="Z44" s="142" t="s">
        <v>101</v>
      </c>
      <c r="AA44" s="143">
        <v>0</v>
      </c>
      <c r="AB44" s="142" t="s">
        <v>101</v>
      </c>
      <c r="AC44" s="143">
        <v>160</v>
      </c>
      <c r="AD44" s="982"/>
      <c r="AE44" s="982"/>
      <c r="AF44" s="983" t="s">
        <v>102</v>
      </c>
      <c r="AG44" s="984">
        <f>SUM('8'!Y45,'8'!AA45,'8'!AC45,'8'!AE45)</f>
        <v>108792.2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COUNTIF('8'!I7:I18,"&lt;=5,0")</f>
        <v>12</v>
      </c>
      <c r="I45" s="986"/>
      <c r="J45" s="986"/>
      <c r="K45" s="133"/>
      <c r="L45" s="968">
        <f>COUNTA('8'!L37)</f>
        <v>0</v>
      </c>
      <c r="M45" s="968"/>
      <c r="O45" s="144"/>
      <c r="P45" s="145"/>
      <c r="Q45" s="987">
        <f>'8'!S41-'8'!O41</f>
        <v>0</v>
      </c>
      <c r="R45" s="987"/>
      <c r="S45" s="987"/>
      <c r="T45" s="146"/>
      <c r="X45" s="147" t="s">
        <v>104</v>
      </c>
      <c r="Y45" s="148">
        <f>'8'!Y44*275.3</f>
        <v>9360.2000000000007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44432</v>
      </c>
      <c r="AD45" s="147" t="s">
        <v>104</v>
      </c>
      <c r="AE45" s="149">
        <v>55000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89" t="s">
        <v>106</v>
      </c>
      <c r="AG46" s="990">
        <f>SUM('8'!Y47,'8'!AA47,'8'!AC47,'8'!AE47)</f>
        <v>144693.62599999999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'8'!Y45*'8'!Y46</f>
        <v>12449.066000000003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59094.560000000005</v>
      </c>
      <c r="AD47" s="147" t="s">
        <v>108</v>
      </c>
      <c r="AE47" s="148">
        <f>'8'!AE45*'8'!AE46</f>
        <v>73150</v>
      </c>
      <c r="AF47" s="989"/>
      <c r="AG47" s="990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COUNTA('8'!O7:O18)</f>
        <v>12</v>
      </c>
      <c r="P51" s="968">
        <f>COUNTA('8'!W17:W28)</f>
        <v>0</v>
      </c>
      <c r="R51" s="986">
        <f>COUNTIF('8'!O7:O18,"&gt;=0,5")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SUM('8'!Y53,'8'!AA53,'8'!AC53,'8'!AE53)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'8'!AS7</f>
        <v>1.262</v>
      </c>
      <c r="Z54" s="151" t="s">
        <v>105</v>
      </c>
      <c r="AA54" s="153">
        <f>'8'!Y54</f>
        <v>1.262</v>
      </c>
      <c r="AB54" s="151" t="s">
        <v>105</v>
      </c>
      <c r="AC54" s="153">
        <f>'8'!Y54</f>
        <v>1.262</v>
      </c>
      <c r="AD54" s="151" t="s">
        <v>105</v>
      </c>
      <c r="AE54" s="154">
        <f>'8'!Y54</f>
        <v>1.262</v>
      </c>
      <c r="AF54" s="989" t="s">
        <v>106</v>
      </c>
      <c r="AG54" s="990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89"/>
      <c r="AG55" s="990"/>
      <c r="AI55" s="151" t="s">
        <v>105</v>
      </c>
      <c r="AJ55" s="152">
        <f>'8'!Y54</f>
        <v>1.262</v>
      </c>
      <c r="AK55" s="151" t="s">
        <v>105</v>
      </c>
      <c r="AL55" s="152">
        <f>'8'!AJ55</f>
        <v>1.262</v>
      </c>
      <c r="AM55" s="151" t="s">
        <v>105</v>
      </c>
      <c r="AN55" s="152">
        <f>'8'!AJ55</f>
        <v>1.262</v>
      </c>
      <c r="AO55" s="988"/>
      <c r="AP55" s="988"/>
      <c r="AQ55" s="988"/>
      <c r="AR55" s="988"/>
    </row>
    <row r="56" spans="15:44" ht="13.9" customHeight="1">
      <c r="O56" s="992"/>
      <c r="P56" s="992"/>
      <c r="R56" s="993"/>
      <c r="S56" s="993"/>
      <c r="T56" s="993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88"/>
      <c r="AP56" s="988"/>
      <c r="AQ56" s="988"/>
      <c r="AR56" s="988"/>
    </row>
    <row r="57" spans="15:44" ht="15.75" customHeight="1">
      <c r="O57" s="997">
        <f>COUNTA('8'!N7:N18)</f>
        <v>12</v>
      </c>
      <c r="P57" s="997"/>
      <c r="R57" s="998">
        <f>COUNTIF('8'!N7:N18,"&gt;=6")</f>
        <v>8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55" t="s">
        <v>119</v>
      </c>
      <c r="AC60" s="1055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'8'!AJ56+'8'!AL56+'8'!AN56</f>
        <v>0</v>
      </c>
      <c r="AM61" s="1005"/>
      <c r="AN61" s="1004" t="s">
        <v>121</v>
      </c>
      <c r="AO61" s="1004"/>
      <c r="AP61" s="1004"/>
      <c r="AQ61" s="1005">
        <f>'8'!AJ49+'8'!AL49+'8'!AN49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'8'!AA32</f>
        <v>55923.840000000004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'8'!AL61-'8'!AL62</f>
        <v>0</v>
      </c>
      <c r="AM63" s="1005"/>
      <c r="AN63" s="1004" t="s">
        <v>125</v>
      </c>
      <c r="AO63" s="1004"/>
      <c r="AP63" s="1004"/>
      <c r="AQ63" s="1005">
        <f>'8'!AQ61-'8'!AQ62</f>
        <v>-55923.840000000004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07"/>
      <c r="AA65" s="1007"/>
      <c r="AB65" s="174" t="s">
        <v>126</v>
      </c>
      <c r="AC65" s="238">
        <f>'7'!AC65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SUM('8'!AK38,'8'!AP38)</f>
        <v>3121.25</v>
      </c>
      <c r="Z67" s="1007"/>
      <c r="AA67" s="1007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-3121.25</v>
      </c>
      <c r="Z68" s="1007"/>
      <c r="AA68" s="1007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7" zoomScaleNormal="100" workbookViewId="0">
      <selection activeCell="AE45" sqref="AE45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71">
        <v>2960</v>
      </c>
      <c r="Z6" s="254">
        <v>1752</v>
      </c>
      <c r="AA6" s="15">
        <v>1</v>
      </c>
      <c r="AB6" s="56">
        <f>IF('9'!AA6=1,(('9'!Z6*'9'!$AS$6*'9'!$AT$6)/('9'!Y6*0.0036)),IF('9'!AA6=2,(('9'!Z6*'9'!$AS$7*'9'!$AT$7)/('9'!Y6*0.0036))))</f>
        <v>109.33558558558559</v>
      </c>
      <c r="AC6" s="56"/>
      <c r="AD6" s="18">
        <f>(('9'!AC6*'9'!$Q$10*1000000))/('9'!Y6*3600)</f>
        <v>0</v>
      </c>
      <c r="AE6" s="181">
        <v>3500</v>
      </c>
      <c r="AF6" s="182">
        <f>('9'!AE6/24)*0.454</f>
        <v>66.208333333333343</v>
      </c>
      <c r="AG6" s="19">
        <v>500</v>
      </c>
      <c r="AH6" s="182">
        <f>('9'!AG6/24)*0.454</f>
        <v>9.4583333333333339</v>
      </c>
      <c r="AI6" s="19">
        <v>3000</v>
      </c>
      <c r="AJ6" s="182">
        <f>('9'!AI6/24)*0.454</f>
        <v>56.75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250</v>
      </c>
      <c r="C7" s="184">
        <v>7.5</v>
      </c>
      <c r="D7" s="184">
        <v>5</v>
      </c>
      <c r="E7" s="184">
        <v>2.5</v>
      </c>
      <c r="F7" s="184">
        <v>99</v>
      </c>
      <c r="G7" s="184">
        <v>2.8</v>
      </c>
      <c r="H7" s="184">
        <v>2.1</v>
      </c>
      <c r="I7" s="184">
        <v>0.8</v>
      </c>
      <c r="J7" s="184">
        <v>1.2</v>
      </c>
      <c r="K7" s="184">
        <v>7.3</v>
      </c>
      <c r="L7" s="184">
        <v>5.8</v>
      </c>
      <c r="M7" s="184">
        <v>5.8</v>
      </c>
      <c r="N7" s="184">
        <v>6</v>
      </c>
      <c r="O7" s="184">
        <v>3.7</v>
      </c>
      <c r="P7" s="184">
        <v>1</v>
      </c>
      <c r="Q7" s="186">
        <v>1.5</v>
      </c>
      <c r="R7" s="36">
        <f>'8'!$Z$29</f>
        <v>1752</v>
      </c>
      <c r="S7" s="185">
        <f>'8'!$AB$29</f>
        <v>108.82089217664202</v>
      </c>
      <c r="T7" s="36">
        <f>'8'!$Y$29</f>
        <v>2974</v>
      </c>
      <c r="U7" s="32" t="str">
        <f>IF('9'!AA6=1,'9'!AR6,'9'!AR7)</f>
        <v>S.A.L</v>
      </c>
      <c r="V7" s="1058">
        <f>ESCALA!$B$10</f>
        <v>0</v>
      </c>
      <c r="W7" s="1058"/>
      <c r="X7" s="13">
        <v>8.3333333333333301E-2</v>
      </c>
      <c r="Y7" s="171">
        <v>3036</v>
      </c>
      <c r="Z7" s="254">
        <v>1752</v>
      </c>
      <c r="AA7" s="15">
        <v>1</v>
      </c>
      <c r="AB7" s="56">
        <f>IF('9'!AA7=1,(('9'!Z7*'9'!$AS$6*'9'!$AT$6)/('9'!Y7*0.0036)),IF('9'!AA7=2,(('9'!Z7*'9'!$AS$7*'9'!$AT$7)/('9'!Y7*0.0036))))</f>
        <v>106.59859464207292</v>
      </c>
      <c r="AC7" s="56"/>
      <c r="AD7" s="18">
        <f>(('9'!AC7*'9'!$Q$10*1000000))/('9'!Y7*3600)</f>
        <v>0</v>
      </c>
      <c r="AE7" s="181">
        <v>3500</v>
      </c>
      <c r="AF7" s="182">
        <f>('9'!AE7/24)*0.454</f>
        <v>66.208333333333343</v>
      </c>
      <c r="AG7" s="19">
        <v>500</v>
      </c>
      <c r="AH7" s="182">
        <f>('9'!AG7/24)*0.454</f>
        <v>9.4583333333333339</v>
      </c>
      <c r="AI7" s="19">
        <v>3000</v>
      </c>
      <c r="AJ7" s="182">
        <f>('9'!AI7/24)*0.454</f>
        <v>56.75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250</v>
      </c>
      <c r="C8" s="184">
        <v>7.5</v>
      </c>
      <c r="D8" s="184">
        <v>5</v>
      </c>
      <c r="E8" s="184">
        <v>2.5</v>
      </c>
      <c r="F8" s="184">
        <v>97</v>
      </c>
      <c r="G8" s="184">
        <v>2.8</v>
      </c>
      <c r="H8" s="184">
        <v>2.1</v>
      </c>
      <c r="I8" s="184">
        <v>0.81</v>
      </c>
      <c r="J8" s="184">
        <v>1</v>
      </c>
      <c r="K8" s="184">
        <v>7.3</v>
      </c>
      <c r="L8" s="184">
        <v>5.8</v>
      </c>
      <c r="M8" s="184">
        <v>5.8</v>
      </c>
      <c r="N8" s="184">
        <v>6</v>
      </c>
      <c r="O8" s="184">
        <v>3.7</v>
      </c>
      <c r="P8" s="184">
        <v>1.7</v>
      </c>
      <c r="Q8" s="186">
        <v>1.5</v>
      </c>
      <c r="R8" s="34">
        <f>'9'!Z7</f>
        <v>1752</v>
      </c>
      <c r="S8" s="35">
        <f>'9'!AB7</f>
        <v>106.59859464207292</v>
      </c>
      <c r="T8" s="36">
        <f>'9'!Y7</f>
        <v>3036</v>
      </c>
      <c r="U8" s="32" t="str">
        <f>IF('9'!AA7=1,'9'!AR6,'9'!AR7)</f>
        <v>S.A.L</v>
      </c>
      <c r="V8" s="1058"/>
      <c r="W8" s="1058"/>
      <c r="X8" s="13">
        <v>0.125</v>
      </c>
      <c r="Y8" s="171">
        <v>3057</v>
      </c>
      <c r="Z8" s="254">
        <v>1752</v>
      </c>
      <c r="AA8" s="15">
        <v>1</v>
      </c>
      <c r="AB8" s="56">
        <f>IF('9'!AA8=1,(('9'!Z8*'9'!$AS$6*'9'!$AT$6)/('9'!Y8*0.0036)),IF('9'!AA8=2,(('9'!Z8*'9'!$AS$7*'9'!$AT$7)/('9'!Y8*0.0036))))</f>
        <v>105.8663177407044</v>
      </c>
      <c r="AC8" s="56"/>
      <c r="AD8" s="18">
        <f>(('9'!AC8*'9'!$Q$10*1000000))/('9'!Y8*3600)</f>
        <v>0</v>
      </c>
      <c r="AE8" s="181">
        <v>3500</v>
      </c>
      <c r="AF8" s="182">
        <f>('9'!AE8/24)*0.454</f>
        <v>66.208333333333343</v>
      </c>
      <c r="AG8" s="19">
        <v>500</v>
      </c>
      <c r="AH8" s="182">
        <f>('9'!AG8/24)*0.454</f>
        <v>9.4583333333333339</v>
      </c>
      <c r="AI8" s="19">
        <v>3000</v>
      </c>
      <c r="AJ8" s="182">
        <f>('9'!AI8/24)*0.454</f>
        <v>56.75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250</v>
      </c>
      <c r="C9" s="184">
        <v>7.5</v>
      </c>
      <c r="D9" s="184">
        <v>5</v>
      </c>
      <c r="E9" s="184">
        <v>2.5</v>
      </c>
      <c r="F9" s="184">
        <v>92</v>
      </c>
      <c r="G9" s="184">
        <v>2.7</v>
      </c>
      <c r="H9" s="184">
        <v>2</v>
      </c>
      <c r="I9" s="184">
        <v>0.83</v>
      </c>
      <c r="J9" s="184">
        <v>0.9</v>
      </c>
      <c r="K9" s="184">
        <v>7.3</v>
      </c>
      <c r="L9" s="184">
        <v>5.8</v>
      </c>
      <c r="M9" s="184">
        <v>5.8</v>
      </c>
      <c r="N9" s="184">
        <v>6</v>
      </c>
      <c r="O9" s="184">
        <v>3.7</v>
      </c>
      <c r="P9" s="184">
        <v>2</v>
      </c>
      <c r="Q9" s="186">
        <v>1.6</v>
      </c>
      <c r="R9" s="36">
        <f>'9'!Z9</f>
        <v>1752</v>
      </c>
      <c r="S9" s="35">
        <f>'9'!AB9</f>
        <v>109.70621468926556</v>
      </c>
      <c r="T9" s="36">
        <f>'9'!Y9</f>
        <v>2950</v>
      </c>
      <c r="U9" s="32" t="str">
        <f>IF('9'!AA9=1,'9'!AR6,'9'!AR7)</f>
        <v>S.A.L</v>
      </c>
      <c r="V9" s="1058"/>
      <c r="W9" s="1058"/>
      <c r="X9" s="13">
        <v>0.16666666666666699</v>
      </c>
      <c r="Y9" s="171">
        <v>2950</v>
      </c>
      <c r="Z9" s="254">
        <v>1752</v>
      </c>
      <c r="AA9" s="15">
        <v>1</v>
      </c>
      <c r="AB9" s="56">
        <f>IF('9'!AA9=1,(('9'!Z9*'9'!$AS$6*'9'!$AT$6)/('9'!Y9*0.0036)),IF('9'!AA9=2,(('9'!Z9*'9'!$AS$7*'9'!$AT$7)/('9'!Y9*0.0036))))</f>
        <v>109.70621468926556</v>
      </c>
      <c r="AC9" s="56"/>
      <c r="AD9" s="18">
        <f>(('9'!AC9*'9'!$Q$10*1000000))/('9'!Y9*3600)</f>
        <v>0</v>
      </c>
      <c r="AE9" s="181">
        <v>3500</v>
      </c>
      <c r="AF9" s="182">
        <f>('9'!AE9/24)*0.454</f>
        <v>66.208333333333343</v>
      </c>
      <c r="AG9" s="19">
        <v>500</v>
      </c>
      <c r="AH9" s="182">
        <f>('9'!AG9/24)*0.454</f>
        <v>9.4583333333333339</v>
      </c>
      <c r="AI9" s="19">
        <v>3000</v>
      </c>
      <c r="AJ9" s="182">
        <f>('9'!AI9/24)*0.454</f>
        <v>56.75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250</v>
      </c>
      <c r="C10" s="184">
        <v>7.5</v>
      </c>
      <c r="D10" s="184">
        <v>5</v>
      </c>
      <c r="E10" s="184">
        <v>2.5</v>
      </c>
      <c r="F10" s="184">
        <v>88</v>
      </c>
      <c r="G10" s="184">
        <v>2.7</v>
      </c>
      <c r="H10" s="184">
        <v>2</v>
      </c>
      <c r="I10" s="184">
        <v>0.84</v>
      </c>
      <c r="J10" s="184">
        <v>0.8</v>
      </c>
      <c r="K10" s="184">
        <v>7.3</v>
      </c>
      <c r="L10" s="184">
        <v>5.8</v>
      </c>
      <c r="M10" s="184">
        <v>5.8</v>
      </c>
      <c r="N10" s="184">
        <v>6</v>
      </c>
      <c r="O10" s="184">
        <v>3.7</v>
      </c>
      <c r="P10" s="184">
        <v>2.2000000000000002</v>
      </c>
      <c r="Q10" s="186">
        <v>1.6</v>
      </c>
      <c r="R10" s="36">
        <f>'9'!Z11</f>
        <v>1752</v>
      </c>
      <c r="S10" s="35">
        <f>'9'!AB11</f>
        <v>107.41232437216507</v>
      </c>
      <c r="T10" s="36">
        <f>'9'!Y11</f>
        <v>3013</v>
      </c>
      <c r="U10" s="32" t="str">
        <f>IF('9'!AA11=1,'9'!AR6,'9'!AR7)</f>
        <v>S.A.L</v>
      </c>
      <c r="V10" s="1058"/>
      <c r="W10" s="1058"/>
      <c r="X10" s="13">
        <v>0.20833333333333301</v>
      </c>
      <c r="Y10" s="171">
        <v>2944</v>
      </c>
      <c r="Z10" s="254">
        <v>1752</v>
      </c>
      <c r="AA10" s="15">
        <v>1</v>
      </c>
      <c r="AB10" s="56">
        <f>IF('9'!AA10=1,(('9'!Z10*'9'!$AS$6*'9'!$AT$6)/('9'!Y10*0.0036)),IF('9'!AA10=2,(('9'!Z10*'9'!$AS$7*'9'!$AT$7)/('9'!Y10*0.0036))))</f>
        <v>109.9298007246377</v>
      </c>
      <c r="AC10" s="56"/>
      <c r="AD10" s="18">
        <f>(('9'!AC10*'9'!$Q$10*1000000))/('9'!Y10*3600)</f>
        <v>0</v>
      </c>
      <c r="AE10" s="181">
        <v>3500</v>
      </c>
      <c r="AF10" s="182">
        <f>('9'!AE10/24)*0.454</f>
        <v>66.208333333333343</v>
      </c>
      <c r="AG10" s="19">
        <v>500</v>
      </c>
      <c r="AH10" s="182">
        <f>('9'!AG10/24)*0.454</f>
        <v>9.4583333333333339</v>
      </c>
      <c r="AI10" s="19">
        <v>3000</v>
      </c>
      <c r="AJ10" s="182">
        <f>('9'!AI10/24)*0.454</f>
        <v>56.75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250</v>
      </c>
      <c r="C11" s="184">
        <v>7.5</v>
      </c>
      <c r="D11" s="184">
        <v>5</v>
      </c>
      <c r="E11" s="184">
        <v>2.5</v>
      </c>
      <c r="F11" s="184">
        <v>85</v>
      </c>
      <c r="G11" s="184">
        <v>2.9</v>
      </c>
      <c r="H11" s="184">
        <v>2.1</v>
      </c>
      <c r="I11" s="184">
        <v>0.91</v>
      </c>
      <c r="J11" s="184">
        <v>0.98</v>
      </c>
      <c r="K11" s="184">
        <v>7.3</v>
      </c>
      <c r="L11" s="184">
        <v>5.5</v>
      </c>
      <c r="M11" s="184">
        <v>5.5</v>
      </c>
      <c r="N11" s="184">
        <v>5</v>
      </c>
      <c r="O11" s="184">
        <v>3.6</v>
      </c>
      <c r="P11" s="184">
        <v>2</v>
      </c>
      <c r="Q11" s="186">
        <v>1.4</v>
      </c>
      <c r="R11" s="36">
        <f>'9'!Z13</f>
        <v>1752</v>
      </c>
      <c r="S11" s="35">
        <f>'9'!AB13</f>
        <v>104.49897750511248</v>
      </c>
      <c r="T11" s="36">
        <f>'9'!Y13</f>
        <v>3097</v>
      </c>
      <c r="U11" s="32" t="str">
        <f>IF('9'!AA13=1,'9'!AR6,'9'!AR7)</f>
        <v>S.A.L</v>
      </c>
      <c r="V11" s="1058"/>
      <c r="W11" s="1058"/>
      <c r="X11" s="13">
        <v>0.25</v>
      </c>
      <c r="Y11" s="171">
        <v>3013</v>
      </c>
      <c r="Z11" s="254">
        <v>1752</v>
      </c>
      <c r="AA11" s="15">
        <v>1</v>
      </c>
      <c r="AB11" s="56">
        <f>IF('9'!AA11=1,(('9'!Z11*'9'!$AS$6*'9'!$AT$6)/('9'!Y11*0.0036)),IF('9'!AA11=2,(('9'!Z11*'9'!$AS$7*'9'!$AT$7)/('9'!Y11*0.0036))))</f>
        <v>107.41232437216507</v>
      </c>
      <c r="AC11" s="56"/>
      <c r="AD11" s="18">
        <f>(('9'!AC11*'9'!$Q$10*1000000))/('9'!Y11*3600)</f>
        <v>0</v>
      </c>
      <c r="AE11" s="181">
        <v>3500</v>
      </c>
      <c r="AF11" s="182">
        <f>('9'!AE11/24)*0.454</f>
        <v>66.208333333333343</v>
      </c>
      <c r="AG11" s="19">
        <v>500</v>
      </c>
      <c r="AH11" s="182">
        <f>('9'!AG11/24)*0.454</f>
        <v>9.4583333333333339</v>
      </c>
      <c r="AI11" s="19">
        <v>3000</v>
      </c>
      <c r="AJ11" s="182">
        <f>('9'!AI11/24)*0.454</f>
        <v>56.75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250</v>
      </c>
      <c r="C12" s="184">
        <v>7.5</v>
      </c>
      <c r="D12" s="184">
        <v>5</v>
      </c>
      <c r="E12" s="184">
        <v>2.5</v>
      </c>
      <c r="F12" s="184">
        <v>85</v>
      </c>
      <c r="G12" s="184">
        <v>3.1</v>
      </c>
      <c r="H12" s="184">
        <v>2.2000000000000002</v>
      </c>
      <c r="I12" s="184">
        <v>0.97</v>
      </c>
      <c r="J12" s="184">
        <v>1.1200000000000001</v>
      </c>
      <c r="K12" s="184">
        <v>7.3</v>
      </c>
      <c r="L12" s="184">
        <v>5.5</v>
      </c>
      <c r="M12" s="184">
        <v>5.5</v>
      </c>
      <c r="N12" s="184">
        <v>5</v>
      </c>
      <c r="O12" s="184">
        <v>3.6</v>
      </c>
      <c r="P12" s="184">
        <v>1.5</v>
      </c>
      <c r="Q12" s="186">
        <v>1.2</v>
      </c>
      <c r="R12" s="36">
        <f>'9'!Z15</f>
        <v>1752</v>
      </c>
      <c r="S12" s="35">
        <f>'9'!AB15</f>
        <v>107.62664893027383</v>
      </c>
      <c r="T12" s="36">
        <f>'9'!Y15</f>
        <v>3007</v>
      </c>
      <c r="U12" s="32" t="str">
        <f>IF('9'!AA15=1,'9'!AR6,'9'!AR7)</f>
        <v>S.A.L</v>
      </c>
      <c r="V12" s="939">
        <f>ESCALA!$B$11</f>
        <v>0</v>
      </c>
      <c r="W12" s="939"/>
      <c r="X12" s="13">
        <v>0.29166666666666702</v>
      </c>
      <c r="Y12" s="171">
        <v>3126</v>
      </c>
      <c r="Z12" s="254">
        <v>1752</v>
      </c>
      <c r="AA12" s="15">
        <v>1</v>
      </c>
      <c r="AB12" s="56">
        <f>IF('9'!AA12=1,(('9'!Z12*'9'!$AS$6*'9'!$AT$6)/('9'!Y12*0.0036)),IF('9'!AA12=2,(('9'!Z12*'9'!$AS$7*'9'!$AT$7)/('9'!Y12*0.0036))))</f>
        <v>103.52953721475795</v>
      </c>
      <c r="AC12" s="56"/>
      <c r="AD12" s="18">
        <f>(('9'!AC12*'9'!$Q$10*1000000))/('9'!Y12*3600)</f>
        <v>0</v>
      </c>
      <c r="AE12" s="181">
        <v>3500</v>
      </c>
      <c r="AF12" s="182">
        <f>('9'!AE12/24)*0.454</f>
        <v>66.208333333333343</v>
      </c>
      <c r="AG12" s="19">
        <v>500</v>
      </c>
      <c r="AH12" s="182">
        <f>('9'!AG12/24)*0.454</f>
        <v>9.4583333333333339</v>
      </c>
      <c r="AI12" s="19">
        <v>3000</v>
      </c>
      <c r="AJ12" s="182">
        <f>('9'!AI12/24)*0.454</f>
        <v>56.75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250</v>
      </c>
      <c r="C13" s="184">
        <v>7.5</v>
      </c>
      <c r="D13" s="184">
        <v>5</v>
      </c>
      <c r="E13" s="184">
        <v>2.5</v>
      </c>
      <c r="F13" s="184">
        <v>83</v>
      </c>
      <c r="G13" s="184">
        <v>3.3</v>
      </c>
      <c r="H13" s="184">
        <v>2</v>
      </c>
      <c r="I13" s="184">
        <v>1</v>
      </c>
      <c r="J13" s="184">
        <v>1.36</v>
      </c>
      <c r="K13" s="184">
        <v>7.3</v>
      </c>
      <c r="L13" s="184">
        <v>5.5</v>
      </c>
      <c r="M13" s="184">
        <v>5.5</v>
      </c>
      <c r="N13" s="184">
        <v>5</v>
      </c>
      <c r="O13" s="184">
        <v>3.6</v>
      </c>
      <c r="P13" s="184">
        <v>0.8</v>
      </c>
      <c r="Q13" s="186">
        <v>1.2</v>
      </c>
      <c r="R13" s="36">
        <f>'9'!Z17</f>
        <v>1752</v>
      </c>
      <c r="S13" s="35">
        <f>'9'!AB17</f>
        <v>109.66903874392862</v>
      </c>
      <c r="T13" s="36">
        <f>'9'!Y17</f>
        <v>2951</v>
      </c>
      <c r="U13" s="32" t="str">
        <f>IF('9'!AA17=1,'9'!AR6,'9'!AR7)</f>
        <v>S.A.L</v>
      </c>
      <c r="V13" s="939"/>
      <c r="W13" s="939"/>
      <c r="X13" s="13">
        <v>0.33333333333333298</v>
      </c>
      <c r="Y13" s="171">
        <v>3097</v>
      </c>
      <c r="Z13" s="254">
        <v>1752</v>
      </c>
      <c r="AA13" s="15">
        <v>1</v>
      </c>
      <c r="AB13" s="56">
        <f>IF('9'!AA13=1,(('9'!Z13*'9'!$AS$6*'9'!$AT$6)/('9'!Y13*0.0036)),IF('9'!AA13=2,(('9'!Z13*'9'!$AS$7*'9'!$AT$7)/('9'!Y13*0.0036))))</f>
        <v>104.49897750511248</v>
      </c>
      <c r="AC13" s="56"/>
      <c r="AD13" s="18">
        <f>(('9'!AC13*'9'!$Q$10*1000000))/('9'!Y13*3600)</f>
        <v>0</v>
      </c>
      <c r="AE13" s="181">
        <v>3500</v>
      </c>
      <c r="AF13" s="182">
        <f>('9'!AE13/24)*0.454</f>
        <v>66.208333333333343</v>
      </c>
      <c r="AG13" s="19">
        <v>500</v>
      </c>
      <c r="AH13" s="182">
        <f>('9'!AG13/24)*0.454</f>
        <v>9.4583333333333339</v>
      </c>
      <c r="AI13" s="19">
        <v>3000</v>
      </c>
      <c r="AJ13" s="182">
        <f>('9'!AI13/24)*0.454</f>
        <v>56.75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250</v>
      </c>
      <c r="C14" s="184">
        <v>7.5</v>
      </c>
      <c r="D14" s="184">
        <v>5</v>
      </c>
      <c r="E14" s="184">
        <v>2.5</v>
      </c>
      <c r="F14" s="184">
        <v>81</v>
      </c>
      <c r="G14" s="184">
        <v>3.2</v>
      </c>
      <c r="H14" s="184">
        <v>1.8</v>
      </c>
      <c r="I14" s="184">
        <v>0.84</v>
      </c>
      <c r="J14" s="184">
        <v>1.63</v>
      </c>
      <c r="K14" s="184">
        <v>7.3</v>
      </c>
      <c r="L14" s="184">
        <v>5.5</v>
      </c>
      <c r="M14" s="184">
        <v>5.5</v>
      </c>
      <c r="N14" s="184">
        <v>5</v>
      </c>
      <c r="O14" s="184">
        <v>3.3</v>
      </c>
      <c r="P14" s="184">
        <v>0.3</v>
      </c>
      <c r="Q14" s="186">
        <v>1.3</v>
      </c>
      <c r="R14" s="36">
        <f>'9'!Z19</f>
        <v>1752</v>
      </c>
      <c r="S14" s="35">
        <f>'9'!AB19</f>
        <v>113.39640270964729</v>
      </c>
      <c r="T14" s="36">
        <f>'9'!Y19</f>
        <v>2854</v>
      </c>
      <c r="U14" s="32" t="str">
        <f>IF('9'!AA19=1,'9'!AR6,'9'!AR7)</f>
        <v>S.A.L</v>
      </c>
      <c r="V14" s="939"/>
      <c r="W14" s="939"/>
      <c r="X14" s="13">
        <v>0.375</v>
      </c>
      <c r="Y14" s="171">
        <v>2948</v>
      </c>
      <c r="Z14" s="254">
        <v>1752</v>
      </c>
      <c r="AA14" s="15">
        <v>1</v>
      </c>
      <c r="AB14" s="56">
        <f>IF('9'!AA14=1,(('9'!Z14*'9'!$AS$6*'9'!$AT$6)/('9'!Y14*0.0036)),IF('9'!AA14=2,(('9'!Z14*'9'!$AS$7*'9'!$AT$7)/('9'!Y14*0.0036))))</f>
        <v>109.78064224332883</v>
      </c>
      <c r="AC14" s="56"/>
      <c r="AD14" s="18">
        <f>(('9'!AC14*'9'!$Q$10*1000000))/('9'!Y14*3600)</f>
        <v>0</v>
      </c>
      <c r="AE14" s="181">
        <v>3500</v>
      </c>
      <c r="AF14" s="182">
        <f>('9'!AE14/24)*0.454</f>
        <v>66.208333333333343</v>
      </c>
      <c r="AG14" s="19">
        <v>500</v>
      </c>
      <c r="AH14" s="182">
        <f>('9'!AG14/24)*0.454</f>
        <v>9.4583333333333339</v>
      </c>
      <c r="AI14" s="19">
        <v>3000</v>
      </c>
      <c r="AJ14" s="182">
        <f>('9'!AI14/24)*0.454</f>
        <v>56.75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250</v>
      </c>
      <c r="C15" s="184">
        <v>7.5</v>
      </c>
      <c r="D15" s="184">
        <v>5</v>
      </c>
      <c r="E15" s="184">
        <v>2.5</v>
      </c>
      <c r="F15" s="184">
        <v>81</v>
      </c>
      <c r="G15" s="184">
        <v>3.2</v>
      </c>
      <c r="H15" s="184">
        <v>1.8</v>
      </c>
      <c r="I15" s="184">
        <v>0.83</v>
      </c>
      <c r="J15" s="184">
        <v>1.74</v>
      </c>
      <c r="K15" s="184">
        <v>7.3</v>
      </c>
      <c r="L15" s="184">
        <v>5.5</v>
      </c>
      <c r="M15" s="184">
        <v>5.5</v>
      </c>
      <c r="N15" s="184">
        <v>5</v>
      </c>
      <c r="O15" s="184">
        <v>3.2</v>
      </c>
      <c r="P15" s="184">
        <v>0.3</v>
      </c>
      <c r="Q15" s="186">
        <v>1.2</v>
      </c>
      <c r="R15" s="36">
        <f>'9'!Z21</f>
        <v>1752</v>
      </c>
      <c r="S15" s="35">
        <f>'9'!AB21</f>
        <v>114.76359338061468</v>
      </c>
      <c r="T15" s="36">
        <f>'9'!Y21</f>
        <v>2820</v>
      </c>
      <c r="U15" s="32" t="str">
        <f>IF('9'!AA21=1,'9'!AR6,'9'!AR7)</f>
        <v>S.A.L</v>
      </c>
      <c r="V15" s="939"/>
      <c r="W15" s="939"/>
      <c r="X15" s="13">
        <v>0.41666666666666702</v>
      </c>
      <c r="Y15" s="171">
        <v>3007</v>
      </c>
      <c r="Z15" s="254">
        <v>1752</v>
      </c>
      <c r="AA15" s="15">
        <v>1</v>
      </c>
      <c r="AB15" s="56">
        <f>IF('9'!AA15=1,(('9'!Z15*'9'!$AS$6*'9'!$AT$6)/('9'!Y15*0.0036)),IF('9'!AA15=2,(('9'!Z15*'9'!$AS$7*'9'!$AT$7)/('9'!Y15*0.0036))))</f>
        <v>107.62664893027383</v>
      </c>
      <c r="AC15" s="56"/>
      <c r="AD15" s="18">
        <f>(('9'!AC15*'9'!$Q$10*1000000))/('9'!Y15*3600)</f>
        <v>0</v>
      </c>
      <c r="AE15" s="181">
        <v>3500</v>
      </c>
      <c r="AF15" s="182">
        <f>('9'!AE15/24)*0.454</f>
        <v>66.208333333333343</v>
      </c>
      <c r="AG15" s="19">
        <v>500</v>
      </c>
      <c r="AH15" s="182">
        <f>('9'!AG15/24)*0.454</f>
        <v>9.4583333333333339</v>
      </c>
      <c r="AI15" s="19">
        <v>3000</v>
      </c>
      <c r="AJ15" s="182">
        <f>('9'!AI15/24)*0.454</f>
        <v>56.75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250</v>
      </c>
      <c r="C16" s="184">
        <v>7.5</v>
      </c>
      <c r="D16" s="184">
        <v>5</v>
      </c>
      <c r="E16" s="184">
        <v>2.5</v>
      </c>
      <c r="F16" s="184">
        <v>80</v>
      </c>
      <c r="G16" s="184">
        <v>3.2</v>
      </c>
      <c r="H16" s="184">
        <v>1.8</v>
      </c>
      <c r="I16" s="184">
        <v>0.85</v>
      </c>
      <c r="J16" s="184">
        <v>1.85</v>
      </c>
      <c r="K16" s="184">
        <v>7.3</v>
      </c>
      <c r="L16" s="184">
        <v>5.5</v>
      </c>
      <c r="M16" s="184">
        <v>5.5</v>
      </c>
      <c r="N16" s="184">
        <v>5</v>
      </c>
      <c r="O16" s="184">
        <v>3.2</v>
      </c>
      <c r="P16" s="184">
        <v>0.4</v>
      </c>
      <c r="Q16" s="186">
        <v>1.2</v>
      </c>
      <c r="R16" s="36">
        <f>'9'!Z23</f>
        <v>1752</v>
      </c>
      <c r="S16" s="35">
        <f>'9'!AB23</f>
        <v>112.72495065598515</v>
      </c>
      <c r="T16" s="36">
        <f>'9'!Y23</f>
        <v>2871</v>
      </c>
      <c r="U16" s="32" t="str">
        <f>IF('9'!AA23=1,'9'!AR6,'9'!AR7)</f>
        <v>S.A.L</v>
      </c>
      <c r="V16" s="939"/>
      <c r="W16" s="939"/>
      <c r="X16" s="13">
        <v>0.45833333333333298</v>
      </c>
      <c r="Y16" s="171">
        <v>3148</v>
      </c>
      <c r="Z16" s="254">
        <v>1752</v>
      </c>
      <c r="AA16" s="15">
        <v>1</v>
      </c>
      <c r="AB16" s="56">
        <f>IF('9'!AA16=1,(('9'!Z16*'9'!$AS$6*'9'!$AT$6)/('9'!Y16*0.0036)),IF('9'!AA16=2,(('9'!Z16*'9'!$AS$7*'9'!$AT$7)/('9'!Y16*0.0036))))</f>
        <v>102.8060144006777</v>
      </c>
      <c r="AC16" s="56"/>
      <c r="AD16" s="18">
        <f>(('9'!AC16*'9'!$Q$10*1000000))/('9'!Y16*3600)</f>
        <v>0</v>
      </c>
      <c r="AE16" s="181">
        <v>3500</v>
      </c>
      <c r="AF16" s="182">
        <f>('9'!AE16/24)*0.454</f>
        <v>66.208333333333343</v>
      </c>
      <c r="AG16" s="19">
        <v>500</v>
      </c>
      <c r="AH16" s="182">
        <f>('9'!AG16/24)*0.454</f>
        <v>9.4583333333333339</v>
      </c>
      <c r="AI16" s="19">
        <v>3000</v>
      </c>
      <c r="AJ16" s="182">
        <f>('9'!AI16/24)*0.454</f>
        <v>56.75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250</v>
      </c>
      <c r="C17" s="184">
        <v>7.5</v>
      </c>
      <c r="D17" s="184">
        <v>5</v>
      </c>
      <c r="E17" s="184">
        <v>2.5</v>
      </c>
      <c r="F17" s="184">
        <v>80</v>
      </c>
      <c r="G17" s="184">
        <v>3</v>
      </c>
      <c r="H17" s="184">
        <v>2.2999999999999998</v>
      </c>
      <c r="I17" s="184">
        <v>0.83</v>
      </c>
      <c r="J17" s="184">
        <v>1.81</v>
      </c>
      <c r="K17" s="184">
        <v>7.3</v>
      </c>
      <c r="L17" s="184">
        <v>5.5</v>
      </c>
      <c r="M17" s="184">
        <v>5.5</v>
      </c>
      <c r="N17" s="184">
        <v>5</v>
      </c>
      <c r="O17" s="184">
        <v>3.2</v>
      </c>
      <c r="P17" s="184">
        <v>0.5</v>
      </c>
      <c r="Q17" s="186">
        <v>1.3</v>
      </c>
      <c r="R17" s="36">
        <f>'9'!Z25</f>
        <v>1752</v>
      </c>
      <c r="S17" s="35">
        <f>'9'!AB25</f>
        <v>114.64163419530054</v>
      </c>
      <c r="T17" s="36">
        <f>'9'!Y25</f>
        <v>2823</v>
      </c>
      <c r="U17" s="32" t="str">
        <f>IF('9'!AA25=1,'9'!AR6,'9'!AR7)</f>
        <v>S.A.L</v>
      </c>
      <c r="V17" s="939">
        <f>ESCALA!$C$11</f>
        <v>0</v>
      </c>
      <c r="W17" s="939"/>
      <c r="X17" s="13">
        <v>0.5</v>
      </c>
      <c r="Y17" s="171">
        <v>2951</v>
      </c>
      <c r="Z17" s="254">
        <v>1752</v>
      </c>
      <c r="AA17" s="15">
        <v>1</v>
      </c>
      <c r="AB17" s="56">
        <f>IF('9'!AA17=1,(('9'!Z17*'9'!$AS$6*'9'!$AT$6)/('9'!Y17*0.0036)),IF('9'!AA17=2,(('9'!Z17*'9'!$AS$7*'9'!$AT$7)/('9'!Y17*0.0036))))</f>
        <v>109.66903874392862</v>
      </c>
      <c r="AC17" s="56"/>
      <c r="AD17" s="18">
        <f>(('9'!AC17*'9'!$Q$10*1000000))/('9'!Y17*3600)</f>
        <v>0</v>
      </c>
      <c r="AE17" s="181">
        <v>3500</v>
      </c>
      <c r="AF17" s="182">
        <f>('9'!AE17/24)*0.454</f>
        <v>66.208333333333343</v>
      </c>
      <c r="AG17" s="19">
        <v>500</v>
      </c>
      <c r="AH17" s="182">
        <f>('9'!AG17/24)*0.454</f>
        <v>9.4583333333333339</v>
      </c>
      <c r="AI17" s="19">
        <v>3000</v>
      </c>
      <c r="AJ17" s="182">
        <f>('9'!AI17/24)*0.454</f>
        <v>56.75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250</v>
      </c>
      <c r="C18" s="184">
        <v>7.5</v>
      </c>
      <c r="D18" s="184">
        <v>5</v>
      </c>
      <c r="E18" s="184">
        <v>2.5</v>
      </c>
      <c r="F18" s="184">
        <v>80</v>
      </c>
      <c r="G18" s="184">
        <v>2.8</v>
      </c>
      <c r="H18" s="184">
        <v>2.2999999999999998</v>
      </c>
      <c r="I18" s="184">
        <v>0.84</v>
      </c>
      <c r="J18" s="184">
        <v>1.76</v>
      </c>
      <c r="K18" s="184">
        <v>7.3</v>
      </c>
      <c r="L18" s="184">
        <v>5.5</v>
      </c>
      <c r="M18" s="184">
        <v>5.5</v>
      </c>
      <c r="N18" s="184">
        <v>5</v>
      </c>
      <c r="O18" s="184">
        <v>3.2</v>
      </c>
      <c r="P18" s="184">
        <v>0.5</v>
      </c>
      <c r="Q18" s="186">
        <v>1.5</v>
      </c>
      <c r="R18" s="36">
        <f>'9'!Z27</f>
        <v>1752</v>
      </c>
      <c r="S18" s="35">
        <f>'9'!AB27</f>
        <v>113.47592332865828</v>
      </c>
      <c r="T18" s="36">
        <f>'9'!Y27</f>
        <v>2852</v>
      </c>
      <c r="U18" s="32" t="str">
        <f>IF('9'!AA27=1,'9'!AR6,'9'!AR7)</f>
        <v>S.A.L</v>
      </c>
      <c r="V18" s="939"/>
      <c r="W18" s="939"/>
      <c r="X18" s="13">
        <v>0.54166666666666696</v>
      </c>
      <c r="Y18" s="171">
        <v>3120</v>
      </c>
      <c r="Z18" s="254">
        <v>1752</v>
      </c>
      <c r="AA18" s="15">
        <v>1</v>
      </c>
      <c r="AB18" s="56">
        <f>IF('9'!AA18=1,(('9'!Z18*'9'!$AS$6*'9'!$AT$6)/('9'!Y18*0.0036)),IF('9'!AA18=2,(('9'!Z18*'9'!$AS$7*'9'!$AT$7)/('9'!Y18*0.0036))))</f>
        <v>103.72863247863251</v>
      </c>
      <c r="AC18" s="56"/>
      <c r="AD18" s="18">
        <f>(('9'!AC18*'9'!$Q$10*1000000))/('9'!Y18*3600)</f>
        <v>0</v>
      </c>
      <c r="AE18" s="181">
        <v>3500</v>
      </c>
      <c r="AF18" s="182">
        <f>('9'!AE18/24)*0.454</f>
        <v>66.208333333333343</v>
      </c>
      <c r="AG18" s="19">
        <v>500</v>
      </c>
      <c r="AH18" s="182">
        <f>('9'!AG18/24)*0.454</f>
        <v>9.4583333333333339</v>
      </c>
      <c r="AI18" s="19">
        <v>3000</v>
      </c>
      <c r="AJ18" s="182">
        <f>('9'!AI18/24)*0.454</f>
        <v>56.75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250</v>
      </c>
      <c r="C19" s="67">
        <f t="array" ref="C19">IF('9'!C7:C18&gt;0.01,AVERAGE('9'!C7:C18),"")</f>
        <v>7.5</v>
      </c>
      <c r="D19" s="67">
        <f t="array" ref="D19">IF('9'!D7:D18&gt;0.01,AVERAGE('9'!D7:D18),"")</f>
        <v>5</v>
      </c>
      <c r="E19" s="67">
        <f t="array" ref="E19">IF('9'!E7:E18&gt;0.01,AVERAGE('9'!E7:E18),"")</f>
        <v>2.5</v>
      </c>
      <c r="F19" s="67">
        <f t="array" ref="F19">IF('9'!F7:F18&gt;0.01,AVERAGE('9'!F7:F18),"")</f>
        <v>85.916666666666671</v>
      </c>
      <c r="G19" s="67">
        <f t="array" ref="G19">IF('9'!G7:G18&gt;0.01,AVERAGE('9'!G7:G18),"")</f>
        <v>2.9749999999999996</v>
      </c>
      <c r="H19" s="67">
        <f t="array" ref="H19">IF('9'!H7:H18&gt;0.01,AVERAGE('9'!H7:H18),"")</f>
        <v>2.041666666666667</v>
      </c>
      <c r="I19" s="67">
        <f t="array" ref="I19">IF('9'!I7:I18&gt;0.01,AVERAGE('9'!I7:I18),"")</f>
        <v>0.86249999999999993</v>
      </c>
      <c r="J19" s="67">
        <f t="array" ref="J19">IF('9'!J7:J18&gt;0.01,AVERAGE('9'!J7:J18),"")</f>
        <v>1.3458333333333334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5.6000000000000005</v>
      </c>
      <c r="M19" s="67">
        <f t="array" ref="M19">IF('9'!M7:M18&gt;0.01,AVERAGE('9'!M7:M18),"")</f>
        <v>5.6000000000000005</v>
      </c>
      <c r="N19" s="67">
        <f t="array" ref="N19">IF('9'!N7:N18&gt;0.01,AVERAGE('9'!N7:N18),"")</f>
        <v>5.333333333333333</v>
      </c>
      <c r="O19" s="67">
        <f t="array" ref="O19">IF('9'!O7:O18&gt;0.01,AVERAGE('9'!O7:O18),"")</f>
        <v>3.4750000000000014</v>
      </c>
      <c r="P19" s="67">
        <f t="array" ref="P19">IF('9'!P7:P18&gt;0.01,AVERAGE('9'!P7:P18),"")</f>
        <v>1.1000000000000003</v>
      </c>
      <c r="Q19" s="67">
        <f t="array" ref="Q19">IF('9'!Q7:Q18&gt;0.01,AVERAGE('9'!Q7:Q18),"")</f>
        <v>1.375</v>
      </c>
      <c r="R19" s="67">
        <f t="array" ref="R19">IF('9'!R7:R18&gt;0.01,AVERAGE('9'!R7:R18),"")</f>
        <v>1752</v>
      </c>
      <c r="S19" s="189">
        <f t="array" ref="S19">IF('9'!S7:S18&gt;0.01,AVERAGE('9'!S7:S18),"")</f>
        <v>110.2779329441389</v>
      </c>
      <c r="T19" s="940"/>
      <c r="U19" s="940"/>
      <c r="V19" s="47"/>
      <c r="W19" s="48"/>
      <c r="X19" s="13">
        <v>0.58333333333333304</v>
      </c>
      <c r="Y19" s="171">
        <v>2854</v>
      </c>
      <c r="Z19" s="254">
        <v>1752</v>
      </c>
      <c r="AA19" s="15">
        <v>1</v>
      </c>
      <c r="AB19" s="56">
        <f>IF('9'!AA19=1,(('9'!Z19*'9'!$AS$6*'9'!$AT$6)/('9'!Y19*0.0036)),IF('9'!AA19=2,(('9'!Z19*'9'!$AS$7*'9'!$AT$7)/('9'!Y19*0.0036))))</f>
        <v>113.39640270964729</v>
      </c>
      <c r="AC19" s="56"/>
      <c r="AD19" s="18">
        <f>(('9'!AC19*'9'!$Q$10*1000000))/('9'!Y19*3600)</f>
        <v>0</v>
      </c>
      <c r="AE19" s="181">
        <v>3500</v>
      </c>
      <c r="AF19" s="182">
        <f>('9'!AE19/24)*0.454</f>
        <v>66.208333333333343</v>
      </c>
      <c r="AG19" s="19">
        <v>500</v>
      </c>
      <c r="AH19" s="182">
        <f>('9'!AG19/24)*0.454</f>
        <v>9.4583333333333339</v>
      </c>
      <c r="AI19" s="19">
        <v>3000</v>
      </c>
      <c r="AJ19" s="182">
        <f>('9'!AI19/24)*0.454</f>
        <v>56.75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250</v>
      </c>
      <c r="C20" s="67">
        <f>MAX('9'!C7:C18)</f>
        <v>7.5</v>
      </c>
      <c r="D20" s="67">
        <f>MAX('9'!D7:D18)</f>
        <v>5</v>
      </c>
      <c r="E20" s="67">
        <f>MAX('9'!E7:E18)</f>
        <v>2.5</v>
      </c>
      <c r="F20" s="67">
        <f>MAX('9'!F7:F18)</f>
        <v>99</v>
      </c>
      <c r="G20" s="67">
        <f>MAX('9'!G7:G18)</f>
        <v>3.3</v>
      </c>
      <c r="H20" s="67">
        <f>MAX('9'!H7:H18)</f>
        <v>2.2999999999999998</v>
      </c>
      <c r="I20" s="67">
        <f>MAX('9'!I7:I18)</f>
        <v>1</v>
      </c>
      <c r="J20" s="67">
        <f>MAX('9'!J7:J18)</f>
        <v>1.85</v>
      </c>
      <c r="K20" s="67">
        <f>MAX('9'!K8:K18)</f>
        <v>7.3</v>
      </c>
      <c r="L20" s="67">
        <f>MAX('9'!L8:L18)</f>
        <v>5.8</v>
      </c>
      <c r="M20" s="67">
        <f>MAX('9'!M8:M18)</f>
        <v>5.8</v>
      </c>
      <c r="N20" s="67">
        <f>MAX('9'!N8:N18)</f>
        <v>6</v>
      </c>
      <c r="O20" s="68">
        <f>MAX('9'!O7:O18)</f>
        <v>3.7</v>
      </c>
      <c r="P20" s="68">
        <f>MAX('9'!P7:P18)</f>
        <v>2.2000000000000002</v>
      </c>
      <c r="Q20" s="68">
        <f>MAX('9'!Q7:Q18)</f>
        <v>1.6</v>
      </c>
      <c r="R20" s="68">
        <f>MAX('9'!R7:R18)</f>
        <v>1752</v>
      </c>
      <c r="S20" s="68">
        <f>MAX('9'!S7:S18)</f>
        <v>114.76359338061468</v>
      </c>
      <c r="T20" s="940"/>
      <c r="U20" s="940"/>
      <c r="X20" s="13">
        <v>0.625</v>
      </c>
      <c r="Y20" s="171">
        <v>2824</v>
      </c>
      <c r="Z20" s="254">
        <v>1752</v>
      </c>
      <c r="AA20" s="15">
        <v>1</v>
      </c>
      <c r="AB20" s="56">
        <f>IF('9'!AA20=1,(('9'!Z20*'9'!$AS$6*'9'!$AT$6)/('9'!Y20*0.0036)),IF('9'!AA20=2,(('9'!Z20*'9'!$AS$7*'9'!$AT$7)/('9'!Y20*0.0036))))</f>
        <v>114.60103871576962</v>
      </c>
      <c r="AC20" s="56"/>
      <c r="AD20" s="18">
        <f>(('9'!AC20*'9'!$Q$10*1000000))/('9'!Y20*3600)</f>
        <v>0</v>
      </c>
      <c r="AE20" s="181">
        <v>3500</v>
      </c>
      <c r="AF20" s="182">
        <f>('9'!AE20/24)*0.454</f>
        <v>66.208333333333343</v>
      </c>
      <c r="AG20" s="19">
        <v>500</v>
      </c>
      <c r="AH20" s="182">
        <f>('9'!AG20/24)*0.454</f>
        <v>9.4583333333333339</v>
      </c>
      <c r="AI20" s="19">
        <v>3000</v>
      </c>
      <c r="AJ20" s="182">
        <f>('9'!AI20/24)*0.454</f>
        <v>56.75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250</v>
      </c>
      <c r="C21" s="67">
        <f>MIN('9'!C7:C18)</f>
        <v>7.5</v>
      </c>
      <c r="D21" s="67">
        <f>MIN('9'!D7:D18)</f>
        <v>5</v>
      </c>
      <c r="E21" s="67">
        <f>MIN('9'!E7:E18)</f>
        <v>2.5</v>
      </c>
      <c r="F21" s="67">
        <f>MIN('9'!F7:F18)</f>
        <v>80</v>
      </c>
      <c r="G21" s="190">
        <f>MIN('9'!G7:G18)</f>
        <v>2.7</v>
      </c>
      <c r="H21" s="190">
        <f>MIN('9'!H7:H18)</f>
        <v>1.8</v>
      </c>
      <c r="I21" s="190">
        <f>MIN('9'!I7:I18)</f>
        <v>0.8</v>
      </c>
      <c r="J21" s="190">
        <f>MIN('9'!J7:J18)</f>
        <v>0.8</v>
      </c>
      <c r="K21" s="190">
        <f>MIN('9'!K8:K18)</f>
        <v>7.3</v>
      </c>
      <c r="L21" s="190">
        <f>MIN('9'!L8:L18)</f>
        <v>5.5</v>
      </c>
      <c r="M21" s="190">
        <f>MIN('9'!M8:M18)</f>
        <v>5.5</v>
      </c>
      <c r="N21" s="190">
        <f>MIN('9'!N8:N18)</f>
        <v>5</v>
      </c>
      <c r="O21" s="191">
        <f>MIN('9'!O7:O18)</f>
        <v>3.2</v>
      </c>
      <c r="P21" s="191">
        <f>MIN('9'!P7:P18)</f>
        <v>0.3</v>
      </c>
      <c r="Q21" s="191">
        <f>MIN('9'!Q7:Q18)</f>
        <v>1.2</v>
      </c>
      <c r="R21" s="191">
        <f>MIN('9'!R7:R18)</f>
        <v>1752</v>
      </c>
      <c r="S21" s="191">
        <f>MIN('9'!S7:S18)</f>
        <v>104.49897750511248</v>
      </c>
      <c r="T21" s="940"/>
      <c r="U21" s="940"/>
      <c r="X21" s="13">
        <v>0.66666666666666696</v>
      </c>
      <c r="Y21" s="171">
        <v>2820</v>
      </c>
      <c r="Z21" s="254">
        <v>1752</v>
      </c>
      <c r="AA21" s="15">
        <v>1</v>
      </c>
      <c r="AB21" s="56">
        <f>IF('9'!AA21=1,(('9'!Z21*'9'!$AS$6*'9'!$AT$6)/('9'!Y21*0.0036)),IF('9'!AA21=2,(('9'!Z21*'9'!$AS$7*'9'!$AT$7)/('9'!Y21*0.0036))))</f>
        <v>114.76359338061468</v>
      </c>
      <c r="AC21" s="56"/>
      <c r="AD21" s="18">
        <f>(('9'!AC21*'9'!$Q$10*1000000))/('9'!Y21*3600)</f>
        <v>0</v>
      </c>
      <c r="AE21" s="181">
        <v>3500</v>
      </c>
      <c r="AF21" s="182">
        <f>('9'!AE21/24)*0.454</f>
        <v>66.208333333333343</v>
      </c>
      <c r="AG21" s="19">
        <v>500</v>
      </c>
      <c r="AH21" s="182">
        <f>('9'!AG21/24)*0.454</f>
        <v>9.4583333333333339</v>
      </c>
      <c r="AI21" s="19">
        <v>3000</v>
      </c>
      <c r="AJ21" s="182">
        <f>('9'!AI21/24)*0.454</f>
        <v>56.75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2849</v>
      </c>
      <c r="Z22" s="254">
        <v>1752</v>
      </c>
      <c r="AA22" s="15">
        <v>1</v>
      </c>
      <c r="AB22" s="56">
        <f>IF('9'!AA22=1,(('9'!Z22*'9'!$AS$6*'9'!$AT$6)/('9'!Y22*0.0036)),IF('9'!AA22=2,(('9'!Z22*'9'!$AS$7*'9'!$AT$7)/('9'!Y22*0.0036))))</f>
        <v>113.59541359541362</v>
      </c>
      <c r="AC22" s="56"/>
      <c r="AD22" s="18">
        <f>(('9'!AC22*'9'!$Q$10*1000000))/('9'!Y22*3600)</f>
        <v>0</v>
      </c>
      <c r="AE22" s="181">
        <v>3500</v>
      </c>
      <c r="AF22" s="182">
        <f>('9'!AE22/24)*0.454</f>
        <v>66.208333333333343</v>
      </c>
      <c r="AG22" s="19">
        <v>500</v>
      </c>
      <c r="AH22" s="182">
        <f>('9'!AG22/24)*0.454</f>
        <v>9.4583333333333339</v>
      </c>
      <c r="AI22" s="19">
        <v>3000</v>
      </c>
      <c r="AJ22" s="182">
        <f>('9'!AI22/24)*0.454</f>
        <v>56.75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/>
      <c r="S23" s="58" t="s">
        <v>57</v>
      </c>
      <c r="T23" s="940"/>
      <c r="U23" s="940"/>
      <c r="X23" s="13">
        <v>0.75</v>
      </c>
      <c r="Y23" s="171">
        <v>2871</v>
      </c>
      <c r="Z23" s="254">
        <v>1752</v>
      </c>
      <c r="AA23" s="15">
        <v>1</v>
      </c>
      <c r="AB23" s="56">
        <f>IF('9'!AA23=1,(('9'!Z23*'9'!$AS$6*'9'!$AT$6)/('9'!Y23*0.0036)),IF('9'!AA23=2,(('9'!Z23*'9'!$AS$7*'9'!$AT$7)/('9'!Y23*0.0036))))</f>
        <v>112.72495065598515</v>
      </c>
      <c r="AC23" s="56"/>
      <c r="AD23" s="18">
        <f>(('9'!AC23*'9'!$Q$10*1000000))/('9'!Y23*3600)</f>
        <v>0</v>
      </c>
      <c r="AE23" s="181">
        <v>3500</v>
      </c>
      <c r="AF23" s="182">
        <f>('9'!AE23/24)*0.454</f>
        <v>66.208333333333343</v>
      </c>
      <c r="AG23" s="19">
        <v>500</v>
      </c>
      <c r="AH23" s="182">
        <f>('9'!AG23/24)*0.454</f>
        <v>9.4583333333333339</v>
      </c>
      <c r="AI23" s="19">
        <v>3000</v>
      </c>
      <c r="AJ23" s="182">
        <f>('9'!AI23/24)*0.454</f>
        <v>56.75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2849</v>
      </c>
      <c r="Z24" s="254">
        <v>1752</v>
      </c>
      <c r="AA24" s="15">
        <v>1</v>
      </c>
      <c r="AB24" s="16">
        <f>IF('9'!AA24=1,(('9'!Z24*'9'!$AS$6*'9'!$AT$6)/('9'!Y24*0.0036)),IF('9'!AA24=2,(('9'!Z24*'9'!$AS$7*'9'!$AT$7)/('9'!Y24*0.0036))))</f>
        <v>113.59541359541362</v>
      </c>
      <c r="AC24" s="16"/>
      <c r="AD24" s="192">
        <f>(('9'!AC24*'9'!$Q$10*1000000))/('9'!Y24*3600)</f>
        <v>0</v>
      </c>
      <c r="AE24" s="181">
        <v>3500</v>
      </c>
      <c r="AF24" s="193">
        <f>('9'!AE24/24)*0.454</f>
        <v>66.208333333333343</v>
      </c>
      <c r="AG24" s="19">
        <v>500</v>
      </c>
      <c r="AH24" s="193">
        <f>('9'!AG24/24)*0.454</f>
        <v>9.4583333333333339</v>
      </c>
      <c r="AI24" s="19">
        <v>3000</v>
      </c>
      <c r="AJ24" s="193">
        <f>('9'!AI24/24)*0.454</f>
        <v>56.75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/>
      <c r="C25" s="256"/>
      <c r="D25" s="256"/>
      <c r="E25" s="256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63" t="e">
        <f>#DIV/0!</f>
        <v>#DIV/0!</v>
      </c>
      <c r="S25" s="64"/>
      <c r="T25" s="1059" t="s">
        <v>0</v>
      </c>
      <c r="U25" s="1043">
        <f>ESCALA!$A$11</f>
        <v>44325</v>
      </c>
      <c r="X25" s="13">
        <v>0.83333333333333304</v>
      </c>
      <c r="Y25" s="171">
        <v>2823</v>
      </c>
      <c r="Z25" s="254">
        <v>1752</v>
      </c>
      <c r="AA25" s="15">
        <v>1</v>
      </c>
      <c r="AB25" s="56">
        <f>IF('9'!AA25=1,(('9'!Z25*'9'!$AS$6*'9'!$AT$6)/('9'!Y25*0.0036)),IF('9'!AA25=2,(('9'!Z25*'9'!$AS$7*'9'!$AT$7)/('9'!Y25*0.0036))))</f>
        <v>114.64163419530054</v>
      </c>
      <c r="AC25" s="56"/>
      <c r="AD25" s="18">
        <f>(('9'!AC25*'9'!$Q$10*1000000))/('9'!Y25*3600)</f>
        <v>0</v>
      </c>
      <c r="AE25" s="181">
        <v>3500</v>
      </c>
      <c r="AF25" s="182">
        <f>('9'!AE25/24)*0.454</f>
        <v>66.208333333333343</v>
      </c>
      <c r="AG25" s="19">
        <v>500</v>
      </c>
      <c r="AH25" s="182">
        <f>('9'!AG25/24)*0.454</f>
        <v>9.4583333333333339</v>
      </c>
      <c r="AI25" s="19">
        <v>3000</v>
      </c>
      <c r="AJ25" s="182">
        <f>('9'!AI25/24)*0.454</f>
        <v>56.75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59"/>
      <c r="U26" s="1043"/>
      <c r="X26" s="13">
        <v>0.875</v>
      </c>
      <c r="Y26" s="171">
        <v>2849</v>
      </c>
      <c r="Z26" s="254">
        <v>1752</v>
      </c>
      <c r="AA26" s="15">
        <v>1</v>
      </c>
      <c r="AB26" s="56">
        <f>IF('9'!AA26=1,(('9'!Z26*'9'!$AS$6*'9'!$AT$6)/('9'!Y26*0.0036)),IF('9'!AA26=2,(('9'!Z26*'9'!$AS$7*'9'!$AT$7)/('9'!Y26*0.0036))))</f>
        <v>113.59541359541362</v>
      </c>
      <c r="AC26" s="56"/>
      <c r="AD26" s="18">
        <f>(('9'!AC26*'9'!$Q$10*1000000))/('9'!Y26*3600)</f>
        <v>0</v>
      </c>
      <c r="AE26" s="181">
        <v>3500</v>
      </c>
      <c r="AF26" s="182">
        <f>('9'!AE26/24)*0.454</f>
        <v>66.208333333333343</v>
      </c>
      <c r="AG26" s="19">
        <v>500</v>
      </c>
      <c r="AH26" s="182">
        <f>('9'!AG26/24)*0.454</f>
        <v>9.4583333333333339</v>
      </c>
      <c r="AI26" s="19">
        <v>3000</v>
      </c>
      <c r="AJ26" s="182">
        <f>('9'!AI26/24)*0.454</f>
        <v>56.75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2852</v>
      </c>
      <c r="Z27" s="254">
        <v>1752</v>
      </c>
      <c r="AA27" s="15">
        <v>1</v>
      </c>
      <c r="AB27" s="56">
        <f>IF('9'!AA27=1,(('9'!Z27*'9'!$AS$6*'9'!$AT$6)/('9'!Y27*0.0036)),IF('9'!AA27=2,(('9'!Z27*'9'!$AS$7*'9'!$AT$7)/('9'!Y27*0.0036))))</f>
        <v>113.47592332865828</v>
      </c>
      <c r="AC27" s="56"/>
      <c r="AD27" s="18">
        <f>(('9'!AC27*'9'!$Q$10*1000000))/('9'!Y27*3600)</f>
        <v>0</v>
      </c>
      <c r="AE27" s="181">
        <v>3500</v>
      </c>
      <c r="AF27" s="182">
        <f>('9'!AE27/24)*0.454</f>
        <v>66.208333333333343</v>
      </c>
      <c r="AG27" s="19">
        <v>500</v>
      </c>
      <c r="AH27" s="182">
        <f>('9'!AG27/24)*0.454</f>
        <v>9.4583333333333339</v>
      </c>
      <c r="AI27" s="19">
        <v>3000</v>
      </c>
      <c r="AJ27" s="182">
        <f>('9'!AI27/24)*0.454</f>
        <v>56.75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2844</v>
      </c>
      <c r="Z28" s="254">
        <v>1752</v>
      </c>
      <c r="AA28" s="15">
        <v>1</v>
      </c>
      <c r="AB28" s="56">
        <f>IF('9'!AA28=1,(('9'!Z28*'9'!$AS$6*'9'!$AT$6)/('9'!Y28*0.0036)),IF('9'!AA28=2,(('9'!Z28*'9'!$AS$7*'9'!$AT$7)/('9'!Y28*0.0036))))</f>
        <v>113.79512423816222</v>
      </c>
      <c r="AC28" s="56"/>
      <c r="AD28" s="18">
        <f>(('9'!AC28*'9'!$Q$10*1000000))/('9'!Y28*3600)</f>
        <v>0</v>
      </c>
      <c r="AE28" s="181">
        <v>3500</v>
      </c>
      <c r="AF28" s="182">
        <f>('9'!AE28/24)*0.454</f>
        <v>66.208333333333343</v>
      </c>
      <c r="AG28" s="19">
        <v>500</v>
      </c>
      <c r="AH28" s="182">
        <f>('9'!AG28/24)*0.454</f>
        <v>9.4583333333333339</v>
      </c>
      <c r="AI28" s="19">
        <v>3000</v>
      </c>
      <c r="AJ28" s="182">
        <f>('9'!AI28/24)*0.454</f>
        <v>56.75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2836</v>
      </c>
      <c r="Z29" s="254">
        <v>1752</v>
      </c>
      <c r="AA29" s="15">
        <v>1</v>
      </c>
      <c r="AB29" s="56">
        <f>IF('9'!AA29=1,(('9'!Z29*'9'!$AS$6*'9'!$AT$6)/('9'!Y29*0.0036)),IF('9'!AA29=2,(('9'!Z29*'9'!$AS$7*'9'!$AT$7)/('9'!Y29*0.0036))))</f>
        <v>114.11612599905972</v>
      </c>
      <c r="AC29" s="56"/>
      <c r="AD29" s="18">
        <f>(('9'!AC29*'9'!$Q$10*1000000))/('9'!Y29*3600)</f>
        <v>0</v>
      </c>
      <c r="AE29" s="181">
        <v>3500</v>
      </c>
      <c r="AF29" s="182">
        <f>('9'!AE29/24)*0.454</f>
        <v>66.208333333333343</v>
      </c>
      <c r="AG29" s="19">
        <v>500</v>
      </c>
      <c r="AH29" s="182">
        <f>('9'!AG29/24)*0.454</f>
        <v>9.4583333333333339</v>
      </c>
      <c r="AI29" s="19">
        <v>3000</v>
      </c>
      <c r="AJ29" s="182">
        <f>('9'!AI29/24)*0.454</f>
        <v>56.75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SUM('9'!Y6:Y29)*3.6</f>
        <v>254260.80000000002</v>
      </c>
      <c r="Z30" s="80">
        <f>SUM('9'!Z6:Z29)</f>
        <v>42048</v>
      </c>
      <c r="AA30" s="76"/>
      <c r="AB30" s="77"/>
      <c r="AC30" s="76"/>
      <c r="AD30" s="77"/>
      <c r="AE30" s="33"/>
      <c r="AF30" s="182">
        <f>SUM('9'!AF6:AF29)</f>
        <v>1588.9999999999998</v>
      </c>
      <c r="AG30" s="33"/>
      <c r="AH30" s="182">
        <f>SUM('9'!AH6:AH29)</f>
        <v>227.00000000000009</v>
      </c>
      <c r="AI30" s="33"/>
      <c r="AJ30" s="182">
        <f>SUM('9'!AJ6:AJ29)</f>
        <v>1362</v>
      </c>
      <c r="AK30" s="78"/>
      <c r="AL30" s="183">
        <f>SUM('9'!AL6:AL29)</f>
        <v>0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SUMIF('9'!AA6:AA29,"=1",'9'!Z6:Z29)</f>
        <v>42048</v>
      </c>
      <c r="AA32" s="80">
        <f>'9'!Z32*'9'!AS6</f>
        <v>55923.840000000004</v>
      </c>
      <c r="AB32" s="81">
        <f>SUMIF('9'!$AA$6:$AA$29,"=1",'9'!$AB$6:$AB$29)/COUNTIF('9'!$AA$6:$AA$29,"=1")</f>
        <v>110.11622347002424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AVERAGE('9'!Y6:Y29)</f>
        <v>2942.8333333333335</v>
      </c>
      <c r="Z34" s="94">
        <f>AVERAGE('9'!Z6:Z29)</f>
        <v>1752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66.208333333333329</v>
      </c>
      <c r="AG34" s="96"/>
      <c r="AH34" s="96">
        <f>AVERAGE('9'!AH6:AH29)</f>
        <v>9.4583333333333375</v>
      </c>
      <c r="AI34" s="96"/>
      <c r="AJ34" s="96">
        <f>'9'!AJ30/24</f>
        <v>56.75</v>
      </c>
      <c r="AK34" s="96"/>
      <c r="AL34" s="96">
        <f>AVERAGE('9'!AL6:AL29)</f>
        <v>0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0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58.8</v>
      </c>
      <c r="D37" s="184">
        <v>6</v>
      </c>
      <c r="E37" s="184">
        <v>4</v>
      </c>
      <c r="F37" s="184">
        <v>3.4</v>
      </c>
      <c r="G37" s="184">
        <v>0.2</v>
      </c>
      <c r="H37" s="184">
        <v>0</v>
      </c>
      <c r="I37" s="181">
        <v>0.2</v>
      </c>
      <c r="J37" s="181">
        <v>0.1</v>
      </c>
      <c r="K37" s="181">
        <v>0.06</v>
      </c>
      <c r="L37" s="1020"/>
      <c r="M37" s="1020"/>
      <c r="N37" s="1020"/>
      <c r="O37" s="10"/>
      <c r="P37" s="10"/>
      <c r="Q37" s="10"/>
      <c r="R37" s="10"/>
      <c r="S37" s="10"/>
      <c r="T37" s="10"/>
      <c r="U37" s="107">
        <f>'9'!V12</f>
        <v>0</v>
      </c>
      <c r="X37" s="956" t="s">
        <v>75</v>
      </c>
      <c r="Y37" s="956"/>
      <c r="Z37" s="108">
        <f>COUNTA('9'!Z6:Z29)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1815.9999999999998</v>
      </c>
      <c r="AL38" s="208" t="s">
        <v>78</v>
      </c>
      <c r="AM38" s="210">
        <f>SUM('9'!AL30+'9'!AN30)</f>
        <v>0</v>
      </c>
      <c r="AO38" s="208" t="s">
        <v>78</v>
      </c>
      <c r="AP38" s="209">
        <f>'9'!AJ30</f>
        <v>1362</v>
      </c>
      <c r="AQ38" s="208" t="s">
        <v>78</v>
      </c>
      <c r="AR38" s="210">
        <f>'9'!AP30</f>
        <v>0</v>
      </c>
    </row>
    <row r="39" spans="1:44" ht="16.5" customHeight="1">
      <c r="A39" s="1061" t="s">
        <v>79</v>
      </c>
      <c r="B39" s="1061"/>
      <c r="C39" s="1061" t="s">
        <v>80</v>
      </c>
      <c r="D39" s="1061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7.142272815943314</v>
      </c>
      <c r="AL39" s="213" t="s">
        <v>86</v>
      </c>
      <c r="AM39" s="214">
        <f>('9'!AM38/'9'!Y30)*1000</f>
        <v>0</v>
      </c>
      <c r="AO39" s="211" t="s">
        <v>86</v>
      </c>
      <c r="AP39" s="212">
        <f>('9'!AP38/'9'!Y30)*1000</f>
        <v>5.3567046119574862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SUM('9'!AK38,'9'!AM38)</f>
        <v>1815.9999999999998</v>
      </c>
      <c r="AM40" s="969"/>
      <c r="AO40" s="970" t="s">
        <v>90</v>
      </c>
      <c r="AP40" s="970"/>
      <c r="AQ40" s="971">
        <f>SUM('9'!AP38,'9'!AR38)</f>
        <v>1362</v>
      </c>
      <c r="AR40" s="971"/>
    </row>
    <row r="41" spans="1:44" ht="16.5" customHeight="1">
      <c r="A41" s="131">
        <f>COUNTA('9'!E7:E18)</f>
        <v>12</v>
      </c>
      <c r="B41" s="132">
        <f>COUNTA('9'!I7:I18)</f>
        <v>12</v>
      </c>
      <c r="C41" s="972">
        <f>COUNTA('9'!J7:J18)</f>
        <v>12</v>
      </c>
      <c r="D41" s="972">
        <f>COUNTA('9'!K8:K18)</f>
        <v>11</v>
      </c>
      <c r="E41" s="972">
        <f>COUNTIF('9'!E7:E18,"&gt;15")</f>
        <v>0</v>
      </c>
      <c r="F41" s="972"/>
      <c r="G41" s="972">
        <f>COUNTIF('9'!J7:J18,"&gt;1,0")</f>
        <v>8</v>
      </c>
      <c r="H41" s="972"/>
      <c r="I41" s="133"/>
      <c r="J41" s="972">
        <f>'9'!A41-'9'!E41</f>
        <v>12</v>
      </c>
      <c r="K41" s="972"/>
      <c r="L41" s="972">
        <f>'9'!C41-'9'!G41</f>
        <v>4</v>
      </c>
      <c r="M41" s="972"/>
      <c r="N41" s="133"/>
      <c r="O41" s="973">
        <f>COUNTIF('9'!J7:J18,"&lt;=0,5")</f>
        <v>0</v>
      </c>
      <c r="P41" s="973"/>
      <c r="Q41" s="973"/>
      <c r="R41" s="963"/>
      <c r="S41" s="974">
        <f>COUNTIF('9'!J7:J18,"&lt;=1,0")</f>
        <v>4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SUM(('9'!AK38+'9'!AM38)/'9'!Y30)*1000</f>
        <v>7.142272815943314</v>
      </c>
      <c r="AM41" s="975"/>
      <c r="AO41" s="970" t="s">
        <v>91</v>
      </c>
      <c r="AP41" s="970"/>
      <c r="AQ41" s="975">
        <f>SUM(('9'!AP38+'9'!AR38)/'9'!Y30)*1000</f>
        <v>5.3567046119574862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157</v>
      </c>
      <c r="Z44" s="142" t="s">
        <v>101</v>
      </c>
      <c r="AA44" s="143">
        <v>0</v>
      </c>
      <c r="AB44" s="142" t="s">
        <v>101</v>
      </c>
      <c r="AC44" s="143">
        <v>12</v>
      </c>
      <c r="AD44" s="982"/>
      <c r="AE44" s="982"/>
      <c r="AF44" s="983" t="s">
        <v>102</v>
      </c>
      <c r="AG44" s="984">
        <f>SUM('9'!Y45,'9'!AA45,'9'!AC45,'9'!AE45)</f>
        <v>112554.5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COUNTIF('9'!I7:I18,"&lt;=5,0")</f>
        <v>12</v>
      </c>
      <c r="I45" s="986"/>
      <c r="J45" s="986"/>
      <c r="K45" s="133"/>
      <c r="L45" s="968">
        <f>COUNTA('9'!L37)</f>
        <v>0</v>
      </c>
      <c r="M45" s="968"/>
      <c r="O45" s="144"/>
      <c r="P45" s="145"/>
      <c r="Q45" s="987">
        <f>'9'!S41-'9'!O41</f>
        <v>4</v>
      </c>
      <c r="R45" s="987"/>
      <c r="S45" s="987"/>
      <c r="T45" s="146"/>
      <c r="X45" s="147" t="s">
        <v>104</v>
      </c>
      <c r="Y45" s="148">
        <f>'9'!Y44*275.3</f>
        <v>43222.1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3332.3999999999996</v>
      </c>
      <c r="AD45" s="147" t="s">
        <v>104</v>
      </c>
      <c r="AE45" s="149">
        <v>66000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89" t="s">
        <v>106</v>
      </c>
      <c r="AG46" s="990">
        <f>SUM('9'!Y47,'9'!AA47,'9'!AC47,'9'!AE47)</f>
        <v>149697.48499999999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'9'!Y45*'9'!Y46</f>
        <v>57485.393000000004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4432.0919999999996</v>
      </c>
      <c r="AD47" s="147" t="s">
        <v>108</v>
      </c>
      <c r="AE47" s="148">
        <f>'9'!AE45*'9'!AE46</f>
        <v>87780</v>
      </c>
      <c r="AF47" s="989"/>
      <c r="AG47" s="990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  <c r="AJ50" s="152"/>
      <c r="AK50" s="158">
        <v>3</v>
      </c>
    </row>
    <row r="51" spans="15:44" ht="16.5" customHeight="1">
      <c r="O51" s="968">
        <f>COUNTA('9'!O7:O18)</f>
        <v>12</v>
      </c>
      <c r="P51" s="968">
        <f>COUNTA('9'!W17:W28)</f>
        <v>0</v>
      </c>
      <c r="R51" s="986">
        <f>COUNTIF('9'!O7:O18,"&gt;=0,5")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SUM('9'!Y53,'9'!AA53,'9'!AC53,'9'!AE53)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0"/>
      <c r="AP53" s="1030"/>
      <c r="AQ53" s="1030"/>
      <c r="AR53" s="1030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'9'!AS7</f>
        <v>1.262</v>
      </c>
      <c r="Z54" s="151" t="s">
        <v>105</v>
      </c>
      <c r="AA54" s="153">
        <f>'9'!Y54</f>
        <v>1.262</v>
      </c>
      <c r="AB54" s="151" t="s">
        <v>105</v>
      </c>
      <c r="AC54" s="153">
        <f>'9'!Y54</f>
        <v>1.262</v>
      </c>
      <c r="AD54" s="151" t="s">
        <v>105</v>
      </c>
      <c r="AE54" s="154">
        <f>'9'!Y54</f>
        <v>1.262</v>
      </c>
      <c r="AF54" s="989" t="s">
        <v>106</v>
      </c>
      <c r="AG54" s="990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0"/>
      <c r="AP54" s="1030"/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'9'!AJ55</f>
        <v>1.262</v>
      </c>
      <c r="AM55" s="151" t="s">
        <v>105</v>
      </c>
      <c r="AN55" s="152">
        <f>AJ55</f>
        <v>1.262</v>
      </c>
      <c r="AO55" s="1030"/>
      <c r="AP55" s="1030"/>
      <c r="AQ55" s="1030"/>
      <c r="AR55" s="1030"/>
    </row>
    <row r="56" spans="15:44" ht="13.9" customHeight="1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0"/>
      <c r="AP56" s="1030"/>
      <c r="AQ56" s="1030"/>
      <c r="AR56" s="1030"/>
    </row>
    <row r="57" spans="15:44" ht="15.75" customHeight="1">
      <c r="O57" s="997">
        <f>COUNTA('9'!N7:N18)</f>
        <v>12</v>
      </c>
      <c r="P57" s="997"/>
      <c r="R57" s="998">
        <f>COUNTIF('9'!N7:N18,"&gt;=6")</f>
        <v>4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10">
        <f>AA33</f>
        <v>0</v>
      </c>
      <c r="AM62" s="1010"/>
      <c r="AN62" s="1004" t="s">
        <v>123</v>
      </c>
      <c r="AO62" s="1004"/>
      <c r="AP62" s="1004"/>
      <c r="AQ62" s="1010">
        <f>AA32</f>
        <v>55923.840000000004</v>
      </c>
      <c r="AR62" s="1010"/>
    </row>
    <row r="63" spans="15:44" ht="15" customHeight="1">
      <c r="X63" s="168" t="s">
        <v>124</v>
      </c>
      <c r="Y63" s="236"/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-55923.840000000004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'8'!$Y$68</f>
        <v>-3121.25</v>
      </c>
      <c r="Z65" s="1007"/>
      <c r="AA65" s="1007"/>
      <c r="AB65" s="174" t="s">
        <v>126</v>
      </c>
      <c r="AC65" s="238">
        <f>'8'!$AC$68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SUM('9'!AK38,'9'!AP38)</f>
        <v>3178</v>
      </c>
      <c r="Z67" s="1007"/>
      <c r="AA67" s="1007"/>
      <c r="AB67" s="170" t="s">
        <v>124</v>
      </c>
      <c r="AC67" s="167">
        <f>SUM('9'!AM38,'9'!AR38)</f>
        <v>0</v>
      </c>
    </row>
    <row r="68" spans="24:29" ht="15.75" customHeight="1">
      <c r="X68" s="168" t="s">
        <v>128</v>
      </c>
      <c r="Y68" s="177">
        <f>SUM('9'!Y63,'9'!Y65)-'9'!Y67</f>
        <v>-6299.25</v>
      </c>
      <c r="Z68" s="1007"/>
      <c r="AA68" s="1007"/>
      <c r="AB68" s="170" t="s">
        <v>128</v>
      </c>
      <c r="AC68" s="178">
        <f>SUM('9'!AC63,'9'!AC65)-'9'!AC67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9" sqref="Y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3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3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2814</v>
      </c>
      <c r="Z6" s="254">
        <v>1752</v>
      </c>
      <c r="AA6" s="15">
        <v>1</v>
      </c>
      <c r="AB6" s="56">
        <f>IF('10'!AA6=1,(('10'!Z6*'10'!$AS$6*'10'!$AT$6)/('10'!Y6*0.0036)),IF('10'!AA6=2,(('10'!Z6*'10'!$AS$7*'10'!$AT$7)/('10'!Y6*0.0036))))</f>
        <v>115.00829187396353</v>
      </c>
      <c r="AC6" s="56"/>
      <c r="AD6" s="18">
        <f>(('10'!AC6*'10'!$Q$10*1000000))/('10'!Y6*3600)</f>
        <v>0</v>
      </c>
      <c r="AE6" s="181">
        <v>3500</v>
      </c>
      <c r="AF6" s="182">
        <f>('10'!AE6/24)*0.454</f>
        <v>66.208333333333343</v>
      </c>
      <c r="AG6" s="19">
        <v>500</v>
      </c>
      <c r="AH6" s="182">
        <f>('10'!AG6/24)*0.454</f>
        <v>9.4583333333333339</v>
      </c>
      <c r="AI6" s="19">
        <v>3000</v>
      </c>
      <c r="AJ6" s="182">
        <f>('10'!AI6/24)*0.454</f>
        <v>56.75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250</v>
      </c>
      <c r="C7" s="184">
        <v>5</v>
      </c>
      <c r="D7" s="184">
        <v>5</v>
      </c>
      <c r="E7" s="184">
        <v>2.5</v>
      </c>
      <c r="F7" s="184">
        <v>80</v>
      </c>
      <c r="G7" s="184">
        <v>2.5</v>
      </c>
      <c r="H7" s="184">
        <v>2.5</v>
      </c>
      <c r="I7" s="184">
        <v>0.81</v>
      </c>
      <c r="J7" s="184">
        <v>1.7</v>
      </c>
      <c r="K7" s="184">
        <v>7.3</v>
      </c>
      <c r="L7" s="184">
        <v>5.5</v>
      </c>
      <c r="M7" s="184">
        <v>5.5</v>
      </c>
      <c r="N7" s="184">
        <v>5</v>
      </c>
      <c r="O7" s="184">
        <v>3.2</v>
      </c>
      <c r="P7" s="184">
        <v>1</v>
      </c>
      <c r="Q7" s="186">
        <v>1.8</v>
      </c>
      <c r="R7" s="36">
        <f>'9'!$Z$29</f>
        <v>1752</v>
      </c>
      <c r="S7" s="185">
        <f>'9'!$AB$29</f>
        <v>114.11612599905972</v>
      </c>
      <c r="T7" s="36">
        <f>'9'!$Y$29</f>
        <v>2836</v>
      </c>
      <c r="U7" s="32" t="str">
        <f>IF('10'!AA6=1,'10'!AR6,'10'!AR7)</f>
        <v>S.A.L</v>
      </c>
      <c r="V7" s="1016">
        <f>ESCALA!$C$11</f>
        <v>0</v>
      </c>
      <c r="W7" s="1016"/>
      <c r="X7" s="13">
        <v>8.3333333333333301E-2</v>
      </c>
      <c r="Y7" s="52">
        <v>2867</v>
      </c>
      <c r="Z7" s="254">
        <v>1752</v>
      </c>
      <c r="AA7" s="15">
        <v>1</v>
      </c>
      <c r="AB7" s="56">
        <f>IF('10'!AA7=1,(('10'!Z7*'10'!$AS$6*'10'!$AT$6)/('10'!Y7*0.0036)),IF('10'!AA7=2,(('10'!Z7*'10'!$AS$7*'10'!$AT$7)/('10'!Y7*0.0036))))</f>
        <v>112.88222299732591</v>
      </c>
      <c r="AC7" s="56"/>
      <c r="AD7" s="18">
        <f>(('10'!AC7*'10'!$Q$10*1000000))/('10'!Y7*3600)</f>
        <v>0</v>
      </c>
      <c r="AE7" s="181">
        <v>3500</v>
      </c>
      <c r="AF7" s="182">
        <f>('10'!AE7/24)*0.454</f>
        <v>66.208333333333343</v>
      </c>
      <c r="AG7" s="19">
        <v>500</v>
      </c>
      <c r="AH7" s="182">
        <f>('10'!AG7/24)*0.454</f>
        <v>9.4583333333333339</v>
      </c>
      <c r="AI7" s="19">
        <v>3000</v>
      </c>
      <c r="AJ7" s="182">
        <f>('10'!AI7/24)*0.454</f>
        <v>56.75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250</v>
      </c>
      <c r="C8" s="184">
        <v>5</v>
      </c>
      <c r="D8" s="184">
        <v>5</v>
      </c>
      <c r="E8" s="184">
        <v>2.5</v>
      </c>
      <c r="F8" s="184">
        <v>76</v>
      </c>
      <c r="G8" s="184">
        <v>2.2000000000000002</v>
      </c>
      <c r="H8" s="184">
        <v>2.5</v>
      </c>
      <c r="I8" s="184">
        <v>0.83</v>
      </c>
      <c r="J8" s="184">
        <v>1.65</v>
      </c>
      <c r="K8" s="184">
        <v>7.3</v>
      </c>
      <c r="L8" s="184">
        <v>5.5</v>
      </c>
      <c r="M8" s="184">
        <v>5.5</v>
      </c>
      <c r="N8" s="184">
        <v>5</v>
      </c>
      <c r="O8" s="184">
        <v>3.2</v>
      </c>
      <c r="P8" s="184">
        <v>1.4</v>
      </c>
      <c r="Q8" s="186">
        <v>2</v>
      </c>
      <c r="R8" s="34">
        <f>'10'!Z7</f>
        <v>1752</v>
      </c>
      <c r="S8" s="35">
        <f>'10'!AB7</f>
        <v>112.88222299732591</v>
      </c>
      <c r="T8" s="36">
        <f>'10'!Y7</f>
        <v>2867</v>
      </c>
      <c r="U8" s="32" t="str">
        <f>IF('10'!AA7=1,'10'!AR6,'10'!AR7)</f>
        <v>S.A.L</v>
      </c>
      <c r="V8" s="1016"/>
      <c r="W8" s="1016"/>
      <c r="X8" s="13">
        <v>0.125</v>
      </c>
      <c r="Y8" s="52">
        <v>2864</v>
      </c>
      <c r="Z8" s="254">
        <v>1752</v>
      </c>
      <c r="AA8" s="15">
        <v>1</v>
      </c>
      <c r="AB8" s="56">
        <f>IF('10'!AA8=1,(('10'!Z8*'10'!$AS$6*'10'!$AT$6)/('10'!Y8*0.0036)),IF('10'!AA8=2,(('10'!Z8*'10'!$AS$7*'10'!$AT$7)/('10'!Y8*0.0036))))</f>
        <v>113.00046554934825</v>
      </c>
      <c r="AC8" s="56"/>
      <c r="AD8" s="18">
        <f>(('10'!AC8*'10'!$Q$10*1000000))/('10'!Y8*3600)</f>
        <v>0</v>
      </c>
      <c r="AE8" s="181">
        <v>3500</v>
      </c>
      <c r="AF8" s="182">
        <f>('10'!AE8/24)*0.454</f>
        <v>66.208333333333343</v>
      </c>
      <c r="AG8" s="19">
        <v>500</v>
      </c>
      <c r="AH8" s="182">
        <f>('10'!AG8/24)*0.454</f>
        <v>9.4583333333333339</v>
      </c>
      <c r="AI8" s="19">
        <v>3000</v>
      </c>
      <c r="AJ8" s="182">
        <f>('10'!AI8/24)*0.454</f>
        <v>56.75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250</v>
      </c>
      <c r="C9" s="184">
        <v>5</v>
      </c>
      <c r="D9" s="184">
        <v>5</v>
      </c>
      <c r="E9" s="184">
        <v>2.5</v>
      </c>
      <c r="F9" s="184">
        <v>72</v>
      </c>
      <c r="G9" s="184">
        <v>2.1</v>
      </c>
      <c r="H9" s="184">
        <v>2.6</v>
      </c>
      <c r="I9" s="184">
        <v>0.82</v>
      </c>
      <c r="J9" s="184">
        <v>1.62</v>
      </c>
      <c r="K9" s="184">
        <v>7.3</v>
      </c>
      <c r="L9" s="184">
        <v>5.5</v>
      </c>
      <c r="M9" s="184">
        <v>5.5</v>
      </c>
      <c r="N9" s="184">
        <v>5</v>
      </c>
      <c r="O9" s="184">
        <v>3.2</v>
      </c>
      <c r="P9" s="184">
        <v>1.7</v>
      </c>
      <c r="Q9" s="186">
        <v>2.2000000000000002</v>
      </c>
      <c r="R9" s="36">
        <f>'10'!Z9</f>
        <v>1752</v>
      </c>
      <c r="S9" s="35">
        <f>'10'!AB9</f>
        <v>115.83154378429971</v>
      </c>
      <c r="T9" s="36">
        <f>'10'!Y9</f>
        <v>2794</v>
      </c>
      <c r="U9" s="32" t="str">
        <f>IF('10'!AA9=1,'10'!AR6,'10'!AR7)</f>
        <v>S.A.L</v>
      </c>
      <c r="V9" s="1016"/>
      <c r="W9" s="1016"/>
      <c r="X9" s="13">
        <v>0.16666666666666699</v>
      </c>
      <c r="Y9" s="52">
        <v>2794</v>
      </c>
      <c r="Z9" s="254">
        <v>1752</v>
      </c>
      <c r="AA9" s="15">
        <v>1</v>
      </c>
      <c r="AB9" s="56">
        <f>IF('10'!AA9=1,(('10'!Z9*'10'!$AS$6*'10'!$AT$6)/('10'!Y9*0.0036)),IF('10'!AA9=2,(('10'!Z9*'10'!$AS$7*'10'!$AT$7)/('10'!Y9*0.0036))))</f>
        <v>115.83154378429971</v>
      </c>
      <c r="AC9" s="56"/>
      <c r="AD9" s="18">
        <f>(('10'!AC9*'10'!$Q$10*1000000))/('10'!Y9*3600)</f>
        <v>0</v>
      </c>
      <c r="AE9" s="181">
        <v>3500</v>
      </c>
      <c r="AF9" s="182">
        <f>('10'!AE9/24)*0.454</f>
        <v>66.208333333333343</v>
      </c>
      <c r="AG9" s="19">
        <v>500</v>
      </c>
      <c r="AH9" s="182">
        <f>('10'!AG9/24)*0.454</f>
        <v>9.4583333333333339</v>
      </c>
      <c r="AI9" s="19">
        <v>3000</v>
      </c>
      <c r="AJ9" s="182">
        <f>('10'!AI9/24)*0.454</f>
        <v>56.75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250</v>
      </c>
      <c r="C10" s="184">
        <v>5</v>
      </c>
      <c r="D10" s="184">
        <v>5</v>
      </c>
      <c r="E10" s="184">
        <v>2.5</v>
      </c>
      <c r="F10" s="184">
        <v>70</v>
      </c>
      <c r="G10" s="184">
        <v>1.24</v>
      </c>
      <c r="H10" s="184">
        <v>1.1499999999999999</v>
      </c>
      <c r="I10" s="184">
        <v>0.84</v>
      </c>
      <c r="J10" s="184">
        <v>1.53</v>
      </c>
      <c r="K10" s="184">
        <v>7.3</v>
      </c>
      <c r="L10" s="184">
        <v>5.5</v>
      </c>
      <c r="M10" s="184">
        <v>5.5</v>
      </c>
      <c r="N10" s="184">
        <v>5</v>
      </c>
      <c r="O10" s="184">
        <v>3</v>
      </c>
      <c r="P10" s="184">
        <v>1.8</v>
      </c>
      <c r="Q10" s="186">
        <v>2.2000000000000002</v>
      </c>
      <c r="R10" s="36">
        <f>'10'!Z11</f>
        <v>1752</v>
      </c>
      <c r="S10" s="35">
        <f>'10'!AB11</f>
        <v>113.63529962546818</v>
      </c>
      <c r="T10" s="36">
        <f>'10'!Y11</f>
        <v>2848</v>
      </c>
      <c r="U10" s="32" t="str">
        <f>IF('10'!AA11=1,'10'!AR6,'10'!AR7)</f>
        <v>S.A.L</v>
      </c>
      <c r="V10" s="1016"/>
      <c r="W10" s="1016"/>
      <c r="X10" s="13">
        <v>0.20833333333333301</v>
      </c>
      <c r="Y10" s="52">
        <v>2889</v>
      </c>
      <c r="Z10" s="254">
        <v>1752</v>
      </c>
      <c r="AA10" s="15">
        <v>1</v>
      </c>
      <c r="AB10" s="56">
        <f>IF('10'!AA10=1,(('10'!Z10*'10'!$AS$6*'10'!$AT$6)/('10'!Y10*0.0036)),IF('10'!AA10=2,(('10'!Z10*'10'!$AS$7*'10'!$AT$7)/('10'!Y10*0.0036))))</f>
        <v>112.02261451482637</v>
      </c>
      <c r="AC10" s="56"/>
      <c r="AD10" s="18">
        <f>(('10'!AC10*'10'!$Q$10*1000000))/('10'!Y10*3600)</f>
        <v>0</v>
      </c>
      <c r="AE10" s="181">
        <v>3500</v>
      </c>
      <c r="AF10" s="182">
        <f>('10'!AE10/24)*0.454</f>
        <v>66.208333333333343</v>
      </c>
      <c r="AG10" s="19">
        <v>500</v>
      </c>
      <c r="AH10" s="182">
        <f>('10'!AG10/24)*0.454</f>
        <v>9.4583333333333339</v>
      </c>
      <c r="AI10" s="19">
        <v>3000</v>
      </c>
      <c r="AJ10" s="182">
        <f>('10'!AI10/24)*0.454</f>
        <v>56.75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37" t="s">
        <v>51</v>
      </c>
      <c r="AR10" s="937"/>
      <c r="AS10" s="937"/>
      <c r="AT10" s="39">
        <v>0.2</v>
      </c>
    </row>
    <row r="11" spans="1:47" ht="19.5" customHeight="1">
      <c r="A11" s="28">
        <v>0.33333333333333298</v>
      </c>
      <c r="B11" s="184">
        <v>250</v>
      </c>
      <c r="C11" s="184">
        <v>5</v>
      </c>
      <c r="D11" s="184">
        <v>5</v>
      </c>
      <c r="E11" s="184">
        <v>2.5</v>
      </c>
      <c r="F11" s="184">
        <v>72</v>
      </c>
      <c r="G11" s="184">
        <v>3.6</v>
      </c>
      <c r="H11" s="184">
        <v>5.2</v>
      </c>
      <c r="I11" s="184">
        <v>0.95</v>
      </c>
      <c r="J11" s="184">
        <v>1.64</v>
      </c>
      <c r="K11" s="184">
        <v>7.3</v>
      </c>
      <c r="L11" s="184">
        <v>5.5</v>
      </c>
      <c r="M11" s="184">
        <v>5.5</v>
      </c>
      <c r="N11" s="184">
        <v>5</v>
      </c>
      <c r="O11" s="184">
        <v>3.5</v>
      </c>
      <c r="P11" s="184">
        <v>0.8</v>
      </c>
      <c r="Q11" s="186">
        <v>2</v>
      </c>
      <c r="R11" s="36">
        <f>'10'!Z13</f>
        <v>1613</v>
      </c>
      <c r="S11" s="35">
        <f>'10'!AB13</f>
        <v>105.09945130315501</v>
      </c>
      <c r="T11" s="36">
        <f>'10'!Y13</f>
        <v>2835</v>
      </c>
      <c r="U11" s="32" t="str">
        <f>IF('10'!AA13=1,'10'!AR6,'10'!AR7)</f>
        <v>S.A.L</v>
      </c>
      <c r="V11" s="1016"/>
      <c r="W11" s="1016"/>
      <c r="X11" s="13">
        <v>0.25</v>
      </c>
      <c r="Y11" s="52">
        <v>2848</v>
      </c>
      <c r="Z11" s="254">
        <v>1752</v>
      </c>
      <c r="AA11" s="15">
        <v>1</v>
      </c>
      <c r="AB11" s="56">
        <f>IF('10'!AA11=1,(('10'!Z11*'10'!$AS$6*'10'!$AT$6)/('10'!Y11*0.0036)),IF('10'!AA11=2,(('10'!Z11*'10'!$AS$7*'10'!$AT$7)/('10'!Y11*0.0036))))</f>
        <v>113.63529962546818</v>
      </c>
      <c r="AC11" s="56"/>
      <c r="AD11" s="18">
        <f>(('10'!AC11*'10'!$Q$10*1000000))/('10'!Y11*3600)</f>
        <v>0</v>
      </c>
      <c r="AE11" s="181">
        <v>3500</v>
      </c>
      <c r="AF11" s="182">
        <f>('10'!AE11/24)*0.454</f>
        <v>66.208333333333343</v>
      </c>
      <c r="AG11" s="19">
        <v>500</v>
      </c>
      <c r="AH11" s="182">
        <f>('10'!AG11/24)*0.454</f>
        <v>9.4583333333333339</v>
      </c>
      <c r="AI11" s="19">
        <v>3000</v>
      </c>
      <c r="AJ11" s="182">
        <f>('10'!AI11/24)*0.454</f>
        <v>56.75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250</v>
      </c>
      <c r="C12" s="184">
        <v>5</v>
      </c>
      <c r="D12" s="184">
        <v>5</v>
      </c>
      <c r="E12" s="184">
        <v>2.5</v>
      </c>
      <c r="F12" s="184">
        <v>69</v>
      </c>
      <c r="G12" s="184">
        <v>3.5</v>
      </c>
      <c r="H12" s="184">
        <v>2.9</v>
      </c>
      <c r="I12" s="184">
        <v>0.98</v>
      </c>
      <c r="J12" s="184">
        <v>1.38</v>
      </c>
      <c r="K12" s="184">
        <v>7.3</v>
      </c>
      <c r="L12" s="184">
        <v>5.5</v>
      </c>
      <c r="M12" s="184">
        <v>5.5</v>
      </c>
      <c r="N12" s="184">
        <v>5</v>
      </c>
      <c r="O12" s="184">
        <v>3.5</v>
      </c>
      <c r="P12" s="184">
        <v>0.7</v>
      </c>
      <c r="Q12" s="186">
        <v>1.5</v>
      </c>
      <c r="R12" s="36">
        <f>'10'!Z15</f>
        <v>1613</v>
      </c>
      <c r="S12" s="35">
        <f>'10'!AB15</f>
        <v>106.90956025993702</v>
      </c>
      <c r="T12" s="36">
        <f>'10'!Y15</f>
        <v>2787</v>
      </c>
      <c r="U12" s="32" t="str">
        <f>IF('10'!AA15=1,'10'!AR6,'10'!AR7)</f>
        <v>S.A.L</v>
      </c>
      <c r="V12" s="938">
        <f>ESCALA!$B$12</f>
        <v>0</v>
      </c>
      <c r="W12" s="938"/>
      <c r="X12" s="13">
        <v>0.29166666666666702</v>
      </c>
      <c r="Y12" s="52">
        <v>2838</v>
      </c>
      <c r="Z12" s="254">
        <v>1752</v>
      </c>
      <c r="AA12" s="15">
        <v>1</v>
      </c>
      <c r="AB12" s="56">
        <f>IF('10'!AA12=1,(('10'!Z12*'10'!$AS$6*'10'!$AT$6)/('10'!Y12*0.0036)),IF('10'!AA12=2,(('10'!Z12*'10'!$AS$7*'10'!$AT$7)/('10'!Y12*0.0036))))</f>
        <v>114.03570589617104</v>
      </c>
      <c r="AC12" s="56"/>
      <c r="AD12" s="18">
        <f>(('10'!AC12*'10'!$Q$10*1000000))/('10'!Y12*3600)</f>
        <v>0</v>
      </c>
      <c r="AE12" s="181">
        <v>3500</v>
      </c>
      <c r="AF12" s="182">
        <f>('10'!AE12/24)*0.454</f>
        <v>66.208333333333343</v>
      </c>
      <c r="AG12" s="19">
        <v>500</v>
      </c>
      <c r="AH12" s="182">
        <f>('10'!AG12/24)*0.454</f>
        <v>9.4583333333333339</v>
      </c>
      <c r="AI12" s="19">
        <v>3000</v>
      </c>
      <c r="AJ12" s="182">
        <f>('10'!AI12/24)*0.454</f>
        <v>56.75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250</v>
      </c>
      <c r="C13" s="184">
        <v>5</v>
      </c>
      <c r="D13" s="184">
        <v>5</v>
      </c>
      <c r="E13" s="184">
        <v>2.5</v>
      </c>
      <c r="F13" s="184">
        <v>67</v>
      </c>
      <c r="G13" s="184">
        <v>3.2</v>
      </c>
      <c r="H13" s="184">
        <v>2.2999999999999998</v>
      </c>
      <c r="I13" s="184">
        <v>1</v>
      </c>
      <c r="J13" s="184">
        <v>1.4</v>
      </c>
      <c r="K13" s="184">
        <v>7.3</v>
      </c>
      <c r="L13" s="184">
        <v>5.5</v>
      </c>
      <c r="M13" s="184">
        <v>5.5</v>
      </c>
      <c r="N13" s="184">
        <v>5</v>
      </c>
      <c r="O13" s="184">
        <v>3.5</v>
      </c>
      <c r="P13" s="184">
        <v>0.8</v>
      </c>
      <c r="Q13" s="186">
        <v>1.5</v>
      </c>
      <c r="R13" s="36">
        <f>'10'!Z17</f>
        <v>1613</v>
      </c>
      <c r="S13" s="35">
        <f>'10'!AB17</f>
        <v>107.29454247189213</v>
      </c>
      <c r="T13" s="36">
        <f>'10'!Y17</f>
        <v>2777</v>
      </c>
      <c r="U13" s="32" t="str">
        <f>IF('10'!AA17=1,'10'!AR6,'10'!AR7)</f>
        <v>S.A.L</v>
      </c>
      <c r="V13" s="938"/>
      <c r="W13" s="938"/>
      <c r="X13" s="13">
        <v>0.33333333333333298</v>
      </c>
      <c r="Y13" s="52">
        <v>2835</v>
      </c>
      <c r="Z13" s="254">
        <v>1613</v>
      </c>
      <c r="AA13" s="15">
        <v>1</v>
      </c>
      <c r="AB13" s="56">
        <f>IF('10'!AA13=1,(('10'!Z13*'10'!$AS$6*'10'!$AT$6)/('10'!Y13*0.0036)),IF('10'!AA13=2,(('10'!Z13*'10'!$AS$7*'10'!$AT$7)/('10'!Y13*0.0036))))</f>
        <v>105.09945130315501</v>
      </c>
      <c r="AC13" s="56"/>
      <c r="AD13" s="18">
        <f>(('10'!AC13*'10'!$Q$10*1000000))/('10'!Y13*3600)</f>
        <v>0</v>
      </c>
      <c r="AE13" s="181">
        <v>3500</v>
      </c>
      <c r="AF13" s="182">
        <f>('10'!AE13/24)*0.454</f>
        <v>66.208333333333343</v>
      </c>
      <c r="AG13" s="19">
        <v>500</v>
      </c>
      <c r="AH13" s="182">
        <f>('10'!AG13/24)*0.454</f>
        <v>9.4583333333333339</v>
      </c>
      <c r="AI13" s="19">
        <v>3000</v>
      </c>
      <c r="AJ13" s="182">
        <f>('10'!AI13/24)*0.454</f>
        <v>56.75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250</v>
      </c>
      <c r="C14" s="184">
        <v>5</v>
      </c>
      <c r="D14" s="184">
        <v>5</v>
      </c>
      <c r="E14" s="184">
        <v>2.5</v>
      </c>
      <c r="F14" s="184">
        <v>64</v>
      </c>
      <c r="G14" s="184">
        <v>2.9</v>
      </c>
      <c r="H14" s="184">
        <v>2.2999999999999998</v>
      </c>
      <c r="I14" s="184">
        <v>0.92</v>
      </c>
      <c r="J14" s="184">
        <v>1.6</v>
      </c>
      <c r="K14" s="184">
        <v>7.3</v>
      </c>
      <c r="L14" s="184">
        <v>5.5</v>
      </c>
      <c r="M14" s="184">
        <v>5.5</v>
      </c>
      <c r="N14" s="184">
        <v>5</v>
      </c>
      <c r="O14" s="184">
        <v>3.5</v>
      </c>
      <c r="P14" s="184">
        <v>0.7</v>
      </c>
      <c r="Q14" s="186">
        <v>1.7</v>
      </c>
      <c r="R14" s="36">
        <f>'10'!Z18</f>
        <v>1613</v>
      </c>
      <c r="S14" s="35">
        <f>'10'!AB19</f>
        <v>106.90956025993702</v>
      </c>
      <c r="T14" s="36">
        <f>'10'!Y19</f>
        <v>2787</v>
      </c>
      <c r="U14" s="32" t="str">
        <f>IF('10'!AA19=1,'10'!AR6,'10'!AR7)</f>
        <v>S.A.L</v>
      </c>
      <c r="V14" s="938"/>
      <c r="W14" s="938"/>
      <c r="X14" s="13">
        <v>0.375</v>
      </c>
      <c r="Y14" s="52">
        <v>2812</v>
      </c>
      <c r="Z14" s="254">
        <v>1613</v>
      </c>
      <c r="AA14" s="15">
        <v>1</v>
      </c>
      <c r="AB14" s="56">
        <f>IF('10'!AA14=1,(('10'!Z14*'10'!$AS$6*'10'!$AT$6)/('10'!Y14*0.0036)),IF('10'!AA14=2,(('10'!Z14*'10'!$AS$7*'10'!$AT$7)/('10'!Y14*0.0036))))</f>
        <v>105.9590840840841</v>
      </c>
      <c r="AC14" s="56"/>
      <c r="AD14" s="18">
        <f>(('10'!AC14*'10'!$Q$10*1000000))/('10'!Y14*3600)</f>
        <v>0</v>
      </c>
      <c r="AE14" s="181">
        <v>3500</v>
      </c>
      <c r="AF14" s="182">
        <f>('10'!AE14/24)*0.454</f>
        <v>66.208333333333343</v>
      </c>
      <c r="AG14" s="19">
        <v>500</v>
      </c>
      <c r="AH14" s="182">
        <f>('10'!AG14/24)*0.454</f>
        <v>9.4583333333333339</v>
      </c>
      <c r="AI14" s="19">
        <v>3000</v>
      </c>
      <c r="AJ14" s="182">
        <f>('10'!AI14/24)*0.454</f>
        <v>56.75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250</v>
      </c>
      <c r="C15" s="184">
        <v>5</v>
      </c>
      <c r="D15" s="184">
        <v>5</v>
      </c>
      <c r="E15" s="184">
        <v>2.5</v>
      </c>
      <c r="F15" s="184">
        <v>66</v>
      </c>
      <c r="G15" s="184">
        <v>3.6</v>
      </c>
      <c r="H15" s="184">
        <v>2.1</v>
      </c>
      <c r="I15" s="184">
        <v>0.9</v>
      </c>
      <c r="J15" s="184">
        <v>1.7</v>
      </c>
      <c r="K15" s="184">
        <v>7.3</v>
      </c>
      <c r="L15" s="184">
        <v>5.5</v>
      </c>
      <c r="M15" s="184">
        <v>5.5</v>
      </c>
      <c r="N15" s="184">
        <v>5</v>
      </c>
      <c r="O15" s="184">
        <v>3.5</v>
      </c>
      <c r="P15" s="184">
        <v>0.5</v>
      </c>
      <c r="Q15" s="186">
        <v>1.5</v>
      </c>
      <c r="R15" s="36">
        <f>'10'!Z19</f>
        <v>1613</v>
      </c>
      <c r="S15" s="35">
        <f>'10'!AB21</f>
        <v>129.43473193473196</v>
      </c>
      <c r="T15" s="36">
        <f>'10'!Y21</f>
        <v>2145</v>
      </c>
      <c r="U15" s="32" t="str">
        <f>IF('10'!AA21=1,'10'!AR6,'10'!AR7)</f>
        <v>S.A.L</v>
      </c>
      <c r="V15" s="938"/>
      <c r="W15" s="938"/>
      <c r="X15" s="13">
        <v>0.41666666666666702</v>
      </c>
      <c r="Y15" s="52">
        <v>2787</v>
      </c>
      <c r="Z15" s="254">
        <v>1613</v>
      </c>
      <c r="AA15" s="15">
        <v>1</v>
      </c>
      <c r="AB15" s="56">
        <f>IF('10'!AA15=1,(('10'!Z15*'10'!$AS$6*'10'!$AT$6)/('10'!Y15*0.0036)),IF('10'!AA15=2,(('10'!Z15*'10'!$AS$7*'10'!$AT$7)/('10'!Y15*0.0036))))</f>
        <v>106.90956025993702</v>
      </c>
      <c r="AC15" s="56"/>
      <c r="AD15" s="18">
        <f>(('10'!AC15*'10'!$Q$10*1000000))/('10'!Y15*3600)</f>
        <v>0</v>
      </c>
      <c r="AE15" s="181">
        <v>3500</v>
      </c>
      <c r="AF15" s="182">
        <f>('10'!AE15/24)*0.454</f>
        <v>66.208333333333343</v>
      </c>
      <c r="AG15" s="19">
        <v>500</v>
      </c>
      <c r="AH15" s="182">
        <f>('10'!AG15/24)*0.454</f>
        <v>9.4583333333333339</v>
      </c>
      <c r="AI15" s="19">
        <v>3000</v>
      </c>
      <c r="AJ15" s="182">
        <f>('10'!AI15/24)*0.454</f>
        <v>56.75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250</v>
      </c>
      <c r="C16" s="184">
        <v>5</v>
      </c>
      <c r="D16" s="184">
        <v>5</v>
      </c>
      <c r="E16" s="184">
        <v>2.5</v>
      </c>
      <c r="F16" s="184">
        <v>67</v>
      </c>
      <c r="G16" s="184">
        <v>4.8</v>
      </c>
      <c r="H16" s="184">
        <v>2</v>
      </c>
      <c r="I16" s="184">
        <v>0.9</v>
      </c>
      <c r="J16" s="184">
        <v>1.8</v>
      </c>
      <c r="K16" s="184">
        <v>7.3</v>
      </c>
      <c r="L16" s="184">
        <v>5.5</v>
      </c>
      <c r="M16" s="184">
        <v>5.8</v>
      </c>
      <c r="N16" s="184">
        <v>5.2</v>
      </c>
      <c r="O16" s="184">
        <v>3.5</v>
      </c>
      <c r="P16" s="184">
        <v>0.5</v>
      </c>
      <c r="Q16" s="186">
        <v>1.5</v>
      </c>
      <c r="R16" s="36">
        <f>'10'!Z20</f>
        <v>1503</v>
      </c>
      <c r="S16" s="35">
        <f>'10'!AB23</f>
        <v>103.17261241174285</v>
      </c>
      <c r="T16" s="36">
        <f>'10'!Y23</f>
        <v>2691</v>
      </c>
      <c r="U16" s="32" t="str">
        <f>IF('10'!AA23=1,'10'!AR6,'10'!AR7)</f>
        <v>S.A.L</v>
      </c>
      <c r="V16" s="938"/>
      <c r="W16" s="938"/>
      <c r="X16" s="13">
        <v>0.45833333333333298</v>
      </c>
      <c r="Y16" s="52">
        <v>2776</v>
      </c>
      <c r="Z16" s="254">
        <v>1613</v>
      </c>
      <c r="AA16" s="15">
        <v>1</v>
      </c>
      <c r="AB16" s="56">
        <f>IF('10'!AA16=1,(('10'!Z16*'10'!$AS$6*'10'!$AT$6)/('10'!Y16*0.0036)),IF('10'!AA16=2,(('10'!Z16*'10'!$AS$7*'10'!$AT$7)/('10'!Y16*0.0036))))</f>
        <v>107.33319324367596</v>
      </c>
      <c r="AC16" s="56"/>
      <c r="AD16" s="18">
        <f>(('10'!AC16*'10'!$Q$10*1000000))/('10'!Y16*3600)</f>
        <v>0</v>
      </c>
      <c r="AE16" s="181">
        <v>3500</v>
      </c>
      <c r="AF16" s="182">
        <f>('10'!AE16/24)*0.454</f>
        <v>66.208333333333343</v>
      </c>
      <c r="AG16" s="19">
        <v>500</v>
      </c>
      <c r="AH16" s="182">
        <f>('10'!AG16/24)*0.454</f>
        <v>9.4583333333333339</v>
      </c>
      <c r="AI16" s="19">
        <v>3000</v>
      </c>
      <c r="AJ16" s="182">
        <f>('10'!AI16/24)*0.454</f>
        <v>56.75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250</v>
      </c>
      <c r="C17" s="184">
        <v>5</v>
      </c>
      <c r="D17" s="184">
        <v>5</v>
      </c>
      <c r="E17" s="184">
        <v>2.5</v>
      </c>
      <c r="F17" s="184">
        <v>70</v>
      </c>
      <c r="G17" s="184">
        <v>4.2</v>
      </c>
      <c r="H17" s="184">
        <v>2.1</v>
      </c>
      <c r="I17" s="184">
        <v>1.3</v>
      </c>
      <c r="J17" s="184">
        <v>1.7</v>
      </c>
      <c r="K17" s="184">
        <v>7.3</v>
      </c>
      <c r="L17" s="184">
        <v>5.5</v>
      </c>
      <c r="M17" s="184">
        <v>5.8</v>
      </c>
      <c r="N17" s="184">
        <v>5.2</v>
      </c>
      <c r="O17" s="184">
        <v>3.7</v>
      </c>
      <c r="P17" s="184">
        <v>0.7</v>
      </c>
      <c r="Q17" s="186">
        <v>2</v>
      </c>
      <c r="R17" s="36">
        <f>'10'!Z21</f>
        <v>1503</v>
      </c>
      <c r="S17" s="35">
        <f>'10'!AB25</f>
        <v>101.29058737686977</v>
      </c>
      <c r="T17" s="36">
        <f>'10'!Y24</f>
        <v>2686</v>
      </c>
      <c r="U17" s="32" t="str">
        <f>IF('10'!AA25=1,'10'!AR6,'10'!AR7)</f>
        <v>S.A.L</v>
      </c>
      <c r="V17" s="939">
        <f>ESCALA!$C$12</f>
        <v>0</v>
      </c>
      <c r="W17" s="939"/>
      <c r="X17" s="13">
        <v>0.5</v>
      </c>
      <c r="Y17" s="52">
        <v>2777</v>
      </c>
      <c r="Z17" s="254">
        <v>1613</v>
      </c>
      <c r="AA17" s="15">
        <v>1</v>
      </c>
      <c r="AB17" s="56">
        <f>IF('10'!AA17=1,(('10'!Z17*'10'!$AS$6*'10'!$AT$6)/('10'!Y17*0.0036)),IF('10'!AA17=2,(('10'!Z17*'10'!$AS$7*'10'!$AT$7)/('10'!Y17*0.0036))))</f>
        <v>107.29454247189213</v>
      </c>
      <c r="AC17" s="56"/>
      <c r="AD17" s="18">
        <f>(('10'!AC17*'10'!$Q$10*1000000))/('10'!Y17*3600)</f>
        <v>0</v>
      </c>
      <c r="AE17" s="181">
        <v>3500</v>
      </c>
      <c r="AF17" s="182">
        <f>('10'!AE17/24)*0.454</f>
        <v>66.208333333333343</v>
      </c>
      <c r="AG17" s="19">
        <v>500</v>
      </c>
      <c r="AH17" s="182">
        <f>('10'!AG17/24)*0.454</f>
        <v>9.4583333333333339</v>
      </c>
      <c r="AI17" s="19">
        <v>3000</v>
      </c>
      <c r="AJ17" s="182">
        <f>('10'!AI17/24)*0.454</f>
        <v>56.75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250</v>
      </c>
      <c r="C18" s="184">
        <v>5</v>
      </c>
      <c r="D18" s="184">
        <v>5</v>
      </c>
      <c r="E18" s="184">
        <v>2.5</v>
      </c>
      <c r="F18" s="184">
        <v>76</v>
      </c>
      <c r="G18" s="184">
        <v>4.4000000000000004</v>
      </c>
      <c r="H18" s="184">
        <v>2.8</v>
      </c>
      <c r="I18" s="184">
        <v>1.6</v>
      </c>
      <c r="J18" s="184">
        <v>1.7</v>
      </c>
      <c r="K18" s="184">
        <v>7.3</v>
      </c>
      <c r="L18" s="184">
        <v>5.8</v>
      </c>
      <c r="M18" s="184">
        <v>5.8</v>
      </c>
      <c r="N18" s="184">
        <v>5.2</v>
      </c>
      <c r="O18" s="184">
        <v>3.7</v>
      </c>
      <c r="P18" s="184">
        <v>0.8</v>
      </c>
      <c r="Q18" s="186">
        <v>2</v>
      </c>
      <c r="R18" s="36">
        <f>'10'!Z27</f>
        <v>1503</v>
      </c>
      <c r="S18" s="35">
        <f>'10'!AB27</f>
        <v>101.06934838005098</v>
      </c>
      <c r="T18" s="36">
        <f>'10'!Y27</f>
        <v>2747</v>
      </c>
      <c r="U18" s="32" t="str">
        <f>IF('10'!AA27=1,'10'!AR6,'10'!AR7)</f>
        <v>S.A.L</v>
      </c>
      <c r="V18" s="939"/>
      <c r="W18" s="939"/>
      <c r="X18" s="13">
        <v>0.54166666666666696</v>
      </c>
      <c r="Y18" s="52">
        <v>2784</v>
      </c>
      <c r="Z18" s="254">
        <v>1613</v>
      </c>
      <c r="AA18" s="15">
        <v>1</v>
      </c>
      <c r="AB18" s="56">
        <f>IF('10'!AA18=1,(('10'!Z18*'10'!$AS$6*'10'!$AT$6)/('10'!Y18*0.0036)),IF('10'!AA18=2,(('10'!Z18*'10'!$AS$7*'10'!$AT$7)/('10'!Y18*0.0036))))</f>
        <v>107.0247645274585</v>
      </c>
      <c r="AC18" s="56"/>
      <c r="AD18" s="18">
        <f>(('10'!AC18*'10'!$Q$10*1000000))/('10'!Y18*3600)</f>
        <v>0</v>
      </c>
      <c r="AE18" s="181">
        <v>3500</v>
      </c>
      <c r="AF18" s="182">
        <f>('10'!AE18/24)*0.454</f>
        <v>66.208333333333343</v>
      </c>
      <c r="AG18" s="19">
        <v>500</v>
      </c>
      <c r="AH18" s="182">
        <f>('10'!AG18/24)*0.454</f>
        <v>9.4583333333333339</v>
      </c>
      <c r="AI18" s="19">
        <v>3000</v>
      </c>
      <c r="AJ18" s="182">
        <f>('10'!AI18/24)*0.454</f>
        <v>56.75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250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70.75</v>
      </c>
      <c r="G19" s="67">
        <f t="array" ref="G19">IF('10'!G7:G18&gt;0.01,AVERAGE('10'!G7:G18),"")</f>
        <v>3.186666666666667</v>
      </c>
      <c r="H19" s="67">
        <f t="array" ref="H19">IF('10'!H7:H18&gt;0.01,AVERAGE('10'!H7:H18),"")</f>
        <v>2.5375000000000001</v>
      </c>
      <c r="I19" s="67">
        <f t="array" ref="I19">IF('10'!I7:I18&gt;0.01,AVERAGE('10'!I7:I18),"")</f>
        <v>0.98750000000000016</v>
      </c>
      <c r="J19" s="67">
        <f t="array" ref="J19">IF('10'!J7:J18&gt;0.01,AVERAGE('10'!J7:J18),"")</f>
        <v>1.6183333333333332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5.5249999999999995</v>
      </c>
      <c r="M19" s="67">
        <f t="array" ref="M19">IF('10'!M7:M18&gt;0.01,AVERAGE('10'!M7:M18),"")</f>
        <v>5.5749999999999993</v>
      </c>
      <c r="N19" s="67">
        <f t="array" ref="N19">IF('10'!N7:N18&gt;0.01,AVERAGE('10'!N7:N18),"")</f>
        <v>5.0500000000000007</v>
      </c>
      <c r="O19" s="67">
        <f t="array" ref="O19">IF('10'!O7:O18&gt;0.01,AVERAGE('10'!O7:O18),"")</f>
        <v>3.4166666666666674</v>
      </c>
      <c r="P19" s="67">
        <f t="array" ref="P19">IF('10'!P7:P18&gt;0.01,AVERAGE('10'!P7:P18),"")</f>
        <v>0.94999999999999984</v>
      </c>
      <c r="Q19" s="67">
        <f t="array" ref="Q19">IF('10'!Q7:Q18&gt;0.01,AVERAGE('10'!Q7:Q18),"")</f>
        <v>1.825</v>
      </c>
      <c r="R19" s="67">
        <f t="array" ref="R19">IF('10'!R7:R18&gt;0.01,AVERAGE('10'!R7:R18),"")</f>
        <v>1631.8333333333333</v>
      </c>
      <c r="S19" s="67">
        <f t="array" ref="S19">IF('10'!S7:S18&gt;0.01,AVERAGE('10'!S7:S18),"")</f>
        <v>109.80379890037251</v>
      </c>
      <c r="T19" s="940"/>
      <c r="U19" s="940"/>
      <c r="V19" s="47"/>
      <c r="W19" s="48"/>
      <c r="X19" s="13">
        <v>0.58333333333333304</v>
      </c>
      <c r="Y19" s="52">
        <v>2787</v>
      </c>
      <c r="Z19" s="254">
        <v>1613</v>
      </c>
      <c r="AA19" s="15">
        <v>1</v>
      </c>
      <c r="AB19" s="56">
        <f>IF('10'!AA19=1,(('10'!Z19*'10'!$AS$6*'10'!$AT$6)/('10'!Y19*0.0036)),IF('10'!AA19=2,(('10'!Z19*'10'!$AS$7*'10'!$AT$7)/('10'!Y19*0.0036))))</f>
        <v>106.90956025993702</v>
      </c>
      <c r="AC19" s="56"/>
      <c r="AD19" s="18">
        <f>(('10'!AC19*'10'!$Q$10*1000000))/('10'!Y19*3600)</f>
        <v>0</v>
      </c>
      <c r="AE19" s="181">
        <v>3500</v>
      </c>
      <c r="AF19" s="182">
        <f>('10'!AE19/24)*0.454</f>
        <v>66.208333333333343</v>
      </c>
      <c r="AG19" s="19">
        <v>500</v>
      </c>
      <c r="AH19" s="182">
        <f>('10'!AG19/24)*0.454</f>
        <v>9.4583333333333339</v>
      </c>
      <c r="AI19" s="19">
        <v>3000</v>
      </c>
      <c r="AJ19" s="182">
        <f>('10'!AI19/24)*0.454</f>
        <v>56.75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250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80</v>
      </c>
      <c r="G20" s="67">
        <f>MAX('10'!G7:G18)</f>
        <v>4.8</v>
      </c>
      <c r="H20" s="67">
        <f>MAX('10'!H7:H18)</f>
        <v>5.2</v>
      </c>
      <c r="I20" s="67">
        <f>MAX('10'!I7:I18)</f>
        <v>1.6</v>
      </c>
      <c r="J20" s="67">
        <f>MAX('10'!J7:J18)</f>
        <v>1.8</v>
      </c>
      <c r="K20" s="67">
        <f>MAX('10'!K7:K18)</f>
        <v>7.3</v>
      </c>
      <c r="L20" s="67">
        <f>MAX('10'!L7:L18)</f>
        <v>5.8</v>
      </c>
      <c r="M20" s="67">
        <f>MAX('10'!M7:M18)</f>
        <v>5.8</v>
      </c>
      <c r="N20" s="67">
        <f>MAX('10'!N7:N18)</f>
        <v>5.2</v>
      </c>
      <c r="O20" s="68">
        <f>MAX('10'!O7:O18)</f>
        <v>3.7</v>
      </c>
      <c r="P20" s="68">
        <f>MAX('10'!P7:P18)</f>
        <v>1.8</v>
      </c>
      <c r="Q20" s="68">
        <f>MAX('10'!Q7:Q18)</f>
        <v>2.2000000000000002</v>
      </c>
      <c r="R20" s="68">
        <f>MAX('10'!R7:R18)</f>
        <v>1752</v>
      </c>
      <c r="S20" s="68">
        <f>MAX('10'!S7:S18)</f>
        <v>129.43473193473196</v>
      </c>
      <c r="T20" s="940"/>
      <c r="U20" s="940"/>
      <c r="X20" s="13">
        <v>0.625</v>
      </c>
      <c r="Y20" s="52">
        <v>2787</v>
      </c>
      <c r="Z20" s="254">
        <v>1503</v>
      </c>
      <c r="AA20" s="15">
        <v>1</v>
      </c>
      <c r="AB20" s="56">
        <f>IF('10'!AA20=1,(('10'!Z20*'10'!$AS$6*'10'!$AT$6)/('10'!Y20*0.0036)),IF('10'!AA20=2,(('10'!Z20*'10'!$AS$7*'10'!$AT$7)/('10'!Y20*0.0036))))</f>
        <v>99.618765697883035</v>
      </c>
      <c r="AC20" s="56"/>
      <c r="AD20" s="18">
        <f>(('10'!AC20*'10'!$Q$10*1000000))/('10'!Y20*3600)</f>
        <v>0</v>
      </c>
      <c r="AE20" s="181">
        <v>3500</v>
      </c>
      <c r="AF20" s="182">
        <f>('10'!AE20/24)*0.454</f>
        <v>66.208333333333343</v>
      </c>
      <c r="AG20" s="19">
        <v>500</v>
      </c>
      <c r="AH20" s="182">
        <f>('10'!AG20/24)*0.454</f>
        <v>9.4583333333333339</v>
      </c>
      <c r="AI20" s="19">
        <v>3000</v>
      </c>
      <c r="AJ20" s="182">
        <f>('10'!AI20/24)*0.454</f>
        <v>56.75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250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64</v>
      </c>
      <c r="G21" s="190">
        <f>MIN('10'!G7:G18)</f>
        <v>1.24</v>
      </c>
      <c r="H21" s="190">
        <f>MIN('10'!H7:H18)</f>
        <v>1.1499999999999999</v>
      </c>
      <c r="I21" s="190">
        <f>MIN('10'!I7:I18)</f>
        <v>0.81</v>
      </c>
      <c r="J21" s="190">
        <f>MIN('10'!J7:J18)</f>
        <v>1.38</v>
      </c>
      <c r="K21" s="190">
        <f>MIN('10'!K7:K18)</f>
        <v>7.3</v>
      </c>
      <c r="L21" s="190">
        <f>MIN('10'!L7:L18)</f>
        <v>5.5</v>
      </c>
      <c r="M21" s="190">
        <f>MIN('10'!M7:M18)</f>
        <v>5.5</v>
      </c>
      <c r="N21" s="190">
        <f>MIN('10'!N7:N18)</f>
        <v>5</v>
      </c>
      <c r="O21" s="191">
        <f>MIN('10'!O7:O18)</f>
        <v>3</v>
      </c>
      <c r="P21" s="191">
        <f>MIN('10'!P7:P18)</f>
        <v>0.5</v>
      </c>
      <c r="Q21" s="191">
        <f>MIN('10'!Q7:Q18)</f>
        <v>1.5</v>
      </c>
      <c r="R21" s="191">
        <f>MIN('10'!R7:R18)</f>
        <v>1503</v>
      </c>
      <c r="S21" s="191">
        <f>MIN('10'!S7:S18)</f>
        <v>101.06934838005098</v>
      </c>
      <c r="T21" s="940"/>
      <c r="U21" s="940"/>
      <c r="X21" s="13">
        <v>0.66666666666666696</v>
      </c>
      <c r="Y21" s="52">
        <v>2145</v>
      </c>
      <c r="Z21" s="254">
        <v>1503</v>
      </c>
      <c r="AA21" s="15">
        <v>1</v>
      </c>
      <c r="AB21" s="56">
        <f>IF('10'!AA21=1,(('10'!Z21*'10'!$AS$6*'10'!$AT$6)/('10'!Y21*0.0036)),IF('10'!AA21=2,(('10'!Z21*'10'!$AS$7*'10'!$AT$7)/('10'!Y21*0.0036))))</f>
        <v>129.43473193473196</v>
      </c>
      <c r="AC21" s="56"/>
      <c r="AD21" s="18">
        <f>(('10'!AC21*'10'!$Q$10*1000000))/('10'!Y21*3600)</f>
        <v>0</v>
      </c>
      <c r="AE21" s="181">
        <v>3500</v>
      </c>
      <c r="AF21" s="182">
        <f>('10'!AE21/24)*0.454</f>
        <v>66.208333333333343</v>
      </c>
      <c r="AG21" s="19">
        <v>500</v>
      </c>
      <c r="AH21" s="182">
        <f>('10'!AG21/24)*0.454</f>
        <v>9.4583333333333339</v>
      </c>
      <c r="AI21" s="19">
        <v>3000</v>
      </c>
      <c r="AJ21" s="182">
        <f>('10'!AI21/24)*0.454</f>
        <v>56.75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2689</v>
      </c>
      <c r="Z22" s="254">
        <v>1503</v>
      </c>
      <c r="AA22" s="15">
        <v>1</v>
      </c>
      <c r="AB22" s="56">
        <f>IF('10'!AA22=1,(('10'!Z22*'10'!$AS$6*'10'!$AT$6)/('10'!Y22*0.0036)),IF('10'!AA22=2,(('10'!Z22*'10'!$AS$7*'10'!$AT$7)/('10'!Y22*0.0036))))</f>
        <v>103.24934920044626</v>
      </c>
      <c r="AC22" s="56"/>
      <c r="AD22" s="18">
        <f>(('10'!AC22*'10'!$Q$10*1000000))/('10'!Y22*3600)</f>
        <v>0</v>
      </c>
      <c r="AE22" s="181">
        <v>3500</v>
      </c>
      <c r="AF22" s="182">
        <f>('10'!AE22/24)*0.454</f>
        <v>66.208333333333343</v>
      </c>
      <c r="AG22" s="19">
        <v>500</v>
      </c>
      <c r="AH22" s="182">
        <f>('10'!AG22/24)*0.454</f>
        <v>9.4583333333333339</v>
      </c>
      <c r="AI22" s="19">
        <v>3000</v>
      </c>
      <c r="AJ22" s="182">
        <f>('10'!AI22/24)*0.454</f>
        <v>56.75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2691</v>
      </c>
      <c r="Z23" s="254">
        <v>1503</v>
      </c>
      <c r="AA23" s="15">
        <v>1</v>
      </c>
      <c r="AB23" s="56">
        <f>IF('10'!AA23=1,(('10'!Z23*'10'!$AS$6*'10'!$AT$6)/('10'!Y23*0.0036)),IF('10'!AA23=2,(('10'!Z23*'10'!$AS$7*'10'!$AT$7)/('10'!Y23*0.0036))))</f>
        <v>103.17261241174285</v>
      </c>
      <c r="AC23" s="56"/>
      <c r="AD23" s="18">
        <f>(('10'!AC23*'10'!$Q$10*1000000))/('10'!Y23*3600)</f>
        <v>0</v>
      </c>
      <c r="AE23" s="181">
        <v>3500</v>
      </c>
      <c r="AF23" s="182">
        <f>('10'!AE23/24)*0.454</f>
        <v>66.208333333333343</v>
      </c>
      <c r="AG23" s="19">
        <v>500</v>
      </c>
      <c r="AH23" s="182">
        <f>('10'!AG23/24)*0.454</f>
        <v>9.4583333333333339</v>
      </c>
      <c r="AI23" s="19">
        <v>3000</v>
      </c>
      <c r="AJ23" s="182">
        <f>('10'!AI23/24)*0.454</f>
        <v>56.75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2686</v>
      </c>
      <c r="Z24" s="254">
        <v>1503</v>
      </c>
      <c r="AA24" s="15">
        <v>1</v>
      </c>
      <c r="AB24" s="16">
        <f>IF('10'!AA24=1,(('10'!Z24*'10'!$AS$6*'10'!$AT$6)/('10'!Y24*0.0036)),IF('10'!AA24=2,(('10'!Z24*'10'!$AS$7*'10'!$AT$7)/('10'!Y24*0.0036))))</f>
        <v>103.36466865227105</v>
      </c>
      <c r="AC24" s="16"/>
      <c r="AD24" s="192">
        <f>(('10'!AC24*'10'!$Q$10*1000000))/('10'!Y24*3600)</f>
        <v>0</v>
      </c>
      <c r="AE24" s="181">
        <v>3500</v>
      </c>
      <c r="AF24" s="193">
        <f>('10'!AE24/24)*0.454</f>
        <v>66.208333333333343</v>
      </c>
      <c r="AG24" s="19">
        <v>500</v>
      </c>
      <c r="AH24" s="193">
        <f>('10'!AG24/24)*0.454</f>
        <v>9.4583333333333339</v>
      </c>
      <c r="AI24" s="19">
        <v>3000</v>
      </c>
      <c r="AJ24" s="193">
        <f>('10'!AI24/24)*0.454</f>
        <v>56.75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2" t="s">
        <v>0</v>
      </c>
      <c r="U25" s="1043">
        <f>ESCALA!$A$12</f>
        <v>44326</v>
      </c>
      <c r="X25" s="13">
        <v>0.83333333333333304</v>
      </c>
      <c r="Y25" s="52">
        <v>2741</v>
      </c>
      <c r="Z25" s="254">
        <v>1503</v>
      </c>
      <c r="AA25" s="15">
        <v>1</v>
      </c>
      <c r="AB25" s="56">
        <f>IF('10'!AA25=1,(('10'!Z25*'10'!$AS$6*'10'!$AT$6)/('10'!Y25*0.0036)),IF('10'!AA25=2,(('10'!Z25*'10'!$AS$7*'10'!$AT$7)/('10'!Y25*0.0036))))</f>
        <v>101.29058737686977</v>
      </c>
      <c r="AC25" s="56"/>
      <c r="AD25" s="18">
        <f>(('10'!AC25*'10'!$Q$10*1000000))/('10'!Y25*3600)</f>
        <v>0</v>
      </c>
      <c r="AE25" s="181">
        <v>3500</v>
      </c>
      <c r="AF25" s="182">
        <f>('10'!AE25/24)*0.454</f>
        <v>66.208333333333343</v>
      </c>
      <c r="AG25" s="19">
        <v>500</v>
      </c>
      <c r="AH25" s="182">
        <f>('10'!AG25/24)*0.454</f>
        <v>9.4583333333333339</v>
      </c>
      <c r="AI25" s="19">
        <v>3000</v>
      </c>
      <c r="AJ25" s="182">
        <f>('10'!AI25/24)*0.454</f>
        <v>56.75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63" t="e">
        <f>#DIV/0!</f>
        <v>#DIV/0!</v>
      </c>
      <c r="S26" s="65"/>
      <c r="T26" s="1062"/>
      <c r="U26" s="1043"/>
      <c r="X26" s="13">
        <v>0.875</v>
      </c>
      <c r="Y26" s="52">
        <v>2708</v>
      </c>
      <c r="Z26" s="254">
        <v>1503</v>
      </c>
      <c r="AA26" s="15">
        <v>1</v>
      </c>
      <c r="AB26" s="56">
        <f>IF('10'!AA26=1,(('10'!Z26*'10'!$AS$6*'10'!$AT$6)/('10'!Y26*0.0036)),IF('10'!AA26=2,(('10'!Z26*'10'!$AS$7*'10'!$AT$7)/('10'!Y26*0.0036))))</f>
        <v>102.52492614475629</v>
      </c>
      <c r="AC26" s="56"/>
      <c r="AD26" s="18">
        <f>(('10'!AC26*'10'!$Q$10*1000000))/('10'!Y26*3600)</f>
        <v>0</v>
      </c>
      <c r="AE26" s="181">
        <v>3500</v>
      </c>
      <c r="AF26" s="182">
        <f>('10'!AE26/24)*0.454</f>
        <v>66.208333333333343</v>
      </c>
      <c r="AG26" s="19">
        <v>500</v>
      </c>
      <c r="AH26" s="182">
        <f>('10'!AG26/24)*0.454</f>
        <v>9.4583333333333339</v>
      </c>
      <c r="AI26" s="19">
        <v>3000</v>
      </c>
      <c r="AJ26" s="182">
        <f>('10'!AI26/24)*0.454</f>
        <v>56.75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 t="e">
        <f>AVERAGE('10'!C25,'10'!C26)</f>
        <v>#DIV/0!</v>
      </c>
      <c r="D27" s="67" t="e">
        <f>AVERAGE('10'!D25,'10'!D26)</f>
        <v>#DIV/0!</v>
      </c>
      <c r="E27" s="67" t="e">
        <f>AVERAGE('10'!E25,'10'!E26)</f>
        <v>#DIV/0!</v>
      </c>
      <c r="F27" s="67" t="e">
        <f>AVERAGE('10'!F25,'10'!F26)</f>
        <v>#DIV/0!</v>
      </c>
      <c r="G27" s="67" t="e">
        <f>AVERAGE('10'!G25,'10'!G26)</f>
        <v>#DIV/0!</v>
      </c>
      <c r="H27" s="67" t="e">
        <f>AVERAGE('10'!H25,'10'!H26)</f>
        <v>#DIV/0!</v>
      </c>
      <c r="I27" s="67" t="e">
        <f>AVERAGE('10'!I25,'10'!I26)</f>
        <v>#DIV/0!</v>
      </c>
      <c r="J27" s="67" t="e">
        <f>AVERAGE('10'!J25,'10'!J26)</f>
        <v>#DIV/0!</v>
      </c>
      <c r="K27" s="67" t="e">
        <f>AVERAGE('10'!K25,'10'!K26)</f>
        <v>#DIV/0!</v>
      </c>
      <c r="L27" s="67" t="e">
        <f>AVERAGE('10'!L25,'10'!L26)</f>
        <v>#DIV/0!</v>
      </c>
      <c r="M27" s="67" t="e">
        <f>AVERAGE('10'!M25,'10'!M26)</f>
        <v>#DIV/0!</v>
      </c>
      <c r="N27" s="67" t="e">
        <f>AVERAGE('10'!N25,'10'!N26)</f>
        <v>#DIV/0!</v>
      </c>
      <c r="O27" s="67" t="e">
        <f>AVERAGE('10'!O25,'10'!O26)</f>
        <v>#DIV/0!</v>
      </c>
      <c r="P27" s="67" t="e">
        <f>AVERAGE('10'!P25,'10'!P26)</f>
        <v>#DIV/0!</v>
      </c>
      <c r="Q27" s="67" t="e">
        <f>AVERAGE('10'!Q25,'10'!Q26)</f>
        <v>#DIV/0!</v>
      </c>
      <c r="R27" s="1018"/>
      <c r="S27" s="1018"/>
      <c r="T27" s="1018"/>
      <c r="U27" s="72"/>
      <c r="X27" s="13">
        <v>0.91666666666666696</v>
      </c>
      <c r="Y27" s="52">
        <v>2747</v>
      </c>
      <c r="Z27" s="254">
        <v>1503</v>
      </c>
      <c r="AA27" s="15">
        <v>1</v>
      </c>
      <c r="AB27" s="56">
        <f>IF('10'!AA27=1,(('10'!Z27*'10'!$AS$6*'10'!$AT$6)/('10'!Y27*0.0036)),IF('10'!AA27=2,(('10'!Z27*'10'!$AS$7*'10'!$AT$7)/('10'!Y27*0.0036))))</f>
        <v>101.06934838005098</v>
      </c>
      <c r="AC27" s="56"/>
      <c r="AD27" s="18">
        <f>(('10'!AC27*'10'!$Q$10*1000000))/('10'!Y27*3600)</f>
        <v>0</v>
      </c>
      <c r="AE27" s="181">
        <v>3500</v>
      </c>
      <c r="AF27" s="182">
        <f>('10'!AE27/24)*0.454</f>
        <v>66.208333333333343</v>
      </c>
      <c r="AG27" s="19">
        <v>500</v>
      </c>
      <c r="AH27" s="182">
        <f>('10'!AG27/24)*0.454</f>
        <v>9.4583333333333339</v>
      </c>
      <c r="AI27" s="19">
        <v>3000</v>
      </c>
      <c r="AJ27" s="182">
        <f>('10'!AI27/24)*0.454</f>
        <v>56.75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6" t="s">
        <v>133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2852</v>
      </c>
      <c r="Z28" s="254">
        <v>1613</v>
      </c>
      <c r="AA28" s="15">
        <v>1</v>
      </c>
      <c r="AB28" s="56">
        <f>IF('10'!AA28=1,(('10'!Z28*'10'!$AS$6*'10'!$AT$6)/('10'!Y28*0.0036)),IF('10'!AA28=2,(('10'!Z28*'10'!$AS$7*'10'!$AT$7)/('10'!Y28*0.0036))))</f>
        <v>104.47298192301699</v>
      </c>
      <c r="AC28" s="56"/>
      <c r="AD28" s="18">
        <f>(('10'!AC28*'10'!$Q$10*1000000))/('10'!Y28*3600)</f>
        <v>0</v>
      </c>
      <c r="AE28" s="181">
        <v>3500</v>
      </c>
      <c r="AF28" s="182">
        <f>('10'!AE28/24)*0.454</f>
        <v>66.208333333333343</v>
      </c>
      <c r="AG28" s="19">
        <v>500</v>
      </c>
      <c r="AH28" s="182">
        <f>('10'!AG28/24)*0.454</f>
        <v>9.4583333333333339</v>
      </c>
      <c r="AI28" s="19">
        <v>3000</v>
      </c>
      <c r="AJ28" s="182">
        <f>('10'!AI28/24)*0.454</f>
        <v>56.75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2812</v>
      </c>
      <c r="Z29" s="254">
        <v>1613</v>
      </c>
      <c r="AA29" s="15">
        <v>1</v>
      </c>
      <c r="AB29" s="56">
        <f>IF('10'!AA29=1,(('10'!Z29*'10'!$AS$6*'10'!$AT$6)/('10'!Y29*0.0036)),IF('10'!AA29=2,(('10'!Z29*'10'!$AS$7*'10'!$AT$7)/('10'!Y29*0.0036))))</f>
        <v>105.9590840840841</v>
      </c>
      <c r="AC29" s="56"/>
      <c r="AD29" s="18">
        <f>(('10'!AC29*'10'!$Q$10*1000000))/('10'!Y29*3600)</f>
        <v>0</v>
      </c>
      <c r="AE29" s="181">
        <v>3500</v>
      </c>
      <c r="AF29" s="182">
        <f>('10'!AE29/24)*0.454</f>
        <v>66.208333333333343</v>
      </c>
      <c r="AG29" s="19">
        <v>500</v>
      </c>
      <c r="AH29" s="182">
        <f>('10'!AG29/24)*0.454</f>
        <v>9.4583333333333339</v>
      </c>
      <c r="AI29" s="19">
        <v>3000</v>
      </c>
      <c r="AJ29" s="182">
        <f>('10'!AI29/24)*0.454</f>
        <v>56.75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SUM('10'!Y6:Y29)*3.6</f>
        <v>238788</v>
      </c>
      <c r="Z30" s="80">
        <f>SUM('10'!Z6:Z29)</f>
        <v>38805</v>
      </c>
      <c r="AA30" s="76"/>
      <c r="AB30" s="77"/>
      <c r="AC30" s="76"/>
      <c r="AD30" s="77"/>
      <c r="AE30" s="33"/>
      <c r="AF30" s="182">
        <f>SUM('10'!AF6:AF29)</f>
        <v>1588.9999999999998</v>
      </c>
      <c r="AG30" s="33"/>
      <c r="AH30" s="182">
        <f>SUM('10'!AH6:AH29)</f>
        <v>227.00000000000009</v>
      </c>
      <c r="AI30" s="33"/>
      <c r="AJ30" s="182">
        <f>SUM('10'!AJ6:AJ29)</f>
        <v>1362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SUMIF('10'!AA6:AA29,"=1",'10'!Z6:Z29)</f>
        <v>38805</v>
      </c>
      <c r="AA32" s="80">
        <f>'10'!Z32*'10'!AS6</f>
        <v>51610.65</v>
      </c>
      <c r="AB32" s="81">
        <f>SUMIF('10'!$AA$6:$AA$29,"=1",'10'!$AB$6:$AB$29)/COUNTIF('10'!$AA$6:$AA$29,"=1")</f>
        <v>108.21263984155814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AVERAGE('10'!Y6:Y29)</f>
        <v>2763.75</v>
      </c>
      <c r="Z34" s="94">
        <f>AVERAGE('10'!Z6:Z29)</f>
        <v>1616.875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66.208333333333329</v>
      </c>
      <c r="AG34" s="96"/>
      <c r="AH34" s="96">
        <f>AVERAGE('10'!AH6:AH29)</f>
        <v>9.4583333333333375</v>
      </c>
      <c r="AI34" s="96"/>
      <c r="AJ34" s="96">
        <f>'10'!AJ30/24</f>
        <v>56.75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0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59.8</v>
      </c>
      <c r="D37" s="184">
        <v>5</v>
      </c>
      <c r="E37" s="184">
        <v>3</v>
      </c>
      <c r="F37" s="184">
        <v>3.4</v>
      </c>
      <c r="G37" s="181">
        <v>0.2</v>
      </c>
      <c r="H37" s="181">
        <v>0.2</v>
      </c>
      <c r="I37" s="181">
        <v>0.2</v>
      </c>
      <c r="J37" s="181">
        <v>0.1</v>
      </c>
      <c r="K37" s="181">
        <v>0.1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63">
        <f>'10'!V12</f>
        <v>0</v>
      </c>
      <c r="X37" s="956" t="s">
        <v>75</v>
      </c>
      <c r="Y37" s="956"/>
      <c r="Z37" s="108">
        <f>COUNTA('10'!Z6:Z29)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1815.9999999999998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1362</v>
      </c>
      <c r="AQ38" s="208" t="s">
        <v>78</v>
      </c>
      <c r="AR38" s="210">
        <f>'10'!AP30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7.6050722816891962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5.7038042112668981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SUM('10'!AK38,'10'!AM38)</f>
        <v>1815.9999999999998</v>
      </c>
      <c r="AM40" s="969"/>
      <c r="AO40" s="970" t="s">
        <v>90</v>
      </c>
      <c r="AP40" s="970"/>
      <c r="AQ40" s="971">
        <f>SUM('10'!AP38,'10'!AR38)</f>
        <v>1362</v>
      </c>
      <c r="AR40" s="971"/>
    </row>
    <row r="41" spans="1:44" ht="16.5" customHeight="1">
      <c r="A41" s="131">
        <f>COUNTA('10'!E7:E18)</f>
        <v>12</v>
      </c>
      <c r="B41" s="132">
        <f>COUNTA('10'!I7:I18)</f>
        <v>12</v>
      </c>
      <c r="C41" s="972">
        <f>COUNTA('10'!J7:J18)</f>
        <v>12</v>
      </c>
      <c r="D41" s="972">
        <f>COUNTA('10'!K7:K18)</f>
        <v>12</v>
      </c>
      <c r="E41" s="972">
        <f>COUNTIF('10'!E7:E18,"&gt;15")</f>
        <v>0</v>
      </c>
      <c r="F41" s="972"/>
      <c r="G41" s="972">
        <f>COUNTIF('10'!J7:J18,"&gt;1")</f>
        <v>12</v>
      </c>
      <c r="H41" s="972"/>
      <c r="I41" s="133"/>
      <c r="J41" s="972">
        <f>'10'!A41-'10'!E41</f>
        <v>12</v>
      </c>
      <c r="K41" s="972"/>
      <c r="L41" s="972">
        <f>'10'!C41-'10'!G41</f>
        <v>0</v>
      </c>
      <c r="M41" s="972"/>
      <c r="N41" s="133"/>
      <c r="O41" s="973">
        <f>COUNTIF('10'!J7:J18,"&lt;=0,5")</f>
        <v>0</v>
      </c>
      <c r="P41" s="973"/>
      <c r="Q41" s="973"/>
      <c r="R41" s="963"/>
      <c r="S41" s="974">
        <f>COUNTIF('10'!J7:J18,"&lt;=1,0")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SUM(('10'!AK38+'10'!AM38)/'10'!Y30)*1000</f>
        <v>7.6050722816891962</v>
      </c>
      <c r="AM41" s="975"/>
      <c r="AO41" s="970" t="s">
        <v>91</v>
      </c>
      <c r="AP41" s="970"/>
      <c r="AQ41" s="975">
        <f>SUM(('10'!AP38+'10'!AR38)/'10'!Y30)*1000</f>
        <v>5.7038042112668981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134</v>
      </c>
      <c r="Z44" s="142" t="s">
        <v>101</v>
      </c>
      <c r="AA44" s="143">
        <v>0</v>
      </c>
      <c r="AB44" s="142" t="s">
        <v>101</v>
      </c>
      <c r="AC44" s="143">
        <v>60</v>
      </c>
      <c r="AD44" s="982"/>
      <c r="AE44" s="982"/>
      <c r="AF44" s="983" t="s">
        <v>102</v>
      </c>
      <c r="AG44" s="984">
        <f>SUM('10'!Y45,'10'!AA45,'10'!AC45,'10'!AE45)</f>
        <v>165552.20000000001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COUNTIF('10'!I7:I18,"&lt;=5,0")</f>
        <v>12</v>
      </c>
      <c r="I45" s="986"/>
      <c r="J45" s="986"/>
      <c r="K45" s="133"/>
      <c r="L45" s="968">
        <f>COUNTA('10'!L37)</f>
        <v>1</v>
      </c>
      <c r="M45" s="968"/>
      <c r="O45" s="144"/>
      <c r="P45" s="145"/>
      <c r="Q45" s="987">
        <f>'10'!S41-'10'!O41</f>
        <v>0</v>
      </c>
      <c r="R45" s="987"/>
      <c r="S45" s="987"/>
      <c r="T45" s="146"/>
      <c r="X45" s="147" t="s">
        <v>104</v>
      </c>
      <c r="Y45" s="148">
        <f>'10'!Y44*275.3</f>
        <v>36890.200000000004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16662</v>
      </c>
      <c r="AD45" s="147" t="s">
        <v>104</v>
      </c>
      <c r="AE45" s="149">
        <v>112000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89" t="s">
        <v>106</v>
      </c>
      <c r="AG46" s="990">
        <f>SUM('10'!Y47,'10'!AA47,'10'!AC47,'10'!AE47)</f>
        <v>220184.42600000001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'10'!Y45*'10'!Y46</f>
        <v>49063.966000000008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22160.460000000003</v>
      </c>
      <c r="AD47" s="147" t="s">
        <v>108</v>
      </c>
      <c r="AE47" s="148">
        <f>'10'!AE45*'10'!AE46</f>
        <v>148960</v>
      </c>
      <c r="AF47" s="989"/>
      <c r="AG47" s="990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COUNTA('10'!O7:O18)</f>
        <v>12</v>
      </c>
      <c r="P51" s="968">
        <f>COUNTA('10'!W17:W28)</f>
        <v>0</v>
      </c>
      <c r="R51" s="986">
        <f>COUNTIF('10'!O7:O18,"&gt;=0,5")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SUM('10'!Y53,'10'!AA53,'10'!AC53,'10'!AE53)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'10'!AS7</f>
        <v>1.262</v>
      </c>
      <c r="Z54" s="151" t="s">
        <v>105</v>
      </c>
      <c r="AA54" s="153">
        <f>'10'!Y54</f>
        <v>1.262</v>
      </c>
      <c r="AB54" s="151" t="s">
        <v>105</v>
      </c>
      <c r="AC54" s="153">
        <f>'10'!Y54</f>
        <v>1.262</v>
      </c>
      <c r="AD54" s="151" t="s">
        <v>105</v>
      </c>
      <c r="AE54" s="154">
        <f>'10'!Y54</f>
        <v>1.262</v>
      </c>
      <c r="AF54" s="989" t="s">
        <v>106</v>
      </c>
      <c r="AG54" s="990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89"/>
      <c r="AG55" s="990"/>
      <c r="AI55" s="151" t="s">
        <v>105</v>
      </c>
      <c r="AJ55" s="152">
        <f>'10'!Y54</f>
        <v>1.262</v>
      </c>
      <c r="AK55" s="151" t="s">
        <v>105</v>
      </c>
      <c r="AL55" s="152">
        <f>'10'!AJ55</f>
        <v>1.262</v>
      </c>
      <c r="AM55" s="151" t="s">
        <v>105</v>
      </c>
      <c r="AN55" s="152">
        <f>'10'!AJ55</f>
        <v>1.262</v>
      </c>
      <c r="AO55" s="988"/>
      <c r="AP55" s="988"/>
      <c r="AQ55" s="988"/>
      <c r="AR55" s="988"/>
    </row>
    <row r="56" spans="15:44" ht="13.9" customHeight="1">
      <c r="O56" s="992"/>
      <c r="P56" s="992"/>
      <c r="R56" s="993"/>
      <c r="S56" s="993"/>
      <c r="T56" s="993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88"/>
      <c r="AP56" s="988"/>
      <c r="AQ56" s="988"/>
      <c r="AR56" s="988"/>
    </row>
    <row r="57" spans="15:44" ht="15.75" customHeight="1">
      <c r="O57" s="997">
        <f>COUNTA('10'!N7:N18)</f>
        <v>12</v>
      </c>
      <c r="P57" s="997"/>
      <c r="R57" s="998">
        <f>COUNTIF('10'!N7:N18,"&gt;=6")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'10'!AJ56+'10'!AL56+'10'!AN56</f>
        <v>0</v>
      </c>
      <c r="AM61" s="1005"/>
      <c r="AN61" s="1004" t="s">
        <v>121</v>
      </c>
      <c r="AO61" s="1004"/>
      <c r="AP61" s="1004"/>
      <c r="AQ61" s="1005">
        <f>'10'!AJ49+'10'!AL49+'10'!AN49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'10'!AA32</f>
        <v>51610.65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/>
      <c r="AI63" s="1004" t="s">
        <v>125</v>
      </c>
      <c r="AJ63" s="1004"/>
      <c r="AK63" s="1004"/>
      <c r="AL63" s="1005">
        <f>'10'!AL61-'10'!AL62</f>
        <v>0</v>
      </c>
      <c r="AM63" s="1005"/>
      <c r="AN63" s="1004" t="s">
        <v>125</v>
      </c>
      <c r="AO63" s="1004"/>
      <c r="AP63" s="1004"/>
      <c r="AQ63" s="1005">
        <f>AQ61-AQ62</f>
        <v>-51610.65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  <c r="AE64" s="47"/>
    </row>
    <row r="65" spans="24:29" ht="39" customHeight="1">
      <c r="X65" s="172" t="s">
        <v>126</v>
      </c>
      <c r="Y65" s="215">
        <f>'9'!$Y$68</f>
        <v>-6299.25</v>
      </c>
      <c r="Z65" s="1007"/>
      <c r="AA65" s="1007"/>
      <c r="AB65" s="174" t="s">
        <v>126</v>
      </c>
      <c r="AC65" s="238">
        <f>'9'!$AC$68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SUM('10'!AK38,'10'!AP38)</f>
        <v>3178</v>
      </c>
      <c r="Z67" s="1007"/>
      <c r="AA67" s="1007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-9477.25</v>
      </c>
      <c r="Z68" s="1007"/>
      <c r="AA68" s="1007"/>
      <c r="AB68" s="170" t="s">
        <v>128</v>
      </c>
      <c r="AC68" s="178">
        <f>SUM('10'!AC63,'10'!AC65)-'10'!AC67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W1" zoomScaleNormal="100" workbookViewId="0">
      <selection activeCell="I15" sqref="I1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63" t="s">
        <v>5</v>
      </c>
      <c r="E2" s="1063"/>
      <c r="F2" s="1063"/>
      <c r="G2" s="1063"/>
      <c r="H2" s="1063"/>
      <c r="I2" s="1063"/>
      <c r="J2" s="1063"/>
      <c r="K2" s="1063"/>
      <c r="L2" s="1063"/>
      <c r="M2" s="1063"/>
      <c r="N2" s="1063"/>
      <c r="O2" s="1063"/>
      <c r="P2" s="1063"/>
      <c r="Q2" s="1063"/>
      <c r="R2" s="1063"/>
      <c r="S2" s="1063"/>
      <c r="T2" s="1063"/>
      <c r="U2" s="1063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63"/>
      <c r="E3" s="1063"/>
      <c r="F3" s="1063"/>
      <c r="G3" s="1063"/>
      <c r="H3" s="1063"/>
      <c r="I3" s="1063"/>
      <c r="J3" s="1063"/>
      <c r="K3" s="1063"/>
      <c r="L3" s="1063"/>
      <c r="M3" s="1063"/>
      <c r="N3" s="1063"/>
      <c r="O3" s="1063"/>
      <c r="P3" s="1063"/>
      <c r="Q3" s="1063"/>
      <c r="R3" s="1063"/>
      <c r="S3" s="1063"/>
      <c r="T3" s="1063"/>
      <c r="U3" s="1063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34" t="s">
        <v>13</v>
      </c>
      <c r="U4" s="102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34"/>
      <c r="U5" s="102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2"/>
      <c r="V6" s="926"/>
      <c r="W6" s="926"/>
      <c r="X6" s="13">
        <v>4.1666666666666699E-2</v>
      </c>
      <c r="Y6" s="171">
        <v>2779</v>
      </c>
      <c r="Z6" s="180">
        <v>1613</v>
      </c>
      <c r="AA6" s="15"/>
      <c r="AB6" s="56" t="b">
        <f>IF('11'!AA6=1,(('11'!Z6*'11'!$AS$6*'11'!$AT$6)/('11'!Y6*0.0036)),IF('11'!AA6=2,(('11'!Z6*'11'!$AS$7*'11'!$AT$7)/('11'!Y6*0.0036))))</f>
        <v>0</v>
      </c>
      <c r="AC6" s="56"/>
      <c r="AD6" s="18">
        <f>(('11'!AC6*'11'!$Q$10*1000000))/('11'!Y6*3600)</f>
        <v>0</v>
      </c>
      <c r="AE6" s="181">
        <v>3500</v>
      </c>
      <c r="AF6" s="182">
        <f>('11'!AE6/24)*0.454</f>
        <v>66.208333333333343</v>
      </c>
      <c r="AG6" s="19">
        <v>500</v>
      </c>
      <c r="AH6" s="182">
        <f>('11'!AG6/24)*0.454</f>
        <v>9.4583333333333339</v>
      </c>
      <c r="AI6" s="264">
        <v>3000</v>
      </c>
      <c r="AJ6" s="182">
        <f>('11'!AI6/24)*0.454</f>
        <v>56.75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250</v>
      </c>
      <c r="C7" s="184">
        <v>5</v>
      </c>
      <c r="D7" s="184">
        <v>5</v>
      </c>
      <c r="E7" s="184">
        <v>2.5</v>
      </c>
      <c r="F7" s="184">
        <v>77</v>
      </c>
      <c r="G7" s="184">
        <v>4</v>
      </c>
      <c r="H7" s="184">
        <v>2.2000000000000002</v>
      </c>
      <c r="I7" s="184">
        <v>1.6</v>
      </c>
      <c r="J7" s="184">
        <v>1.9</v>
      </c>
      <c r="K7" s="184">
        <v>7.3</v>
      </c>
      <c r="L7" s="184">
        <v>5.8</v>
      </c>
      <c r="M7" s="184">
        <v>5.8</v>
      </c>
      <c r="N7" s="184">
        <v>5.2</v>
      </c>
      <c r="O7" s="184">
        <v>3.5</v>
      </c>
      <c r="P7" s="184">
        <v>8</v>
      </c>
      <c r="Q7" s="186">
        <v>2</v>
      </c>
      <c r="R7" s="36">
        <f>'10'!$Z$29</f>
        <v>1613</v>
      </c>
      <c r="S7" s="185">
        <f>'10'!$AB$29</f>
        <v>105.9590840840841</v>
      </c>
      <c r="T7" s="36">
        <f>'10'!$Y$29</f>
        <v>2812</v>
      </c>
      <c r="U7" s="32" t="str">
        <f>IF('11'!AA6=1,'11'!AR6,'11'!AR7)</f>
        <v>PAC 18</v>
      </c>
      <c r="V7" s="1016">
        <f>ESCALA!$C$12</f>
        <v>0</v>
      </c>
      <c r="W7" s="1016"/>
      <c r="X7" s="13">
        <v>8.3333333333333301E-2</v>
      </c>
      <c r="Y7" s="171">
        <v>2734</v>
      </c>
      <c r="Z7" s="180">
        <v>1613</v>
      </c>
      <c r="AA7" s="15">
        <v>1</v>
      </c>
      <c r="AB7" s="56">
        <f>IF('11'!AA7=1,(('11'!Z7*'11'!$AS$6*'11'!$AT$6)/('11'!Y7*0.0036)),IF('11'!AA7=2,(('11'!Z7*'11'!$AS$7*'11'!$AT$7)/('11'!Y7*0.0036))))</f>
        <v>108.98205722181582</v>
      </c>
      <c r="AC7" s="56"/>
      <c r="AD7" s="18">
        <f>(('11'!AC7*'11'!$Q$10*1000000))/('11'!Y7*3600)</f>
        <v>0</v>
      </c>
      <c r="AE7" s="181">
        <v>3500</v>
      </c>
      <c r="AF7" s="182">
        <f>('11'!AE7/24)*0.454</f>
        <v>66.208333333333343</v>
      </c>
      <c r="AG7" s="19">
        <v>500</v>
      </c>
      <c r="AH7" s="182">
        <f>('11'!AG7/24)*0.454</f>
        <v>9.4583333333333339</v>
      </c>
      <c r="AI7" s="264">
        <v>3000</v>
      </c>
      <c r="AJ7" s="182">
        <f>('11'!AI7/24)*0.454</f>
        <v>56.75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250</v>
      </c>
      <c r="C8" s="184">
        <v>5</v>
      </c>
      <c r="D8" s="184">
        <v>5</v>
      </c>
      <c r="E8" s="184">
        <v>2.5</v>
      </c>
      <c r="F8" s="184">
        <v>70</v>
      </c>
      <c r="G8" s="184">
        <v>3.8</v>
      </c>
      <c r="H8" s="184">
        <v>1.9</v>
      </c>
      <c r="I8" s="184">
        <v>1.7</v>
      </c>
      <c r="J8" s="184">
        <v>1.9</v>
      </c>
      <c r="K8" s="184">
        <v>7.3</v>
      </c>
      <c r="L8" s="184">
        <v>5.8</v>
      </c>
      <c r="M8" s="184">
        <v>5.8</v>
      </c>
      <c r="N8" s="184">
        <v>5.2</v>
      </c>
      <c r="O8" s="184">
        <v>3.5</v>
      </c>
      <c r="P8" s="184">
        <v>0.8</v>
      </c>
      <c r="Q8" s="186">
        <v>1.5</v>
      </c>
      <c r="R8" s="34">
        <f>'11'!Z7</f>
        <v>1613</v>
      </c>
      <c r="S8" s="35">
        <f>'11'!AB7</f>
        <v>108.98205722181582</v>
      </c>
      <c r="T8" s="36">
        <f>'11'!Y7</f>
        <v>2734</v>
      </c>
      <c r="U8" s="32" t="str">
        <f>IF('11'!AA7=1,'11'!AR6,'11'!AR7)</f>
        <v>S.A.L</v>
      </c>
      <c r="V8" s="1016"/>
      <c r="W8" s="1016"/>
      <c r="X8" s="13">
        <v>0.125</v>
      </c>
      <c r="Y8" s="171">
        <v>2768</v>
      </c>
      <c r="Z8" s="180">
        <v>1613</v>
      </c>
      <c r="AA8" s="15"/>
      <c r="AB8" s="56" t="b">
        <f>IF('11'!AA8=1,(('11'!Z8*'11'!$AS$6*'11'!$AT$6)/('11'!Y8*0.0036)),IF('11'!AA8=2,(('11'!Z8*'11'!$AS$7*'11'!$AT$7)/('11'!Y8*0.0036))))</f>
        <v>0</v>
      </c>
      <c r="AC8" s="56"/>
      <c r="AD8" s="18">
        <f>(('11'!AC8*'11'!$Q$10*1000000))/('11'!Y8*3600)</f>
        <v>0</v>
      </c>
      <c r="AE8" s="181">
        <v>3500</v>
      </c>
      <c r="AF8" s="182">
        <f>('11'!AE8/24)*0.454</f>
        <v>66.208333333333343</v>
      </c>
      <c r="AG8" s="19">
        <v>500</v>
      </c>
      <c r="AH8" s="182">
        <f>('11'!AG8/24)*0.454</f>
        <v>9.4583333333333339</v>
      </c>
      <c r="AI8" s="264">
        <v>3000</v>
      </c>
      <c r="AJ8" s="182">
        <f>('11'!AI8/24)*0.454</f>
        <v>56.75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250</v>
      </c>
      <c r="C9" s="184">
        <v>5</v>
      </c>
      <c r="D9" s="184">
        <v>5</v>
      </c>
      <c r="E9" s="184">
        <v>2.5</v>
      </c>
      <c r="F9" s="184">
        <v>66</v>
      </c>
      <c r="G9" s="184">
        <v>3.7</v>
      </c>
      <c r="H9" s="184">
        <v>1.6</v>
      </c>
      <c r="I9" s="184">
        <v>1.4</v>
      </c>
      <c r="J9" s="184">
        <v>2</v>
      </c>
      <c r="K9" s="184">
        <v>7.3</v>
      </c>
      <c r="L9" s="184">
        <v>5.8</v>
      </c>
      <c r="M9" s="184">
        <v>5.8</v>
      </c>
      <c r="N9" s="184">
        <v>5.2</v>
      </c>
      <c r="O9" s="184">
        <v>3.5</v>
      </c>
      <c r="P9" s="184">
        <v>0.8</v>
      </c>
      <c r="Q9" s="186">
        <v>1.5</v>
      </c>
      <c r="R9" s="36">
        <f>'11'!Z9</f>
        <v>1613</v>
      </c>
      <c r="S9" s="35">
        <f>'11'!AB9</f>
        <v>108.5058064255078</v>
      </c>
      <c r="T9" s="36">
        <f>'11'!Y9</f>
        <v>2746</v>
      </c>
      <c r="U9" s="32" t="str">
        <f>IF('11'!AA9=1,'11'!AR6,'11'!AR7)</f>
        <v>S.A.L</v>
      </c>
      <c r="V9" s="1016"/>
      <c r="W9" s="1016"/>
      <c r="X9" s="13">
        <v>0.16666666666666699</v>
      </c>
      <c r="Y9" s="171">
        <v>2746</v>
      </c>
      <c r="Z9" s="180">
        <v>1613</v>
      </c>
      <c r="AA9" s="15">
        <v>1</v>
      </c>
      <c r="AB9" s="56">
        <f>IF('11'!AA9=1,(('11'!Z9*'11'!$AS$6*'11'!$AT$6)/('11'!Y9*0.0036)),IF('11'!AA9=2,(('11'!Z9*'11'!$AS$7*'11'!$AT$7)/('11'!Y9*0.0036))))</f>
        <v>108.5058064255078</v>
      </c>
      <c r="AC9" s="56"/>
      <c r="AD9" s="18">
        <f>(('11'!AC9*'11'!$Q$10*1000000))/('11'!Y9*3600)</f>
        <v>0</v>
      </c>
      <c r="AE9" s="181">
        <v>3500</v>
      </c>
      <c r="AF9" s="182">
        <f>('11'!AE9/24)*0.454</f>
        <v>66.208333333333343</v>
      </c>
      <c r="AG9" s="19">
        <v>500</v>
      </c>
      <c r="AH9" s="182">
        <f>('11'!AG9/24)*0.454</f>
        <v>9.4583333333333339</v>
      </c>
      <c r="AI9" s="264">
        <v>3000</v>
      </c>
      <c r="AJ9" s="182">
        <f>('11'!AI9/24)*0.454</f>
        <v>56.75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250</v>
      </c>
      <c r="C10" s="184">
        <v>5</v>
      </c>
      <c r="D10" s="184">
        <v>5</v>
      </c>
      <c r="E10" s="184">
        <v>2.5</v>
      </c>
      <c r="F10" s="184">
        <v>63</v>
      </c>
      <c r="G10" s="184">
        <v>3.4</v>
      </c>
      <c r="H10" s="184">
        <v>1.7</v>
      </c>
      <c r="I10" s="184">
        <v>1.2</v>
      </c>
      <c r="J10" s="184">
        <v>1.9</v>
      </c>
      <c r="K10" s="184">
        <v>7.3</v>
      </c>
      <c r="L10" s="184">
        <v>5.8</v>
      </c>
      <c r="M10" s="184">
        <v>5.8</v>
      </c>
      <c r="N10" s="184">
        <v>5.2</v>
      </c>
      <c r="O10" s="184">
        <v>3.5</v>
      </c>
      <c r="P10" s="184">
        <v>0.8</v>
      </c>
      <c r="Q10" s="186">
        <v>1.5</v>
      </c>
      <c r="R10" s="36">
        <f>'11'!Z11</f>
        <v>1613</v>
      </c>
      <c r="S10" s="35">
        <f>'11'!AB11</f>
        <v>110.60020209519097</v>
      </c>
      <c r="T10" s="36">
        <f>'11'!Y11</f>
        <v>2694</v>
      </c>
      <c r="U10" s="32" t="str">
        <f>IF('11'!AA11=1,'11'!AR6,'11'!AR7)</f>
        <v>S.A.L</v>
      </c>
      <c r="V10" s="1016"/>
      <c r="W10" s="1016"/>
      <c r="X10" s="13">
        <v>0.20833333333333301</v>
      </c>
      <c r="Y10" s="171">
        <v>2729</v>
      </c>
      <c r="Z10" s="180">
        <v>1613</v>
      </c>
      <c r="AA10" s="15">
        <v>1</v>
      </c>
      <c r="AB10" s="56">
        <f>IF('11'!AA10=1,(('11'!Z10*'11'!$AS$6*'11'!$AT$6)/('11'!Y10*0.0036)),IF('11'!AA10=2,(('11'!Z10*'11'!$AS$7*'11'!$AT$7)/('11'!Y10*0.0036))))</f>
        <v>109.18173119986972</v>
      </c>
      <c r="AC10" s="56"/>
      <c r="AD10" s="18">
        <f>(('11'!AC10*'11'!$Q$10*1000000))/('11'!Y10*3600)</f>
        <v>0</v>
      </c>
      <c r="AE10" s="181">
        <v>3500</v>
      </c>
      <c r="AF10" s="182">
        <f>('11'!AE10/24)*0.454</f>
        <v>66.208333333333343</v>
      </c>
      <c r="AG10" s="19">
        <v>500</v>
      </c>
      <c r="AH10" s="182">
        <f>('11'!AG10/24)*0.454</f>
        <v>9.4583333333333339</v>
      </c>
      <c r="AI10" s="264">
        <v>3000</v>
      </c>
      <c r="AJ10" s="182">
        <f>('11'!AI10/24)*0.454</f>
        <v>56.75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37" t="s">
        <v>51</v>
      </c>
      <c r="AR10" s="937"/>
      <c r="AS10" s="937"/>
      <c r="AT10" s="39"/>
    </row>
    <row r="11" spans="1:47" ht="19.5" customHeight="1">
      <c r="A11" s="28">
        <v>0.33333333333333298</v>
      </c>
      <c r="B11" s="184">
        <v>250</v>
      </c>
      <c r="C11" s="184">
        <v>7.5</v>
      </c>
      <c r="D11" s="184">
        <v>5</v>
      </c>
      <c r="E11" s="184">
        <v>2.5</v>
      </c>
      <c r="F11" s="184">
        <v>62</v>
      </c>
      <c r="G11" s="184">
        <v>3.7</v>
      </c>
      <c r="H11" s="184">
        <v>1.6</v>
      </c>
      <c r="I11" s="184">
        <v>1.1000000000000001</v>
      </c>
      <c r="J11" s="184">
        <v>1.1000000000000001</v>
      </c>
      <c r="K11" s="184">
        <v>7.3</v>
      </c>
      <c r="L11" s="184">
        <v>5.8</v>
      </c>
      <c r="M11" s="184">
        <v>5.8</v>
      </c>
      <c r="N11" s="184">
        <v>5.2</v>
      </c>
      <c r="O11" s="184">
        <v>3.5</v>
      </c>
      <c r="P11" s="184">
        <v>0.8</v>
      </c>
      <c r="Q11" s="186">
        <v>1.5</v>
      </c>
      <c r="R11" s="36">
        <f>'11'!Z13</f>
        <v>1613</v>
      </c>
      <c r="S11" s="35">
        <f>'11'!AB13</f>
        <v>109.82563377974363</v>
      </c>
      <c r="T11" s="36">
        <f>'11'!Y13</f>
        <v>2713</v>
      </c>
      <c r="U11" s="32" t="str">
        <f>IF('11'!AA13=1,'11'!AR6,'11'!AR7)</f>
        <v>S.A.L</v>
      </c>
      <c r="V11" s="1016"/>
      <c r="W11" s="1016"/>
      <c r="X11" s="13">
        <v>0.25</v>
      </c>
      <c r="Y11" s="171">
        <v>2694</v>
      </c>
      <c r="Z11" s="180">
        <v>1613</v>
      </c>
      <c r="AA11" s="15">
        <v>1</v>
      </c>
      <c r="AB11" s="56">
        <f>IF('11'!AA11=1,(('11'!Z11*'11'!$AS$6*'11'!$AT$6)/('11'!Y11*0.0036)),IF('11'!AA11=2,(('11'!Z11*'11'!$AS$7*'11'!$AT$7)/('11'!Y11*0.0036))))</f>
        <v>110.60020209519097</v>
      </c>
      <c r="AC11" s="56"/>
      <c r="AD11" s="18">
        <f>(('11'!AC11*'11'!$Q$10*1000000))/('11'!Y11*3600)</f>
        <v>0</v>
      </c>
      <c r="AE11" s="181">
        <v>3500</v>
      </c>
      <c r="AF11" s="182">
        <f>('11'!AE11/24)*0.454</f>
        <v>66.208333333333343</v>
      </c>
      <c r="AG11" s="19">
        <v>500</v>
      </c>
      <c r="AH11" s="182">
        <f>('11'!AG11/24)*0.454</f>
        <v>9.4583333333333339</v>
      </c>
      <c r="AI11" s="264">
        <v>3000</v>
      </c>
      <c r="AJ11" s="182">
        <f>('11'!AI11/24)*0.454</f>
        <v>56.75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250</v>
      </c>
      <c r="C12" s="184">
        <v>7.5</v>
      </c>
      <c r="D12" s="184">
        <v>5</v>
      </c>
      <c r="E12" s="184">
        <v>2.5</v>
      </c>
      <c r="F12" s="184">
        <v>64</v>
      </c>
      <c r="G12" s="184">
        <v>4.0999999999999996</v>
      </c>
      <c r="H12" s="184">
        <v>1.5</v>
      </c>
      <c r="I12" s="184">
        <v>0.94</v>
      </c>
      <c r="J12" s="184">
        <v>0.94</v>
      </c>
      <c r="K12" s="184">
        <v>7.3</v>
      </c>
      <c r="L12" s="184">
        <v>5.8</v>
      </c>
      <c r="M12" s="184">
        <v>5.8</v>
      </c>
      <c r="N12" s="184">
        <v>5.2</v>
      </c>
      <c r="O12" s="184">
        <v>3.5</v>
      </c>
      <c r="P12" s="184">
        <v>0.8</v>
      </c>
      <c r="Q12" s="186">
        <v>1.5</v>
      </c>
      <c r="R12" s="36">
        <f>'11'!Z15</f>
        <v>1613</v>
      </c>
      <c r="S12" s="35">
        <f>'11'!AB15</f>
        <v>109.14173789173789</v>
      </c>
      <c r="T12" s="36">
        <f>'11'!Y15</f>
        <v>2730</v>
      </c>
      <c r="U12" s="32" t="str">
        <f>IF('11'!AA15=1,'11'!AR6,'11'!AR7)</f>
        <v>S.A.L</v>
      </c>
      <c r="V12" s="938">
        <f>ESCALA!$B$13</f>
        <v>0</v>
      </c>
      <c r="W12" s="938"/>
      <c r="X12" s="13">
        <v>0.29166666666666702</v>
      </c>
      <c r="Y12" s="171">
        <v>2788</v>
      </c>
      <c r="Z12" s="180">
        <v>1613</v>
      </c>
      <c r="AA12" s="15">
        <v>1</v>
      </c>
      <c r="AB12" s="56">
        <f>IF('11'!AA12=1,(('11'!Z12*'11'!$AS$6*'11'!$AT$6)/('11'!Y12*0.0036)),IF('11'!AA12=2,(('11'!Z12*'11'!$AS$7*'11'!$AT$7)/('11'!Y12*0.0036))))</f>
        <v>106.87121393272757</v>
      </c>
      <c r="AC12" s="56"/>
      <c r="AD12" s="18">
        <f>(('11'!AC12*'11'!$Q$10*1000000))/('11'!Y12*3600)</f>
        <v>0</v>
      </c>
      <c r="AE12" s="181">
        <v>3500</v>
      </c>
      <c r="AF12" s="182">
        <f>('11'!AE12/24)*0.454</f>
        <v>66.208333333333343</v>
      </c>
      <c r="AG12" s="19">
        <v>500</v>
      </c>
      <c r="AH12" s="182">
        <f>('11'!AG12/24)*0.454</f>
        <v>9.4583333333333339</v>
      </c>
      <c r="AI12" s="264">
        <v>3000</v>
      </c>
      <c r="AJ12" s="182">
        <f>('11'!AI12/24)*0.454</f>
        <v>56.75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250</v>
      </c>
      <c r="C13" s="184">
        <v>7.5</v>
      </c>
      <c r="D13" s="184">
        <v>5</v>
      </c>
      <c r="E13" s="184">
        <v>2.5</v>
      </c>
      <c r="F13" s="184">
        <v>62</v>
      </c>
      <c r="G13" s="184">
        <v>4.7</v>
      </c>
      <c r="H13" s="184">
        <v>1.6</v>
      </c>
      <c r="I13" s="184">
        <v>1.07</v>
      </c>
      <c r="J13" s="184">
        <v>1.07</v>
      </c>
      <c r="K13" s="184">
        <v>7.3</v>
      </c>
      <c r="L13" s="184">
        <v>5.8</v>
      </c>
      <c r="M13" s="184">
        <v>5.8</v>
      </c>
      <c r="N13" s="184">
        <v>5.2</v>
      </c>
      <c r="O13" s="184">
        <v>3.5</v>
      </c>
      <c r="P13" s="184">
        <v>0.8</v>
      </c>
      <c r="Q13" s="186">
        <v>1.5</v>
      </c>
      <c r="R13" s="36">
        <f>'11'!Z17</f>
        <v>1613</v>
      </c>
      <c r="S13" s="35">
        <f>'11'!AB17</f>
        <v>109.62359986918484</v>
      </c>
      <c r="T13" s="36">
        <f>'11'!Y17</f>
        <v>2718</v>
      </c>
      <c r="U13" s="32" t="str">
        <f>IF('11'!AA17=1,'11'!AR6,'11'!AR7)</f>
        <v>S.A.L</v>
      </c>
      <c r="V13" s="938"/>
      <c r="W13" s="938"/>
      <c r="X13" s="13">
        <v>0.33333333333333298</v>
      </c>
      <c r="Y13" s="171">
        <v>2713</v>
      </c>
      <c r="Z13" s="180">
        <v>1613</v>
      </c>
      <c r="AA13" s="15">
        <v>1</v>
      </c>
      <c r="AB13" s="56">
        <f>IF('11'!AA13=1,(('11'!Z13*'11'!$AS$6*'11'!$AT$6)/('11'!Y13*0.0036)),IF('11'!AA13=2,(('11'!Z13*'11'!$AS$7*'11'!$AT$7)/('11'!Y13*0.0036))))</f>
        <v>109.82563377974363</v>
      </c>
      <c r="AC13" s="56"/>
      <c r="AD13" s="18">
        <f>(('11'!AC13*'11'!$Q$10*1000000))/('11'!Y13*3600)</f>
        <v>0</v>
      </c>
      <c r="AE13" s="181">
        <v>3500</v>
      </c>
      <c r="AF13" s="182">
        <f>('11'!AE13/24)*0.454</f>
        <v>66.208333333333343</v>
      </c>
      <c r="AG13" s="19">
        <v>500</v>
      </c>
      <c r="AH13" s="182">
        <f>('11'!AG13/24)*0.454</f>
        <v>9.4583333333333339</v>
      </c>
      <c r="AI13" s="264">
        <v>3000</v>
      </c>
      <c r="AJ13" s="182">
        <f>('11'!AI13/24)*0.454</f>
        <v>56.75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250</v>
      </c>
      <c r="C14" s="184">
        <v>7.5</v>
      </c>
      <c r="D14" s="184">
        <v>5</v>
      </c>
      <c r="E14" s="184">
        <v>2.5</v>
      </c>
      <c r="F14" s="184">
        <v>62</v>
      </c>
      <c r="G14" s="184">
        <v>4.8</v>
      </c>
      <c r="H14" s="184">
        <v>1.8</v>
      </c>
      <c r="I14" s="184">
        <v>1.1499999999999999</v>
      </c>
      <c r="J14" s="184">
        <v>1.1499999999999999</v>
      </c>
      <c r="K14" s="184">
        <v>7.3</v>
      </c>
      <c r="L14" s="184">
        <v>5.8</v>
      </c>
      <c r="M14" s="184">
        <v>5.8</v>
      </c>
      <c r="N14" s="184">
        <v>5.2</v>
      </c>
      <c r="O14" s="184">
        <v>3.5</v>
      </c>
      <c r="P14" s="184">
        <v>0.8</v>
      </c>
      <c r="Q14" s="186">
        <v>1.5</v>
      </c>
      <c r="R14" s="36">
        <f>'11'!Z19</f>
        <v>1713</v>
      </c>
      <c r="S14" s="35">
        <f>'11'!AB19</f>
        <v>108.32905397694854</v>
      </c>
      <c r="T14" s="36">
        <f>'11'!Y19</f>
        <v>2921</v>
      </c>
      <c r="U14" s="32" t="str">
        <f>IF('11'!AA19=1,'11'!AR6,'11'!AR7)</f>
        <v>S.A.L</v>
      </c>
      <c r="V14" s="938"/>
      <c r="W14" s="938"/>
      <c r="X14" s="13">
        <v>0.375</v>
      </c>
      <c r="Y14" s="171">
        <v>2711</v>
      </c>
      <c r="Z14" s="180">
        <v>1613</v>
      </c>
      <c r="AA14" s="15">
        <v>1</v>
      </c>
      <c r="AB14" s="56">
        <f>IF('11'!AA14=1,(('11'!Z14*'11'!$AS$6*'11'!$AT$6)/('11'!Y14*0.0036)),IF('11'!AA14=2,(('11'!Z14*'11'!$AS$7*'11'!$AT$7)/('11'!Y14*0.0036))))</f>
        <v>109.90665601049224</v>
      </c>
      <c r="AC14" s="56"/>
      <c r="AD14" s="18">
        <f>(('11'!AC14*'11'!$Q$10*1000000))/('11'!Y14*3600)</f>
        <v>0</v>
      </c>
      <c r="AE14" s="181">
        <v>3500</v>
      </c>
      <c r="AF14" s="182">
        <f>('11'!AE14/24)*0.454</f>
        <v>66.208333333333343</v>
      </c>
      <c r="AG14" s="19">
        <v>500</v>
      </c>
      <c r="AH14" s="182">
        <f>('11'!AG14/24)*0.454</f>
        <v>9.4583333333333339</v>
      </c>
      <c r="AI14" s="264">
        <v>3000</v>
      </c>
      <c r="AJ14" s="182">
        <f>('11'!AI14/24)*0.454</f>
        <v>56.75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250</v>
      </c>
      <c r="C15" s="184">
        <v>7.5</v>
      </c>
      <c r="D15" s="184">
        <v>5</v>
      </c>
      <c r="E15" s="184">
        <v>2.5</v>
      </c>
      <c r="F15" s="184">
        <v>61</v>
      </c>
      <c r="G15" s="184">
        <v>3.4</v>
      </c>
      <c r="H15" s="184">
        <v>2</v>
      </c>
      <c r="I15" s="184">
        <v>1.2</v>
      </c>
      <c r="J15" s="184">
        <v>1.25</v>
      </c>
      <c r="K15" s="184">
        <v>7.3</v>
      </c>
      <c r="L15" s="184">
        <v>5.8</v>
      </c>
      <c r="M15" s="184">
        <v>5.8</v>
      </c>
      <c r="N15" s="184">
        <v>5.2</v>
      </c>
      <c r="O15" s="184">
        <v>3.5</v>
      </c>
      <c r="P15" s="184">
        <v>0.8</v>
      </c>
      <c r="Q15" s="186">
        <v>1.5</v>
      </c>
      <c r="R15" s="36">
        <f>'11'!Z21</f>
        <v>1713</v>
      </c>
      <c r="S15" s="35">
        <f>'11'!AB21</f>
        <v>109.26421500920812</v>
      </c>
      <c r="T15" s="36">
        <f>'11'!Y21</f>
        <v>2896</v>
      </c>
      <c r="U15" s="32" t="str">
        <f>IF('11'!AA21=1,'11'!AR6,'11'!AR7)</f>
        <v>S.A.L</v>
      </c>
      <c r="V15" s="938"/>
      <c r="W15" s="938"/>
      <c r="X15" s="13">
        <v>0.41666666666666702</v>
      </c>
      <c r="Y15" s="171">
        <v>2730</v>
      </c>
      <c r="Z15" s="180">
        <v>1613</v>
      </c>
      <c r="AA15" s="15">
        <v>1</v>
      </c>
      <c r="AB15" s="56">
        <f>IF('11'!AA15=1,(('11'!Z15*'11'!$AS$6*'11'!$AT$6)/('11'!Y15*0.0036)),IF('11'!AA15=2,(('11'!Z15*'11'!$AS$7*'11'!$AT$7)/('11'!Y15*0.0036))))</f>
        <v>109.14173789173789</v>
      </c>
      <c r="AC15" s="56"/>
      <c r="AD15" s="18">
        <f>(('11'!AC15*'11'!$Q$10*1000000))/('11'!Y15*3600)</f>
        <v>0</v>
      </c>
      <c r="AE15" s="181">
        <v>3500</v>
      </c>
      <c r="AF15" s="182">
        <f>('11'!AE15/24)*0.454</f>
        <v>66.208333333333343</v>
      </c>
      <c r="AG15" s="19">
        <v>500</v>
      </c>
      <c r="AH15" s="182">
        <f>('11'!AG15/24)*0.454</f>
        <v>9.4583333333333339</v>
      </c>
      <c r="AI15" s="264">
        <v>3000</v>
      </c>
      <c r="AJ15" s="182">
        <f>('11'!AI15/24)*0.454</f>
        <v>56.75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250</v>
      </c>
      <c r="C16" s="184">
        <v>7.5</v>
      </c>
      <c r="D16" s="184">
        <v>5</v>
      </c>
      <c r="E16" s="184">
        <v>2.5</v>
      </c>
      <c r="F16" s="184">
        <v>60</v>
      </c>
      <c r="G16" s="184">
        <v>3.2</v>
      </c>
      <c r="H16" s="184">
        <v>2.1</v>
      </c>
      <c r="I16" s="184">
        <v>1.2</v>
      </c>
      <c r="J16" s="184">
        <v>1.9</v>
      </c>
      <c r="K16" s="184">
        <v>7.3</v>
      </c>
      <c r="L16" s="184">
        <v>5.8</v>
      </c>
      <c r="M16" s="184">
        <v>5.8</v>
      </c>
      <c r="N16" s="184">
        <v>5.2</v>
      </c>
      <c r="O16" s="184">
        <v>3.5</v>
      </c>
      <c r="P16" s="184">
        <v>0.8</v>
      </c>
      <c r="Q16" s="186">
        <v>1.5</v>
      </c>
      <c r="R16" s="36">
        <f>'11'!Z23</f>
        <v>1713</v>
      </c>
      <c r="S16" s="35">
        <f>'11'!AB23</f>
        <v>109.33972586961529</v>
      </c>
      <c r="T16" s="36">
        <f>'11'!Y23</f>
        <v>2894</v>
      </c>
      <c r="U16" s="32" t="str">
        <f>IF('11'!AA23=1,'11'!AR6,'11'!AR7)</f>
        <v>S.A.L</v>
      </c>
      <c r="V16" s="938"/>
      <c r="W16" s="938"/>
      <c r="X16" s="13">
        <v>0.45833333333333298</v>
      </c>
      <c r="Y16" s="171">
        <v>2801</v>
      </c>
      <c r="Z16" s="180">
        <v>1613</v>
      </c>
      <c r="AA16" s="15">
        <v>1</v>
      </c>
      <c r="AB16" s="56">
        <f>IF('11'!AA16=1,(('11'!Z16*'11'!$AS$6*'11'!$AT$6)/('11'!Y16*0.0036)),IF('11'!AA16=2,(('11'!Z16*'11'!$AS$7*'11'!$AT$7)/('11'!Y16*0.0036))))</f>
        <v>106.37520330040857</v>
      </c>
      <c r="AC16" s="56"/>
      <c r="AD16" s="18">
        <f>(('11'!AC16*'11'!$Q$10*1000000))/('11'!Y16*3600)</f>
        <v>0</v>
      </c>
      <c r="AE16" s="181">
        <v>3500</v>
      </c>
      <c r="AF16" s="182">
        <f>('11'!AE16/24)*0.454</f>
        <v>66.208333333333343</v>
      </c>
      <c r="AG16" s="19">
        <v>500</v>
      </c>
      <c r="AH16" s="182">
        <f>('11'!AG16/24)*0.454</f>
        <v>9.4583333333333339</v>
      </c>
      <c r="AI16" s="264">
        <v>3000</v>
      </c>
      <c r="AJ16" s="182">
        <f>('11'!AI16/24)*0.454</f>
        <v>56.75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250</v>
      </c>
      <c r="C17" s="184">
        <v>7.5</v>
      </c>
      <c r="D17" s="184">
        <v>5</v>
      </c>
      <c r="E17" s="184">
        <v>2.5</v>
      </c>
      <c r="F17" s="184">
        <v>60</v>
      </c>
      <c r="G17" s="184">
        <v>3.4</v>
      </c>
      <c r="H17" s="184">
        <v>2.6</v>
      </c>
      <c r="I17" s="184">
        <v>1.2</v>
      </c>
      <c r="J17" s="184">
        <v>1.9</v>
      </c>
      <c r="K17" s="184">
        <v>7.3</v>
      </c>
      <c r="L17" s="184">
        <v>5.8</v>
      </c>
      <c r="M17" s="184">
        <v>5.8</v>
      </c>
      <c r="N17" s="184">
        <v>5.2</v>
      </c>
      <c r="O17" s="184">
        <v>3.5</v>
      </c>
      <c r="P17" s="184">
        <v>0.8</v>
      </c>
      <c r="Q17" s="186">
        <v>1.5</v>
      </c>
      <c r="R17" s="36">
        <f>'11'!Z25</f>
        <v>1713</v>
      </c>
      <c r="S17" s="35">
        <f>'11'!AB25</f>
        <v>109.87123842592592</v>
      </c>
      <c r="T17" s="36">
        <f>'11'!Y25</f>
        <v>2880</v>
      </c>
      <c r="U17" s="32" t="str">
        <f>IF('11'!AA25=1,'11'!AR6,'11'!AR7)</f>
        <v>S.A.L</v>
      </c>
      <c r="V17" s="939">
        <f>ESCALA!$C$13</f>
        <v>0</v>
      </c>
      <c r="W17" s="939"/>
      <c r="X17" s="13">
        <v>0.5</v>
      </c>
      <c r="Y17" s="171">
        <v>2718</v>
      </c>
      <c r="Z17" s="180">
        <v>1613</v>
      </c>
      <c r="AA17" s="15">
        <v>1</v>
      </c>
      <c r="AB17" s="56">
        <f>IF('11'!AA17=1,(('11'!Z17*'11'!$AS$6*'11'!$AT$6)/('11'!Y17*0.0036)),IF('11'!AA17=2,(('11'!Z17*'11'!$AS$7*'11'!$AT$7)/('11'!Y17*0.0036))))</f>
        <v>109.62359986918484</v>
      </c>
      <c r="AC17" s="56"/>
      <c r="AD17" s="18">
        <f>(('11'!AC17*'11'!$Q$10*1000000))/('11'!Y17*3600)</f>
        <v>0</v>
      </c>
      <c r="AE17" s="181">
        <v>3500</v>
      </c>
      <c r="AF17" s="182">
        <f>('11'!AE17/24)*0.454</f>
        <v>66.208333333333343</v>
      </c>
      <c r="AG17" s="19">
        <v>500</v>
      </c>
      <c r="AH17" s="182">
        <f>('11'!AG17/24)*0.454</f>
        <v>9.4583333333333339</v>
      </c>
      <c r="AI17" s="264">
        <v>3000</v>
      </c>
      <c r="AJ17" s="182">
        <f>('11'!AI17/24)*0.454</f>
        <v>56.75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250</v>
      </c>
      <c r="C18" s="184">
        <v>7.5</v>
      </c>
      <c r="D18" s="184">
        <v>5</v>
      </c>
      <c r="E18" s="184">
        <v>2.5</v>
      </c>
      <c r="F18" s="184">
        <v>60</v>
      </c>
      <c r="G18" s="184">
        <v>3.4</v>
      </c>
      <c r="H18" s="184">
        <v>2.9</v>
      </c>
      <c r="I18" s="184">
        <v>1.2</v>
      </c>
      <c r="J18" s="184">
        <v>1.9</v>
      </c>
      <c r="K18" s="184">
        <v>7.3</v>
      </c>
      <c r="L18" s="184">
        <v>5.8</v>
      </c>
      <c r="M18" s="184">
        <v>5.8</v>
      </c>
      <c r="N18" s="184">
        <v>5.2</v>
      </c>
      <c r="O18" s="184">
        <v>3.5</v>
      </c>
      <c r="P18" s="184">
        <v>0.8</v>
      </c>
      <c r="Q18" s="186">
        <v>1.5</v>
      </c>
      <c r="R18" s="36">
        <f>'11'!Z27</f>
        <v>1793</v>
      </c>
      <c r="S18" s="35">
        <f>'11'!AB27</f>
        <v>115.68527574028798</v>
      </c>
      <c r="T18" s="36">
        <f>'11'!Y27</f>
        <v>2863</v>
      </c>
      <c r="U18" s="32" t="str">
        <f>IF('11'!AA27=1,'11'!AR6,'11'!AR7)</f>
        <v>S.A.L</v>
      </c>
      <c r="V18" s="939"/>
      <c r="W18" s="939"/>
      <c r="X18" s="13">
        <v>0.54166666666666696</v>
      </c>
      <c r="Y18" s="171">
        <v>2938</v>
      </c>
      <c r="Z18" s="180">
        <v>1713</v>
      </c>
      <c r="AA18" s="15">
        <v>1</v>
      </c>
      <c r="AB18" s="56">
        <f>IF('11'!AA18=1,(('11'!Z18*'11'!$AS$6*'11'!$AT$6)/('11'!Y18*0.0036)),IF('11'!AA18=2,(('11'!Z18*'11'!$AS$7*'11'!$AT$7)/('11'!Y18*0.0036))))</f>
        <v>107.70223508055366</v>
      </c>
      <c r="AC18" s="56"/>
      <c r="AD18" s="18">
        <f>(('11'!AC18*'11'!$Q$10*1000000))/('11'!Y18*3600)</f>
        <v>0</v>
      </c>
      <c r="AE18" s="181">
        <v>3500</v>
      </c>
      <c r="AF18" s="182">
        <f>('11'!AE18/24)*0.454</f>
        <v>66.208333333333343</v>
      </c>
      <c r="AG18" s="19">
        <v>500</v>
      </c>
      <c r="AH18" s="182">
        <f>('11'!AG18/24)*0.454</f>
        <v>9.4583333333333339</v>
      </c>
      <c r="AI18" s="264">
        <v>3000</v>
      </c>
      <c r="AJ18" s="182">
        <f>('11'!AI18/24)*0.454</f>
        <v>56.75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250</v>
      </c>
      <c r="C19" s="67">
        <f t="array" ref="C19">IF('11'!C7:C18&gt;0.01,AVERAGE('11'!C7:C18),"")</f>
        <v>6.666666666666667</v>
      </c>
      <c r="D19" s="67">
        <f t="array" ref="D19">IF('11'!D7:D18&gt;0.01,AVERAGE('11'!D7:D18),"")</f>
        <v>5</v>
      </c>
      <c r="E19" s="67">
        <f t="array" ref="E19">IF('11'!E7:E18&gt;0.01,AVERAGE('11'!E7:E18),"")</f>
        <v>2.5</v>
      </c>
      <c r="F19" s="67">
        <f t="array" ref="F19">IF('11'!F7:F18&gt;0.01,AVERAGE('11'!F7:F18),"")</f>
        <v>63.916666666666664</v>
      </c>
      <c r="G19" s="67">
        <f t="array" ref="G19">IF('11'!G7:G18&gt;0.01,AVERAGE('11'!G7:G18),"")</f>
        <v>3.8000000000000003</v>
      </c>
      <c r="H19" s="67">
        <f t="array" ref="H19">IF('11'!H7:H18&gt;0.01,AVERAGE('11'!H7:H18),"")</f>
        <v>1.9583333333333333</v>
      </c>
      <c r="I19" s="67">
        <f t="array" ref="I19">IF('11'!I7:I18&gt;0.01,AVERAGE('11'!I7:I18),"")</f>
        <v>1.2466666666666664</v>
      </c>
      <c r="J19" s="67">
        <f t="array" ref="J19">IF('11'!J7:J18&gt;0.01,AVERAGE('11'!J7:J18),"")</f>
        <v>1.575833333333333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5.799999999999998</v>
      </c>
      <c r="M19" s="67">
        <f t="array" ref="M19">IF('11'!M7:M18&gt;0.01,AVERAGE('11'!M7:M18),"")</f>
        <v>5.799999999999998</v>
      </c>
      <c r="N19" s="67">
        <f t="array" ref="N19">IF('11'!N7:N18&gt;0.01,AVERAGE('11'!N7:N18),"")</f>
        <v>5.2000000000000011</v>
      </c>
      <c r="O19" s="67">
        <f t="array" ref="O19">IF('11'!O7:O18&gt;0.01,AVERAGE('11'!O7:O18),"")</f>
        <v>3.5</v>
      </c>
      <c r="P19" s="188">
        <f t="array" ref="P19">IF('11'!P7:P18&gt;0.01,AVERAGE('11'!P7:P18),"")</f>
        <v>1.4000000000000006</v>
      </c>
      <c r="Q19" s="189">
        <f t="array" ref="Q19">IF('11'!Q7:Q18&gt;0.01,AVERAGE('11'!Q7:Q18),"")</f>
        <v>1.5416666666666667</v>
      </c>
      <c r="R19" s="189">
        <f t="array" ref="R19">IF('11'!R7:R18&gt;0.01,AVERAGE('11'!R7:R18),"")</f>
        <v>1661.3333333333333</v>
      </c>
      <c r="S19" s="189">
        <f t="array" ref="S19">IF('11'!S7:S18&gt;0.01,AVERAGE('11'!S7:S18),"")</f>
        <v>109.59396919910425</v>
      </c>
      <c r="T19" s="940"/>
      <c r="U19" s="940"/>
      <c r="V19" s="47"/>
      <c r="W19" s="48"/>
      <c r="X19" s="13">
        <v>0.58333333333333304</v>
      </c>
      <c r="Y19" s="171">
        <v>2921</v>
      </c>
      <c r="Z19" s="180">
        <v>1713</v>
      </c>
      <c r="AA19" s="15">
        <v>1</v>
      </c>
      <c r="AB19" s="56">
        <f>IF('11'!AA19=1,(('11'!Z19*'11'!$AS$6*'11'!$AT$6)/('11'!Y19*0.0036)),IF('11'!AA19=2,(('11'!Z19*'11'!$AS$7*'11'!$AT$7)/('11'!Y19*0.0036))))</f>
        <v>108.32905397694854</v>
      </c>
      <c r="AC19" s="56"/>
      <c r="AD19" s="18">
        <f>(('11'!AC19*'11'!$Q$10*1000000))/('11'!Y19*3600)</f>
        <v>0</v>
      </c>
      <c r="AE19" s="181">
        <v>3500</v>
      </c>
      <c r="AF19" s="182">
        <f>('11'!AE19/24)*0.454</f>
        <v>66.208333333333343</v>
      </c>
      <c r="AG19" s="19">
        <v>500</v>
      </c>
      <c r="AH19" s="182">
        <f>('11'!AG19/24)*0.454</f>
        <v>9.4583333333333339</v>
      </c>
      <c r="AI19" s="264">
        <v>3000</v>
      </c>
      <c r="AJ19" s="182">
        <f>('11'!AI19/24)*0.454</f>
        <v>56.75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250</v>
      </c>
      <c r="C20" s="67">
        <f>MAX('11'!C7:C18)</f>
        <v>7.5</v>
      </c>
      <c r="D20" s="67">
        <f>MAX('11'!D7:D18)</f>
        <v>5</v>
      </c>
      <c r="E20" s="67">
        <f>MAX('11'!E7:E18)</f>
        <v>2.5</v>
      </c>
      <c r="F20" s="67">
        <f>MAX('11'!F7:F18)</f>
        <v>77</v>
      </c>
      <c r="G20" s="67">
        <f>MAX('11'!G7:G18)</f>
        <v>4.8</v>
      </c>
      <c r="H20" s="67">
        <f>MAX('11'!H7:H18)</f>
        <v>2.9</v>
      </c>
      <c r="I20" s="67">
        <f>MAX('11'!I7:I18)</f>
        <v>1.7</v>
      </c>
      <c r="J20" s="67">
        <f>MAX('11'!J7:J18)</f>
        <v>2</v>
      </c>
      <c r="K20" s="67">
        <f>MAX('11'!K7:K18)</f>
        <v>7.3</v>
      </c>
      <c r="L20" s="67">
        <f>MAX('11'!L7:L18)</f>
        <v>5.8</v>
      </c>
      <c r="M20" s="67">
        <f>MAX('11'!M7:M18)</f>
        <v>5.8</v>
      </c>
      <c r="N20" s="67">
        <f>MAX('11'!N7:N18)</f>
        <v>5.2</v>
      </c>
      <c r="O20" s="68">
        <f>MAX('11'!O7:O18)</f>
        <v>3.5</v>
      </c>
      <c r="P20" s="68">
        <f>MAX('11'!P7:P18)</f>
        <v>8</v>
      </c>
      <c r="Q20" s="68">
        <f>MAX('11'!Q7:Q18)</f>
        <v>2</v>
      </c>
      <c r="R20" s="68">
        <f>MAX('11'!R7:R18)</f>
        <v>1793</v>
      </c>
      <c r="S20" s="68">
        <f>MAX('11'!S7:S18)</f>
        <v>115.68527574028798</v>
      </c>
      <c r="T20" s="940"/>
      <c r="U20" s="940"/>
      <c r="X20" s="13">
        <v>0.625</v>
      </c>
      <c r="Y20" s="171">
        <v>2861</v>
      </c>
      <c r="Z20" s="180">
        <v>1713</v>
      </c>
      <c r="AA20" s="15">
        <v>1</v>
      </c>
      <c r="AB20" s="56">
        <f>IF('11'!AA20=1,(('11'!Z20*'11'!$AS$6*'11'!$AT$6)/('11'!Y20*0.0036)),IF('11'!AA20=2,(('11'!Z20*'11'!$AS$7*'11'!$AT$7)/('11'!Y20*0.0036))))</f>
        <v>110.60089712221834</v>
      </c>
      <c r="AC20" s="56"/>
      <c r="AD20" s="18">
        <f>(('11'!AC20*'11'!$Q$10*1000000))/('11'!Y20*3600)</f>
        <v>0</v>
      </c>
      <c r="AE20" s="181">
        <v>3500</v>
      </c>
      <c r="AF20" s="182">
        <f>('11'!AE20/24)*0.454</f>
        <v>66.208333333333343</v>
      </c>
      <c r="AG20" s="19">
        <v>500</v>
      </c>
      <c r="AH20" s="182">
        <f>('11'!AG20/24)*0.454</f>
        <v>9.4583333333333339</v>
      </c>
      <c r="AI20" s="264">
        <v>3000</v>
      </c>
      <c r="AJ20" s="182">
        <f>('11'!AI20/24)*0.454</f>
        <v>56.75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250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60</v>
      </c>
      <c r="G21" s="190">
        <f>MIN('11'!G7:G18)</f>
        <v>3.2</v>
      </c>
      <c r="H21" s="190">
        <f>MIN('11'!H7:H18)</f>
        <v>1.5</v>
      </c>
      <c r="I21" s="190">
        <f>MIN('11'!I7:I18)</f>
        <v>0.94</v>
      </c>
      <c r="J21" s="190">
        <f>MIN('11'!J7:J18)</f>
        <v>0.94</v>
      </c>
      <c r="K21" s="190">
        <f>MIN('11'!K7:K18)</f>
        <v>7.3</v>
      </c>
      <c r="L21" s="190">
        <f>MIN('11'!L7:L18)</f>
        <v>5.8</v>
      </c>
      <c r="M21" s="190">
        <f>MIN('11'!M7:M18)</f>
        <v>5.8</v>
      </c>
      <c r="N21" s="190">
        <f>MIN('11'!N7:N18)</f>
        <v>5.2</v>
      </c>
      <c r="O21" s="191">
        <f>MIN('11'!O7:O18)</f>
        <v>3.5</v>
      </c>
      <c r="P21" s="191">
        <f>MIN('11'!P7:P18)</f>
        <v>0.8</v>
      </c>
      <c r="Q21" s="191">
        <f>MIN('11'!Q7:Q18)</f>
        <v>1.5</v>
      </c>
      <c r="R21" s="191">
        <f>MIN('11'!R7:R18)</f>
        <v>1613</v>
      </c>
      <c r="S21" s="191">
        <f>MIN('11'!S7:S18)</f>
        <v>105.9590840840841</v>
      </c>
      <c r="T21" s="940"/>
      <c r="U21" s="940"/>
      <c r="X21" s="13">
        <v>0.66666666666666696</v>
      </c>
      <c r="Y21" s="171">
        <v>2896</v>
      </c>
      <c r="Z21" s="180">
        <v>1713</v>
      </c>
      <c r="AA21" s="15">
        <v>1</v>
      </c>
      <c r="AB21" s="56">
        <f>IF('11'!AA21=1,(('11'!Z21*'11'!$AS$6*'11'!$AT$6)/('11'!Y21*0.0036)),IF('11'!AA21=2,(('11'!Z21*'11'!$AS$7*'11'!$AT$7)/('11'!Y21*0.0036))))</f>
        <v>109.26421500920812</v>
      </c>
      <c r="AC21" s="56"/>
      <c r="AD21" s="18">
        <f>(('11'!AC21*'11'!$Q$10*1000000))/('11'!Y21*3600)</f>
        <v>0</v>
      </c>
      <c r="AE21" s="181">
        <v>3500</v>
      </c>
      <c r="AF21" s="182">
        <f>('11'!AE21/24)*0.454</f>
        <v>66.208333333333343</v>
      </c>
      <c r="AG21" s="19">
        <v>500</v>
      </c>
      <c r="AH21" s="182">
        <f>('11'!AG21/24)*0.454</f>
        <v>9.4583333333333339</v>
      </c>
      <c r="AI21" s="264">
        <v>3000</v>
      </c>
      <c r="AJ21" s="182">
        <f>('11'!AI21/24)*0.454</f>
        <v>56.75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2902</v>
      </c>
      <c r="Z22" s="180">
        <v>1713</v>
      </c>
      <c r="AA22" s="15">
        <v>1</v>
      </c>
      <c r="AB22" s="56">
        <f>IF('11'!AA22=1,(('11'!Z22*'11'!$AS$6*'11'!$AT$6)/('11'!Y22*0.0036)),IF('11'!AA22=2,(('11'!Z22*'11'!$AS$7*'11'!$AT$7)/('11'!Y22*0.0036))))</f>
        <v>109.03830691477141</v>
      </c>
      <c r="AC22" s="56"/>
      <c r="AD22" s="18">
        <f>(('11'!AC22*'11'!$Q$10*1000000))/('11'!Y22*3600)</f>
        <v>0</v>
      </c>
      <c r="AE22" s="181">
        <v>3500</v>
      </c>
      <c r="AF22" s="182">
        <f>('11'!AE22/24)*0.454</f>
        <v>66.208333333333343</v>
      </c>
      <c r="AG22" s="19">
        <v>500</v>
      </c>
      <c r="AH22" s="182">
        <f>('11'!AG22/24)*0.454</f>
        <v>9.4583333333333339</v>
      </c>
      <c r="AI22" s="264">
        <v>3000</v>
      </c>
      <c r="AJ22" s="182">
        <f>('11'!AI22/24)*0.454</f>
        <v>56.75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2894</v>
      </c>
      <c r="Z23" s="180">
        <v>1713</v>
      </c>
      <c r="AA23" s="15">
        <v>1</v>
      </c>
      <c r="AB23" s="56">
        <f>IF('11'!AA23=1,(('11'!Z23*'11'!$AS$6*'11'!$AT$6)/('11'!Y23*0.0036)),IF('11'!AA23=2,(('11'!Z23*'11'!$AS$7*'11'!$AT$7)/('11'!Y23*0.0036))))</f>
        <v>109.33972586961529</v>
      </c>
      <c r="AC23" s="56"/>
      <c r="AD23" s="18">
        <f>(('11'!AC23*'11'!$Q$10*1000000))/('11'!Y23*3600)</f>
        <v>0</v>
      </c>
      <c r="AE23" s="181">
        <v>3500</v>
      </c>
      <c r="AF23" s="182">
        <f>('11'!AE23/24)*0.454</f>
        <v>66.208333333333343</v>
      </c>
      <c r="AG23" s="19">
        <v>500</v>
      </c>
      <c r="AH23" s="182">
        <f>('11'!AG23/24)*0.454</f>
        <v>9.4583333333333339</v>
      </c>
      <c r="AI23" s="264">
        <v>3000</v>
      </c>
      <c r="AJ23" s="182">
        <f>('11'!AI23/24)*0.454</f>
        <v>56.75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2922</v>
      </c>
      <c r="Z24" s="180">
        <v>1713</v>
      </c>
      <c r="AA24" s="15">
        <v>1</v>
      </c>
      <c r="AB24" s="16">
        <f>IF('11'!AA24=1,(('11'!Z24*'11'!$AS$6*'11'!$AT$6)/('11'!Y24*0.0036)),IF('11'!AA24=2,(('11'!Z24*'11'!$AS$7*'11'!$AT$7)/('11'!Y24*0.0036))))</f>
        <v>108.29198037873603</v>
      </c>
      <c r="AC24" s="16"/>
      <c r="AD24" s="192">
        <f>(('11'!AC24*'11'!$Q$10*1000000))/('11'!Y24*3600)</f>
        <v>0</v>
      </c>
      <c r="AE24" s="181">
        <v>3500</v>
      </c>
      <c r="AF24" s="193">
        <f>('11'!AE24/24)*0.454</f>
        <v>66.208333333333343</v>
      </c>
      <c r="AG24" s="19">
        <v>500</v>
      </c>
      <c r="AH24" s="193">
        <f>('11'!AG24/24)*0.454</f>
        <v>9.4583333333333339</v>
      </c>
      <c r="AI24" s="264">
        <v>3000</v>
      </c>
      <c r="AJ24" s="193">
        <f>('11'!AI24/24)*0.454</f>
        <v>56.75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 t="s">
        <v>441</v>
      </c>
      <c r="C25" s="258">
        <v>2.0499999999999998</v>
      </c>
      <c r="D25" s="258">
        <v>1.78</v>
      </c>
      <c r="E25" s="197">
        <v>1.81</v>
      </c>
      <c r="F25" s="197">
        <v>1.9</v>
      </c>
      <c r="G25" s="197">
        <v>1.64</v>
      </c>
      <c r="H25" s="197">
        <v>1.79</v>
      </c>
      <c r="I25" s="197">
        <v>1.74</v>
      </c>
      <c r="J25" s="197" t="s">
        <v>441</v>
      </c>
      <c r="K25" s="197">
        <v>2.0099999999999998</v>
      </c>
      <c r="L25" s="197">
        <v>1.54</v>
      </c>
      <c r="M25" s="197">
        <v>1.68</v>
      </c>
      <c r="N25" s="197">
        <v>1.75</v>
      </c>
      <c r="O25" s="197">
        <v>1.88</v>
      </c>
      <c r="P25" s="197" t="s">
        <v>441</v>
      </c>
      <c r="Q25" s="197" t="s">
        <v>441</v>
      </c>
      <c r="R25" s="63" t="e">
        <f>#DIV/0!</f>
        <v>#DIV/0!</v>
      </c>
      <c r="S25" s="64"/>
      <c r="T25" s="1017" t="s">
        <v>0</v>
      </c>
      <c r="U25" s="1047">
        <f>ESCALA!$A$13</f>
        <v>44327</v>
      </c>
      <c r="X25" s="13">
        <v>0.83333333333333304</v>
      </c>
      <c r="Y25" s="171">
        <v>2880</v>
      </c>
      <c r="Z25" s="180">
        <v>1713</v>
      </c>
      <c r="AA25" s="15">
        <v>1</v>
      </c>
      <c r="AB25" s="56">
        <f>IF('11'!AA25=1,(('11'!Z25*'11'!$AS$6*'11'!$AT$6)/('11'!Y25*0.0036)),IF('11'!AA25=2,(('11'!Z25*'11'!$AS$7*'11'!$AT$7)/('11'!Y25*0.0036))))</f>
        <v>109.87123842592592</v>
      </c>
      <c r="AC25" s="56"/>
      <c r="AD25" s="18">
        <f>(('11'!AC25*'11'!$Q$10*1000000))/('11'!Y25*3600)</f>
        <v>0</v>
      </c>
      <c r="AE25" s="181">
        <v>3500</v>
      </c>
      <c r="AF25" s="182">
        <f>('11'!AE25/24)*0.454</f>
        <v>66.208333333333343</v>
      </c>
      <c r="AG25" s="19">
        <v>500</v>
      </c>
      <c r="AH25" s="182">
        <f>('11'!AG25/24)*0.454</f>
        <v>9.4583333333333339</v>
      </c>
      <c r="AI25" s="264">
        <v>3000</v>
      </c>
      <c r="AJ25" s="182">
        <f>('11'!AI25/24)*0.454</f>
        <v>56.75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7"/>
      <c r="U26" s="1047"/>
      <c r="X26" s="13">
        <v>0.875</v>
      </c>
      <c r="Y26" s="171">
        <v>2908</v>
      </c>
      <c r="Z26" s="180">
        <v>1793</v>
      </c>
      <c r="AA26" s="15">
        <v>1</v>
      </c>
      <c r="AB26" s="56">
        <f>IF('11'!AA26=1,(('11'!Z26*'11'!$AS$6*'11'!$AT$6)/('11'!Y26*0.0036)),IF('11'!AA26=2,(('11'!Z26*'11'!$AS$7*'11'!$AT$7)/('11'!Y26*0.0036))))</f>
        <v>113.8950978144582</v>
      </c>
      <c r="AC26" s="56"/>
      <c r="AD26" s="18">
        <f>(('11'!AC26*'11'!$Q$10*1000000))/('11'!Y26*3600)</f>
        <v>0</v>
      </c>
      <c r="AE26" s="181">
        <v>3500</v>
      </c>
      <c r="AF26" s="182">
        <f>('11'!AE26/24)*0.454</f>
        <v>66.208333333333343</v>
      </c>
      <c r="AG26" s="19">
        <v>500</v>
      </c>
      <c r="AH26" s="182">
        <f>('11'!AG26/24)*0.454</f>
        <v>9.4583333333333339</v>
      </c>
      <c r="AI26" s="264">
        <v>3000</v>
      </c>
      <c r="AJ26" s="182">
        <f>('11'!AI26/24)*0.454</f>
        <v>56.75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2863</v>
      </c>
      <c r="Z27" s="180">
        <v>1793</v>
      </c>
      <c r="AA27" s="15">
        <v>1</v>
      </c>
      <c r="AB27" s="56">
        <f>IF('11'!AA27=1,(('11'!Z27*'11'!$AS$6*'11'!$AT$6)/('11'!Y27*0.0036)),IF('11'!AA27=2,(('11'!Z27*'11'!$AS$7*'11'!$AT$7)/('11'!Y27*0.0036))))</f>
        <v>115.68527574028798</v>
      </c>
      <c r="AC27" s="56"/>
      <c r="AD27" s="18">
        <f>(('11'!AC27*'11'!$Q$10*1000000))/('11'!Y27*3600)</f>
        <v>0</v>
      </c>
      <c r="AE27" s="181">
        <v>3500</v>
      </c>
      <c r="AF27" s="182">
        <f>('11'!AE27/24)*0.454</f>
        <v>66.208333333333343</v>
      </c>
      <c r="AG27" s="19">
        <v>500</v>
      </c>
      <c r="AH27" s="182">
        <f>('11'!AG27/24)*0.454</f>
        <v>9.4583333333333339</v>
      </c>
      <c r="AI27" s="264">
        <v>3000</v>
      </c>
      <c r="AJ27" s="182">
        <f>('11'!AI27/24)*0.454</f>
        <v>56.75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2852</v>
      </c>
      <c r="Z28" s="180">
        <v>1793</v>
      </c>
      <c r="AA28" s="15">
        <v>1</v>
      </c>
      <c r="AB28" s="56">
        <f>IF('11'!AA28=1,(('11'!Z28*'11'!$AS$6*'11'!$AT$6)/('11'!Y28*0.0036)),IF('11'!AA28=2,(('11'!Z28*'11'!$AS$7*'11'!$AT$7)/('11'!Y28*0.0036))))</f>
        <v>116.13146719650929</v>
      </c>
      <c r="AC28" s="56"/>
      <c r="AD28" s="18">
        <f>(('11'!AC28*'11'!$Q$10*1000000))/('11'!Y28*3600)</f>
        <v>0</v>
      </c>
      <c r="AE28" s="181">
        <v>3500</v>
      </c>
      <c r="AF28" s="182">
        <f>('11'!AE28/24)*0.454</f>
        <v>66.208333333333343</v>
      </c>
      <c r="AG28" s="19">
        <v>500</v>
      </c>
      <c r="AH28" s="182">
        <f>('11'!AG28/24)*0.454</f>
        <v>9.4583333333333339</v>
      </c>
      <c r="AI28" s="264">
        <v>3000</v>
      </c>
      <c r="AJ28" s="182">
        <f>('11'!AI28/24)*0.454</f>
        <v>56.75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2857</v>
      </c>
      <c r="Z29" s="180">
        <v>1793</v>
      </c>
      <c r="AA29" s="15">
        <v>1</v>
      </c>
      <c r="AB29" s="56">
        <f>IF('11'!AA29=1,(('11'!Z29*'11'!$AS$6*'11'!$AT$6)/('11'!Y29*0.0036)),IF('11'!AA29=2,(('11'!Z29*'11'!$AS$7*'11'!$AT$7)/('11'!Y29*0.0036))))</f>
        <v>115.92822696690391</v>
      </c>
      <c r="AC29" s="56"/>
      <c r="AD29" s="18">
        <f>(('11'!AC29*'11'!$Q$10*1000000))/('11'!Y29*3600)</f>
        <v>0</v>
      </c>
      <c r="AE29" s="181">
        <v>3500</v>
      </c>
      <c r="AF29" s="182">
        <f>('11'!AE29/24)*0.454</f>
        <v>66.208333333333343</v>
      </c>
      <c r="AG29" s="19">
        <v>500</v>
      </c>
      <c r="AH29" s="182">
        <f>('11'!AG29/24)*0.454</f>
        <v>9.4583333333333339</v>
      </c>
      <c r="AI29" s="264">
        <v>3000</v>
      </c>
      <c r="AJ29" s="182">
        <f>('11'!AI29/24)*0.454</f>
        <v>56.75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SUM('11'!Y6:Y29)*3.6</f>
        <v>243378</v>
      </c>
      <c r="Z30" s="80">
        <f>SUM('11'!Z6:Z29)</f>
        <v>40232</v>
      </c>
      <c r="AA30" s="76"/>
      <c r="AB30" s="77"/>
      <c r="AC30" s="76"/>
      <c r="AD30" s="77"/>
      <c r="AE30" s="33"/>
      <c r="AF30" s="182">
        <f>SUM('11'!AF6:AF29)</f>
        <v>1588.9999999999998</v>
      </c>
      <c r="AG30" s="33"/>
      <c r="AH30" s="182">
        <f>SUM('11'!AH6:AH29)</f>
        <v>227.00000000000009</v>
      </c>
      <c r="AI30" s="181"/>
      <c r="AJ30" s="182">
        <f>SUM('11'!AJ6:AJ29)</f>
        <v>1362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SUMIF('11'!AA6:AA29,"=1",'11'!Z6:Z29)</f>
        <v>37006</v>
      </c>
      <c r="AA32" s="80">
        <f>'11'!Z32*'11'!AS6</f>
        <v>49217.98</v>
      </c>
      <c r="AB32" s="81">
        <f>SUMIF('11'!$AA$6:$AA$29,"=1",'11'!$AB$6:$AB$29)/COUNTIF('11'!$AA$6:$AA$29,"=1")</f>
        <v>110.14052555558251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AVERAGE('11'!Y6:Y29)</f>
        <v>2816.875</v>
      </c>
      <c r="Z34" s="94">
        <f>AVERAGE('11'!Z6:Z29)</f>
        <v>1676.3333333333333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66.208333333333329</v>
      </c>
      <c r="AG34" s="96"/>
      <c r="AH34" s="96">
        <f>AVERAGE('11'!AH6:AH29)</f>
        <v>9.4583333333333375</v>
      </c>
      <c r="AI34" s="96"/>
      <c r="AJ34" s="96">
        <f>'11'!AJ30/24</f>
        <v>56.75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4" t="s">
        <v>15</v>
      </c>
      <c r="X35" s="952" t="s">
        <v>66</v>
      </c>
      <c r="Y35" s="952"/>
      <c r="Z35" s="101"/>
      <c r="AA35" s="952" t="s">
        <v>67</v>
      </c>
      <c r="AB35" s="952"/>
      <c r="AJ35" s="1024" t="s">
        <v>68</v>
      </c>
      <c r="AK35" s="1024"/>
      <c r="AL35" s="1024"/>
      <c r="AM35" s="1024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4"/>
      <c r="X36" s="265" t="s">
        <v>73</v>
      </c>
      <c r="Y36" s="104"/>
      <c r="Z36" s="105"/>
      <c r="AA36" s="266" t="s">
        <v>74</v>
      </c>
      <c r="AB36" s="104"/>
      <c r="AJ36" s="1024"/>
      <c r="AK36" s="1024"/>
      <c r="AL36" s="1024"/>
      <c r="AM36" s="1024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61.8</v>
      </c>
      <c r="D37" s="184">
        <v>15.9</v>
      </c>
      <c r="E37" s="184">
        <v>8</v>
      </c>
      <c r="F37" s="184">
        <v>2.4</v>
      </c>
      <c r="G37" s="181">
        <v>0.02</v>
      </c>
      <c r="H37" s="181">
        <v>0</v>
      </c>
      <c r="I37" s="181">
        <v>0.15</v>
      </c>
      <c r="J37" s="181">
        <v>0.1</v>
      </c>
      <c r="K37" s="181">
        <v>0.03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33">
        <f>'11'!V12</f>
        <v>0</v>
      </c>
      <c r="X37" s="1025" t="s">
        <v>75</v>
      </c>
      <c r="Y37" s="1025"/>
      <c r="Z37" s="108">
        <f>COUNTA('11'!Z6:Z29)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1815.9999999999998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1362</v>
      </c>
      <c r="AQ38" s="208" t="s">
        <v>78</v>
      </c>
      <c r="AR38" s="210">
        <f>'11'!AP30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1065" t="s">
        <v>85</v>
      </c>
      <c r="T39" s="1065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7.4616440269868258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5.5962330202401205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1065"/>
      <c r="T40" s="1065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SUM('11'!AK38,'11'!AM38)</f>
        <v>1815.9999999999998</v>
      </c>
      <c r="AM40" s="969"/>
      <c r="AO40" s="970" t="s">
        <v>90</v>
      </c>
      <c r="AP40" s="970"/>
      <c r="AQ40" s="971">
        <f>SUM('11'!AP38,'11'!AR38)</f>
        <v>1362</v>
      </c>
      <c r="AR40" s="971"/>
    </row>
    <row r="41" spans="1:44" ht="16.5" customHeight="1">
      <c r="A41" s="131">
        <f>COUNTA('11'!E7:E18)</f>
        <v>12</v>
      </c>
      <c r="B41" s="132">
        <f>COUNTA('11'!I7:I18)</f>
        <v>12</v>
      </c>
      <c r="C41" s="972">
        <f>COUNTA('11'!J7:J18)</f>
        <v>12</v>
      </c>
      <c r="D41" s="972">
        <f>COUNTA('11'!K7:K18)</f>
        <v>12</v>
      </c>
      <c r="E41" s="972">
        <f>COUNTIF('11'!E7:E18,"&gt;15")</f>
        <v>0</v>
      </c>
      <c r="F41" s="972"/>
      <c r="G41" s="972">
        <f>COUNTIF('11'!J7:J18,"&gt;1")</f>
        <v>11</v>
      </c>
      <c r="H41" s="972"/>
      <c r="I41" s="133"/>
      <c r="J41" s="972">
        <f>'11'!A41-'11'!E41</f>
        <v>12</v>
      </c>
      <c r="K41" s="972"/>
      <c r="L41" s="972">
        <f>'11'!C41-'11'!G41</f>
        <v>1</v>
      </c>
      <c r="M41" s="972"/>
      <c r="N41" s="133"/>
      <c r="O41" s="973">
        <f>COUNTIF('11'!J7:J18,"&lt;=0,5")</f>
        <v>0</v>
      </c>
      <c r="P41" s="973"/>
      <c r="Q41" s="973"/>
      <c r="R41" s="963"/>
      <c r="S41" s="974">
        <f>COUNTIF('11'!J7:J18,"&lt;=1,0")</f>
        <v>1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SUM(('11'!AK38+'11'!AM38)/'11'!Y30)*1000</f>
        <v>7.4616440269868258</v>
      </c>
      <c r="AM41" s="975"/>
      <c r="AO41" s="970" t="s">
        <v>91</v>
      </c>
      <c r="AP41" s="970"/>
      <c r="AQ41" s="975">
        <f>SUM(('11'!AP38+'11'!AR38)/'11'!Y30)*1000</f>
        <v>5.5962330202401205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84">
        <f>SUM('11'!Y45,'11'!AA45,'11'!AC45,'11'!AE45)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COUNTIF('11'!I7:I18,"&lt;=5,0")</f>
        <v>12</v>
      </c>
      <c r="I45" s="986"/>
      <c r="J45" s="986"/>
      <c r="K45" s="133"/>
      <c r="L45" s="968">
        <f>COUNTA('11'!L37)</f>
        <v>1</v>
      </c>
      <c r="M45" s="968"/>
      <c r="O45" s="144"/>
      <c r="P45" s="145"/>
      <c r="Q45" s="987">
        <f>'11'!S41-'11'!O41</f>
        <v>1</v>
      </c>
      <c r="R45" s="987"/>
      <c r="S45" s="987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89" t="s">
        <v>106</v>
      </c>
      <c r="AG46" s="990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COUNTA('11'!O7:O18)</f>
        <v>12</v>
      </c>
      <c r="P51" s="968">
        <f>COUNTA('11'!W17:W28)</f>
        <v>0</v>
      </c>
      <c r="R51" s="986">
        <f>COUNTIF('11'!O7:O18,"&gt;=0,5")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SUM('11'!Y53,'11'!AA53,'11'!AC53,'11'!AE53)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'11'!AS7</f>
        <v>1.262</v>
      </c>
      <c r="Z54" s="151" t="s">
        <v>105</v>
      </c>
      <c r="AA54" s="153">
        <f>'11'!Y54</f>
        <v>1.262</v>
      </c>
      <c r="AB54" s="151" t="s">
        <v>105</v>
      </c>
      <c r="AC54" s="153">
        <f>'11'!Y54</f>
        <v>1.262</v>
      </c>
      <c r="AD54" s="151" t="s">
        <v>105</v>
      </c>
      <c r="AE54" s="154">
        <f>'11'!Y54</f>
        <v>1.262</v>
      </c>
      <c r="AF54" s="989" t="s">
        <v>106</v>
      </c>
      <c r="AG54" s="990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89"/>
      <c r="AG55" s="990"/>
      <c r="AI55" s="151" t="s">
        <v>105</v>
      </c>
      <c r="AJ55" s="152">
        <f>'3'!Y54</f>
        <v>1.262</v>
      </c>
      <c r="AK55" s="151" t="s">
        <v>105</v>
      </c>
      <c r="AL55" s="152">
        <f>'3'!AJ55</f>
        <v>1.262</v>
      </c>
      <c r="AM55" s="151" t="s">
        <v>105</v>
      </c>
      <c r="AN55" s="152">
        <f>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COUNTA('11'!N7:N18)</f>
        <v>12</v>
      </c>
      <c r="P57" s="997"/>
      <c r="R57" s="998">
        <f>COUNTIF('11'!N7:N18,"&gt;=6")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49217.98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F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-49217.98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'10'!$Y$68</f>
        <v>-9477.25</v>
      </c>
      <c r="Z65" s="1007"/>
      <c r="AA65" s="1007"/>
      <c r="AB65" s="174" t="s">
        <v>126</v>
      </c>
      <c r="AC65" s="238"/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SUM('11'!AK38,'11'!AP38)</f>
        <v>3178</v>
      </c>
      <c r="Z67" s="1007"/>
      <c r="AA67" s="1007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-12655.25</v>
      </c>
      <c r="Z68" s="1007"/>
      <c r="AA68" s="1007"/>
      <c r="AB68" s="170" t="s">
        <v>128</v>
      </c>
      <c r="AC68" s="178">
        <f>SUM('11'!AC63,'11'!AC65)-'11'!AC67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134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2884</v>
      </c>
      <c r="Z6" s="267">
        <v>1793</v>
      </c>
      <c r="AA6" s="52">
        <v>1</v>
      </c>
      <c r="AB6" s="56">
        <f>IF('12'!AA6=1,(('12'!Z6*'12'!$AS$6*'12'!$AT$6)/('12'!Y6*0.0036)),IF('12'!AA6=2,(('12'!Z6*'12'!$AS$7*'12'!$AT$7)/('12'!Y6*0.0036))))</f>
        <v>114.84290722761597</v>
      </c>
      <c r="AC6" s="56"/>
      <c r="AD6" s="18">
        <f>(('12'!AC6*'12'!$Q$10*1000000))/('12'!Y6*3600)</f>
        <v>0</v>
      </c>
      <c r="AE6" s="181">
        <v>3500</v>
      </c>
      <c r="AF6" s="182">
        <f>('12'!AE6/24)*0.454</f>
        <v>66.208333333333343</v>
      </c>
      <c r="AG6" s="19">
        <v>500</v>
      </c>
      <c r="AH6" s="182">
        <f>('12'!AG6/24)*0.454</f>
        <v>9.4583333333333339</v>
      </c>
      <c r="AI6" s="268">
        <v>3000</v>
      </c>
      <c r="AJ6" s="182">
        <f>('12'!AI6/24)*0.454</f>
        <v>56.75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250</v>
      </c>
      <c r="C7" s="184">
        <v>7.5</v>
      </c>
      <c r="D7" s="184">
        <v>5</v>
      </c>
      <c r="E7" s="184">
        <v>2.5</v>
      </c>
      <c r="F7" s="184">
        <v>59</v>
      </c>
      <c r="G7" s="184">
        <v>3.4</v>
      </c>
      <c r="H7" s="184">
        <v>1.7</v>
      </c>
      <c r="I7" s="184">
        <v>1.19</v>
      </c>
      <c r="J7" s="184">
        <v>2.0299999999999998</v>
      </c>
      <c r="K7" s="184">
        <v>7.3</v>
      </c>
      <c r="L7" s="184">
        <v>5.8</v>
      </c>
      <c r="M7" s="184">
        <v>5.8</v>
      </c>
      <c r="N7" s="184">
        <v>5.2</v>
      </c>
      <c r="O7" s="184">
        <v>3.5</v>
      </c>
      <c r="P7" s="184">
        <v>1.2</v>
      </c>
      <c r="Q7" s="186">
        <v>1.8</v>
      </c>
      <c r="R7" s="36">
        <f>'11'!$Z$29</f>
        <v>1793</v>
      </c>
      <c r="S7" s="185">
        <f>'11'!$AB$29</f>
        <v>115.92822696690391</v>
      </c>
      <c r="T7" s="36">
        <f>'11'!$Y$29</f>
        <v>2857</v>
      </c>
      <c r="U7" s="32" t="str">
        <f>IF('12'!AA6=1,'12'!AR6,'12'!AR7)</f>
        <v>S.A.L</v>
      </c>
      <c r="V7" s="1016">
        <f>ESCALA!$C$13</f>
        <v>0</v>
      </c>
      <c r="W7" s="1016"/>
      <c r="X7" s="13">
        <v>8.3333333333333301E-2</v>
      </c>
      <c r="Y7" s="52">
        <v>2877</v>
      </c>
      <c r="Z7" s="267">
        <v>1793</v>
      </c>
      <c r="AA7" s="52">
        <v>1</v>
      </c>
      <c r="AB7" s="56">
        <f>IF('12'!AA7=1,(('12'!Z7*'12'!$AS$6*'12'!$AT$6)/('12'!Y7*0.0036)),IF('12'!AA7=2,(('12'!Z7*'12'!$AS$7*'12'!$AT$7)/('12'!Y7*0.0036))))</f>
        <v>115.12233035955666</v>
      </c>
      <c r="AC7" s="56"/>
      <c r="AD7" s="18">
        <f>(('12'!AC7*'12'!$Q$10*1000000))/('12'!Y7*3600)</f>
        <v>0</v>
      </c>
      <c r="AE7" s="181">
        <v>3500</v>
      </c>
      <c r="AF7" s="182">
        <f>('12'!AE7/24)*0.454</f>
        <v>66.208333333333343</v>
      </c>
      <c r="AG7" s="19">
        <v>500</v>
      </c>
      <c r="AH7" s="182">
        <f>('12'!AG7/24)*0.454</f>
        <v>9.4583333333333339</v>
      </c>
      <c r="AI7" s="268">
        <v>3000</v>
      </c>
      <c r="AJ7" s="182">
        <f>('12'!AI7/24)*0.454</f>
        <v>56.75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250</v>
      </c>
      <c r="C8" s="184">
        <v>7.5</v>
      </c>
      <c r="D8" s="184">
        <v>5</v>
      </c>
      <c r="E8" s="184">
        <v>2.5</v>
      </c>
      <c r="F8" s="184">
        <v>57</v>
      </c>
      <c r="G8" s="184">
        <v>3.4</v>
      </c>
      <c r="H8" s="184">
        <v>1.7</v>
      </c>
      <c r="I8" s="184">
        <v>1.18</v>
      </c>
      <c r="J8" s="184">
        <v>1.97</v>
      </c>
      <c r="K8" s="184">
        <v>7.3</v>
      </c>
      <c r="L8" s="184">
        <v>5.7</v>
      </c>
      <c r="M8" s="184">
        <v>5.8</v>
      </c>
      <c r="N8" s="184">
        <v>5.2</v>
      </c>
      <c r="O8" s="184">
        <v>3.5</v>
      </c>
      <c r="P8" s="184">
        <v>1.2</v>
      </c>
      <c r="Q8" s="186">
        <v>1.6</v>
      </c>
      <c r="R8" s="34">
        <f>'12'!Z7</f>
        <v>1793</v>
      </c>
      <c r="S8" s="35">
        <f>'12'!AB7</f>
        <v>115.12233035955666</v>
      </c>
      <c r="T8" s="36">
        <f>'12'!Y7</f>
        <v>2877</v>
      </c>
      <c r="U8" s="32" t="str">
        <f>IF('12'!AA7=1,'12'!AR6,'12'!AR7)</f>
        <v>S.A.L</v>
      </c>
      <c r="V8" s="1016"/>
      <c r="W8" s="1016"/>
      <c r="X8" s="13">
        <v>0.125</v>
      </c>
      <c r="Y8" s="52">
        <v>3015</v>
      </c>
      <c r="Z8" s="267">
        <v>1793</v>
      </c>
      <c r="AA8" s="52">
        <v>1</v>
      </c>
      <c r="AB8" s="56">
        <f>IF('12'!AA8=1,(('12'!Z8*'12'!$AS$6*'12'!$AT$6)/('12'!Y8*0.0036)),IF('12'!AA8=2,(('12'!Z8*'12'!$AS$7*'12'!$AT$7)/('12'!Y8*0.0036))))</f>
        <v>109.85304956697992</v>
      </c>
      <c r="AC8" s="56"/>
      <c r="AD8" s="18">
        <f>(('12'!AC8*'12'!$Q$10*1000000))/('12'!Y8*3600)</f>
        <v>0</v>
      </c>
      <c r="AE8" s="181">
        <v>3500</v>
      </c>
      <c r="AF8" s="182">
        <f>('12'!AE8/24)*0.454</f>
        <v>66.208333333333343</v>
      </c>
      <c r="AG8" s="19">
        <v>500</v>
      </c>
      <c r="AH8" s="182">
        <f>('12'!AG8/24)*0.454</f>
        <v>9.4583333333333339</v>
      </c>
      <c r="AI8" s="268">
        <v>3000</v>
      </c>
      <c r="AJ8" s="182">
        <f>('12'!AI8/24)*0.454</f>
        <v>56.75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250</v>
      </c>
      <c r="C9" s="184">
        <v>7.5</v>
      </c>
      <c r="D9" s="184">
        <v>5</v>
      </c>
      <c r="E9" s="184">
        <v>2.5</v>
      </c>
      <c r="F9" s="184">
        <v>55</v>
      </c>
      <c r="G9" s="184">
        <v>3.1</v>
      </c>
      <c r="H9" s="184">
        <v>2.8</v>
      </c>
      <c r="I9" s="184">
        <v>1.1499999999999999</v>
      </c>
      <c r="J9" s="184">
        <v>1.9</v>
      </c>
      <c r="K9" s="184">
        <v>7.3</v>
      </c>
      <c r="L9" s="184">
        <v>5.7</v>
      </c>
      <c r="M9" s="184">
        <v>5.8</v>
      </c>
      <c r="N9" s="184">
        <v>5.2</v>
      </c>
      <c r="O9" s="184">
        <v>3.5</v>
      </c>
      <c r="P9" s="184">
        <v>1</v>
      </c>
      <c r="Q9" s="186">
        <v>1.5</v>
      </c>
      <c r="R9" s="36">
        <f>'12'!Z9</f>
        <v>1793</v>
      </c>
      <c r="S9" s="35">
        <f>'12'!AB9</f>
        <v>114.40654384954902</v>
      </c>
      <c r="T9" s="36">
        <f>'12'!Y9</f>
        <v>2895</v>
      </c>
      <c r="U9" s="32" t="str">
        <f>IF('12'!AA9=1,'12'!AR6,'12'!AR7)</f>
        <v>S.A.L</v>
      </c>
      <c r="V9" s="1016"/>
      <c r="W9" s="1016"/>
      <c r="X9" s="13">
        <v>0.16666666666666699</v>
      </c>
      <c r="Y9" s="52">
        <v>2895</v>
      </c>
      <c r="Z9" s="267">
        <v>1793</v>
      </c>
      <c r="AA9" s="52">
        <v>1</v>
      </c>
      <c r="AB9" s="56">
        <f>IF('12'!AA9=1,(('12'!Z9*'12'!$AS$6*'12'!$AT$6)/('12'!Y9*0.0036)),IF('12'!AA9=2,(('12'!Z9*'12'!$AS$7*'12'!$AT$7)/('12'!Y9*0.0036))))</f>
        <v>114.40654384954902</v>
      </c>
      <c r="AC9" s="56"/>
      <c r="AD9" s="18">
        <f>(('12'!AC9*'12'!$Q$10*1000000))/('12'!Y9*3600)</f>
        <v>0</v>
      </c>
      <c r="AE9" s="181">
        <v>3500</v>
      </c>
      <c r="AF9" s="182">
        <f>('12'!AE9/24)*0.454</f>
        <v>66.208333333333343</v>
      </c>
      <c r="AG9" s="19">
        <v>500</v>
      </c>
      <c r="AH9" s="182">
        <f>('12'!AG9/24)*0.454</f>
        <v>9.4583333333333339</v>
      </c>
      <c r="AI9" s="268">
        <v>3000</v>
      </c>
      <c r="AJ9" s="182">
        <f>('12'!AI9/24)*0.454</f>
        <v>56.75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250</v>
      </c>
      <c r="C10" s="184">
        <v>7.5</v>
      </c>
      <c r="D10" s="184">
        <v>5</v>
      </c>
      <c r="E10" s="184">
        <v>2.5</v>
      </c>
      <c r="F10" s="184">
        <v>55</v>
      </c>
      <c r="G10" s="184">
        <v>2.8</v>
      </c>
      <c r="H10" s="184">
        <v>3</v>
      </c>
      <c r="I10" s="184">
        <v>1.1100000000000001</v>
      </c>
      <c r="J10" s="184">
        <v>1.86</v>
      </c>
      <c r="K10" s="184">
        <v>7.3</v>
      </c>
      <c r="L10" s="184">
        <v>5.7</v>
      </c>
      <c r="M10" s="184">
        <v>5.8</v>
      </c>
      <c r="N10" s="184">
        <v>5.2</v>
      </c>
      <c r="O10" s="184">
        <v>3.5</v>
      </c>
      <c r="P10" s="184">
        <v>1</v>
      </c>
      <c r="Q10" s="186">
        <v>1.5</v>
      </c>
      <c r="R10" s="36">
        <f>'12'!Z11</f>
        <v>1793</v>
      </c>
      <c r="S10" s="35" t="e">
        <f>'12'!AB11</f>
        <v>#DIV/0!</v>
      </c>
      <c r="T10" s="36">
        <f>'12'!Y11</f>
        <v>0</v>
      </c>
      <c r="U10" s="32" t="str">
        <f>IF('12'!AA11=1,'12'!AR6,'12'!AR7)</f>
        <v>S.A.L</v>
      </c>
      <c r="V10" s="1016"/>
      <c r="W10" s="1016"/>
      <c r="X10" s="13">
        <v>0.20833333333333301</v>
      </c>
      <c r="Y10" s="52"/>
      <c r="Z10" s="267">
        <v>1793</v>
      </c>
      <c r="AA10" s="52">
        <v>1</v>
      </c>
      <c r="AB10" s="56" t="e">
        <f>IF('12'!AA10=1,(('12'!Z10*'12'!$AS$6*'12'!$AT$6)/('12'!Y10*0.0036)),IF('12'!AA10=2,(('12'!Z10*'12'!$AS$7*'12'!$AT$7)/('12'!Y10*0.0036))))</f>
        <v>#DIV/0!</v>
      </c>
      <c r="AC10" s="56"/>
      <c r="AD10" s="18" t="e">
        <f>(('12'!AC10*'12'!$Q$10*1000000))/('12'!Y10*3600)</f>
        <v>#DIV/0!</v>
      </c>
      <c r="AE10" s="181">
        <v>3500</v>
      </c>
      <c r="AF10" s="182">
        <f>('12'!AE10/24)*0.454</f>
        <v>66.208333333333343</v>
      </c>
      <c r="AG10" s="19">
        <v>500</v>
      </c>
      <c r="AH10" s="182">
        <f>('12'!AG10/24)*0.454</f>
        <v>9.4583333333333339</v>
      </c>
      <c r="AI10" s="268">
        <v>3000</v>
      </c>
      <c r="AJ10" s="182">
        <f>('12'!AI10/24)*0.454</f>
        <v>56.75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250</v>
      </c>
      <c r="C11" s="184">
        <v>7.5</v>
      </c>
      <c r="D11" s="184">
        <v>5</v>
      </c>
      <c r="E11" s="184">
        <v>2.5</v>
      </c>
      <c r="F11" s="29">
        <v>55</v>
      </c>
      <c r="G11" s="29">
        <v>3.1</v>
      </c>
      <c r="H11" s="29">
        <v>2.8</v>
      </c>
      <c r="I11" s="29">
        <v>1.05</v>
      </c>
      <c r="J11" s="29">
        <v>1.75</v>
      </c>
      <c r="K11" s="29">
        <v>7.3</v>
      </c>
      <c r="L11" s="29">
        <v>5.7</v>
      </c>
      <c r="M11" s="29">
        <v>5.7</v>
      </c>
      <c r="N11" s="29">
        <v>5.5</v>
      </c>
      <c r="O11" s="29">
        <v>3.8</v>
      </c>
      <c r="P11" s="29">
        <v>1</v>
      </c>
      <c r="Q11" s="29">
        <v>1.5</v>
      </c>
      <c r="R11" s="36">
        <f>'12'!Z13</f>
        <v>1793</v>
      </c>
      <c r="S11" s="35">
        <f>'12'!AB13</f>
        <v>115.52387319303958</v>
      </c>
      <c r="T11" s="36">
        <f>'12'!Y13</f>
        <v>2867</v>
      </c>
      <c r="U11" s="32" t="str">
        <f>IF('12'!AA13=1,'12'!AR6,'12'!AR7)</f>
        <v>S.A.L</v>
      </c>
      <c r="V11" s="1016"/>
      <c r="W11" s="1016"/>
      <c r="X11" s="13">
        <v>0.25</v>
      </c>
      <c r="Y11" s="52"/>
      <c r="Z11" s="267">
        <v>1793</v>
      </c>
      <c r="AA11" s="52">
        <v>1</v>
      </c>
      <c r="AB11" s="56" t="e">
        <f>IF('12'!AA11=1,(('12'!Z11*'12'!$AS$6*'12'!$AT$6)/('12'!Y11*0.0036)),IF('12'!AA11=2,(('12'!Z11*'12'!$AS$7*'12'!$AT$7)/('12'!Y11*0.0036))))</f>
        <v>#DIV/0!</v>
      </c>
      <c r="AC11" s="56"/>
      <c r="AD11" s="18" t="e">
        <f>(('12'!AC11*'12'!$Q$10*1000000))/('12'!Y11*3600)</f>
        <v>#DIV/0!</v>
      </c>
      <c r="AE11" s="181">
        <v>3500</v>
      </c>
      <c r="AF11" s="182">
        <f>('12'!AE11/24)*0.454</f>
        <v>66.208333333333343</v>
      </c>
      <c r="AG11" s="19">
        <v>500</v>
      </c>
      <c r="AH11" s="182">
        <f>('12'!AG11/24)*0.454</f>
        <v>9.4583333333333339</v>
      </c>
      <c r="AI11" s="268">
        <v>3000</v>
      </c>
      <c r="AJ11" s="182">
        <f>('12'!AI11/24)*0.454</f>
        <v>56.75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184">
        <v>250</v>
      </c>
      <c r="C12" s="184">
        <v>7.5</v>
      </c>
      <c r="D12" s="184">
        <v>5</v>
      </c>
      <c r="E12" s="184">
        <v>2.5</v>
      </c>
      <c r="F12" s="29">
        <v>55</v>
      </c>
      <c r="G12" s="29">
        <v>3.3</v>
      </c>
      <c r="H12" s="29">
        <v>2.4</v>
      </c>
      <c r="I12" s="29">
        <v>0.97</v>
      </c>
      <c r="J12" s="29">
        <v>1.63</v>
      </c>
      <c r="K12" s="29">
        <v>7.3</v>
      </c>
      <c r="L12" s="29">
        <v>5.7</v>
      </c>
      <c r="M12" s="29">
        <v>5.7</v>
      </c>
      <c r="N12" s="29">
        <v>5.5</v>
      </c>
      <c r="O12" s="29">
        <v>3.6</v>
      </c>
      <c r="P12" s="29">
        <v>0.8</v>
      </c>
      <c r="Q12" s="29">
        <v>1.5</v>
      </c>
      <c r="R12" s="36">
        <f>'12'!Z15</f>
        <v>1793</v>
      </c>
      <c r="S12" s="35">
        <f>'12'!AB15</f>
        <v>116.99291573452648</v>
      </c>
      <c r="T12" s="36">
        <f>'12'!Y15</f>
        <v>2831</v>
      </c>
      <c r="U12" s="32" t="str">
        <f>IF('12'!AA15=1,'12'!AR6,'12'!AR7)</f>
        <v>S.A.L</v>
      </c>
      <c r="V12" s="938">
        <f>ESCALA!$B$14</f>
        <v>0</v>
      </c>
      <c r="W12" s="938"/>
      <c r="X12" s="13">
        <v>0.29166666666666702</v>
      </c>
      <c r="Y12" s="52">
        <v>2917</v>
      </c>
      <c r="Z12" s="267">
        <v>1793</v>
      </c>
      <c r="AA12" s="52">
        <v>1</v>
      </c>
      <c r="AB12" s="56">
        <f>IF('12'!AA12=1,(('12'!Z12*'12'!$AS$6*'12'!$AT$6)/('12'!Y12*0.0036)),IF('12'!AA12=2,(('12'!Z12*'12'!$AS$7*'12'!$AT$7)/('12'!Y12*0.0036))))</f>
        <v>113.54369024492441</v>
      </c>
      <c r="AC12" s="56"/>
      <c r="AD12" s="18">
        <f>(('12'!AC12*'12'!$Q$10*1000000))/('12'!Y12*3600)</f>
        <v>0</v>
      </c>
      <c r="AE12" s="181">
        <v>3500</v>
      </c>
      <c r="AF12" s="182">
        <f>('12'!AE12/24)*0.454</f>
        <v>66.208333333333343</v>
      </c>
      <c r="AG12" s="19">
        <v>500</v>
      </c>
      <c r="AH12" s="182">
        <f>('12'!AG12/24)*0.454</f>
        <v>9.4583333333333339</v>
      </c>
      <c r="AI12" s="268">
        <v>3000</v>
      </c>
      <c r="AJ12" s="182">
        <f>('12'!AI12/24)*0.454</f>
        <v>56.75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220</v>
      </c>
      <c r="C13" s="184">
        <v>7.5</v>
      </c>
      <c r="D13" s="184">
        <v>5</v>
      </c>
      <c r="E13" s="184">
        <v>2.5</v>
      </c>
      <c r="F13" s="29">
        <v>54</v>
      </c>
      <c r="G13" s="29">
        <v>3.4</v>
      </c>
      <c r="H13" s="29">
        <v>2.4</v>
      </c>
      <c r="I13" s="29">
        <v>0.94</v>
      </c>
      <c r="J13" s="29">
        <v>1.51</v>
      </c>
      <c r="K13" s="29">
        <v>7.3</v>
      </c>
      <c r="L13" s="29">
        <v>5.7</v>
      </c>
      <c r="M13" s="29">
        <v>5.7</v>
      </c>
      <c r="N13" s="29">
        <v>5.5</v>
      </c>
      <c r="O13" s="29">
        <v>3.5</v>
      </c>
      <c r="P13" s="29">
        <v>0.4</v>
      </c>
      <c r="Q13" s="29">
        <v>1.5</v>
      </c>
      <c r="R13" s="36">
        <f>'12'!Z17</f>
        <v>1793</v>
      </c>
      <c r="S13" s="35">
        <f>'12'!AB17</f>
        <v>116.33542130117473</v>
      </c>
      <c r="T13" s="36">
        <f>'12'!Y17</f>
        <v>2847</v>
      </c>
      <c r="U13" s="32" t="str">
        <f>IF('12'!AA17=1,'12'!AR6,'12'!AR7)</f>
        <v>S.A.L</v>
      </c>
      <c r="V13" s="938"/>
      <c r="W13" s="938"/>
      <c r="X13" s="13">
        <v>0.33333333333333298</v>
      </c>
      <c r="Y13" s="52">
        <v>2867</v>
      </c>
      <c r="Z13" s="267">
        <v>1793</v>
      </c>
      <c r="AA13" s="52">
        <v>1</v>
      </c>
      <c r="AB13" s="56">
        <f>IF('12'!AA13=1,(('12'!Z13*'12'!$AS$6*'12'!$AT$6)/('12'!Y13*0.0036)),IF('12'!AA13=2,(('12'!Z13*'12'!$AS$7*'12'!$AT$7)/('12'!Y13*0.0036))))</f>
        <v>115.52387319303958</v>
      </c>
      <c r="AC13" s="56"/>
      <c r="AD13" s="18">
        <f>(('12'!AC13*'12'!$Q$10*1000000))/('12'!Y13*3600)</f>
        <v>0</v>
      </c>
      <c r="AE13" s="181">
        <v>3500</v>
      </c>
      <c r="AF13" s="182">
        <f>('12'!AE13/24)*0.454</f>
        <v>66.208333333333343</v>
      </c>
      <c r="AG13" s="19">
        <v>500</v>
      </c>
      <c r="AH13" s="182">
        <f>('12'!AG13/24)*0.454</f>
        <v>9.4583333333333339</v>
      </c>
      <c r="AI13" s="268">
        <v>3000</v>
      </c>
      <c r="AJ13" s="182">
        <f>('12'!AI13/24)*0.454</f>
        <v>56.75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220</v>
      </c>
      <c r="C14" s="184">
        <v>7.5</v>
      </c>
      <c r="D14" s="184">
        <v>5</v>
      </c>
      <c r="E14" s="184">
        <v>2.5</v>
      </c>
      <c r="F14" s="29">
        <v>53</v>
      </c>
      <c r="G14" s="29">
        <v>3.3</v>
      </c>
      <c r="H14" s="29">
        <v>2.2999999999999998</v>
      </c>
      <c r="I14" s="29">
        <v>0.88</v>
      </c>
      <c r="J14" s="29">
        <v>1.54</v>
      </c>
      <c r="K14" s="29">
        <v>7.3</v>
      </c>
      <c r="L14" s="29">
        <v>5.7</v>
      </c>
      <c r="M14" s="29">
        <v>5.7</v>
      </c>
      <c r="N14" s="29">
        <v>5.5</v>
      </c>
      <c r="O14" s="29">
        <v>3.5</v>
      </c>
      <c r="P14" s="29">
        <v>0.1</v>
      </c>
      <c r="Q14" s="29">
        <v>1.6</v>
      </c>
      <c r="R14" s="36">
        <f>'12'!Z19</f>
        <v>1793</v>
      </c>
      <c r="S14" s="35">
        <f>'12'!AB19</f>
        <v>110.66052270111743</v>
      </c>
      <c r="T14" s="36">
        <f>'12'!Y19</f>
        <v>2993</v>
      </c>
      <c r="U14" s="32" t="str">
        <f>IF('12'!AA19=1,'12'!AR6,'12'!AR7)</f>
        <v>S.A.L</v>
      </c>
      <c r="V14" s="938"/>
      <c r="W14" s="938"/>
      <c r="X14" s="13">
        <v>0.375</v>
      </c>
      <c r="Y14" s="52">
        <v>2834</v>
      </c>
      <c r="Z14" s="267">
        <v>1793</v>
      </c>
      <c r="AA14" s="52">
        <v>1</v>
      </c>
      <c r="AB14" s="56">
        <f>IF('12'!AA14=1,(('12'!Z14*'12'!$AS$6*'12'!$AT$6)/('12'!Y14*0.0036)),IF('12'!AA14=2,(('12'!Z14*'12'!$AS$7*'12'!$AT$7)/('12'!Y14*0.0036))))</f>
        <v>116.86907002273976</v>
      </c>
      <c r="AC14" s="56"/>
      <c r="AD14" s="18">
        <f>(('12'!AC14*'12'!$Q$10*1000000))/('12'!Y14*3600)</f>
        <v>0</v>
      </c>
      <c r="AE14" s="181">
        <v>3500</v>
      </c>
      <c r="AF14" s="182">
        <f>('12'!AE14/24)*0.454</f>
        <v>66.208333333333343</v>
      </c>
      <c r="AG14" s="19">
        <v>500</v>
      </c>
      <c r="AH14" s="182">
        <f>('12'!AG14/24)*0.454</f>
        <v>9.4583333333333339</v>
      </c>
      <c r="AI14" s="268">
        <v>3000</v>
      </c>
      <c r="AJ14" s="182">
        <f>('12'!AI14/24)*0.454</f>
        <v>56.75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220</v>
      </c>
      <c r="C15" s="184">
        <v>7.5</v>
      </c>
      <c r="D15" s="184">
        <v>5</v>
      </c>
      <c r="E15" s="184">
        <v>2.5</v>
      </c>
      <c r="F15" s="29">
        <v>53</v>
      </c>
      <c r="G15" s="29">
        <v>2.9</v>
      </c>
      <c r="H15" s="29">
        <v>2.1</v>
      </c>
      <c r="I15" s="29">
        <v>0.85</v>
      </c>
      <c r="J15" s="29">
        <v>1.38</v>
      </c>
      <c r="K15" s="29">
        <v>7.3</v>
      </c>
      <c r="L15" s="29">
        <v>5.7</v>
      </c>
      <c r="M15" s="29">
        <v>5.7</v>
      </c>
      <c r="N15" s="29">
        <v>5.5</v>
      </c>
      <c r="O15" s="29">
        <v>3.5</v>
      </c>
      <c r="P15" s="29">
        <v>0</v>
      </c>
      <c r="Q15" s="29">
        <v>1.6</v>
      </c>
      <c r="R15" s="36">
        <f>'12'!Z21</f>
        <v>1793</v>
      </c>
      <c r="S15" s="35">
        <f>'12'!AB21</f>
        <v>116.05008564977031</v>
      </c>
      <c r="T15" s="36">
        <f>'12'!Y21</f>
        <v>2854</v>
      </c>
      <c r="U15" s="32" t="str">
        <f>IF('12'!AA21=1,'12'!AR6,'12'!AR7)</f>
        <v>S.A.L</v>
      </c>
      <c r="V15" s="938"/>
      <c r="W15" s="938"/>
      <c r="X15" s="13">
        <v>0.41666666666666702</v>
      </c>
      <c r="Y15" s="52">
        <v>2831</v>
      </c>
      <c r="Z15" s="267">
        <v>1793</v>
      </c>
      <c r="AA15" s="52">
        <v>1</v>
      </c>
      <c r="AB15" s="56">
        <f>IF('12'!AA15=1,(('12'!Z15*'12'!$AS$6*'12'!$AT$6)/('12'!Y15*0.0036)),IF('12'!AA15=2,(('12'!Z15*'12'!$AS$7*'12'!$AT$7)/('12'!Y15*0.0036))))</f>
        <v>116.99291573452648</v>
      </c>
      <c r="AC15" s="56"/>
      <c r="AD15" s="18">
        <f>(('12'!AC15*'12'!$Q$10*1000000))/('12'!Y15*3600)</f>
        <v>0</v>
      </c>
      <c r="AE15" s="181">
        <v>3500</v>
      </c>
      <c r="AF15" s="182">
        <f>('12'!AE15/24)*0.454</f>
        <v>66.208333333333343</v>
      </c>
      <c r="AG15" s="19">
        <v>500</v>
      </c>
      <c r="AH15" s="182">
        <f>('12'!AG15/24)*0.454</f>
        <v>9.4583333333333339</v>
      </c>
      <c r="AI15" s="268">
        <v>3000</v>
      </c>
      <c r="AJ15" s="182">
        <f>('12'!AI15/24)*0.454</f>
        <v>56.75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220</v>
      </c>
      <c r="C16" s="184">
        <v>7.5</v>
      </c>
      <c r="D16" s="184">
        <v>5</v>
      </c>
      <c r="E16" s="184">
        <v>2.5</v>
      </c>
      <c r="F16" s="29">
        <v>52</v>
      </c>
      <c r="G16" s="29">
        <v>2.6</v>
      </c>
      <c r="H16" s="29">
        <v>1.8</v>
      </c>
      <c r="I16" s="29">
        <v>0.8</v>
      </c>
      <c r="J16" s="29">
        <v>1.1599999999999999</v>
      </c>
      <c r="K16" s="29">
        <v>7.3</v>
      </c>
      <c r="L16" s="29">
        <v>5.7</v>
      </c>
      <c r="M16" s="29">
        <v>5.7</v>
      </c>
      <c r="N16" s="29">
        <v>5.5</v>
      </c>
      <c r="O16" s="29">
        <v>3.5</v>
      </c>
      <c r="P16" s="29">
        <v>0</v>
      </c>
      <c r="Q16" s="29">
        <v>1.7</v>
      </c>
      <c r="R16" s="36">
        <f>'12'!Z23</f>
        <v>1613</v>
      </c>
      <c r="S16" s="35">
        <f>'12'!AB23</f>
        <v>101.93532139734671</v>
      </c>
      <c r="T16" s="36">
        <f>'12'!Y23</f>
        <v>2923</v>
      </c>
      <c r="U16" s="32" t="str">
        <f>IF('12'!AA23=1,'12'!AR6,'12'!AR7)</f>
        <v>S.A.L</v>
      </c>
      <c r="V16" s="938"/>
      <c r="W16" s="938"/>
      <c r="X16" s="13">
        <v>0.45833333333333298</v>
      </c>
      <c r="Y16" s="52">
        <v>2863</v>
      </c>
      <c r="Z16" s="267">
        <v>1793</v>
      </c>
      <c r="AA16" s="52">
        <v>1</v>
      </c>
      <c r="AB16" s="56">
        <f>IF('12'!AA16=1,(('12'!Z16*'12'!$AS$6*'12'!$AT$6)/('12'!Y16*0.0036)),IF('12'!AA16=2,(('12'!Z16*'12'!$AS$7*'12'!$AT$7)/('12'!Y16*0.0036))))</f>
        <v>115.68527574028798</v>
      </c>
      <c r="AC16" s="56"/>
      <c r="AD16" s="18">
        <f>(('12'!AC16*'12'!$Q$10*1000000))/('12'!Y16*3600)</f>
        <v>0</v>
      </c>
      <c r="AE16" s="181">
        <v>3500</v>
      </c>
      <c r="AF16" s="182">
        <f>('12'!AE16/24)*0.454</f>
        <v>66.208333333333343</v>
      </c>
      <c r="AG16" s="19">
        <v>500</v>
      </c>
      <c r="AH16" s="182">
        <f>('12'!AG16/24)*0.454</f>
        <v>9.4583333333333339</v>
      </c>
      <c r="AI16" s="268">
        <v>3000</v>
      </c>
      <c r="AJ16" s="182">
        <f>('12'!AI16/24)*0.454</f>
        <v>56.75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220</v>
      </c>
      <c r="C17" s="184">
        <v>5</v>
      </c>
      <c r="D17" s="184">
        <v>5</v>
      </c>
      <c r="E17" s="184">
        <v>2.5</v>
      </c>
      <c r="F17" s="29">
        <v>52</v>
      </c>
      <c r="G17" s="29">
        <v>2.2000000000000002</v>
      </c>
      <c r="H17" s="29">
        <v>1.7</v>
      </c>
      <c r="I17" s="29">
        <v>0.77</v>
      </c>
      <c r="J17" s="29">
        <v>0.96</v>
      </c>
      <c r="K17" s="29">
        <v>7.3</v>
      </c>
      <c r="L17" s="29">
        <v>5.7</v>
      </c>
      <c r="M17" s="29">
        <v>5.7</v>
      </c>
      <c r="N17" s="29">
        <v>5.5</v>
      </c>
      <c r="O17" s="29">
        <v>3.6</v>
      </c>
      <c r="P17" s="29">
        <v>0.4</v>
      </c>
      <c r="Q17" s="29">
        <v>1.8</v>
      </c>
      <c r="R17" s="36">
        <f>'12'!Z25</f>
        <v>1613</v>
      </c>
      <c r="S17" s="35">
        <f>'12'!AB25</f>
        <v>104.29014506280869</v>
      </c>
      <c r="T17" s="36">
        <f>'12'!Y25</f>
        <v>2857</v>
      </c>
      <c r="U17" s="32" t="str">
        <f>IF('12'!AA25=1,'12'!AR6,'12'!AR7)</f>
        <v>S.A.L</v>
      </c>
      <c r="V17" s="939">
        <f>ESCALA!$C$14</f>
        <v>0</v>
      </c>
      <c r="W17" s="939"/>
      <c r="X17" s="13">
        <v>0.5</v>
      </c>
      <c r="Y17" s="52">
        <v>2847</v>
      </c>
      <c r="Z17" s="267">
        <v>1793</v>
      </c>
      <c r="AA17" s="52">
        <v>1</v>
      </c>
      <c r="AB17" s="56">
        <f>IF('12'!AA17=1,(('12'!Z17*'12'!$AS$6*'12'!$AT$6)/('12'!Y17*0.0036)),IF('12'!AA17=2,(('12'!Z17*'12'!$AS$7*'12'!$AT$7)/('12'!Y17*0.0036))))</f>
        <v>116.33542130117473</v>
      </c>
      <c r="AC17" s="56"/>
      <c r="AD17" s="18">
        <f>(('12'!AC17*'12'!$Q$10*1000000))/('12'!Y17*3600)</f>
        <v>0</v>
      </c>
      <c r="AE17" s="181">
        <v>3500</v>
      </c>
      <c r="AF17" s="182">
        <f>('12'!AE17/24)*0.454</f>
        <v>66.208333333333343</v>
      </c>
      <c r="AG17" s="19">
        <v>500</v>
      </c>
      <c r="AH17" s="182">
        <f>('12'!AG17/24)*0.454</f>
        <v>9.4583333333333339</v>
      </c>
      <c r="AI17" s="268">
        <v>3000</v>
      </c>
      <c r="AJ17" s="182">
        <f>('12'!AI17/24)*0.454</f>
        <v>56.75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220</v>
      </c>
      <c r="C18" s="184">
        <v>5</v>
      </c>
      <c r="D18" s="184">
        <v>5</v>
      </c>
      <c r="E18" s="184">
        <v>2.5</v>
      </c>
      <c r="F18" s="29">
        <v>51</v>
      </c>
      <c r="G18" s="29">
        <v>2</v>
      </c>
      <c r="H18" s="29">
        <v>1.6</v>
      </c>
      <c r="I18" s="29">
        <v>0.75</v>
      </c>
      <c r="J18" s="29">
        <v>0.88</v>
      </c>
      <c r="K18" s="29">
        <v>7.3</v>
      </c>
      <c r="L18" s="29">
        <v>5.7</v>
      </c>
      <c r="M18" s="29">
        <v>5.7</v>
      </c>
      <c r="N18" s="29">
        <v>5.5</v>
      </c>
      <c r="O18" s="29">
        <v>3.6</v>
      </c>
      <c r="P18" s="29">
        <v>1</v>
      </c>
      <c r="Q18" s="29">
        <v>1.8</v>
      </c>
      <c r="R18" s="36">
        <f>'12'!Z27</f>
        <v>1613</v>
      </c>
      <c r="S18" s="35">
        <f>'12'!AB27</f>
        <v>103.27797034469479</v>
      </c>
      <c r="T18" s="36">
        <f>'12'!Y27</f>
        <v>2885</v>
      </c>
      <c r="U18" s="32" t="str">
        <f>IF('12'!AA27=1,'12'!AR6,'12'!AR7)</f>
        <v>S.A.L</v>
      </c>
      <c r="V18" s="939"/>
      <c r="W18" s="939"/>
      <c r="X18" s="13">
        <v>0.54166666666666696</v>
      </c>
      <c r="Y18" s="52">
        <v>2906</v>
      </c>
      <c r="Z18" s="267">
        <v>1793</v>
      </c>
      <c r="AA18" s="52">
        <v>1</v>
      </c>
      <c r="AB18" s="56">
        <f>IF('12'!AA18=1,(('12'!Z18*'12'!$AS$6*'12'!$AT$6)/('12'!Y18*0.0036)),IF('12'!AA18=2,(('12'!Z18*'12'!$AS$7*'12'!$AT$7)/('12'!Y18*0.0036))))</f>
        <v>113.97348397950601</v>
      </c>
      <c r="AC18" s="56"/>
      <c r="AD18" s="18">
        <f>(('12'!AC18*'12'!$Q$10*1000000))/('12'!Y18*3600)</f>
        <v>0</v>
      </c>
      <c r="AE18" s="181">
        <v>0</v>
      </c>
      <c r="AF18" s="182">
        <f>('12'!AE18/24)*0.454</f>
        <v>0</v>
      </c>
      <c r="AG18" s="19">
        <v>500</v>
      </c>
      <c r="AH18" s="182">
        <f>('12'!AG18/24)*0.454</f>
        <v>9.4583333333333339</v>
      </c>
      <c r="AI18" s="268">
        <v>4000</v>
      </c>
      <c r="AJ18" s="182">
        <f>('12'!AI18/24)*0.454</f>
        <v>75.666666666666671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235</v>
      </c>
      <c r="C19" s="67">
        <f t="array" ref="C19">IF('12'!C7:C18&gt;0.01,AVERAGE('12'!C7:C18),"")</f>
        <v>7.083333333333333</v>
      </c>
      <c r="D19" s="67">
        <f t="array" ref="D19">IF('12'!D7:D18&gt;0.01,AVERAGE('12'!D7:D18),"")</f>
        <v>5</v>
      </c>
      <c r="E19" s="67">
        <f t="array" ref="E19">IF('12'!E7:E18&gt;0.01,AVERAGE('12'!E7:E18),"")</f>
        <v>2.5</v>
      </c>
      <c r="F19" s="67">
        <f t="array" ref="F19">IF('12'!F7:F18&gt;0.01,AVERAGE('12'!F7:F18),"")</f>
        <v>54.25</v>
      </c>
      <c r="G19" s="67">
        <f t="array" ref="G19">IF('12'!G7:G18&gt;0.01,AVERAGE('12'!G7:G18),"")</f>
        <v>2.9583333333333335</v>
      </c>
      <c r="H19" s="67">
        <f t="array" ref="H19">IF('12'!H7:H18&gt;0.01,AVERAGE('12'!H7:H18),"")</f>
        <v>2.1916666666666669</v>
      </c>
      <c r="I19" s="67">
        <f t="array" ref="I19">IF('12'!I7:I18&gt;0.01,AVERAGE('12'!I7:I18),"")</f>
        <v>0.97000000000000008</v>
      </c>
      <c r="J19" s="67">
        <f t="array" ref="J19">IF('12'!J7:J18&gt;0.01,AVERAGE('12'!J7:J18),"")</f>
        <v>1.5475000000000001</v>
      </c>
      <c r="K19" s="67">
        <f t="array" ref="K19">IF('12'!K7:K18&gt;0.01,AVERAGE('12'!K7:K18),"")</f>
        <v>7.299999999999998</v>
      </c>
      <c r="L19" s="67">
        <f t="array" ref="L19">IF('12'!L7:L18&gt;0.01,AVERAGE('12'!L7:L18),"")</f>
        <v>5.7083333333333348</v>
      </c>
      <c r="M19" s="67">
        <f t="array" ref="M19">IF('12'!M7:M18&gt;0.01,AVERAGE('12'!M7:M18),"")</f>
        <v>5.7333333333333343</v>
      </c>
      <c r="N19" s="67">
        <f t="array" ref="N19">IF('12'!N7:N18&gt;0.01,AVERAGE('12'!N7:N18),"")</f>
        <v>5.3999999999999995</v>
      </c>
      <c r="O19" s="67">
        <f t="array" ref="O19">IF('12'!O7:O18&gt;0.01,AVERAGE('12'!O7:O18),"")</f>
        <v>3.5500000000000007</v>
      </c>
      <c r="P19" s="188">
        <f t="array" ref="P19">IF('12'!P7:P18&gt;0.01,AVERAGE('12'!P7:P18),"")</f>
        <v>0.67500000000000016</v>
      </c>
      <c r="Q19" s="189">
        <f t="array" ref="Q19">IF('12'!Q7:Q18&gt;0.01,AVERAGE('12'!Q7:Q18),"")</f>
        <v>1.6166666666666665</v>
      </c>
      <c r="R19" s="189">
        <f t="array" ref="R19">IF('12'!R7:R18&gt;0.01,AVERAGE('12'!R7:R18),"")</f>
        <v>1748</v>
      </c>
      <c r="S19" s="189" t="e">
        <f t="array" ref="S19">IF('12'!S7:S18&gt;0.01,AVERAGE('12'!S7:S18),"")</f>
        <v>#DIV/0!</v>
      </c>
      <c r="T19" s="1066"/>
      <c r="U19" s="1066"/>
      <c r="V19" s="47"/>
      <c r="W19" s="48"/>
      <c r="X19" s="13">
        <v>0.58333333333333304</v>
      </c>
      <c r="Y19" s="171">
        <v>2993</v>
      </c>
      <c r="Z19" s="267">
        <v>1793</v>
      </c>
      <c r="AA19" s="52">
        <v>1</v>
      </c>
      <c r="AB19" s="56">
        <f>IF('12'!AA19=1,(('12'!Z19*'12'!$AS$6*'12'!$AT$6)/('12'!Y19*0.0036)),IF('12'!AA19=2,(('12'!Z19*'12'!$AS$7*'12'!$AT$7)/('12'!Y19*0.0036))))</f>
        <v>110.66052270111743</v>
      </c>
      <c r="AC19" s="56"/>
      <c r="AD19" s="18">
        <f>(('12'!AC19*'12'!$Q$10*1000000))/('12'!Y19*3600)</f>
        <v>0</v>
      </c>
      <c r="AE19" s="181">
        <v>0</v>
      </c>
      <c r="AF19" s="182">
        <f>('12'!AE19/24)*0.454</f>
        <v>0</v>
      </c>
      <c r="AG19" s="19">
        <v>500</v>
      </c>
      <c r="AH19" s="182">
        <f>('12'!AG19/24)*0.454</f>
        <v>9.4583333333333339</v>
      </c>
      <c r="AI19" s="268">
        <v>4000</v>
      </c>
      <c r="AJ19" s="182">
        <f>('12'!AI19/24)*0.454</f>
        <v>75.666666666666671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250</v>
      </c>
      <c r="C20" s="67">
        <f>MAX('12'!C7:C18)</f>
        <v>7.5</v>
      </c>
      <c r="D20" s="67">
        <f>MAX('12'!D7:D18)</f>
        <v>5</v>
      </c>
      <c r="E20" s="67">
        <f>MAX('12'!E7:E18)</f>
        <v>2.5</v>
      </c>
      <c r="F20" s="67">
        <f>MAX('12'!F7:F18)</f>
        <v>59</v>
      </c>
      <c r="G20" s="67">
        <f>MAX('12'!G7:G18)</f>
        <v>3.4</v>
      </c>
      <c r="H20" s="67">
        <f>MAX('12'!H7:H18)</f>
        <v>3</v>
      </c>
      <c r="I20" s="67">
        <f>MAX('12'!I7:I18)</f>
        <v>1.19</v>
      </c>
      <c r="J20" s="67">
        <f>MAX('12'!J7:J18)</f>
        <v>2.0299999999999998</v>
      </c>
      <c r="K20" s="67">
        <f>MAX('12'!K7:K18)</f>
        <v>7.3</v>
      </c>
      <c r="L20" s="67">
        <f>MAX('12'!L7:L18)</f>
        <v>5.8</v>
      </c>
      <c r="M20" s="67">
        <f>MAX('12'!M7:M18)</f>
        <v>5.8</v>
      </c>
      <c r="N20" s="67">
        <f>MAX('12'!N7:N18)</f>
        <v>5.5</v>
      </c>
      <c r="O20" s="68">
        <f>MAX('12'!O7:O18)</f>
        <v>3.8</v>
      </c>
      <c r="P20" s="68">
        <f>MAX('12'!P7:P18)</f>
        <v>1.2</v>
      </c>
      <c r="Q20" s="68">
        <f>MAX('12'!Q7:Q18)</f>
        <v>1.8</v>
      </c>
      <c r="R20" s="68">
        <f>MAX('12'!R7:R18)</f>
        <v>1793</v>
      </c>
      <c r="S20" s="68" t="e">
        <f>MAX('12'!S7:S18)</f>
        <v>#DIV/0!</v>
      </c>
      <c r="T20" s="1066"/>
      <c r="U20" s="1066"/>
      <c r="X20" s="13">
        <v>0.625</v>
      </c>
      <c r="Y20" s="171">
        <v>2842</v>
      </c>
      <c r="Z20" s="267">
        <v>1793</v>
      </c>
      <c r="AA20" s="52">
        <v>1</v>
      </c>
      <c r="AB20" s="56">
        <f>IF('12'!AA20=1,(('12'!Z20*'12'!$AS$6*'12'!$AT$6)/('12'!Y20*0.0036)),IF('12'!AA20=2,(('12'!Z20*'12'!$AS$7*'12'!$AT$7)/('12'!Y20*0.0036))))</f>
        <v>116.54009304871374</v>
      </c>
      <c r="AC20" s="56"/>
      <c r="AD20" s="18">
        <f>(('12'!AC20*'12'!$Q$10*1000000))/('12'!Y20*3600)</f>
        <v>0</v>
      </c>
      <c r="AE20" s="181">
        <v>0</v>
      </c>
      <c r="AF20" s="182">
        <f>('12'!AE20/24)*0.454</f>
        <v>0</v>
      </c>
      <c r="AG20" s="19">
        <v>500</v>
      </c>
      <c r="AH20" s="182">
        <f>('12'!AG20/24)*0.454</f>
        <v>9.4583333333333339</v>
      </c>
      <c r="AI20" s="268">
        <v>4000</v>
      </c>
      <c r="AJ20" s="182">
        <f>('12'!AI20/24)*0.454</f>
        <v>75.666666666666671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220</v>
      </c>
      <c r="C21" s="67">
        <f>MIN('12'!C7:C18)</f>
        <v>5</v>
      </c>
      <c r="D21" s="67">
        <f>MIN('12'!D7:D18)</f>
        <v>5</v>
      </c>
      <c r="E21" s="67">
        <f>MIN('12'!E7:E18)</f>
        <v>2.5</v>
      </c>
      <c r="F21" s="67">
        <f>MIN('12'!F7:F18)</f>
        <v>51</v>
      </c>
      <c r="G21" s="190">
        <f>MIN('12'!G7:G18)</f>
        <v>2</v>
      </c>
      <c r="H21" s="190">
        <f>MIN('12'!H7:H18)</f>
        <v>1.6</v>
      </c>
      <c r="I21" s="190">
        <f>MIN('12'!I7:I18)</f>
        <v>0.75</v>
      </c>
      <c r="J21" s="190">
        <f>MIN('12'!J7:J18)</f>
        <v>0.88</v>
      </c>
      <c r="K21" s="190">
        <f>MIN('12'!K7:K18)</f>
        <v>7.3</v>
      </c>
      <c r="L21" s="190">
        <f>MIN('12'!L7:L18)</f>
        <v>5.7</v>
      </c>
      <c r="M21" s="190">
        <f>MIN('12'!M7:M18)</f>
        <v>5.7</v>
      </c>
      <c r="N21" s="190">
        <f>MIN('12'!N7:N18)</f>
        <v>5.2</v>
      </c>
      <c r="O21" s="191">
        <f>MIN('12'!O7:O18)</f>
        <v>3.5</v>
      </c>
      <c r="P21" s="191">
        <f>MIN('12'!P7:P18)</f>
        <v>0</v>
      </c>
      <c r="Q21" s="191">
        <f>MIN('12'!Q7:Q18)</f>
        <v>1.5</v>
      </c>
      <c r="R21" s="191">
        <f>MIN('12'!R7:R18)</f>
        <v>1613</v>
      </c>
      <c r="S21" s="191" t="e">
        <f>MIN('12'!S7:S18)</f>
        <v>#DIV/0!</v>
      </c>
      <c r="T21" s="1066"/>
      <c r="U21" s="1066"/>
      <c r="X21" s="13">
        <v>0.66666666666666696</v>
      </c>
      <c r="Y21" s="171">
        <v>2854</v>
      </c>
      <c r="Z21" s="267">
        <v>1793</v>
      </c>
      <c r="AA21" s="52">
        <v>1</v>
      </c>
      <c r="AB21" s="56">
        <f>IF('12'!AA21=1,(('12'!Z21*'12'!$AS$6*'12'!$AT$6)/('12'!Y21*0.0036)),IF('12'!AA21=2,(('12'!Z21*'12'!$AS$7*'12'!$AT$7)/('12'!Y21*0.0036))))</f>
        <v>116.05008564977031</v>
      </c>
      <c r="AC21" s="56"/>
      <c r="AD21" s="18">
        <f>(('12'!AC21*'12'!$Q$10*1000000))/('12'!Y21*3600)</f>
        <v>0</v>
      </c>
      <c r="AE21" s="181">
        <v>0</v>
      </c>
      <c r="AF21" s="182">
        <f>('12'!AE21/24)*0.454</f>
        <v>0</v>
      </c>
      <c r="AG21" s="19">
        <v>500</v>
      </c>
      <c r="AH21" s="182">
        <f>('12'!AG21/24)*0.454</f>
        <v>9.4583333333333339</v>
      </c>
      <c r="AI21" s="268">
        <v>4000</v>
      </c>
      <c r="AJ21" s="182">
        <f>('12'!AI21/24)*0.454</f>
        <v>75.666666666666671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1066"/>
      <c r="U22" s="1066"/>
      <c r="X22" s="13">
        <v>0.70833333333333304</v>
      </c>
      <c r="Y22" s="171">
        <v>2874</v>
      </c>
      <c r="Z22" s="267">
        <v>1793</v>
      </c>
      <c r="AA22" s="52">
        <v>1</v>
      </c>
      <c r="AB22" s="56">
        <f>IF('12'!AA22=1,(('12'!Z22*'12'!$AS$6*'12'!$AT$6)/('12'!Y22*0.0036)),IF('12'!AA22=2,(('12'!Z22*'12'!$AS$7*'12'!$AT$7)/('12'!Y22*0.0036))))</f>
        <v>115.24249980669606</v>
      </c>
      <c r="AC22" s="56"/>
      <c r="AD22" s="18">
        <f>(('12'!AC22*'12'!$Q$10*1000000))/('12'!Y22*3600)</f>
        <v>0</v>
      </c>
      <c r="AE22" s="181">
        <v>0</v>
      </c>
      <c r="AF22" s="182">
        <f>('12'!AE22/24)*0.454</f>
        <v>0</v>
      </c>
      <c r="AG22" s="19">
        <v>500</v>
      </c>
      <c r="AH22" s="182">
        <f>('12'!AG22/24)*0.454</f>
        <v>9.4583333333333339</v>
      </c>
      <c r="AI22" s="268">
        <v>4000</v>
      </c>
      <c r="AJ22" s="182">
        <f>('12'!AI22/24)*0.454</f>
        <v>75.666666666666671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1066"/>
      <c r="U23" s="1066"/>
      <c r="X23" s="13">
        <v>0.75</v>
      </c>
      <c r="Y23" s="171">
        <v>2923</v>
      </c>
      <c r="Z23" s="267">
        <v>1613</v>
      </c>
      <c r="AA23" s="52">
        <v>1</v>
      </c>
      <c r="AB23" s="56">
        <f>IF('12'!AA23=1,(('12'!Z23*'12'!$AS$6*'12'!$AT$6)/('12'!Y23*0.0036)),IF('12'!AA23=2,(('12'!Z23*'12'!$AS$7*'12'!$AT$7)/('12'!Y23*0.0036))))</f>
        <v>101.93532139734671</v>
      </c>
      <c r="AC23" s="56"/>
      <c r="AD23" s="18">
        <f>(('12'!AC23*'12'!$Q$10*1000000))/('12'!Y23*3600)</f>
        <v>0</v>
      </c>
      <c r="AE23" s="181">
        <v>0</v>
      </c>
      <c r="AF23" s="182">
        <f>('12'!AE23/24)*0.454</f>
        <v>0</v>
      </c>
      <c r="AG23" s="19">
        <v>500</v>
      </c>
      <c r="AH23" s="182">
        <f>('12'!AG23/24)*0.454</f>
        <v>9.4583333333333339</v>
      </c>
      <c r="AI23" s="268">
        <v>4000</v>
      </c>
      <c r="AJ23" s="182">
        <f>('12'!AI23/24)*0.454</f>
        <v>75.666666666666671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66"/>
      <c r="U24" s="1066"/>
      <c r="X24" s="13">
        <v>0.79166666666666696</v>
      </c>
      <c r="Y24" s="171">
        <v>2903</v>
      </c>
      <c r="Z24" s="267">
        <v>1613</v>
      </c>
      <c r="AA24" s="52">
        <v>1</v>
      </c>
      <c r="AB24" s="16">
        <f>IF('12'!AA24=1,(('12'!Z24*'12'!$AS$6*'12'!$AT$6)/('12'!Y24*0.0036)),IF('12'!AA24=2,(('12'!Z24*'12'!$AS$7*'12'!$AT$7)/('12'!Y24*0.0036))))</f>
        <v>102.63759712175145</v>
      </c>
      <c r="AC24" s="16"/>
      <c r="AD24" s="192">
        <f>(('12'!AC24*'12'!$Q$10*1000000))/('12'!Y24*3600)</f>
        <v>0</v>
      </c>
      <c r="AE24" s="181">
        <v>0</v>
      </c>
      <c r="AF24" s="193">
        <f>('12'!AE24/24)*0.454</f>
        <v>0</v>
      </c>
      <c r="AG24" s="19">
        <v>500</v>
      </c>
      <c r="AH24" s="193">
        <f>('12'!AG24/24)*0.454</f>
        <v>9.4583333333333339</v>
      </c>
      <c r="AI24" s="268">
        <v>4000</v>
      </c>
      <c r="AJ24" s="193">
        <f>('12'!AI24/24)*0.454</f>
        <v>75.666666666666671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2" t="s">
        <v>0</v>
      </c>
      <c r="U25" s="1047">
        <f>ESCALA!$A$14</f>
        <v>44328</v>
      </c>
      <c r="X25" s="13">
        <v>0.83333333333333304</v>
      </c>
      <c r="Y25" s="171">
        <v>2857</v>
      </c>
      <c r="Z25" s="267">
        <v>1613</v>
      </c>
      <c r="AA25" s="52">
        <v>1</v>
      </c>
      <c r="AB25" s="56">
        <f>IF('12'!AA25=1,(('12'!Z25*'12'!$AS$6*'12'!$AT$6)/('12'!Y25*0.0036)),IF('12'!AA25=2,(('12'!Z25*'12'!$AS$7*'12'!$AT$7)/('12'!Y25*0.0036))))</f>
        <v>104.29014506280869</v>
      </c>
      <c r="AC25" s="56"/>
      <c r="AD25" s="18">
        <f>(('12'!AC25*'12'!$Q$10*1000000))/('12'!Y25*3600)</f>
        <v>0</v>
      </c>
      <c r="AE25" s="181"/>
      <c r="AF25" s="182">
        <f>('12'!AE25/24)*0.454</f>
        <v>0</v>
      </c>
      <c r="AG25" s="19">
        <v>500</v>
      </c>
      <c r="AH25" s="182">
        <f>('12'!AG25/24)*0.454</f>
        <v>9.4583333333333339</v>
      </c>
      <c r="AI25" s="268">
        <v>3000</v>
      </c>
      <c r="AJ25" s="182">
        <f>('12'!AI25/24)*0.454</f>
        <v>56.75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>
        <v>1.1200000000000001</v>
      </c>
      <c r="D26" s="196">
        <v>1.04</v>
      </c>
      <c r="E26" s="221">
        <v>1.18</v>
      </c>
      <c r="F26" s="221">
        <v>1.22</v>
      </c>
      <c r="G26" s="221"/>
      <c r="H26" s="221">
        <v>1.08</v>
      </c>
      <c r="I26" s="221">
        <v>0.97</v>
      </c>
      <c r="J26" s="221"/>
      <c r="K26" s="221">
        <v>1.04</v>
      </c>
      <c r="L26" s="221">
        <v>0.92</v>
      </c>
      <c r="M26" s="221">
        <v>0.98</v>
      </c>
      <c r="N26" s="221">
        <v>0.97</v>
      </c>
      <c r="O26" s="221">
        <v>1.07</v>
      </c>
      <c r="P26" s="221"/>
      <c r="Q26" s="221"/>
      <c r="R26" s="63" t="e">
        <f>#DIV/0!</f>
        <v>#DIV/0!</v>
      </c>
      <c r="S26" s="65"/>
      <c r="T26" s="1062"/>
      <c r="U26" s="1047"/>
      <c r="X26" s="13">
        <v>0.875</v>
      </c>
      <c r="Y26" s="171">
        <v>2901</v>
      </c>
      <c r="Z26" s="267">
        <v>1613</v>
      </c>
      <c r="AA26" s="52">
        <v>1</v>
      </c>
      <c r="AB26" s="56">
        <f>IF('12'!AA26=1,(('12'!Z26*'12'!$AS$6*'12'!$AT$6)/('12'!Y26*0.0036)),IF('12'!AA26=2,(('12'!Z26*'12'!$AS$7*'12'!$AT$7)/('12'!Y26*0.0036))))</f>
        <v>102.70835727143897</v>
      </c>
      <c r="AC26" s="56"/>
      <c r="AD26" s="18">
        <f>(('12'!AC26*'12'!$Q$10*1000000))/('12'!Y26*3600)</f>
        <v>0</v>
      </c>
      <c r="AE26" s="181"/>
      <c r="AF26" s="182">
        <f>('12'!AE26/24)*0.454</f>
        <v>0</v>
      </c>
      <c r="AG26" s="19">
        <v>500</v>
      </c>
      <c r="AH26" s="182">
        <f>('12'!AG26/24)*0.454</f>
        <v>9.4583333333333339</v>
      </c>
      <c r="AI26" s="268">
        <v>3000</v>
      </c>
      <c r="AJ26" s="182">
        <f>('12'!AI26/24)*0.454</f>
        <v>56.75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2885</v>
      </c>
      <c r="Z27" s="267">
        <v>1613</v>
      </c>
      <c r="AA27" s="52">
        <v>1</v>
      </c>
      <c r="AB27" s="56">
        <f>IF('12'!AA27=1,(('12'!Z27*'12'!$AS$6*'12'!$AT$6)/('12'!Y27*0.0036)),IF('12'!AA27=2,(('12'!Z27*'12'!$AS$7*'12'!$AT$7)/('12'!Y27*0.0036))))</f>
        <v>103.27797034469479</v>
      </c>
      <c r="AC27" s="56"/>
      <c r="AD27" s="18">
        <f>(('12'!AC27*'12'!$Q$10*1000000))/('12'!Y27*3600)</f>
        <v>0</v>
      </c>
      <c r="AE27" s="181"/>
      <c r="AF27" s="182">
        <f>('12'!AE27/24)*0.454</f>
        <v>0</v>
      </c>
      <c r="AG27" s="19">
        <v>500</v>
      </c>
      <c r="AH27" s="182">
        <f>('12'!AG27/24)*0.454</f>
        <v>9.4583333333333339</v>
      </c>
      <c r="AI27" s="268">
        <v>3000</v>
      </c>
      <c r="AJ27" s="182">
        <f>('12'!AI27/24)*0.454</f>
        <v>56.75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2878</v>
      </c>
      <c r="Z28" s="267">
        <v>1613</v>
      </c>
      <c r="AA28" s="52">
        <v>1</v>
      </c>
      <c r="AB28" s="56">
        <f>IF('12'!AA28=1,(('12'!Z28*'12'!$AS$6*'12'!$AT$6)/('12'!Y28*0.0036)),IF('12'!AA28=2,(('12'!Z28*'12'!$AS$7*'12'!$AT$7)/('12'!Y28*0.0036))))</f>
        <v>103.52916763184311</v>
      </c>
      <c r="AC28" s="56"/>
      <c r="AD28" s="18">
        <f>(('12'!AC28*'12'!$Q$10*1000000))/('12'!Y28*3600)</f>
        <v>0</v>
      </c>
      <c r="AE28" s="181"/>
      <c r="AF28" s="182">
        <f>('12'!AE28/24)*0.454</f>
        <v>0</v>
      </c>
      <c r="AG28" s="19">
        <v>500</v>
      </c>
      <c r="AH28" s="182">
        <f>('12'!AG28/24)*0.454</f>
        <v>9.4583333333333339</v>
      </c>
      <c r="AI28" s="268">
        <v>3000</v>
      </c>
      <c r="AJ28" s="182">
        <f>('12'!AI28/24)*0.454</f>
        <v>56.75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47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7"/>
      <c r="X29" s="13">
        <v>1</v>
      </c>
      <c r="Y29" s="171">
        <v>2979</v>
      </c>
      <c r="Z29" s="267">
        <v>1613</v>
      </c>
      <c r="AA29" s="52">
        <v>1</v>
      </c>
      <c r="AB29" s="56">
        <f>IF('12'!AA29=1,(('12'!Z29*'12'!$AS$6*'12'!$AT$6)/('12'!Y29*0.0036)),IF('12'!AA29=2,(('12'!Z29*'12'!$AS$7*'12'!$AT$7)/('12'!Y29*0.0036))))</f>
        <v>100.019115288501</v>
      </c>
      <c r="AC29" s="56"/>
      <c r="AD29" s="18">
        <f>(('12'!AC29*'12'!$Q$10*1000000))/('12'!Y29*3600)</f>
        <v>0</v>
      </c>
      <c r="AE29" s="181"/>
      <c r="AF29" s="182">
        <f>('12'!AE29/24)*0.454</f>
        <v>0</v>
      </c>
      <c r="AG29" s="19">
        <v>500</v>
      </c>
      <c r="AH29" s="182">
        <f>('12'!AG29/24)*0.454</f>
        <v>9.4583333333333339</v>
      </c>
      <c r="AI29" s="268">
        <v>3000</v>
      </c>
      <c r="AJ29" s="182">
        <f>('12'!AI29/24)*0.454</f>
        <v>56.75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47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7"/>
      <c r="X30" s="73" t="s">
        <v>55</v>
      </c>
      <c r="Y30" s="199">
        <f>SUM('12'!Y6:Y29)*3.6</f>
        <v>229050</v>
      </c>
      <c r="Z30" s="80">
        <f>SUM('12'!Z6:Z29)</f>
        <v>41772</v>
      </c>
      <c r="AA30" s="76"/>
      <c r="AB30" s="77"/>
      <c r="AC30" s="76"/>
      <c r="AD30" s="77"/>
      <c r="AE30" s="33"/>
      <c r="AF30" s="182">
        <f>SUM('12'!AF6:AF29)</f>
        <v>794.50000000000034</v>
      </c>
      <c r="AG30" s="33"/>
      <c r="AH30" s="182">
        <f>SUM('12'!AH6:AH29)</f>
        <v>227.00000000000009</v>
      </c>
      <c r="AI30" s="33"/>
      <c r="AJ30" s="182">
        <f>SUM('12'!AJ6:AJ29)</f>
        <v>1494.4166666666667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47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7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947"/>
      <c r="B32" s="947"/>
      <c r="C32" s="947"/>
      <c r="D32" s="947"/>
      <c r="E32" s="947"/>
      <c r="F32" s="947"/>
      <c r="G32" s="947"/>
      <c r="H32" s="947"/>
      <c r="I32" s="947"/>
      <c r="J32" s="947"/>
      <c r="K32" s="947"/>
      <c r="L32" s="947"/>
      <c r="M32" s="947"/>
      <c r="N32" s="947"/>
      <c r="O32" s="947"/>
      <c r="P32" s="947"/>
      <c r="Q32" s="947"/>
      <c r="R32" s="947"/>
      <c r="S32" s="947"/>
      <c r="T32" s="947"/>
      <c r="U32" s="947"/>
      <c r="X32" s="949" t="s">
        <v>60</v>
      </c>
      <c r="Y32" s="949"/>
      <c r="Z32" s="80">
        <f>SUMIF('12'!AA6:AA29,"=1",'12'!Z6:Z29)</f>
        <v>41772</v>
      </c>
      <c r="AA32" s="80">
        <f>'12'!Z32*'12'!AS6</f>
        <v>55556.76</v>
      </c>
      <c r="AB32" s="81" t="e">
        <f>SUMIF('12'!$AA$6:$AA$29,"=1",'12'!$AB$6:$AB$29)/COUNTIF('12'!$AA$6:$AA$29,"=1")</f>
        <v>#DIV/0!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7"/>
      <c r="B33" s="947"/>
      <c r="C33" s="947"/>
      <c r="D33" s="947"/>
      <c r="E33" s="947"/>
      <c r="F33" s="947"/>
      <c r="G33" s="947"/>
      <c r="H33" s="947"/>
      <c r="I33" s="947"/>
      <c r="J33" s="947"/>
      <c r="K33" s="947"/>
      <c r="L33" s="947"/>
      <c r="M33" s="947"/>
      <c r="N33" s="947"/>
      <c r="O33" s="947"/>
      <c r="P33" s="947"/>
      <c r="Q33" s="947"/>
      <c r="R33" s="947"/>
      <c r="S33" s="947"/>
      <c r="T33" s="947"/>
      <c r="U33" s="947"/>
      <c r="X33" s="949" t="s">
        <v>61</v>
      </c>
      <c r="Y33" s="949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7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7"/>
      <c r="X34" s="92" t="s">
        <v>52</v>
      </c>
      <c r="Y34" s="93">
        <f>AVERAGE('12'!Y6:Y29)</f>
        <v>2892.0454545454545</v>
      </c>
      <c r="Z34" s="94">
        <f>AVERAGE('12'!Z6:Z29)</f>
        <v>1740.5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33.104166666666679</v>
      </c>
      <c r="AG34" s="96"/>
      <c r="AH34" s="96">
        <f>AVERAGE('12'!AH6:AH29)</f>
        <v>9.4583333333333375</v>
      </c>
      <c r="AI34" s="96"/>
      <c r="AJ34" s="96">
        <f>'12'!AJ30/24</f>
        <v>62.267361111111114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4"/>
      <c r="X36" s="103" t="s">
        <v>73</v>
      </c>
      <c r="Y36" s="104">
        <v>1</v>
      </c>
      <c r="Z36" s="105"/>
      <c r="AA36" s="106" t="s">
        <v>74</v>
      </c>
      <c r="AB36" s="104">
        <v>1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57.8</v>
      </c>
      <c r="D37" s="184">
        <v>11.9</v>
      </c>
      <c r="E37" s="184">
        <v>7</v>
      </c>
      <c r="F37" s="184">
        <v>3</v>
      </c>
      <c r="G37" s="181">
        <v>0.2</v>
      </c>
      <c r="H37" s="181">
        <v>0.1</v>
      </c>
      <c r="I37" s="181">
        <v>0.2</v>
      </c>
      <c r="J37" s="181">
        <v>0.06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63">
        <f>'12'!V12</f>
        <v>0</v>
      </c>
      <c r="X37" s="956" t="s">
        <v>75</v>
      </c>
      <c r="Y37" s="956"/>
      <c r="Z37" s="108">
        <f>COUNTA('12'!Z6:Z29)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1021.5000000000005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1494.4166666666667</v>
      </c>
      <c r="AQ38" s="208" t="s">
        <v>78</v>
      </c>
      <c r="AR38" s="210">
        <f>'12'!AP30</f>
        <v>0</v>
      </c>
    </row>
    <row r="39" spans="1:44" ht="22.3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1067" t="s">
        <v>82</v>
      </c>
      <c r="K39" s="1067"/>
      <c r="L39" s="1067"/>
      <c r="M39" s="1067"/>
      <c r="O39" s="1051" t="s">
        <v>83</v>
      </c>
      <c r="P39" s="1051"/>
      <c r="Q39" s="1051"/>
      <c r="R39" s="1052" t="s">
        <v>84</v>
      </c>
      <c r="S39" s="1068" t="s">
        <v>85</v>
      </c>
      <c r="T39" s="10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4.4597249508840884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6.5244124281452383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1051"/>
      <c r="P40" s="1051"/>
      <c r="Q40" s="1051"/>
      <c r="R40" s="1052"/>
      <c r="S40" s="1068"/>
      <c r="T40" s="1068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SUM('12'!AK38,'12'!AM38)</f>
        <v>1021.5000000000005</v>
      </c>
      <c r="AM40" s="969"/>
      <c r="AO40" s="970" t="s">
        <v>90</v>
      </c>
      <c r="AP40" s="970"/>
      <c r="AQ40" s="971">
        <f>SUM('12'!AP38,'12'!AR38)</f>
        <v>1494.4166666666667</v>
      </c>
      <c r="AR40" s="971"/>
    </row>
    <row r="41" spans="1:44" ht="16.5" customHeight="1">
      <c r="A41" s="131">
        <f>COUNTA('12'!E7:E18)</f>
        <v>12</v>
      </c>
      <c r="B41" s="132">
        <f>COUNTA('12'!I7:I18)</f>
        <v>12</v>
      </c>
      <c r="C41" s="972">
        <f>COUNTA('12'!J7:J18)</f>
        <v>12</v>
      </c>
      <c r="D41" s="972">
        <f>COUNTA('12'!K7:K18)</f>
        <v>12</v>
      </c>
      <c r="E41" s="972">
        <f>COUNTIF('12'!E7:E18,"&gt;15")</f>
        <v>0</v>
      </c>
      <c r="F41" s="972"/>
      <c r="G41" s="972">
        <f>COUNTIF('12'!J7:J18,"&gt;1")</f>
        <v>10</v>
      </c>
      <c r="H41" s="972"/>
      <c r="I41" s="133"/>
      <c r="J41" s="972">
        <f>'12'!A41-'12'!E41</f>
        <v>12</v>
      </c>
      <c r="K41" s="972"/>
      <c r="L41" s="972">
        <f>'12'!C41-'12'!G41</f>
        <v>2</v>
      </c>
      <c r="M41" s="972"/>
      <c r="N41" s="133"/>
      <c r="O41" s="973">
        <f>COUNTIF('12'!J7:J18,"&lt;=0,5")</f>
        <v>0</v>
      </c>
      <c r="P41" s="973"/>
      <c r="Q41" s="973"/>
      <c r="R41" s="1052"/>
      <c r="S41" s="974">
        <f>COUNTIF('12'!J7:J18,"&lt;=1,0")</f>
        <v>2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SUM(('12'!AK38+'12'!AM38)/'12'!Y30)*1000</f>
        <v>4.4597249508840884</v>
      </c>
      <c r="AM41" s="975"/>
      <c r="AO41" s="970" t="s">
        <v>91</v>
      </c>
      <c r="AP41" s="970"/>
      <c r="AQ41" s="975">
        <f>SUM(('12'!AP38+'12'!AR38)/'12'!Y30)*1000</f>
        <v>6.5244124281452383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20.100000000000001" customHeight="1">
      <c r="A43" s="135"/>
      <c r="B43" s="135"/>
      <c r="C43" s="135"/>
      <c r="H43" s="1069" t="s">
        <v>94</v>
      </c>
      <c r="I43" s="1069"/>
      <c r="J43" s="1069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1069"/>
      <c r="I44" s="1069"/>
      <c r="J44" s="1069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142</v>
      </c>
      <c r="Z44" s="142" t="s">
        <v>101</v>
      </c>
      <c r="AA44" s="143">
        <v>0</v>
      </c>
      <c r="AB44" s="142" t="s">
        <v>101</v>
      </c>
      <c r="AC44" s="143">
        <v>67</v>
      </c>
      <c r="AD44" s="982"/>
      <c r="AE44" s="982"/>
      <c r="AF44" s="983" t="s">
        <v>102</v>
      </c>
      <c r="AG44" s="984">
        <f>SUM('12'!Y45,'12'!AA45,'12'!AC45,'12'!AE45)</f>
        <v>161698.5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COUNTIF('12'!I7:I18,"&lt;=5,0")</f>
        <v>12</v>
      </c>
      <c r="I45" s="986"/>
      <c r="J45" s="986"/>
      <c r="K45" s="133"/>
      <c r="L45" s="968">
        <f>COUNTA('12'!L37)</f>
        <v>0</v>
      </c>
      <c r="M45" s="968"/>
      <c r="O45" s="144"/>
      <c r="P45" s="145"/>
      <c r="Q45" s="987">
        <f>'12'!S41-'12'!O41</f>
        <v>2</v>
      </c>
      <c r="R45" s="987"/>
      <c r="S45" s="987"/>
      <c r="T45" s="146"/>
      <c r="X45" s="147" t="s">
        <v>104</v>
      </c>
      <c r="Y45" s="148">
        <f>'12'!Y44*275.3</f>
        <v>39092.6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18605.899999999998</v>
      </c>
      <c r="AD45" s="147" t="s">
        <v>104</v>
      </c>
      <c r="AE45" s="149">
        <v>104000</v>
      </c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89" t="s">
        <v>106</v>
      </c>
      <c r="AG46" s="990">
        <f>SUM('12'!Y47,'12'!AA47,'12'!AC47,'12'!AE47)</f>
        <v>215059.005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'12'!Y45*'12'!Y46</f>
        <v>51993.158000000003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24745.846999999998</v>
      </c>
      <c r="AD47" s="147" t="s">
        <v>108</v>
      </c>
      <c r="AE47" s="148">
        <f>'12'!AE45*'12'!AE46</f>
        <v>138320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COUNTA('12'!O7:O18)</f>
        <v>12</v>
      </c>
      <c r="P51" s="968">
        <f>COUNTA('12'!W17:W28)</f>
        <v>0</v>
      </c>
      <c r="R51" s="986">
        <f>COUNTIF('12'!O7:O18,"&gt;=0,5")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SUM('12'!Y53,'12'!AA53,'12'!AC53,'12'!AE53)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'12'!AS7</f>
        <v>1.262</v>
      </c>
      <c r="Z54" s="151" t="s">
        <v>105</v>
      </c>
      <c r="AA54" s="153">
        <f>'12'!Y54</f>
        <v>1.262</v>
      </c>
      <c r="AB54" s="151" t="s">
        <v>105</v>
      </c>
      <c r="AC54" s="153">
        <f>'12'!Y54</f>
        <v>1.262</v>
      </c>
      <c r="AD54" s="151" t="s">
        <v>105</v>
      </c>
      <c r="AE54" s="154">
        <f>'12'!Y54</f>
        <v>1.262</v>
      </c>
      <c r="AF54" s="989" t="s">
        <v>106</v>
      </c>
      <c r="AG54" s="990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89"/>
      <c r="AG55" s="990"/>
      <c r="AI55" s="151" t="s">
        <v>105</v>
      </c>
      <c r="AJ55" s="152">
        <f>'3'!Y54</f>
        <v>1.262</v>
      </c>
      <c r="AK55" s="151" t="s">
        <v>105</v>
      </c>
      <c r="AL55" s="152">
        <f>'3'!AJ55</f>
        <v>1.262</v>
      </c>
      <c r="AM55" s="151" t="s">
        <v>105</v>
      </c>
      <c r="AN55" s="152">
        <f>'3'!AJ55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COUNTA('12'!N7:N18)</f>
        <v>12</v>
      </c>
      <c r="P57" s="997"/>
      <c r="R57" s="998">
        <f>COUNTIF('12'!N7:N18,"&gt;=6")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55556.76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-55556.76</v>
      </c>
      <c r="AR63" s="1005"/>
    </row>
    <row r="64" spans="15:44" ht="15" customHeight="1">
      <c r="X64" s="168"/>
      <c r="Y64" s="169"/>
      <c r="Z64" s="1007"/>
      <c r="AA64" s="1007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-12655.25</v>
      </c>
      <c r="Z65" s="1007"/>
      <c r="AA65" s="1007"/>
      <c r="AB65" s="174" t="s">
        <v>126</v>
      </c>
      <c r="AC65" s="238">
        <f>'11'!$AC$68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176">
        <f>SUM('12'!AK38,'12'!AP38)</f>
        <v>2515.916666666667</v>
      </c>
      <c r="Z67" s="1007"/>
      <c r="AA67" s="1007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-15171.166666666668</v>
      </c>
      <c r="Z68" s="1007"/>
      <c r="AA68" s="1007"/>
      <c r="AB68" s="170" t="s">
        <v>128</v>
      </c>
      <c r="AC68" s="178">
        <f>SUM('12'!AC63,'12'!AC65)-'12'!AC67-'12'!AC64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G21" zoomScaleNormal="100" workbookViewId="0">
      <selection activeCell="AE54" sqref="AE5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1070" t="s">
        <v>16</v>
      </c>
      <c r="Y4" s="1071" t="s">
        <v>17</v>
      </c>
      <c r="Z4" s="1071" t="s">
        <v>18</v>
      </c>
      <c r="AA4" s="1071" t="s">
        <v>19</v>
      </c>
      <c r="AB4" s="1071" t="s">
        <v>20</v>
      </c>
      <c r="AC4" s="1071" t="s">
        <v>21</v>
      </c>
      <c r="AD4" s="1071" t="s">
        <v>20</v>
      </c>
      <c r="AE4" s="1071" t="s">
        <v>135</v>
      </c>
      <c r="AF4" s="1071" t="s">
        <v>136</v>
      </c>
      <c r="AG4" s="1071" t="s">
        <v>137</v>
      </c>
      <c r="AH4" s="1071" t="s">
        <v>138</v>
      </c>
      <c r="AI4" s="1071" t="s">
        <v>139</v>
      </c>
      <c r="AJ4" s="1071" t="s">
        <v>140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1070"/>
      <c r="Y5" s="1071"/>
      <c r="Z5" s="1071"/>
      <c r="AA5" s="1071"/>
      <c r="AB5" s="1071"/>
      <c r="AC5" s="1071"/>
      <c r="AD5" s="1071"/>
      <c r="AE5" s="1071"/>
      <c r="AF5" s="1071"/>
      <c r="AG5" s="1071"/>
      <c r="AH5" s="1071"/>
      <c r="AI5" s="1071"/>
      <c r="AJ5" s="107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070"/>
      <c r="Y6" s="1071"/>
      <c r="Z6" s="1071"/>
      <c r="AA6" s="1071"/>
      <c r="AB6" s="1071"/>
      <c r="AC6" s="1071"/>
      <c r="AD6" s="1071"/>
      <c r="AE6" s="1071"/>
      <c r="AF6" s="1071"/>
      <c r="AG6" s="1071"/>
      <c r="AH6" s="1071"/>
      <c r="AI6" s="1071"/>
      <c r="AJ6" s="1071"/>
      <c r="AK6" s="941"/>
      <c r="AL6" s="941"/>
      <c r="AM6" s="941"/>
      <c r="AN6" s="941"/>
      <c r="AO6" s="941"/>
      <c r="AP6" s="941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220</v>
      </c>
      <c r="C7" s="29">
        <v>5</v>
      </c>
      <c r="D7" s="29">
        <v>5</v>
      </c>
      <c r="E7" s="29">
        <v>2.5</v>
      </c>
      <c r="F7" s="29">
        <v>50</v>
      </c>
      <c r="G7" s="29">
        <v>1.9</v>
      </c>
      <c r="H7" s="29">
        <v>1.5</v>
      </c>
      <c r="I7" s="29">
        <v>0.73</v>
      </c>
      <c r="J7" s="29">
        <v>0.94</v>
      </c>
      <c r="K7" s="29">
        <v>7.3</v>
      </c>
      <c r="L7" s="29">
        <v>6</v>
      </c>
      <c r="M7" s="29">
        <v>6</v>
      </c>
      <c r="N7" s="29">
        <v>5.5</v>
      </c>
      <c r="O7" s="29">
        <v>3.6</v>
      </c>
      <c r="P7" s="29">
        <v>0.8</v>
      </c>
      <c r="Q7" s="29">
        <v>1.8</v>
      </c>
      <c r="R7" s="36">
        <f>'12'!$Z$29</f>
        <v>1613</v>
      </c>
      <c r="S7" s="185">
        <f>'12'!$AB$29</f>
        <v>100.019115288501</v>
      </c>
      <c r="T7" s="36">
        <f>'12'!$Y$29</f>
        <v>2979</v>
      </c>
      <c r="U7" s="32" t="str">
        <f>IF('13'!AA7=1,'13'!AR6,'13'!AR8)</f>
        <v>S.A.L</v>
      </c>
      <c r="V7" s="1016">
        <f>ESCALA!$C$14</f>
        <v>0</v>
      </c>
      <c r="W7" s="1016"/>
      <c r="X7" s="13">
        <v>2633.0416666666702</v>
      </c>
      <c r="Y7" s="52">
        <v>2966</v>
      </c>
      <c r="Z7" s="52">
        <v>1613</v>
      </c>
      <c r="AA7" s="15">
        <v>1</v>
      </c>
      <c r="AB7" s="56">
        <f>IF('13'!AA7=1,(('13'!Z7*'13'!$AS$6*'13'!$AT$6)/('13'!Y7*0.0036)),IF('13'!AA7=2,(('13'!Z7*'13'!$AS$8*'13'!$AT$8)/('13'!Y7*0.0036))))</f>
        <v>100.45749981269199</v>
      </c>
      <c r="AC7" s="56"/>
      <c r="AD7" s="18">
        <f>(('13'!AC7*'13'!$Q$10*1000000))/('13'!Y7*3600)</f>
        <v>0</v>
      </c>
      <c r="AE7" s="181">
        <v>3500</v>
      </c>
      <c r="AF7" s="182">
        <f>('13'!AE7/24)*0.454</f>
        <v>66.208333333333343</v>
      </c>
      <c r="AG7" s="19">
        <v>500</v>
      </c>
      <c r="AH7" s="182">
        <f>('13'!AG7/24)*0.454</f>
        <v>9.4583333333333339</v>
      </c>
      <c r="AI7" s="19">
        <v>3000</v>
      </c>
      <c r="AJ7" s="182">
        <f>('13'!AI7/24)*0.454</f>
        <v>56.75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220</v>
      </c>
      <c r="C8" s="29">
        <v>5</v>
      </c>
      <c r="D8" s="29">
        <v>5</v>
      </c>
      <c r="E8" s="29">
        <v>2.5</v>
      </c>
      <c r="F8" s="29">
        <v>49</v>
      </c>
      <c r="G8" s="29">
        <v>1.8</v>
      </c>
      <c r="H8" s="29">
        <v>1.4</v>
      </c>
      <c r="I8" s="29">
        <v>0.7</v>
      </c>
      <c r="J8" s="29">
        <v>1.03</v>
      </c>
      <c r="K8" s="29">
        <v>7.3</v>
      </c>
      <c r="L8" s="29">
        <v>6</v>
      </c>
      <c r="M8" s="29">
        <v>6</v>
      </c>
      <c r="N8" s="29">
        <v>5.5</v>
      </c>
      <c r="O8" s="29">
        <v>3.6</v>
      </c>
      <c r="P8" s="29">
        <v>0.7</v>
      </c>
      <c r="Q8" s="29">
        <v>1.8</v>
      </c>
      <c r="R8" s="34">
        <f>'13'!Z8</f>
        <v>1613</v>
      </c>
      <c r="S8" s="35">
        <f>'13'!AB8</f>
        <v>101.48397290342113</v>
      </c>
      <c r="T8" s="36">
        <f>'13'!Y8</f>
        <v>2936</v>
      </c>
      <c r="U8" s="32" t="str">
        <f>IF('13'!AA8=1,'13'!AR6,'13'!AR8)</f>
        <v>S.A.L</v>
      </c>
      <c r="V8" s="1016"/>
      <c r="W8" s="1016"/>
      <c r="X8" s="13">
        <v>8.3333333333333301E-2</v>
      </c>
      <c r="Y8" s="52">
        <v>2936</v>
      </c>
      <c r="Z8" s="52">
        <v>1613</v>
      </c>
      <c r="AA8" s="15">
        <v>1</v>
      </c>
      <c r="AB8" s="56">
        <f>IF('13'!AA8=1,(('13'!Z8*'13'!$AS$6*'13'!$AT$6)/('13'!Y8*0.0036)),IF('13'!AA8=2,(('13'!Z8*'13'!$AS$8*'13'!$AT$8)/('13'!Y8*0.0036))))</f>
        <v>101.48397290342113</v>
      </c>
      <c r="AC8" s="56"/>
      <c r="AD8" s="18">
        <f>(('13'!AC8*'13'!$Q$10*1000000))/('13'!Y8*3600)</f>
        <v>0</v>
      </c>
      <c r="AE8" s="181">
        <v>3500</v>
      </c>
      <c r="AF8" s="182">
        <f>('13'!AE8/24)*0.454</f>
        <v>66.208333333333343</v>
      </c>
      <c r="AG8" s="19">
        <v>500</v>
      </c>
      <c r="AH8" s="182">
        <f>('13'!AG8/24)*0.454</f>
        <v>9.4583333333333339</v>
      </c>
      <c r="AI8" s="19">
        <v>3000</v>
      </c>
      <c r="AJ8" s="182">
        <f>('13'!AI8/24)*0.454</f>
        <v>56.75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0">
        <v>2</v>
      </c>
      <c r="AR8" s="271" t="s">
        <v>49</v>
      </c>
      <c r="AS8" s="272">
        <v>1.262</v>
      </c>
      <c r="AT8" s="271">
        <v>1</v>
      </c>
      <c r="AU8" s="33">
        <v>24</v>
      </c>
    </row>
    <row r="9" spans="1:47" ht="18.75" customHeight="1">
      <c r="A9" s="28">
        <v>0.16666666666666699</v>
      </c>
      <c r="B9" s="29">
        <v>220</v>
      </c>
      <c r="C9" s="29">
        <v>5</v>
      </c>
      <c r="D9" s="29">
        <v>5</v>
      </c>
      <c r="E9" s="29">
        <v>2.5</v>
      </c>
      <c r="F9" s="29">
        <v>48</v>
      </c>
      <c r="G9" s="29">
        <v>1.7</v>
      </c>
      <c r="H9" s="29">
        <v>1.3</v>
      </c>
      <c r="I9" s="29">
        <v>0.38</v>
      </c>
      <c r="J9" s="29">
        <v>1.06</v>
      </c>
      <c r="K9" s="29">
        <v>7.3</v>
      </c>
      <c r="L9" s="29">
        <v>6</v>
      </c>
      <c r="M9" s="29">
        <v>6</v>
      </c>
      <c r="N9" s="29">
        <v>5.5</v>
      </c>
      <c r="O9" s="29">
        <v>3.6</v>
      </c>
      <c r="P9" s="29">
        <v>0.5</v>
      </c>
      <c r="Q9" s="29">
        <v>1.7</v>
      </c>
      <c r="R9" s="36">
        <f>'13'!Z10</f>
        <v>1613</v>
      </c>
      <c r="S9" s="35">
        <f>'13'!AB10</f>
        <v>102.04004946727549</v>
      </c>
      <c r="T9" s="36">
        <f>'13'!Y10</f>
        <v>2920</v>
      </c>
      <c r="U9" s="32" t="str">
        <f>IF('13'!AA10=1,'13'!AR6,'13'!AR8)</f>
        <v>S.A.L</v>
      </c>
      <c r="V9" s="1016"/>
      <c r="W9" s="1016"/>
      <c r="X9" s="13">
        <v>0.125</v>
      </c>
      <c r="Y9" s="52">
        <v>2925</v>
      </c>
      <c r="Z9" s="52">
        <v>1613</v>
      </c>
      <c r="AA9" s="15">
        <v>1</v>
      </c>
      <c r="AB9" s="56">
        <f>IF('13'!AA9=1,(('13'!Z9*'13'!$AS$6*'13'!$AT$6)/('13'!Y9*0.0036)),IF('13'!AA9=2,(('13'!Z9*'13'!$AS$8*'13'!$AT$8)/('13'!Y9*0.0036))))</f>
        <v>101.8656220322887</v>
      </c>
      <c r="AC9" s="56"/>
      <c r="AD9" s="18">
        <f>(('13'!AC9*'13'!$Q$10*1000000))/('13'!Y9*3600)</f>
        <v>0</v>
      </c>
      <c r="AE9" s="181">
        <v>3500</v>
      </c>
      <c r="AF9" s="182">
        <f>('13'!AE9/24)*0.454</f>
        <v>66.208333333333343</v>
      </c>
      <c r="AG9" s="19">
        <v>500</v>
      </c>
      <c r="AH9" s="182">
        <f>('13'!AG9/24)*0.454</f>
        <v>9.4583333333333339</v>
      </c>
      <c r="AI9" s="19">
        <v>3000</v>
      </c>
      <c r="AJ9" s="182">
        <f>('13'!AI9/24)*0.454</f>
        <v>56.75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2" t="s">
        <v>50</v>
      </c>
      <c r="AR9" s="1072"/>
      <c r="AS9" s="1072"/>
      <c r="AT9" s="1072"/>
    </row>
    <row r="10" spans="1:47" ht="18.75" customHeight="1">
      <c r="A10" s="28">
        <v>0.25</v>
      </c>
      <c r="B10" s="29">
        <v>220</v>
      </c>
      <c r="C10" s="29">
        <v>5</v>
      </c>
      <c r="D10" s="29">
        <v>5</v>
      </c>
      <c r="E10" s="29">
        <v>2.5</v>
      </c>
      <c r="F10" s="29">
        <v>48</v>
      </c>
      <c r="G10" s="29">
        <v>1.7</v>
      </c>
      <c r="H10" s="29">
        <v>1.3</v>
      </c>
      <c r="I10" s="29">
        <v>0.67</v>
      </c>
      <c r="J10" s="29">
        <v>1.08</v>
      </c>
      <c r="K10" s="29">
        <v>7.3</v>
      </c>
      <c r="L10" s="29">
        <v>6</v>
      </c>
      <c r="M10" s="29">
        <v>6</v>
      </c>
      <c r="N10" s="29">
        <v>5.5</v>
      </c>
      <c r="O10" s="29">
        <v>3.6</v>
      </c>
      <c r="P10" s="29">
        <v>0.5</v>
      </c>
      <c r="Q10" s="29">
        <v>1.7</v>
      </c>
      <c r="R10" s="36">
        <f>'13'!Z12</f>
        <v>1613</v>
      </c>
      <c r="S10" s="35">
        <f>'13'!AB12</f>
        <v>105.43416293150899</v>
      </c>
      <c r="T10" s="36">
        <f>'13'!Y12</f>
        <v>2826</v>
      </c>
      <c r="U10" s="32" t="str">
        <f>IF('13'!AA12=1,'13'!AR6,'13'!AR8)</f>
        <v>S.A.L</v>
      </c>
      <c r="V10" s="1016"/>
      <c r="W10" s="1016"/>
      <c r="X10" s="13">
        <v>0.16666666666666699</v>
      </c>
      <c r="Y10" s="52">
        <v>2920</v>
      </c>
      <c r="Z10" s="52">
        <v>1613</v>
      </c>
      <c r="AA10" s="15">
        <v>1</v>
      </c>
      <c r="AB10" s="56">
        <f>IF('13'!AA10=1,(('13'!Z10*'13'!$AS$6*'13'!$AT$6)/('13'!Y10*0.0036)),IF('13'!AA10=2,(('13'!Z10*'13'!$AS$8*'13'!$AT$8)/('13'!Y10*0.0036))))</f>
        <v>102.04004946727549</v>
      </c>
      <c r="AC10" s="56"/>
      <c r="AD10" s="18">
        <f>(('13'!AC10*'13'!$Q$10*1000000))/('13'!Y10*3600)</f>
        <v>0</v>
      </c>
      <c r="AE10" s="181">
        <v>3500</v>
      </c>
      <c r="AF10" s="182">
        <f>('13'!AE10/24)*0.454</f>
        <v>66.208333333333343</v>
      </c>
      <c r="AG10" s="19">
        <v>500</v>
      </c>
      <c r="AH10" s="182">
        <f>('13'!AG10/24)*0.454</f>
        <v>9.4583333333333339</v>
      </c>
      <c r="AI10" s="19">
        <v>3000</v>
      </c>
      <c r="AJ10" s="182">
        <f>('13'!AI10/24)*0.454</f>
        <v>56.75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6" t="s">
        <v>37</v>
      </c>
      <c r="AR10" s="936"/>
      <c r="AS10" s="936"/>
      <c r="AT10" s="37" t="s">
        <v>39</v>
      </c>
    </row>
    <row r="11" spans="1:47" ht="18.75" customHeight="1">
      <c r="A11" s="28">
        <v>0.33333333333333298</v>
      </c>
      <c r="B11" s="184">
        <v>240</v>
      </c>
      <c r="C11" s="29">
        <v>7.5</v>
      </c>
      <c r="D11" s="29">
        <v>5</v>
      </c>
      <c r="E11" s="29">
        <v>2.5</v>
      </c>
      <c r="F11" s="29">
        <v>49</v>
      </c>
      <c r="G11" s="29">
        <v>1.9</v>
      </c>
      <c r="H11" s="29">
        <v>1.2</v>
      </c>
      <c r="I11" s="29">
        <v>0.62</v>
      </c>
      <c r="J11" s="29">
        <v>0.68</v>
      </c>
      <c r="K11" s="29">
        <v>7.3</v>
      </c>
      <c r="L11" s="29">
        <v>6</v>
      </c>
      <c r="M11" s="29">
        <v>6</v>
      </c>
      <c r="N11" s="29">
        <v>5.8</v>
      </c>
      <c r="O11" s="29">
        <v>3.7</v>
      </c>
      <c r="P11" s="29">
        <v>0.3</v>
      </c>
      <c r="Q11" s="29">
        <v>2.2000000000000002</v>
      </c>
      <c r="R11" s="36">
        <f>'13'!Z14</f>
        <v>1613</v>
      </c>
      <c r="S11" s="35">
        <f>'13'!AB14</f>
        <v>103.02798908867375</v>
      </c>
      <c r="T11" s="36">
        <f>'13'!Y14</f>
        <v>2892</v>
      </c>
      <c r="U11" s="32" t="str">
        <f>IF('13'!AA14=1,'13'!AR6,'13'!AR8)</f>
        <v>S.A.L</v>
      </c>
      <c r="V11" s="1016"/>
      <c r="W11" s="1016"/>
      <c r="X11" s="13">
        <v>0.20833333333333301</v>
      </c>
      <c r="Y11" s="52">
        <v>2888</v>
      </c>
      <c r="Z11" s="52">
        <v>1613</v>
      </c>
      <c r="AA11" s="15">
        <v>1</v>
      </c>
      <c r="AB11" s="56">
        <f>IF('13'!AA11=1,(('13'!Z11*'13'!$AS$6*'13'!$AT$6)/('13'!Y11*0.0036)),IF('13'!AA11=2,(('13'!Z11*'13'!$AS$8*'13'!$AT$8)/('13'!Y11*0.0036))))</f>
        <v>103.17068713450293</v>
      </c>
      <c r="AC11" s="56"/>
      <c r="AD11" s="18">
        <f>(('13'!AC11*'13'!$Q$10*1000000))/('13'!Y11*3600)</f>
        <v>0</v>
      </c>
      <c r="AE11" s="181">
        <v>3500</v>
      </c>
      <c r="AF11" s="182">
        <f>('13'!AE11/24)*0.454</f>
        <v>66.208333333333343</v>
      </c>
      <c r="AG11" s="19">
        <v>500</v>
      </c>
      <c r="AH11" s="182">
        <f>('13'!AG11/24)*0.454</f>
        <v>9.4583333333333339</v>
      </c>
      <c r="AI11" s="19">
        <v>3000</v>
      </c>
      <c r="AJ11" s="182">
        <f>('13'!AI11/24)*0.454</f>
        <v>56.75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37"/>
      <c r="AR11" s="937"/>
      <c r="AS11" s="937"/>
      <c r="AT11" s="39">
        <v>2E-3</v>
      </c>
    </row>
    <row r="12" spans="1:47" ht="19.5" customHeight="1">
      <c r="A12" s="28">
        <v>0.41666666666666702</v>
      </c>
      <c r="B12" s="184">
        <v>240</v>
      </c>
      <c r="C12" s="29">
        <v>7.5</v>
      </c>
      <c r="D12" s="29">
        <v>5</v>
      </c>
      <c r="E12" s="29">
        <v>2.5</v>
      </c>
      <c r="F12" s="29">
        <v>49</v>
      </c>
      <c r="G12" s="29">
        <v>1.9</v>
      </c>
      <c r="H12" s="29">
        <v>1.2</v>
      </c>
      <c r="I12" s="29">
        <v>0.63</v>
      </c>
      <c r="J12" s="29">
        <v>0.68</v>
      </c>
      <c r="K12" s="29">
        <v>7.3</v>
      </c>
      <c r="L12" s="29">
        <v>6</v>
      </c>
      <c r="M12" s="29">
        <v>6</v>
      </c>
      <c r="N12" s="29">
        <v>5.8</v>
      </c>
      <c r="O12" s="29">
        <v>3.7</v>
      </c>
      <c r="P12" s="29">
        <v>0.3</v>
      </c>
      <c r="Q12" s="29">
        <v>2.2999999999999998</v>
      </c>
      <c r="R12" s="36">
        <f>'13'!Z16</f>
        <v>1403</v>
      </c>
      <c r="S12" s="35">
        <f>'13'!AB16</f>
        <v>100.64670981661274</v>
      </c>
      <c r="T12" s="36">
        <f>'13'!Y16</f>
        <v>2575</v>
      </c>
      <c r="U12" s="32" t="str">
        <f>IF('13'!AA16=1,'13'!AR6,'13'!AR8)</f>
        <v>S.A.L</v>
      </c>
      <c r="V12" s="938">
        <f>ESCALA!$B$15</f>
        <v>0</v>
      </c>
      <c r="W12" s="938"/>
      <c r="X12" s="13">
        <v>0.25</v>
      </c>
      <c r="Y12" s="52">
        <v>2826</v>
      </c>
      <c r="Z12" s="52">
        <v>1613</v>
      </c>
      <c r="AA12" s="15">
        <v>1</v>
      </c>
      <c r="AB12" s="56">
        <f>IF('13'!AA12=1,(('13'!Z12*'13'!$AS$6*'13'!$AT$6)/('13'!Y12*0.0036)),IF('13'!AA12=2,(('13'!Z12*'13'!$AS$8*'13'!$AT$8)/('13'!Y12*0.0036))))</f>
        <v>105.43416293150899</v>
      </c>
      <c r="AC12" s="56"/>
      <c r="AD12" s="18">
        <f>(('13'!AC12*'13'!$Q$10*1000000))/('13'!Y12*3600)</f>
        <v>0</v>
      </c>
      <c r="AE12" s="181">
        <v>3500</v>
      </c>
      <c r="AF12" s="182">
        <f>('13'!AE12/24)*0.454</f>
        <v>66.208333333333343</v>
      </c>
      <c r="AG12" s="19">
        <v>500</v>
      </c>
      <c r="AH12" s="182">
        <f>('13'!AG12/24)*0.454</f>
        <v>9.4583333333333339</v>
      </c>
      <c r="AI12" s="19">
        <v>3000</v>
      </c>
      <c r="AJ12" s="182">
        <f>('13'!AI12/24)*0.454</f>
        <v>56.75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240</v>
      </c>
      <c r="C13" s="29">
        <v>7.5</v>
      </c>
      <c r="D13" s="29">
        <v>5</v>
      </c>
      <c r="E13" s="29">
        <v>2.5</v>
      </c>
      <c r="F13" s="29">
        <v>47</v>
      </c>
      <c r="G13" s="29">
        <v>1.9</v>
      </c>
      <c r="H13" s="29">
        <v>1.2</v>
      </c>
      <c r="I13" s="29">
        <v>0.65</v>
      </c>
      <c r="J13" s="29">
        <v>0.73</v>
      </c>
      <c r="K13" s="29">
        <v>7.3</v>
      </c>
      <c r="L13" s="29">
        <v>6</v>
      </c>
      <c r="M13" s="29">
        <v>6</v>
      </c>
      <c r="N13" s="29">
        <v>5.8</v>
      </c>
      <c r="O13" s="29">
        <v>3.7</v>
      </c>
      <c r="P13" s="29">
        <v>0.3</v>
      </c>
      <c r="Q13" s="29">
        <v>2.2000000000000002</v>
      </c>
      <c r="R13" s="36">
        <f>'13'!Z18</f>
        <v>1613</v>
      </c>
      <c r="S13" s="35">
        <f>'13'!AB18</f>
        <v>98.857645801076458</v>
      </c>
      <c r="T13" s="36">
        <f>'13'!Y18</f>
        <v>3014</v>
      </c>
      <c r="U13" s="32" t="str">
        <f>IF('13'!AA18=1,'13'!AR6,'13'!AR8)</f>
        <v>S.A.L</v>
      </c>
      <c r="V13" s="938"/>
      <c r="W13" s="938"/>
      <c r="X13" s="13">
        <v>0.29166666666666702</v>
      </c>
      <c r="Y13" s="52">
        <v>2865</v>
      </c>
      <c r="Z13" s="52">
        <v>1613</v>
      </c>
      <c r="AA13" s="15">
        <v>1</v>
      </c>
      <c r="AB13" s="56">
        <f>IF('13'!AA13=1,(('13'!Z13*'13'!$AS$6*'13'!$AT$6)/('13'!Y13*0.0036)),IF('13'!AA13=2,(('13'!Z13*'13'!$AS$8*'13'!$AT$8)/('13'!Y13*0.0036))))</f>
        <v>103.99893348846228</v>
      </c>
      <c r="AC13" s="56"/>
      <c r="AD13" s="18">
        <f>(('13'!AC13*'13'!$Q$10*1000000))/('13'!Y13*3600)</f>
        <v>0</v>
      </c>
      <c r="AE13" s="181">
        <v>3500</v>
      </c>
      <c r="AF13" s="182">
        <f>('13'!AE13/24)*0.454</f>
        <v>66.208333333333343</v>
      </c>
      <c r="AG13" s="19">
        <v>500</v>
      </c>
      <c r="AH13" s="182">
        <f>('13'!AG13/24)*0.454</f>
        <v>9.4583333333333339</v>
      </c>
      <c r="AI13" s="19">
        <v>3000</v>
      </c>
      <c r="AJ13" s="182">
        <f>('13'!AI13/24)*0.454</f>
        <v>56.75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240</v>
      </c>
      <c r="C14" s="29">
        <v>7.5</v>
      </c>
      <c r="D14" s="29">
        <v>5</v>
      </c>
      <c r="E14" s="29">
        <v>2.5</v>
      </c>
      <c r="F14" s="29">
        <v>45</v>
      </c>
      <c r="G14" s="29">
        <v>1.9</v>
      </c>
      <c r="H14" s="29">
        <v>1.1000000000000001</v>
      </c>
      <c r="I14" s="29">
        <v>0.67</v>
      </c>
      <c r="J14" s="29">
        <v>0.78</v>
      </c>
      <c r="K14" s="29">
        <v>7.3</v>
      </c>
      <c r="L14" s="29">
        <v>6</v>
      </c>
      <c r="M14" s="29">
        <v>6</v>
      </c>
      <c r="N14" s="29">
        <v>5.8</v>
      </c>
      <c r="O14" s="29">
        <v>3.7</v>
      </c>
      <c r="P14" s="29">
        <v>0.2</v>
      </c>
      <c r="Q14" s="29">
        <v>2.1</v>
      </c>
      <c r="R14" s="36">
        <f>'13'!Z20</f>
        <v>1613</v>
      </c>
      <c r="S14" s="35">
        <f>'13'!AB20</f>
        <v>100.93392426979825</v>
      </c>
      <c r="T14" s="36">
        <f>'13'!Y20</f>
        <v>2952</v>
      </c>
      <c r="U14" s="32" t="str">
        <f>IF('13'!AA20=1,'13'!AR6,'13'!AR8)</f>
        <v>S.A.L</v>
      </c>
      <c r="V14" s="938"/>
      <c r="W14" s="938"/>
      <c r="X14" s="13">
        <v>0.33333333333333298</v>
      </c>
      <c r="Y14" s="52">
        <v>2892</v>
      </c>
      <c r="Z14" s="52">
        <v>1613</v>
      </c>
      <c r="AA14" s="15">
        <v>1</v>
      </c>
      <c r="AB14" s="56">
        <f>IF('13'!AA14=1,(('13'!Z14*'13'!$AS$6*'13'!$AT$6)/('13'!Y14*0.0036)),IF('13'!AA14=2,(('13'!Z14*'13'!$AS$8*'13'!$AT$8)/('13'!Y14*0.0036))))</f>
        <v>103.02798908867375</v>
      </c>
      <c r="AC14" s="56"/>
      <c r="AD14" s="18">
        <f>(('13'!AC14*'13'!$Q$10*1000000))/('13'!Y14*3600)</f>
        <v>0</v>
      </c>
      <c r="AE14" s="181">
        <v>3500</v>
      </c>
      <c r="AF14" s="182">
        <f>('13'!AE14/24)*0.454</f>
        <v>66.208333333333343</v>
      </c>
      <c r="AG14" s="19">
        <v>500</v>
      </c>
      <c r="AH14" s="182">
        <f>('13'!AG14/24)*0.454</f>
        <v>9.4583333333333339</v>
      </c>
      <c r="AI14" s="19">
        <v>3000</v>
      </c>
      <c r="AJ14" s="182">
        <f>('13'!AI14/24)*0.454</f>
        <v>56.75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240</v>
      </c>
      <c r="C15" s="29">
        <v>7.5</v>
      </c>
      <c r="D15" s="29">
        <v>5</v>
      </c>
      <c r="E15" s="29">
        <v>2.5</v>
      </c>
      <c r="F15" s="29">
        <v>45</v>
      </c>
      <c r="G15" s="29">
        <v>1.9</v>
      </c>
      <c r="H15" s="29">
        <v>1.3</v>
      </c>
      <c r="I15" s="29">
        <v>0.64</v>
      </c>
      <c r="J15" s="29">
        <v>0.93</v>
      </c>
      <c r="K15" s="29">
        <v>7.3</v>
      </c>
      <c r="L15" s="29">
        <v>6</v>
      </c>
      <c r="M15" s="29">
        <v>6</v>
      </c>
      <c r="N15" s="29">
        <v>5.8</v>
      </c>
      <c r="O15" s="29">
        <v>3.8</v>
      </c>
      <c r="P15" s="29">
        <v>1</v>
      </c>
      <c r="Q15" s="29">
        <v>1.1000000000000001</v>
      </c>
      <c r="R15" s="36">
        <f>'13'!Z22</f>
        <v>1613</v>
      </c>
      <c r="S15" s="35">
        <f>'13'!AB22</f>
        <v>101.76125151791136</v>
      </c>
      <c r="T15" s="36">
        <f>'13'!Y22</f>
        <v>2928</v>
      </c>
      <c r="U15" s="32" t="str">
        <f>IF('13'!AA22=1,'13'!AR6,'13'!AR8)</f>
        <v>S.A.L</v>
      </c>
      <c r="V15" s="938"/>
      <c r="W15" s="938"/>
      <c r="X15" s="13">
        <v>0.375</v>
      </c>
      <c r="Y15" s="52">
        <v>2498</v>
      </c>
      <c r="Z15" s="52">
        <v>1403</v>
      </c>
      <c r="AA15" s="15">
        <v>1</v>
      </c>
      <c r="AB15" s="56">
        <f>IF('13'!AA15=1,(('13'!Z15*'13'!$AS$6*'13'!$AT$6)/('13'!Y15*0.0036)),IF('13'!AA15=2,(('13'!Z15*'13'!$AS$8*'13'!$AT$8)/('13'!Y15*0.0036))))</f>
        <v>103.74911039943066</v>
      </c>
      <c r="AC15" s="56"/>
      <c r="AD15" s="18">
        <f>(('13'!AC15*'13'!$Q$10*1000000))/('13'!Y15*3600)</f>
        <v>0</v>
      </c>
      <c r="AE15" s="181">
        <v>3500</v>
      </c>
      <c r="AF15" s="182">
        <f>('13'!AE15/24)*0.454</f>
        <v>66.208333333333343</v>
      </c>
      <c r="AG15" s="19">
        <v>500</v>
      </c>
      <c r="AH15" s="182">
        <f>('13'!AG15/24)*0.454</f>
        <v>9.4583333333333339</v>
      </c>
      <c r="AI15" s="19">
        <v>3000</v>
      </c>
      <c r="AJ15" s="182">
        <f>('13'!AI15/24)*0.454</f>
        <v>56.75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240</v>
      </c>
      <c r="C16" s="29">
        <v>7.5</v>
      </c>
      <c r="D16" s="29">
        <v>7.5</v>
      </c>
      <c r="E16" s="29">
        <v>2.5</v>
      </c>
      <c r="F16" s="29">
        <v>44</v>
      </c>
      <c r="G16" s="29">
        <v>1.9</v>
      </c>
      <c r="H16" s="29">
        <v>1.8</v>
      </c>
      <c r="I16" s="29">
        <v>0.6</v>
      </c>
      <c r="J16" s="29">
        <v>1.1000000000000001</v>
      </c>
      <c r="K16" s="29">
        <v>7.3</v>
      </c>
      <c r="L16" s="29">
        <v>6</v>
      </c>
      <c r="M16" s="29">
        <v>6</v>
      </c>
      <c r="N16" s="29">
        <v>5.8</v>
      </c>
      <c r="O16" s="29">
        <v>3.8</v>
      </c>
      <c r="P16" s="29">
        <v>1.5</v>
      </c>
      <c r="Q16" s="29">
        <v>0.6</v>
      </c>
      <c r="R16" s="36">
        <f>'13'!Z24</f>
        <v>1613</v>
      </c>
      <c r="S16" s="35">
        <f>'13'!AB24</f>
        <v>101.83080808080808</v>
      </c>
      <c r="T16" s="36">
        <f>'13'!Y24</f>
        <v>2926</v>
      </c>
      <c r="U16" s="32" t="str">
        <f>IF('13'!AA24=1,'13'!AR6,'13'!AR8)</f>
        <v>S.A.L</v>
      </c>
      <c r="V16" s="938"/>
      <c r="W16" s="938"/>
      <c r="X16" s="13">
        <v>0.41666666666666702</v>
      </c>
      <c r="Y16" s="52">
        <v>2575</v>
      </c>
      <c r="Z16" s="52">
        <v>1403</v>
      </c>
      <c r="AA16" s="15">
        <v>1</v>
      </c>
      <c r="AB16" s="56">
        <f>IF('13'!AA16=1,(('13'!Z16*'13'!$AS$6*'13'!$AT$6)/('13'!Y16*0.0036)),IF('13'!AA16=2,(('13'!Z16*'13'!$AS$8*'13'!$AT$8)/('13'!Y16*0.0036))))</f>
        <v>100.64670981661274</v>
      </c>
      <c r="AC16" s="56"/>
      <c r="AD16" s="18">
        <f>(('13'!AC16*'13'!$Q$10*1000000))/('13'!Y16*3600)</f>
        <v>0</v>
      </c>
      <c r="AE16" s="181">
        <v>3500</v>
      </c>
      <c r="AF16" s="182">
        <f>('13'!AE16/24)*0.454</f>
        <v>66.208333333333343</v>
      </c>
      <c r="AG16" s="19">
        <v>500</v>
      </c>
      <c r="AH16" s="182">
        <f>('13'!AG16/24)*0.454</f>
        <v>9.4583333333333339</v>
      </c>
      <c r="AI16" s="19">
        <v>3000</v>
      </c>
      <c r="AJ16" s="182">
        <f>('13'!AI16/24)*0.454</f>
        <v>56.75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240</v>
      </c>
      <c r="C17" s="29">
        <v>7.5</v>
      </c>
      <c r="D17" s="29">
        <v>7.5</v>
      </c>
      <c r="E17" s="29">
        <v>2.5</v>
      </c>
      <c r="F17" s="29">
        <v>45</v>
      </c>
      <c r="G17" s="29">
        <v>1.9</v>
      </c>
      <c r="H17" s="29">
        <v>1.8</v>
      </c>
      <c r="I17" s="29">
        <v>0.99</v>
      </c>
      <c r="J17" s="29">
        <v>0.94</v>
      </c>
      <c r="K17" s="29">
        <v>7.3</v>
      </c>
      <c r="L17" s="29">
        <v>6</v>
      </c>
      <c r="M17" s="29">
        <v>6</v>
      </c>
      <c r="N17" s="29">
        <v>5.8</v>
      </c>
      <c r="O17" s="29">
        <v>3.8</v>
      </c>
      <c r="P17" s="29">
        <v>1.7</v>
      </c>
      <c r="Q17" s="29">
        <v>1.5</v>
      </c>
      <c r="R17" s="36">
        <f>'13'!Z27</f>
        <v>1613</v>
      </c>
      <c r="S17" s="35">
        <f>'13'!AB26</f>
        <v>99.551267772951704</v>
      </c>
      <c r="T17" s="36">
        <f>'13'!Y26</f>
        <v>2993</v>
      </c>
      <c r="U17" s="32" t="str">
        <f>IF('13'!AA26=1,'13'!AR6,'13'!AR8)</f>
        <v>S.A.L</v>
      </c>
      <c r="V17" s="939">
        <f>ESCALA!$C$15</f>
        <v>0</v>
      </c>
      <c r="W17" s="939"/>
      <c r="X17" s="13">
        <v>0.45833333333333298</v>
      </c>
      <c r="Y17" s="52">
        <v>2966</v>
      </c>
      <c r="Z17" s="52">
        <v>1613</v>
      </c>
      <c r="AA17" s="15">
        <v>1</v>
      </c>
      <c r="AB17" s="56">
        <f>IF('13'!AA17=1,(('13'!Z17*'13'!$AS$6*'13'!$AT$6)/('13'!Y17*0.0036)),IF('13'!AA17=2,(('13'!Z17*'13'!$AS$8*'13'!$AT$8)/('13'!Y17*0.0036))))</f>
        <v>100.45749981269199</v>
      </c>
      <c r="AC17" s="56"/>
      <c r="AD17" s="18">
        <f>(('13'!AC17*'13'!$Q$10*1000000))/('13'!Y17*3600)</f>
        <v>0</v>
      </c>
      <c r="AE17" s="181">
        <v>3500</v>
      </c>
      <c r="AF17" s="182">
        <f>('13'!AE17/24)*0.454</f>
        <v>66.208333333333343</v>
      </c>
      <c r="AG17" s="19">
        <v>500</v>
      </c>
      <c r="AH17" s="182">
        <f>('13'!AG17/24)*0.454</f>
        <v>9.4583333333333339</v>
      </c>
      <c r="AI17" s="19">
        <v>3000</v>
      </c>
      <c r="AJ17" s="182">
        <f>('13'!AI17/24)*0.454</f>
        <v>56.75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240</v>
      </c>
      <c r="C18" s="29">
        <v>7.5</v>
      </c>
      <c r="D18" s="29">
        <v>7.5</v>
      </c>
      <c r="E18" s="29">
        <v>2.5</v>
      </c>
      <c r="F18" s="29">
        <v>44</v>
      </c>
      <c r="G18" s="29">
        <v>2</v>
      </c>
      <c r="H18" s="29">
        <v>1.8</v>
      </c>
      <c r="I18" s="29">
        <v>0.95</v>
      </c>
      <c r="J18" s="29">
        <v>0.95</v>
      </c>
      <c r="K18" s="29">
        <v>7.3</v>
      </c>
      <c r="L18" s="29">
        <v>6</v>
      </c>
      <c r="M18" s="29">
        <v>6</v>
      </c>
      <c r="N18" s="29">
        <v>5.8</v>
      </c>
      <c r="O18" s="29">
        <v>3.8</v>
      </c>
      <c r="P18" s="29">
        <v>1.8</v>
      </c>
      <c r="Q18" s="29">
        <v>1.5</v>
      </c>
      <c r="R18" s="36">
        <f>'13'!Z28</f>
        <v>1613</v>
      </c>
      <c r="S18" s="35">
        <f>'13'!AB28</f>
        <v>96.14615825893658</v>
      </c>
      <c r="T18" s="36">
        <f>'13'!Y28</f>
        <v>3099</v>
      </c>
      <c r="U18" s="32" t="str">
        <f>IF('13'!AA28=1,'13'!AR6,'13'!AR8)</f>
        <v>S.A.L</v>
      </c>
      <c r="V18" s="939"/>
      <c r="W18" s="939"/>
      <c r="X18" s="13">
        <v>0.5</v>
      </c>
      <c r="Y18" s="52">
        <v>3014</v>
      </c>
      <c r="Z18" s="52">
        <v>1613</v>
      </c>
      <c r="AA18" s="15">
        <v>1</v>
      </c>
      <c r="AB18" s="56">
        <f>IF('13'!AA18=1,(('13'!Z18*'13'!$AS$6*'13'!$AT$6)/('13'!Y18*0.0036)),IF('13'!AA18=2,(('13'!Z18*'13'!$AS$8*'13'!$AT$8)/('13'!Y18*0.0036))))</f>
        <v>98.857645801076458</v>
      </c>
      <c r="AC18" s="56"/>
      <c r="AD18" s="18">
        <f>(('13'!AC18*'13'!$Q$10*1000000))/('13'!Y18*3600)</f>
        <v>0</v>
      </c>
      <c r="AE18" s="181">
        <v>3500</v>
      </c>
      <c r="AF18" s="182">
        <f>('13'!AE18/24)*0.454</f>
        <v>66.208333333333343</v>
      </c>
      <c r="AG18" s="19">
        <v>500</v>
      </c>
      <c r="AH18" s="182">
        <f>('13'!AG18/24)*0.454</f>
        <v>9.4583333333333339</v>
      </c>
      <c r="AI18" s="19">
        <v>3000</v>
      </c>
      <c r="AJ18" s="182">
        <f>('13'!AI18/24)*0.454</f>
        <v>56.75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233.33333333333334</v>
      </c>
      <c r="C19" s="67">
        <f t="array" ref="C19">IF('13'!C7:C18&gt;0.01,AVERAGE('13'!C7:C18),"")</f>
        <v>6.666666666666667</v>
      </c>
      <c r="D19" s="67">
        <f t="array" ref="D19">IF('13'!D7:D18&gt;0.01,AVERAGE('13'!D7:D18),"")</f>
        <v>5.625</v>
      </c>
      <c r="E19" s="67">
        <f t="array" ref="E19">IF('13'!E7:E18&gt;0.01,AVERAGE('13'!E7:E18),"")</f>
        <v>2.5</v>
      </c>
      <c r="F19" s="67">
        <f t="array" ref="F19">IF('13'!F7:F18&gt;0.01,AVERAGE('13'!F7:F18),"")</f>
        <v>46.916666666666664</v>
      </c>
      <c r="G19" s="67">
        <f t="array" ref="G19">IF('13'!G7:G18&gt;0.01,AVERAGE('13'!G7:G18),"")</f>
        <v>1.8666666666666665</v>
      </c>
      <c r="H19" s="67">
        <f t="array" ref="H19">IF('13'!H7:H18&gt;0.01,AVERAGE('13'!H7:H18),"")</f>
        <v>1.4083333333333334</v>
      </c>
      <c r="I19" s="67">
        <f t="array" ref="I19">IF('13'!I7:I18&gt;0.01,AVERAGE('13'!I7:I18),"")</f>
        <v>0.68583333333333318</v>
      </c>
      <c r="J19" s="67">
        <f t="array" ref="J19">IF('13'!J7:J18&gt;0.01,AVERAGE('13'!J7:J18),"")</f>
        <v>0.90833333333333321</v>
      </c>
      <c r="K19" s="67">
        <f t="array" ref="K19">IF('13'!K7:K18&gt;0.01,AVERAGE('13'!K7:K18),"")</f>
        <v>7.299999999999998</v>
      </c>
      <c r="L19" s="273">
        <f t="array" ref="L19">IF('13'!L7:L18&gt;0.01,AVERAGE('13'!L7:L18),"")</f>
        <v>6</v>
      </c>
      <c r="M19" s="67">
        <f t="array" ref="M19">IF('13'!M7:M18&gt;0.01,AVERAGE('13'!M7:M18),"")</f>
        <v>6</v>
      </c>
      <c r="N19" s="67">
        <f t="array" ref="N19">IF('13'!N7:N18&gt;0.01,AVERAGE('13'!N7:N18),"")</f>
        <v>5.6999999999999993</v>
      </c>
      <c r="O19" s="67">
        <f t="array" ref="O19">IF('13'!O7:O18&gt;0.01,AVERAGE('13'!O7:O18),"")</f>
        <v>3.6999999999999993</v>
      </c>
      <c r="P19" s="188">
        <f t="array" ref="P19">IF('13'!P7:P18&gt;0.01,AVERAGE('13'!P7:P18),"")</f>
        <v>0.79999999999999993</v>
      </c>
      <c r="Q19" s="189">
        <f t="array" ref="Q19">IF('13'!Q7:Q18&gt;0.01,AVERAGE('13'!Q7:Q18),"")</f>
        <v>1.7083333333333333</v>
      </c>
      <c r="R19" s="189">
        <f t="array" ref="R19">IF('13'!R7:R18&gt;0.01,AVERAGE('13'!R7:R18),"")</f>
        <v>1595.5</v>
      </c>
      <c r="S19" s="189">
        <f t="array" ref="S19">IF('13'!S7:S18&gt;0.01,AVERAGE('13'!S7:S18),"")</f>
        <v>100.97775459978963</v>
      </c>
      <c r="T19" s="940"/>
      <c r="U19" s="940"/>
      <c r="V19" s="47"/>
      <c r="W19" s="48"/>
      <c r="X19" s="13">
        <v>0.54166666666666696</v>
      </c>
      <c r="Y19" s="52">
        <v>2946</v>
      </c>
      <c r="Z19" s="52">
        <v>1613</v>
      </c>
      <c r="AA19" s="15">
        <v>1</v>
      </c>
      <c r="AB19" s="56">
        <f>IF('13'!AA19=1,(('13'!Z19*'13'!$AS$6*'13'!$AT$6)/('13'!Y19*0.0036)),IF('13'!AA19=2,(('13'!Z19*'13'!$AS$8*'13'!$AT$8)/('13'!Y19*0.0036))))</f>
        <v>101.1394923436675</v>
      </c>
      <c r="AC19" s="56"/>
      <c r="AD19" s="18">
        <f>(('13'!AC19*'13'!$Q$10*1000000))/('13'!Y19*3600)</f>
        <v>0</v>
      </c>
      <c r="AE19" s="181">
        <v>3500</v>
      </c>
      <c r="AF19" s="182">
        <f>('13'!AE19/24)*0.454</f>
        <v>66.208333333333343</v>
      </c>
      <c r="AG19" s="19">
        <v>500</v>
      </c>
      <c r="AH19" s="182">
        <f>('13'!AG19/24)*0.454</f>
        <v>9.4583333333333339</v>
      </c>
      <c r="AI19" s="19">
        <v>3000</v>
      </c>
      <c r="AJ19" s="182">
        <f>('13'!AI19/24)*0.454</f>
        <v>56.75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240</v>
      </c>
      <c r="C20" s="67">
        <f>MAX('13'!C7:C18)</f>
        <v>7.5</v>
      </c>
      <c r="D20" s="67">
        <f>MAX('13'!D7:D18)</f>
        <v>7.5</v>
      </c>
      <c r="E20" s="67">
        <f>MAX('13'!E7:E18)</f>
        <v>2.5</v>
      </c>
      <c r="F20" s="67">
        <f>MAX('13'!F7:F18)</f>
        <v>50</v>
      </c>
      <c r="G20" s="67">
        <f>MAX('13'!G7:G18)</f>
        <v>2</v>
      </c>
      <c r="H20" s="67">
        <f>MAX('13'!H7:H18)</f>
        <v>1.8</v>
      </c>
      <c r="I20" s="67">
        <f>MAX('13'!I7:I18)</f>
        <v>0.99</v>
      </c>
      <c r="J20" s="67">
        <f>MAX('13'!J7:J18)</f>
        <v>1.1000000000000001</v>
      </c>
      <c r="K20" s="67">
        <f>MAX('13'!K7:K18)</f>
        <v>7.3</v>
      </c>
      <c r="L20" s="67">
        <f>MAX('13'!L7:L18)</f>
        <v>6</v>
      </c>
      <c r="M20" s="67">
        <f>MAX('13'!M7:M18)</f>
        <v>6</v>
      </c>
      <c r="N20" s="67">
        <f>MAX('13'!N7:N18)</f>
        <v>5.8</v>
      </c>
      <c r="O20" s="68">
        <f>MAX('13'!O7:O18)</f>
        <v>3.8</v>
      </c>
      <c r="P20" s="68">
        <f>MAX('13'!P7:P18)</f>
        <v>1.8</v>
      </c>
      <c r="Q20" s="68">
        <f>MAX('13'!Q7:Q18)</f>
        <v>2.2999999999999998</v>
      </c>
      <c r="R20" s="68">
        <f>MAX('13'!R7:R18)</f>
        <v>1613</v>
      </c>
      <c r="S20" s="68">
        <f>MAX('13'!S7:S18)</f>
        <v>105.43416293150899</v>
      </c>
      <c r="T20" s="940"/>
      <c r="U20" s="940"/>
      <c r="X20" s="13">
        <v>0.58333333333333304</v>
      </c>
      <c r="Y20" s="52">
        <v>2952</v>
      </c>
      <c r="Z20" s="52">
        <v>1613</v>
      </c>
      <c r="AA20" s="15">
        <v>1</v>
      </c>
      <c r="AB20" s="56">
        <f>IF('13'!AA20=1,(('13'!Z20*'13'!$AS$6*'13'!$AT$6)/('13'!Y20*0.0036)),IF('13'!AA20=2,(('13'!Z20*'13'!$AS$8*'13'!$AT$8)/('13'!Y20*0.0036))))</f>
        <v>100.93392426979825</v>
      </c>
      <c r="AC20" s="56"/>
      <c r="AD20" s="18">
        <f>(('13'!AC20*'13'!$Q$10*1000000))/('13'!Y20*3600)</f>
        <v>0</v>
      </c>
      <c r="AE20" s="181">
        <v>3500</v>
      </c>
      <c r="AF20" s="182">
        <f>('13'!AE20/24)*0.454</f>
        <v>66.208333333333343</v>
      </c>
      <c r="AG20" s="19">
        <v>500</v>
      </c>
      <c r="AH20" s="182">
        <f>('13'!AG20/24)*0.454</f>
        <v>9.4583333333333339</v>
      </c>
      <c r="AI20" s="19">
        <v>3000</v>
      </c>
      <c r="AJ20" s="182">
        <f>('13'!AI20/24)*0.454</f>
        <v>56.75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220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44</v>
      </c>
      <c r="G21" s="190">
        <f>MIN('13'!G7:G18)</f>
        <v>1.7</v>
      </c>
      <c r="H21" s="190">
        <f>MIN('13'!H7:H18)</f>
        <v>1.1000000000000001</v>
      </c>
      <c r="I21" s="190">
        <f>MIN('13'!I7:I18)</f>
        <v>0.38</v>
      </c>
      <c r="J21" s="190">
        <f>MIN('13'!J7:J18)</f>
        <v>0.68</v>
      </c>
      <c r="K21" s="190">
        <f>MIN('13'!K7:K18)</f>
        <v>7.3</v>
      </c>
      <c r="L21" s="190">
        <f>MIN('13'!L7:L18)</f>
        <v>6</v>
      </c>
      <c r="M21" s="190">
        <f>MIN('13'!M7:M18)</f>
        <v>6</v>
      </c>
      <c r="N21" s="190">
        <f>MIN('13'!N7:N18)</f>
        <v>5.5</v>
      </c>
      <c r="O21" s="191">
        <f>MIN('13'!O7:O18)</f>
        <v>3.6</v>
      </c>
      <c r="P21" s="191">
        <f>MIN('13'!P7:P18)</f>
        <v>0.2</v>
      </c>
      <c r="Q21" s="191">
        <f>MIN('13'!Q7:Q18)</f>
        <v>0.6</v>
      </c>
      <c r="R21" s="191">
        <f>MIN('13'!R7:R18)</f>
        <v>1403</v>
      </c>
      <c r="S21" s="191">
        <f>MIN('13'!S7:S18)</f>
        <v>96.14615825893658</v>
      </c>
      <c r="T21" s="940"/>
      <c r="U21" s="940"/>
      <c r="X21" s="13">
        <v>0.625</v>
      </c>
      <c r="Y21" s="52">
        <v>2930</v>
      </c>
      <c r="Z21" s="52">
        <v>1613</v>
      </c>
      <c r="AA21" s="15">
        <v>1</v>
      </c>
      <c r="AB21" s="56">
        <f>IF('13'!AA21=1,(('13'!Z21*'13'!$AS$6*'13'!$AT$6)/('13'!Y21*0.0036)),IF('13'!AA21=2,(('13'!Z21*'13'!$AS$8*'13'!$AT$8)/('13'!Y21*0.0036))))</f>
        <v>101.69178991277967</v>
      </c>
      <c r="AC21" s="56"/>
      <c r="AD21" s="18">
        <f>(('13'!AC21*'13'!$Q$10*1000000))/('13'!Y21*3600)</f>
        <v>0</v>
      </c>
      <c r="AE21" s="181">
        <v>3500</v>
      </c>
      <c r="AF21" s="182">
        <f>('13'!AE21/24)*0.454</f>
        <v>66.208333333333343</v>
      </c>
      <c r="AG21" s="19">
        <v>500</v>
      </c>
      <c r="AH21" s="182">
        <f>('13'!AG21/24)*0.454</f>
        <v>9.4583333333333339</v>
      </c>
      <c r="AI21" s="19">
        <v>3000</v>
      </c>
      <c r="AJ21" s="182">
        <f>('13'!AI21/24)*0.454</f>
        <v>56.75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0.66666666666666696</v>
      </c>
      <c r="Y22" s="52">
        <v>2928</v>
      </c>
      <c r="Z22" s="52">
        <v>1613</v>
      </c>
      <c r="AA22" s="15">
        <v>1</v>
      </c>
      <c r="AB22" s="56">
        <f>IF('13'!AA22=1,(('13'!Z22*'13'!$AS$6*'13'!$AT$6)/('13'!Y22*0.0036)),IF('13'!AA22=2,(('13'!Z22*'13'!$AS$8*'13'!$AT$8)/('13'!Y22*0.0036))))</f>
        <v>101.76125151791136</v>
      </c>
      <c r="AC22" s="56"/>
      <c r="AD22" s="18">
        <f>(('13'!AC22*'13'!$Q$10*1000000))/('13'!Y22*3600)</f>
        <v>0</v>
      </c>
      <c r="AE22" s="181">
        <v>3500</v>
      </c>
      <c r="AF22" s="182">
        <f>('13'!AE22/24)*0.454</f>
        <v>66.208333333333343</v>
      </c>
      <c r="AG22" s="19">
        <v>500</v>
      </c>
      <c r="AH22" s="182">
        <f>('13'!AG22/24)*0.454</f>
        <v>9.4583333333333339</v>
      </c>
      <c r="AI22" s="19">
        <v>3000</v>
      </c>
      <c r="AJ22" s="182">
        <f>('13'!AI22/24)*0.454</f>
        <v>56.75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0.70833333333333304</v>
      </c>
      <c r="Y23" s="52">
        <v>2954</v>
      </c>
      <c r="Z23" s="52">
        <v>1613</v>
      </c>
      <c r="AA23" s="15">
        <v>1</v>
      </c>
      <c r="AB23" s="56">
        <f>IF('13'!AA23=1,(('13'!Z23*'13'!$AS$6*'13'!$AT$6)/('13'!Y23*0.0036)),IF('13'!AA23=2,(('13'!Z23*'13'!$AS$8*'13'!$AT$8)/('13'!Y23*0.0036))))</f>
        <v>100.86558715113217</v>
      </c>
      <c r="AC23" s="56"/>
      <c r="AD23" s="18">
        <f>(('13'!AC23*'13'!$Q$10*1000000))/('13'!Y23*3600)</f>
        <v>0</v>
      </c>
      <c r="AE23" s="181">
        <v>3500</v>
      </c>
      <c r="AF23" s="182">
        <f>('13'!AE23/24)*0.454</f>
        <v>66.208333333333343</v>
      </c>
      <c r="AG23" s="19">
        <v>500</v>
      </c>
      <c r="AH23" s="182">
        <f>('13'!AG23/24)*0.454</f>
        <v>9.4583333333333339</v>
      </c>
      <c r="AI23" s="19">
        <v>3000</v>
      </c>
      <c r="AJ23" s="182">
        <f>('13'!AI23/24)*0.454</f>
        <v>56.75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0.75</v>
      </c>
      <c r="Y24" s="52">
        <v>2926</v>
      </c>
      <c r="Z24" s="52">
        <v>1613</v>
      </c>
      <c r="AA24" s="15">
        <v>1</v>
      </c>
      <c r="AB24" s="56">
        <f>IF('13'!AA24=1,(('13'!Z24*'13'!$AS$6*'13'!$AT$6)/('13'!Y24*0.0036)),IF('13'!AA24=2,(('13'!Z24*'13'!$AS$8*'13'!$AT$8)/('13'!Y24*0.0036))))</f>
        <v>101.83080808080808</v>
      </c>
      <c r="AC24" s="56"/>
      <c r="AD24" s="18">
        <f>(('13'!AC24*'13'!$Q$10*1000000))/('13'!Y24*3600)</f>
        <v>0</v>
      </c>
      <c r="AE24" s="181">
        <v>3500</v>
      </c>
      <c r="AF24" s="182">
        <f>('13'!AE24/24)*0.454</f>
        <v>66.208333333333343</v>
      </c>
      <c r="AG24" s="19">
        <v>500</v>
      </c>
      <c r="AH24" s="182">
        <f>('13'!AG24/24)*0.454</f>
        <v>9.4583333333333339</v>
      </c>
      <c r="AI24" s="19">
        <v>3000</v>
      </c>
      <c r="AJ24" s="182">
        <f>('13'!AI24/24)*0.454</f>
        <v>56.75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>
        <v>1.28</v>
      </c>
      <c r="D25" s="196">
        <v>0.98</v>
      </c>
      <c r="E25" s="197">
        <v>1.1000000000000001</v>
      </c>
      <c r="F25" s="197">
        <v>1.0900000000000001</v>
      </c>
      <c r="G25" s="197"/>
      <c r="H25" s="197">
        <v>1.01</v>
      </c>
      <c r="I25" s="197">
        <v>1.29</v>
      </c>
      <c r="J25" s="197"/>
      <c r="K25" s="197">
        <v>1.67</v>
      </c>
      <c r="L25" s="197">
        <v>0.97</v>
      </c>
      <c r="M25" s="197">
        <v>1.28</v>
      </c>
      <c r="N25" s="197">
        <v>1.64</v>
      </c>
      <c r="O25" s="197">
        <v>0.59</v>
      </c>
      <c r="P25" s="197"/>
      <c r="Q25" s="197"/>
      <c r="R25" s="63" t="e">
        <f>#DIV/0!</f>
        <v>#DIV/0!</v>
      </c>
      <c r="S25" s="64"/>
      <c r="T25" s="1062" t="s">
        <v>0</v>
      </c>
      <c r="U25" s="1043">
        <f>ESCALA!$A$15</f>
        <v>44329</v>
      </c>
      <c r="X25" s="13">
        <v>0.79166666666666696</v>
      </c>
      <c r="Y25" s="52">
        <v>2982</v>
      </c>
      <c r="Z25" s="52">
        <v>1613</v>
      </c>
      <c r="AA25" s="15">
        <v>1</v>
      </c>
      <c r="AB25" s="16">
        <f>IF('13'!AA25=1,(('13'!Z25*'13'!$AS$6*'13'!$AT$6)/('13'!Y25*0.0036)),IF('13'!AA25=2,(('13'!Z25*'13'!$AS$8*'13'!$AT$8)/('13'!Y25*0.0036))))</f>
        <v>99.918492436098077</v>
      </c>
      <c r="AC25" s="16"/>
      <c r="AD25" s="192">
        <f>(('13'!AC25*'13'!$Q$10*1000000))/('13'!Y25*3600)</f>
        <v>0</v>
      </c>
      <c r="AE25" s="181">
        <v>3500</v>
      </c>
      <c r="AF25" s="193">
        <f>('13'!AE25/24)*0.454</f>
        <v>66.208333333333343</v>
      </c>
      <c r="AG25" s="19">
        <v>500</v>
      </c>
      <c r="AH25" s="193">
        <f>('13'!AG25/24)*0.454</f>
        <v>9.4583333333333339</v>
      </c>
      <c r="AI25" s="19">
        <v>3000</v>
      </c>
      <c r="AJ25" s="193">
        <f>('13'!AI25/24)*0.454</f>
        <v>56.75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43"/>
      <c r="X26" s="13">
        <v>0.83333333333333304</v>
      </c>
      <c r="Y26" s="52">
        <v>2993</v>
      </c>
      <c r="Z26" s="52">
        <v>1613</v>
      </c>
      <c r="AA26" s="15">
        <v>1</v>
      </c>
      <c r="AB26" s="56">
        <f>IF('13'!AA26=1,(('13'!Z27*'13'!$AS$6*'13'!$AT$6)/('13'!Y26*0.0036)),IF('13'!AA26=2,(('13'!Z27*'13'!$AS$8*'13'!$AT$8)/('13'!Y26*0.0036))))</f>
        <v>99.551267772951704</v>
      </c>
      <c r="AC26" s="56"/>
      <c r="AD26" s="18">
        <f>(('13'!AC26*'13'!$Q$10*1000000))/('13'!Y26*3600)</f>
        <v>0</v>
      </c>
      <c r="AE26" s="181">
        <v>3500</v>
      </c>
      <c r="AF26" s="182">
        <f>('13'!AE26/24)*0.454</f>
        <v>66.208333333333343</v>
      </c>
      <c r="AG26" s="19">
        <v>500</v>
      </c>
      <c r="AH26" s="182">
        <f>('13'!AG26/24)*0.454</f>
        <v>9.4583333333333339</v>
      </c>
      <c r="AI26" s="19">
        <v>3000</v>
      </c>
      <c r="AJ26" s="182">
        <f>('13'!AI26/24)*0.454</f>
        <v>56.75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0.875</v>
      </c>
      <c r="Y27" s="52">
        <v>3039</v>
      </c>
      <c r="Z27" s="52">
        <v>1613</v>
      </c>
      <c r="AA27" s="15">
        <v>1</v>
      </c>
      <c r="AB27" s="56" t="e">
        <f>IF('13'!AA27=1,(('13'!#REF!*'13'!$AS$6*'13'!$AT$6)/('13'!Y27*0.0036)),IF('13'!AA27=2,(('13'!#REF!*'13'!$AS$8*'13'!$AT$8)/('13'!Y27*0.0036))))</f>
        <v>#REF!</v>
      </c>
      <c r="AC27" s="56"/>
      <c r="AD27" s="18">
        <f>(('13'!AC27*'13'!$Q$10*1000000))/('13'!Y27*3600)</f>
        <v>0</v>
      </c>
      <c r="AE27" s="181">
        <v>3500</v>
      </c>
      <c r="AF27" s="182">
        <f>('13'!AE27/24)*0.454</f>
        <v>66.208333333333343</v>
      </c>
      <c r="AG27" s="19">
        <v>500</v>
      </c>
      <c r="AH27" s="182">
        <f>('13'!AG27/24)*0.454</f>
        <v>9.4583333333333339</v>
      </c>
      <c r="AI27" s="19">
        <v>3000</v>
      </c>
      <c r="AJ27" s="182">
        <f>('13'!AI27/24)*0.454</f>
        <v>56.75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0.91666666666666696</v>
      </c>
      <c r="Y28" s="52">
        <v>3099</v>
      </c>
      <c r="Z28" s="52">
        <v>1613</v>
      </c>
      <c r="AA28" s="15">
        <v>1</v>
      </c>
      <c r="AB28" s="56">
        <f>IF('13'!AA28=1,(('13'!Z28*'13'!$AS$6*'13'!$AT$6)/('13'!Y28*0.0036)),IF('13'!AA28=2,(('13'!Z28*'13'!$AS$8*'13'!$AT$8)/('13'!Y28*0.0036))))</f>
        <v>96.14615825893658</v>
      </c>
      <c r="AC28" s="56"/>
      <c r="AD28" s="18">
        <f>(('13'!AC28*'13'!$Q$10*1000000))/('13'!Y28*3600)</f>
        <v>0</v>
      </c>
      <c r="AE28" s="181">
        <v>3500</v>
      </c>
      <c r="AF28" s="182">
        <f>('13'!AE28/24)*0.454</f>
        <v>66.208333333333343</v>
      </c>
      <c r="AG28" s="19">
        <v>500</v>
      </c>
      <c r="AH28" s="182">
        <f>('13'!AG28/24)*0.454</f>
        <v>9.4583333333333339</v>
      </c>
      <c r="AI28" s="19">
        <v>3000</v>
      </c>
      <c r="AJ28" s="182">
        <f>('13'!AI28/24)*0.454</f>
        <v>56.75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0.95833333333333304</v>
      </c>
      <c r="Y29" s="52">
        <v>2987</v>
      </c>
      <c r="Z29" s="52">
        <v>1613</v>
      </c>
      <c r="AA29" s="15">
        <v>1</v>
      </c>
      <c r="AB29" s="56">
        <f>IF('13'!AA29=1,(('13'!Z29*'13'!$AS$6*'13'!$AT$6)/('13'!Y29*0.0036)),IF('13'!AA29=2,(('13'!Z29*'13'!$AS$8*'13'!$AT$8)/('13'!Y29*0.0036))))</f>
        <v>99.751236841126371</v>
      </c>
      <c r="AC29" s="56"/>
      <c r="AD29" s="18">
        <f>(('13'!AC29*'13'!$Q$10*1000000))/('13'!Y29*3600)</f>
        <v>0</v>
      </c>
      <c r="AE29" s="181">
        <v>3500</v>
      </c>
      <c r="AF29" s="182">
        <f>('13'!AE29/24)*0.454</f>
        <v>66.208333333333343</v>
      </c>
      <c r="AG29" s="19">
        <v>500</v>
      </c>
      <c r="AH29" s="182">
        <f>('13'!AG29/24)*0.454</f>
        <v>9.4583333333333339</v>
      </c>
      <c r="AI29" s="19">
        <v>3000</v>
      </c>
      <c r="AJ29" s="182">
        <f>('13'!AI29/24)*0.454</f>
        <v>56.75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13">
        <v>1</v>
      </c>
      <c r="Y30" s="52">
        <v>2998</v>
      </c>
      <c r="Z30" s="52">
        <v>1613</v>
      </c>
      <c r="AA30" s="15">
        <v>1</v>
      </c>
      <c r="AB30" s="56">
        <f>IF('13'!AA30=1,(('13'!Z30*'13'!$AS$6*'13'!$AT$6)/('13'!Y30*0.0036)),IF('13'!AA30=2,(('13'!Z30*'13'!$AS$8*'13'!$AT$8)/('13'!Y30*0.0036))))</f>
        <v>99.385238307019492</v>
      </c>
      <c r="AC30" s="56"/>
      <c r="AD30" s="18">
        <f>(('13'!AC30*'13'!$Q$10*1000000))/('13'!Y30*3600)</f>
        <v>0</v>
      </c>
      <c r="AE30" s="181">
        <v>3500</v>
      </c>
      <c r="AF30" s="182">
        <f>('13'!AE30/24)*0.454</f>
        <v>66.208333333333343</v>
      </c>
      <c r="AG30" s="19">
        <v>500</v>
      </c>
      <c r="AH30" s="182">
        <f>('13'!AG30/24)*0.454</f>
        <v>9.4583333333333339</v>
      </c>
      <c r="AI30" s="19">
        <v>3000</v>
      </c>
      <c r="AJ30" s="182">
        <f>('13'!AI30/24)*0.454</f>
        <v>56.75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73" t="s">
        <v>55</v>
      </c>
      <c r="Y31" s="199">
        <f>SUM('13'!Y6:Y30)*3.6</f>
        <v>252018</v>
      </c>
      <c r="Z31" s="80">
        <f>SUM('13'!Z6:Z30)</f>
        <v>38292</v>
      </c>
      <c r="AA31" s="76"/>
      <c r="AB31" s="77"/>
      <c r="AC31" s="76"/>
      <c r="AD31" s="77"/>
      <c r="AE31" s="33"/>
      <c r="AF31" s="182">
        <f>SUM('13'!AF6:AF30)</f>
        <v>1588.9999999999998</v>
      </c>
      <c r="AG31" s="33"/>
      <c r="AH31" s="182">
        <f>SUM('13'!AH6:AH30)</f>
        <v>227.00000000000009</v>
      </c>
      <c r="AI31" s="274"/>
      <c r="AJ31" s="182">
        <f>SUM('13'!AJ6:AJ30)</f>
        <v>1362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8"/>
      <c r="Y32" s="948"/>
      <c r="Z32" s="948"/>
      <c r="AA32" s="948"/>
      <c r="AB32" s="948"/>
      <c r="AC32" s="948"/>
      <c r="AD32" s="948"/>
      <c r="AE32" s="948"/>
      <c r="AF32" s="948"/>
      <c r="AG32" s="948"/>
      <c r="AH32" s="948"/>
      <c r="AI32" s="948"/>
      <c r="AJ32" s="948"/>
      <c r="AK32" s="79"/>
      <c r="AL32" s="79"/>
      <c r="AM32" s="79"/>
      <c r="AN32" s="79"/>
      <c r="AO32" s="79"/>
      <c r="AP32" s="79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60</v>
      </c>
      <c r="Y33" s="949"/>
      <c r="Z33" s="80">
        <f>SUMIF('13'!AA6:AA30,"=1",'13'!Z6:Z30)</f>
        <v>38292</v>
      </c>
      <c r="AA33" s="80">
        <f>'13'!Z33*'13'!AS6</f>
        <v>50928.36</v>
      </c>
      <c r="AB33" s="81" t="e">
        <f>SUMIF('13'!$AA$6:$AA$30,"=1",'13'!$AB$6:$AB$30)/COUNTIF('13'!$AA$6:$AA$30,"=1")</f>
        <v>#REF!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49" t="s">
        <v>61</v>
      </c>
      <c r="Y34" s="949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2" t="s">
        <v>52</v>
      </c>
      <c r="Y35" s="93">
        <f>AVERAGE('13'!Y6:Y30)</f>
        <v>2916.875</v>
      </c>
      <c r="Z35" s="94">
        <f>AVERAGE('13'!Z6:Z30)</f>
        <v>1595.5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66.208333333333329</v>
      </c>
      <c r="AG35" s="96"/>
      <c r="AH35" s="96">
        <f>AVERAGE('13'!AH6:AH30)</f>
        <v>9.4583333333333375</v>
      </c>
      <c r="AI35" s="96"/>
      <c r="AJ35" s="96">
        <f>'13'!AJ31/24</f>
        <v>56.75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952" t="s">
        <v>66</v>
      </c>
      <c r="Y36" s="952"/>
      <c r="Z36" s="101"/>
      <c r="AA36" s="952" t="s">
        <v>67</v>
      </c>
      <c r="AB36" s="952"/>
      <c r="AJ36" s="1019" t="s">
        <v>68</v>
      </c>
      <c r="AK36" s="1019"/>
      <c r="AL36" s="1019"/>
      <c r="AM36" s="1019"/>
      <c r="AO36" s="1019" t="s">
        <v>69</v>
      </c>
      <c r="AP36" s="1019"/>
      <c r="AQ36" s="1019"/>
      <c r="AR36" s="1019"/>
    </row>
    <row r="37" spans="1:44" ht="15.75" customHeight="1">
      <c r="A37" s="99"/>
      <c r="B37" s="28">
        <v>0.33333333333333298</v>
      </c>
      <c r="C37" s="184">
        <v>63.7</v>
      </c>
      <c r="D37" s="184">
        <v>17.899999999999999</v>
      </c>
      <c r="E37" s="184">
        <v>13.9</v>
      </c>
      <c r="F37" s="184">
        <v>2.8</v>
      </c>
      <c r="G37" s="181">
        <v>0.2</v>
      </c>
      <c r="H37" s="181">
        <v>0.2</v>
      </c>
      <c r="I37" s="181">
        <v>2.4</v>
      </c>
      <c r="J37" s="181">
        <v>0.06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>
        <v>1</v>
      </c>
      <c r="Z37" s="105"/>
      <c r="AA37" s="106" t="s">
        <v>74</v>
      </c>
      <c r="AB37" s="104">
        <v>6</v>
      </c>
      <c r="AJ37" s="1019"/>
      <c r="AK37" s="1019"/>
      <c r="AL37" s="1019"/>
      <c r="AM37" s="1019"/>
      <c r="AO37" s="1019"/>
      <c r="AP37" s="1019"/>
      <c r="AQ37" s="1019"/>
      <c r="AR37" s="1019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275"/>
      <c r="P38" s="275"/>
      <c r="Q38" s="275"/>
      <c r="R38" s="275"/>
      <c r="S38" s="275"/>
      <c r="T38" s="275"/>
      <c r="U38" s="204"/>
      <c r="X38" s="956" t="s">
        <v>75</v>
      </c>
      <c r="Y38" s="956"/>
      <c r="Z38" s="108">
        <f>COUNTA('13'!Z6:Z30)</f>
        <v>24</v>
      </c>
      <c r="AA38" s="109"/>
      <c r="AB38" s="109"/>
      <c r="AJ38" s="957" t="s">
        <v>76</v>
      </c>
      <c r="AK38" s="957"/>
      <c r="AL38" s="958" t="s">
        <v>77</v>
      </c>
      <c r="AM38" s="958"/>
      <c r="AO38" s="957" t="s">
        <v>76</v>
      </c>
      <c r="AP38" s="957"/>
      <c r="AQ38" s="958" t="s">
        <v>77</v>
      </c>
      <c r="AR38" s="958"/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1815.9999999999998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1362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7.2058345038846419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5.4043758779134823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2">
        <f>COUNTA('13'!J7:J18)</f>
        <v>12</v>
      </c>
      <c r="D41" s="972">
        <f>COUNTA('13'!K7:K18)</f>
        <v>12</v>
      </c>
      <c r="E41" s="972">
        <f>COUNTIF('13'!E7:E18,"&gt;15")</f>
        <v>0</v>
      </c>
      <c r="F41" s="972"/>
      <c r="G41" s="972">
        <f>COUNTIF('13'!J7:J18,"&gt;1")</f>
        <v>4</v>
      </c>
      <c r="H41" s="972"/>
      <c r="I41" s="133"/>
      <c r="J41" s="972">
        <f>'13'!A41-'13'!E41</f>
        <v>12</v>
      </c>
      <c r="K41" s="972"/>
      <c r="L41" s="972">
        <f>'13'!C41-'13'!G41</f>
        <v>8</v>
      </c>
      <c r="M41" s="972"/>
      <c r="N41" s="133"/>
      <c r="O41" s="973">
        <f>COUNTIF('13'!J7:J18,"&lt;=0,5")</f>
        <v>0</v>
      </c>
      <c r="P41" s="973"/>
      <c r="Q41" s="973"/>
      <c r="R41" s="963"/>
      <c r="S41" s="974">
        <f>COUNTIF('13'!J7:J18,"&lt;=1,0")</f>
        <v>8</v>
      </c>
      <c r="T41" s="974"/>
      <c r="U41" s="134"/>
      <c r="V41" s="120"/>
      <c r="X41" s="967" t="s">
        <v>89</v>
      </c>
      <c r="Y41" s="967"/>
      <c r="Z41" s="967"/>
      <c r="AA41" s="967"/>
      <c r="AB41" s="967"/>
      <c r="AC41" s="967"/>
      <c r="AD41" s="967"/>
      <c r="AE41" s="967"/>
      <c r="AF41" s="967"/>
      <c r="AG41" s="967"/>
      <c r="AJ41" s="970" t="s">
        <v>90</v>
      </c>
      <c r="AK41" s="970"/>
      <c r="AL41" s="969">
        <f>SUM('13'!AK39,'13'!AM39)</f>
        <v>1815.9999999999998</v>
      </c>
      <c r="AM41" s="969"/>
      <c r="AO41" s="970" t="s">
        <v>90</v>
      </c>
      <c r="AP41" s="970"/>
      <c r="AQ41" s="971">
        <f>SUM('13'!AP39,'13'!AR39)</f>
        <v>1362</v>
      </c>
      <c r="AR41" s="971"/>
    </row>
    <row r="42" spans="1:44" ht="16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17"/>
      <c r="Y42" s="917"/>
      <c r="Z42" s="917"/>
      <c r="AA42" s="917"/>
      <c r="AB42" s="917"/>
      <c r="AC42" s="917"/>
      <c r="AD42" s="917"/>
      <c r="AE42" s="917"/>
      <c r="AF42" s="917"/>
      <c r="AG42" s="917"/>
      <c r="AJ42" s="970" t="s">
        <v>91</v>
      </c>
      <c r="AK42" s="970"/>
      <c r="AL42" s="975">
        <f>SUM(('13'!AK39+'13'!AM39)/'13'!Y31)*1000</f>
        <v>7.2058345038846419</v>
      </c>
      <c r="AM42" s="975"/>
      <c r="AO42" s="970" t="s">
        <v>91</v>
      </c>
      <c r="AP42" s="970"/>
      <c r="AQ42" s="975">
        <f>SUM(('13'!AP39+'13'!AR39)/'13'!Y31)*1000</f>
        <v>5.4043758779134823</v>
      </c>
      <c r="AR42" s="975"/>
    </row>
    <row r="43" spans="1:44" ht="19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77" t="s">
        <v>93</v>
      </c>
      <c r="Y43" s="977"/>
      <c r="Z43" s="977"/>
      <c r="AA43" s="977"/>
      <c r="AB43" s="977"/>
      <c r="AC43" s="977"/>
      <c r="AD43" s="977"/>
      <c r="AE43" s="977"/>
      <c r="AF43" s="977"/>
      <c r="AG43" s="977"/>
    </row>
    <row r="44" spans="1:44" ht="16.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981" t="s">
        <v>97</v>
      </c>
      <c r="Y44" s="981"/>
      <c r="Z44" s="981" t="s">
        <v>98</v>
      </c>
      <c r="AA44" s="981"/>
      <c r="AB44" s="981" t="s">
        <v>99</v>
      </c>
      <c r="AC44" s="981"/>
      <c r="AD44" s="981" t="s">
        <v>100</v>
      </c>
      <c r="AE44" s="981"/>
      <c r="AF44" s="140"/>
      <c r="AG44" s="141"/>
    </row>
    <row r="45" spans="1:44" ht="15" customHeight="1">
      <c r="H45" s="986">
        <f>COUNTIF('13'!I7:I18,"&lt;=5,0")</f>
        <v>12</v>
      </c>
      <c r="I45" s="986"/>
      <c r="J45" s="986"/>
      <c r="K45" s="133"/>
      <c r="L45" s="968">
        <f>COUNTA('13'!L37)</f>
        <v>0</v>
      </c>
      <c r="M45" s="968"/>
      <c r="O45" s="144"/>
      <c r="P45" s="145"/>
      <c r="Q45" s="987">
        <f>'13'!S41-'13'!O41</f>
        <v>8</v>
      </c>
      <c r="R45" s="987"/>
      <c r="S45" s="987"/>
      <c r="T45" s="146"/>
      <c r="X45" s="142" t="s">
        <v>101</v>
      </c>
      <c r="Y45" s="143">
        <v>144</v>
      </c>
      <c r="Z45" s="142" t="s">
        <v>101</v>
      </c>
      <c r="AA45" s="143"/>
      <c r="AB45" s="142" t="s">
        <v>101</v>
      </c>
      <c r="AC45" s="143">
        <v>21</v>
      </c>
      <c r="AD45" s="982"/>
      <c r="AE45" s="982"/>
      <c r="AF45" s="983" t="s">
        <v>102</v>
      </c>
      <c r="AG45" s="984">
        <f>SUM('13'!Y46,'13'!AA46,'13'!AC46,'13'!AE46)</f>
        <v>58643.200000000004</v>
      </c>
      <c r="AI45" s="985" t="s">
        <v>103</v>
      </c>
      <c r="AJ45" s="985"/>
      <c r="AK45" s="985"/>
      <c r="AL45" s="985"/>
      <c r="AM45" s="985"/>
      <c r="AN45" s="985"/>
      <c r="AO45" s="985"/>
      <c r="AP45" s="985"/>
      <c r="AQ45" s="985"/>
      <c r="AR45" s="985"/>
    </row>
    <row r="46" spans="1:44" ht="15" customHeight="1">
      <c r="F46" s="150"/>
      <c r="X46" s="147" t="s">
        <v>104</v>
      </c>
      <c r="Y46" s="148">
        <f>'13'!Y45*275.3</f>
        <v>39643.200000000004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19000</v>
      </c>
      <c r="AF46" s="983"/>
      <c r="AG46" s="984"/>
      <c r="AI46" s="981" t="s">
        <v>97</v>
      </c>
      <c r="AJ46" s="981"/>
      <c r="AK46" s="981" t="s">
        <v>98</v>
      </c>
      <c r="AL46" s="981"/>
      <c r="AM46" s="981" t="s">
        <v>99</v>
      </c>
      <c r="AN46" s="981"/>
      <c r="AO46" s="1073"/>
      <c r="AP46" s="1073"/>
      <c r="AQ46" s="1073"/>
      <c r="AR46" s="1073"/>
    </row>
    <row r="47" spans="1:44" ht="15.75" customHeight="1">
      <c r="O47" s="991" t="s">
        <v>107</v>
      </c>
      <c r="P47" s="991"/>
      <c r="Q47" s="991"/>
      <c r="R47" s="991"/>
      <c r="S47" s="991"/>
      <c r="T47" s="991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89" t="s">
        <v>106</v>
      </c>
      <c r="AG47" s="990">
        <f>SUM('13'!Y48,'13'!AA48,'13'!AC48,'13'!AE48)</f>
        <v>77995.456000000006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3"/>
      <c r="AP47" s="1073"/>
      <c r="AQ47" s="1073"/>
      <c r="AR47" s="1073"/>
    </row>
    <row r="48" spans="1:44" ht="15" customHeight="1">
      <c r="O48" s="991"/>
      <c r="P48" s="991"/>
      <c r="Q48" s="991"/>
      <c r="R48" s="991"/>
      <c r="S48" s="991"/>
      <c r="T48" s="991"/>
      <c r="X48" s="147" t="s">
        <v>108</v>
      </c>
      <c r="Y48" s="148">
        <f>'13'!Y46*'13'!Y47</f>
        <v>52725.456000000006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25270</v>
      </c>
      <c r="AF48" s="989"/>
      <c r="AG48" s="990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3"/>
      <c r="AP48" s="1073"/>
      <c r="AQ48" s="1073"/>
      <c r="AR48" s="1073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3"/>
      <c r="AP49" s="1073"/>
      <c r="AQ49" s="1073"/>
      <c r="AR49" s="1073"/>
    </row>
    <row r="50" spans="15:44" ht="15.75" customHeight="1">
      <c r="O50" s="992"/>
      <c r="P50" s="992"/>
      <c r="R50" s="993"/>
      <c r="S50" s="993"/>
      <c r="T50" s="993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3"/>
      <c r="AP50" s="1073"/>
      <c r="AQ50" s="1073"/>
      <c r="AR50" s="1073"/>
    </row>
    <row r="51" spans="15:44" ht="18" customHeight="1">
      <c r="O51" s="968">
        <f>COUNTA('13'!O7:O18)</f>
        <v>12</v>
      </c>
      <c r="P51" s="968">
        <f>COUNTA('13'!W17:W28)</f>
        <v>0</v>
      </c>
      <c r="R51" s="986">
        <f>COUNTIF('13'!O7:O18,"&gt;=0,5")</f>
        <v>12</v>
      </c>
      <c r="S51" s="986"/>
      <c r="T51" s="986"/>
      <c r="X51" s="994" t="s">
        <v>111</v>
      </c>
      <c r="Y51" s="994"/>
      <c r="Z51" s="994"/>
      <c r="AA51" s="994"/>
      <c r="AB51" s="994"/>
      <c r="AC51" s="994"/>
      <c r="AD51" s="994"/>
      <c r="AE51" s="994"/>
      <c r="AF51" s="994"/>
      <c r="AG51" s="994"/>
    </row>
    <row r="52" spans="15:44" ht="16.5" customHeight="1">
      <c r="X52" s="981" t="s">
        <v>97</v>
      </c>
      <c r="Y52" s="981"/>
      <c r="Z52" s="981" t="s">
        <v>98</v>
      </c>
      <c r="AA52" s="981"/>
      <c r="AB52" s="981" t="s">
        <v>99</v>
      </c>
      <c r="AC52" s="981"/>
      <c r="AD52" s="981" t="s">
        <v>100</v>
      </c>
      <c r="AE52" s="981"/>
      <c r="AF52" s="160"/>
      <c r="AG52" s="161"/>
      <c r="AI52" s="994" t="s">
        <v>112</v>
      </c>
      <c r="AJ52" s="994"/>
      <c r="AK52" s="994"/>
      <c r="AL52" s="994"/>
      <c r="AM52" s="994"/>
      <c r="AN52" s="994"/>
      <c r="AO52" s="994"/>
      <c r="AP52" s="994"/>
      <c r="AQ52" s="994"/>
      <c r="AR52" s="994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5"/>
      <c r="AE53" s="995"/>
      <c r="AF53" s="983" t="s">
        <v>102</v>
      </c>
      <c r="AG53" s="996">
        <f>SUM('13'!Y54,'13'!AA54,'13'!AC54,'13'!AE54)</f>
        <v>0</v>
      </c>
      <c r="AI53" s="981" t="s">
        <v>97</v>
      </c>
      <c r="AJ53" s="981"/>
      <c r="AK53" s="981" t="s">
        <v>98</v>
      </c>
      <c r="AL53" s="981"/>
      <c r="AM53" s="981" t="s">
        <v>99</v>
      </c>
      <c r="AN53" s="981"/>
      <c r="AO53" s="1074"/>
      <c r="AP53" s="1074"/>
      <c r="AQ53" s="1074"/>
      <c r="AR53" s="1074"/>
    </row>
    <row r="54" spans="15:44" ht="15" customHeight="1">
      <c r="O54" s="991"/>
      <c r="P54" s="991"/>
      <c r="Q54" s="991"/>
      <c r="R54" s="991"/>
      <c r="S54" s="991"/>
      <c r="T54" s="991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83"/>
      <c r="AG54" s="996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4"/>
      <c r="AP54" s="1074"/>
      <c r="AQ54" s="1074"/>
      <c r="AR54" s="1074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51" t="s">
        <v>105</v>
      </c>
      <c r="Y55" s="152">
        <f>'13'!AS8</f>
        <v>1.262</v>
      </c>
      <c r="Z55" s="151" t="s">
        <v>105</v>
      </c>
      <c r="AA55" s="153">
        <f>'13'!Y55</f>
        <v>1.262</v>
      </c>
      <c r="AB55" s="151" t="s">
        <v>105</v>
      </c>
      <c r="AC55" s="153">
        <f>'13'!Y55</f>
        <v>1.262</v>
      </c>
      <c r="AD55" s="151" t="s">
        <v>105</v>
      </c>
      <c r="AE55" s="154">
        <f>'13'!Y55</f>
        <v>1.262</v>
      </c>
      <c r="AF55" s="989" t="s">
        <v>106</v>
      </c>
      <c r="AG55" s="990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4"/>
      <c r="AP55" s="1074"/>
      <c r="AQ55" s="1074"/>
      <c r="AR55" s="1074"/>
    </row>
    <row r="56" spans="15:44" ht="15" customHeight="1">
      <c r="O56" s="992"/>
      <c r="P56" s="992"/>
      <c r="R56" s="993"/>
      <c r="S56" s="993"/>
      <c r="T56" s="993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89"/>
      <c r="AG56" s="990"/>
      <c r="AI56" s="151" t="s">
        <v>105</v>
      </c>
      <c r="AJ56" s="152">
        <f>'13'!Y55</f>
        <v>1.262</v>
      </c>
      <c r="AK56" s="151" t="s">
        <v>105</v>
      </c>
      <c r="AL56" s="152">
        <f>'13'!AJ56</f>
        <v>1.262</v>
      </c>
      <c r="AM56" s="151" t="s">
        <v>105</v>
      </c>
      <c r="AN56" s="152">
        <f>'13'!AJ56</f>
        <v>1.262</v>
      </c>
      <c r="AO56" s="1074"/>
      <c r="AP56" s="1074"/>
      <c r="AQ56" s="1074"/>
      <c r="AR56" s="1074"/>
    </row>
    <row r="57" spans="15:44">
      <c r="O57" s="997">
        <f>COUNTA('13'!N7:N18)</f>
        <v>12</v>
      </c>
      <c r="P57" s="997"/>
      <c r="R57" s="998">
        <f>COUNTIF('13'!N7:N18,"&gt;=6")</f>
        <v>0</v>
      </c>
      <c r="S57" s="998"/>
      <c r="T57" s="998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4"/>
      <c r="AP57" s="1074"/>
      <c r="AQ57" s="1074"/>
      <c r="AR57" s="1074"/>
    </row>
    <row r="58" spans="15:44" ht="15.75" customHeight="1"/>
    <row r="59" spans="15:44" ht="15.75" customHeight="1">
      <c r="X59" s="999" t="s">
        <v>116</v>
      </c>
      <c r="Y59" s="999"/>
      <c r="Z59" s="999"/>
      <c r="AA59" s="999"/>
      <c r="AB59" s="999"/>
      <c r="AC59" s="999"/>
    </row>
    <row r="60" spans="15:44" ht="15.75" customHeight="1">
      <c r="X60" s="917"/>
      <c r="Y60" s="917"/>
      <c r="Z60" s="917"/>
      <c r="AA60" s="917"/>
      <c r="AB60" s="917"/>
      <c r="AC60" s="917"/>
      <c r="AI60" s="1000" t="s">
        <v>117</v>
      </c>
      <c r="AJ60" s="1000"/>
      <c r="AK60" s="1000"/>
      <c r="AL60" s="1000"/>
      <c r="AM60" s="1000"/>
      <c r="AN60" s="1000"/>
      <c r="AO60" s="1000"/>
      <c r="AP60" s="1000"/>
      <c r="AQ60" s="1000"/>
      <c r="AR60" s="1000"/>
    </row>
    <row r="61" spans="15:44" ht="15.75" customHeight="1">
      <c r="X61" s="1001" t="s">
        <v>118</v>
      </c>
      <c r="Y61" s="1001"/>
      <c r="Z61" s="1002"/>
      <c r="AA61" s="1002"/>
      <c r="AB61" s="1001" t="s">
        <v>119</v>
      </c>
      <c r="AC61" s="1001"/>
      <c r="AD61" s="166"/>
      <c r="AE61" s="166"/>
      <c r="AI61" s="998" t="s">
        <v>120</v>
      </c>
      <c r="AJ61" s="998"/>
      <c r="AK61" s="998"/>
      <c r="AL61" s="998"/>
      <c r="AM61" s="998"/>
      <c r="AN61" s="998" t="s">
        <v>93</v>
      </c>
      <c r="AO61" s="998"/>
      <c r="AP61" s="998"/>
      <c r="AQ61" s="998"/>
      <c r="AR61" s="998"/>
    </row>
    <row r="62" spans="15:44" ht="15.75" customHeight="1">
      <c r="X62" s="1003"/>
      <c r="Y62" s="1003"/>
      <c r="Z62" s="1003"/>
      <c r="AA62" s="1003"/>
      <c r="AB62" s="1003"/>
      <c r="AC62" s="1003"/>
      <c r="AD62" s="134"/>
      <c r="AE62" s="134"/>
      <c r="AI62" s="1004" t="s">
        <v>121</v>
      </c>
      <c r="AJ62" s="1004"/>
      <c r="AK62" s="1004"/>
      <c r="AL62" s="1005">
        <f>'13'!AJ57+'13'!AL57+'13'!AN57</f>
        <v>0</v>
      </c>
      <c r="AM62" s="1005"/>
      <c r="AN62" s="1004" t="s">
        <v>121</v>
      </c>
      <c r="AO62" s="1004"/>
      <c r="AP62" s="1004"/>
      <c r="AQ62" s="1005">
        <f>'13'!AJ50+'13'!AL50+'13'!AN50</f>
        <v>0</v>
      </c>
      <c r="AR62" s="1005"/>
    </row>
    <row r="63" spans="15:44" ht="15" customHeight="1">
      <c r="X63" s="1006" t="s">
        <v>122</v>
      </c>
      <c r="Y63" s="1006"/>
      <c r="Z63" s="1007"/>
      <c r="AA63" s="1007"/>
      <c r="AB63" s="1008" t="s">
        <v>122</v>
      </c>
      <c r="AC63" s="1008"/>
      <c r="AD63" s="134"/>
      <c r="AE63" s="134"/>
      <c r="AI63" s="1004" t="s">
        <v>123</v>
      </c>
      <c r="AJ63" s="1004"/>
      <c r="AK63" s="1004"/>
      <c r="AL63" s="1009">
        <f>AA34</f>
        <v>0</v>
      </c>
      <c r="AM63" s="1009"/>
      <c r="AN63" s="1004" t="s">
        <v>123</v>
      </c>
      <c r="AO63" s="1004"/>
      <c r="AP63" s="1004"/>
      <c r="AQ63" s="1075">
        <f>'13'!AA33</f>
        <v>50928.36</v>
      </c>
      <c r="AR63" s="1075"/>
    </row>
    <row r="64" spans="15:44" ht="15" customHeight="1">
      <c r="X64" s="168" t="s">
        <v>124</v>
      </c>
      <c r="Y64" s="169">
        <v>0</v>
      </c>
      <c r="Z64" s="1007"/>
      <c r="AA64" s="1007"/>
      <c r="AB64" s="170" t="s">
        <v>124</v>
      </c>
      <c r="AC64" s="171">
        <v>0</v>
      </c>
      <c r="AE64" s="47"/>
      <c r="AI64" s="1004" t="s">
        <v>125</v>
      </c>
      <c r="AJ64" s="1004"/>
      <c r="AK64" s="1004"/>
      <c r="AL64" s="1005">
        <f>'13'!AL62-'13'!AL63</f>
        <v>0</v>
      </c>
      <c r="AM64" s="1005"/>
      <c r="AN64" s="1004" t="s">
        <v>125</v>
      </c>
      <c r="AO64" s="1004"/>
      <c r="AP64" s="1004"/>
      <c r="AQ64" s="1005">
        <f>'13'!AQ62-'13'!AQ63</f>
        <v>-50928.36</v>
      </c>
      <c r="AR64" s="1005"/>
    </row>
    <row r="65" spans="24:31" ht="15" customHeight="1">
      <c r="X65" s="168"/>
      <c r="Y65" s="169"/>
      <c r="Z65" s="1007"/>
      <c r="AA65" s="1007"/>
      <c r="AB65" s="276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-15171.166666666668</v>
      </c>
      <c r="Z66" s="1007"/>
      <c r="AA66" s="1007"/>
      <c r="AB66" s="174" t="s">
        <v>126</v>
      </c>
      <c r="AC66" s="216">
        <f>'12'!$AC$68</f>
        <v>0</v>
      </c>
    </row>
    <row r="67" spans="24:31" ht="15" customHeight="1">
      <c r="X67" s="1011" t="s">
        <v>127</v>
      </c>
      <c r="Y67" s="1011"/>
      <c r="Z67" s="1007"/>
      <c r="AA67" s="1007"/>
      <c r="AB67" s="1012" t="s">
        <v>127</v>
      </c>
      <c r="AC67" s="1012"/>
    </row>
    <row r="68" spans="24:31" ht="15" customHeight="1">
      <c r="X68" s="168" t="s">
        <v>124</v>
      </c>
      <c r="Y68" s="277">
        <f>SUM('13'!AK39,'13'!AP39)</f>
        <v>3178</v>
      </c>
      <c r="Z68" s="1007"/>
      <c r="AA68" s="1007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-18349.166666666668</v>
      </c>
      <c r="Z69" s="1007"/>
      <c r="AA69" s="1007"/>
      <c r="AB69" s="170" t="s">
        <v>128</v>
      </c>
      <c r="AC69" s="178">
        <f>SUM('13'!AC64,'13'!AC66)-'13'!AC68-'13'!AC65</f>
        <v>0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9" sqref="Y29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21" t="s">
        <v>5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21"/>
      <c r="E3" s="1021"/>
      <c r="F3" s="1021"/>
      <c r="G3" s="1021"/>
      <c r="H3" s="1021"/>
      <c r="I3" s="1021"/>
      <c r="J3" s="1021"/>
      <c r="K3" s="1021"/>
      <c r="L3" s="1021"/>
      <c r="M3" s="1021"/>
      <c r="N3" s="1021"/>
      <c r="O3" s="1021"/>
      <c r="P3" s="1021"/>
      <c r="Q3" s="1021"/>
      <c r="R3" s="1021"/>
      <c r="S3" s="1021"/>
      <c r="T3" s="1021"/>
      <c r="U3" s="1021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3.9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2904</v>
      </c>
      <c r="Z6" s="171">
        <v>1613</v>
      </c>
      <c r="AA6" s="15">
        <v>1</v>
      </c>
      <c r="AB6" s="56">
        <f>IF('14'!AA6=1,(('14'!Z6*'14'!$AS$6*'14'!$AT$6)/('14'!Y6*0.0036)),IF('14'!AA6=2,(('14'!Z6*'14'!$AS$7*'14'!$AT$7)/('14'!Y6*0.0036))))</f>
        <v>102.60225359657179</v>
      </c>
      <c r="AC6" s="56"/>
      <c r="AD6" s="18">
        <f>(('14'!AC6*'14'!$Q$10*1000000))/('14'!Y6*3600)</f>
        <v>0</v>
      </c>
      <c r="AE6" s="278">
        <v>3500</v>
      </c>
      <c r="AF6" s="182">
        <f>('14'!AE6/24)*0.454</f>
        <v>66.208333333333343</v>
      </c>
      <c r="AG6" s="19">
        <v>500</v>
      </c>
      <c r="AH6" s="182">
        <f>('14'!AG6/24)*0.454</f>
        <v>9.4583333333333339</v>
      </c>
      <c r="AI6" s="19">
        <v>3000</v>
      </c>
      <c r="AJ6" s="182">
        <f>('14'!AI12/24)*0.454</f>
        <v>56.75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240</v>
      </c>
      <c r="C7" s="29">
        <v>7.5</v>
      </c>
      <c r="D7" s="29">
        <v>7.5</v>
      </c>
      <c r="E7" s="29">
        <v>2.5</v>
      </c>
      <c r="F7" s="29">
        <v>43</v>
      </c>
      <c r="G7" s="29">
        <v>2</v>
      </c>
      <c r="H7" s="29">
        <v>1.8</v>
      </c>
      <c r="I7" s="29">
        <v>0.88</v>
      </c>
      <c r="J7" s="29">
        <v>0.89</v>
      </c>
      <c r="K7" s="29">
        <v>7.3</v>
      </c>
      <c r="L7" s="29">
        <v>6</v>
      </c>
      <c r="M7" s="29">
        <v>6</v>
      </c>
      <c r="N7" s="29">
        <v>5.8</v>
      </c>
      <c r="O7" s="29">
        <v>3.8</v>
      </c>
      <c r="P7" s="29">
        <v>1.8</v>
      </c>
      <c r="Q7" s="29">
        <v>1.5</v>
      </c>
      <c r="R7" s="36">
        <f>'13'!$Z$30</f>
        <v>1613</v>
      </c>
      <c r="S7" s="185">
        <f>'13'!$AB$30</f>
        <v>99.385238307019492</v>
      </c>
      <c r="T7" s="36">
        <f>'13'!$Y$30</f>
        <v>2998</v>
      </c>
      <c r="U7" s="32" t="str">
        <f>IF('14'!AA6=1,'14'!AR6,'14'!AR7)</f>
        <v>S.A.L</v>
      </c>
      <c r="V7" s="1016">
        <f>ESCALA!$C$15</f>
        <v>0</v>
      </c>
      <c r="W7" s="1016"/>
      <c r="X7" s="13">
        <v>8.3333333333333301E-2</v>
      </c>
      <c r="Y7" s="52">
        <v>3023</v>
      </c>
      <c r="Z7" s="171">
        <v>1613</v>
      </c>
      <c r="AA7" s="15">
        <v>1</v>
      </c>
      <c r="AB7" s="56">
        <f>IF('14'!AA7=1,(('14'!Z7*'14'!$AS$6*'14'!$AT$6)/('14'!Y7*0.0036)),IF('14'!AA7=2,(('14'!Z7*'14'!$AS$7*'14'!$AT$7)/('14'!Y7*0.0036))))</f>
        <v>98.563329290256192</v>
      </c>
      <c r="AC7" s="56"/>
      <c r="AD7" s="18">
        <f>(('14'!AC7*'14'!$Q$10*1000000))/('14'!Y7*3600)</f>
        <v>0</v>
      </c>
      <c r="AE7" s="278">
        <v>3500</v>
      </c>
      <c r="AF7" s="182">
        <f>('14'!AE7/24)*0.454</f>
        <v>66.208333333333343</v>
      </c>
      <c r="AG7" s="19">
        <v>500</v>
      </c>
      <c r="AH7" s="182">
        <f>('14'!AG8/24)*0.454</f>
        <v>9.4583333333333339</v>
      </c>
      <c r="AI7" s="19">
        <v>3000</v>
      </c>
      <c r="AJ7" s="182">
        <f>('14'!AI7/24)*0.454</f>
        <v>56.75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240</v>
      </c>
      <c r="C8" s="29">
        <v>7.5</v>
      </c>
      <c r="D8" s="29">
        <v>7.5</v>
      </c>
      <c r="E8" s="29">
        <v>2.5</v>
      </c>
      <c r="F8" s="29">
        <v>43</v>
      </c>
      <c r="G8" s="29">
        <v>2</v>
      </c>
      <c r="H8" s="29">
        <v>1.8</v>
      </c>
      <c r="I8" s="29">
        <v>0.85</v>
      </c>
      <c r="J8" s="29">
        <v>0.87</v>
      </c>
      <c r="K8" s="29">
        <v>7.3</v>
      </c>
      <c r="L8" s="29">
        <v>6</v>
      </c>
      <c r="M8" s="29">
        <v>6</v>
      </c>
      <c r="N8" s="29">
        <v>5.8</v>
      </c>
      <c r="O8" s="29">
        <v>3.8</v>
      </c>
      <c r="P8" s="29">
        <v>1.9</v>
      </c>
      <c r="Q8" s="29">
        <v>1.5</v>
      </c>
      <c r="R8" s="279">
        <f>'14'!Z7</f>
        <v>1613</v>
      </c>
      <c r="S8" s="35">
        <f>'14'!AB7</f>
        <v>98.563329290256192</v>
      </c>
      <c r="T8" s="57">
        <f>'14'!Y7</f>
        <v>3023</v>
      </c>
      <c r="U8" s="32" t="str">
        <f>IF('14'!AA7=1,'14'!AR6,'14'!AR7)</f>
        <v>S.A.L</v>
      </c>
      <c r="V8" s="1016"/>
      <c r="W8" s="1016"/>
      <c r="X8" s="13">
        <v>0.125</v>
      </c>
      <c r="Y8" s="52">
        <v>2967</v>
      </c>
      <c r="Z8" s="171">
        <v>1613</v>
      </c>
      <c r="AA8" s="15">
        <v>1</v>
      </c>
      <c r="AB8" s="56">
        <f>IF('14'!AA8=1,(('14'!Z8*'14'!$AS$6*'14'!$AT$6)/('14'!Y8*0.0036)),IF('14'!AA8=2,(('14'!Z8*'14'!$AS$7*'14'!$AT$7)/('14'!Y8*0.0036))))</f>
        <v>100.42364153840391</v>
      </c>
      <c r="AC8" s="56"/>
      <c r="AD8" s="18">
        <f>(('14'!AC8*'14'!$Q$10*1000000))/('14'!Y8*3600)</f>
        <v>0</v>
      </c>
      <c r="AE8" s="278">
        <v>3500</v>
      </c>
      <c r="AF8" s="182">
        <f>('14'!AE8/24)*0.454</f>
        <v>66.208333333333343</v>
      </c>
      <c r="AG8" s="19">
        <v>500</v>
      </c>
      <c r="AH8" s="182" t="e">
        <f>('14'!#REF!/24)*0.454</f>
        <v>#REF!</v>
      </c>
      <c r="AI8" s="19">
        <v>3000</v>
      </c>
      <c r="AJ8" s="182">
        <f>('14'!AI8/24)*0.454</f>
        <v>56.75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5" t="s">
        <v>50</v>
      </c>
      <c r="AR8" s="935"/>
      <c r="AS8" s="935"/>
      <c r="AT8" s="935"/>
    </row>
    <row r="9" spans="1:47" ht="15" customHeight="1">
      <c r="A9" s="28">
        <v>0.16666666666666699</v>
      </c>
      <c r="B9" s="184">
        <v>240</v>
      </c>
      <c r="C9" s="29">
        <v>7.5</v>
      </c>
      <c r="D9" s="29">
        <v>7.5</v>
      </c>
      <c r="E9" s="29">
        <v>2.5</v>
      </c>
      <c r="F9" s="29">
        <v>41</v>
      </c>
      <c r="G9" s="29">
        <v>2.1</v>
      </c>
      <c r="H9" s="29">
        <v>1.7</v>
      </c>
      <c r="I9" s="29">
        <v>0.83</v>
      </c>
      <c r="J9" s="29">
        <v>0.81</v>
      </c>
      <c r="K9" s="29">
        <v>7.3</v>
      </c>
      <c r="L9" s="29">
        <v>6</v>
      </c>
      <c r="M9" s="29">
        <v>6</v>
      </c>
      <c r="N9" s="29">
        <v>5.8</v>
      </c>
      <c r="O9" s="29">
        <v>3.8</v>
      </c>
      <c r="P9" s="29">
        <v>1.9</v>
      </c>
      <c r="Q9" s="29">
        <v>1.5</v>
      </c>
      <c r="R9" s="279">
        <f>'14'!Z9</f>
        <v>1613</v>
      </c>
      <c r="S9" s="35">
        <f>'14'!AB9</f>
        <v>100.86558715113217</v>
      </c>
      <c r="T9" s="57">
        <f>'14'!Y9</f>
        <v>2954</v>
      </c>
      <c r="U9" s="32" t="str">
        <f>IF('14'!AA9=1,'14'!AR6,'14'!AR7)</f>
        <v>S.A.L</v>
      </c>
      <c r="V9" s="1016"/>
      <c r="W9" s="1016"/>
      <c r="X9" s="13">
        <v>0.16666666666666699</v>
      </c>
      <c r="Y9" s="52">
        <v>2954</v>
      </c>
      <c r="Z9" s="171">
        <v>1613</v>
      </c>
      <c r="AA9" s="15">
        <v>1</v>
      </c>
      <c r="AB9" s="56">
        <f>IF('14'!AA9=1,(('14'!Z9*'14'!$AS$6*'14'!$AT$6)/('14'!Y9*0.0036)),IF('14'!AA9=2,(('14'!Z9*'14'!$AS$7*'14'!$AT$7)/('14'!Y9*0.0036))))</f>
        <v>100.86558715113217</v>
      </c>
      <c r="AC9" s="56"/>
      <c r="AD9" s="18">
        <f>(('14'!AC9*'14'!$Q$10*1000000))/('14'!Y9*3600)</f>
        <v>0</v>
      </c>
      <c r="AE9" s="278">
        <v>3500</v>
      </c>
      <c r="AF9" s="182">
        <f>('14'!AE9/24)*0.454</f>
        <v>66.208333333333343</v>
      </c>
      <c r="AG9" s="19">
        <v>500</v>
      </c>
      <c r="AH9" s="182">
        <f>('14'!AG9/24)*0.454</f>
        <v>9.4583333333333339</v>
      </c>
      <c r="AI9" s="19">
        <v>3000</v>
      </c>
      <c r="AJ9" s="182">
        <f>('14'!AI9/24)*0.454</f>
        <v>56.75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6" t="s">
        <v>37</v>
      </c>
      <c r="AR9" s="936"/>
      <c r="AS9" s="936"/>
      <c r="AT9" s="37" t="s">
        <v>39</v>
      </c>
    </row>
    <row r="10" spans="1:47" ht="15" customHeight="1">
      <c r="A10" s="28">
        <v>0.25</v>
      </c>
      <c r="B10" s="184">
        <v>240</v>
      </c>
      <c r="C10" s="29">
        <v>7.5</v>
      </c>
      <c r="D10" s="29">
        <v>7.5</v>
      </c>
      <c r="E10" s="29">
        <v>2.5</v>
      </c>
      <c r="F10" s="29">
        <v>40</v>
      </c>
      <c r="G10" s="29">
        <v>2.1</v>
      </c>
      <c r="H10" s="29">
        <v>1.7</v>
      </c>
      <c r="I10" s="29">
        <v>0.8</v>
      </c>
      <c r="J10" s="29">
        <v>1.1000000000000001</v>
      </c>
      <c r="K10" s="29">
        <v>7.3</v>
      </c>
      <c r="L10" s="29">
        <v>6</v>
      </c>
      <c r="M10" s="29">
        <v>6</v>
      </c>
      <c r="N10" s="29">
        <v>5.8</v>
      </c>
      <c r="O10" s="29">
        <v>3.8</v>
      </c>
      <c r="P10" s="29">
        <v>2</v>
      </c>
      <c r="Q10" s="29">
        <v>1.6</v>
      </c>
      <c r="R10" s="279">
        <f>'14'!Z11</f>
        <v>1613</v>
      </c>
      <c r="S10" s="35">
        <f>'14'!AB11</f>
        <v>98.530735596707814</v>
      </c>
      <c r="T10" s="57">
        <f>'14'!Y11</f>
        <v>3024</v>
      </c>
      <c r="U10" s="32" t="str">
        <f>IF('14'!AA11=1,'14'!AR6,'14'!AR7)</f>
        <v>S.A.L</v>
      </c>
      <c r="V10" s="1016"/>
      <c r="W10" s="1016"/>
      <c r="X10" s="13">
        <v>0.20833333333333301</v>
      </c>
      <c r="Y10" s="52">
        <v>2987</v>
      </c>
      <c r="Z10" s="171">
        <v>1613</v>
      </c>
      <c r="AA10" s="15">
        <v>1</v>
      </c>
      <c r="AB10" s="56">
        <f>IF('14'!AA10=1,(('14'!Z10*'14'!$AS$6*'14'!$AT$6)/('14'!Y10*0.0036)),IF('14'!AA10=2,(('14'!Z10*'14'!$AS$7*'14'!$AT$7)/('14'!Y10*0.0036))))</f>
        <v>99.751236841126371</v>
      </c>
      <c r="AC10" s="56"/>
      <c r="AD10" s="18">
        <f>(('14'!AC10*'14'!$Q$10*1000000))/('14'!Y10*3600)</f>
        <v>0</v>
      </c>
      <c r="AE10" s="278">
        <v>3500</v>
      </c>
      <c r="AF10" s="182">
        <f>('14'!AE10/24)*0.454</f>
        <v>66.208333333333343</v>
      </c>
      <c r="AG10" s="19">
        <v>500</v>
      </c>
      <c r="AH10" s="182">
        <f>('14'!AG10/24)*0.454</f>
        <v>9.4583333333333339</v>
      </c>
      <c r="AI10" s="19">
        <v>3000</v>
      </c>
      <c r="AJ10" s="182">
        <f>('14'!AI10/24)*0.454</f>
        <v>56.75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37" t="s">
        <v>51</v>
      </c>
      <c r="AR10" s="937"/>
      <c r="AS10" s="937"/>
      <c r="AT10" s="39">
        <v>2E-3</v>
      </c>
    </row>
    <row r="11" spans="1:47" ht="15" customHeight="1">
      <c r="A11" s="28">
        <v>0.33333333333333298</v>
      </c>
      <c r="B11" s="184">
        <v>240</v>
      </c>
      <c r="C11" s="184">
        <v>5</v>
      </c>
      <c r="D11" s="184">
        <v>5</v>
      </c>
      <c r="E11" s="184">
        <v>2.5</v>
      </c>
      <c r="F11" s="184">
        <v>44</v>
      </c>
      <c r="G11" s="184">
        <v>1.9</v>
      </c>
      <c r="H11" s="184">
        <v>1.6</v>
      </c>
      <c r="I11" s="184">
        <v>0.8</v>
      </c>
      <c r="J11" s="184">
        <v>0.8</v>
      </c>
      <c r="K11" s="184">
        <v>7.3</v>
      </c>
      <c r="L11" s="184">
        <v>6</v>
      </c>
      <c r="M11" s="184">
        <v>6</v>
      </c>
      <c r="N11" s="184">
        <v>5.8</v>
      </c>
      <c r="O11" s="184">
        <v>3.5</v>
      </c>
      <c r="P11" s="184">
        <v>1</v>
      </c>
      <c r="Q11" s="186">
        <v>1.5</v>
      </c>
      <c r="R11" s="279">
        <f>'14'!Z13</f>
        <v>1503</v>
      </c>
      <c r="S11" s="35">
        <f>'14'!AB13</f>
        <v>102.67659023668639</v>
      </c>
      <c r="T11" s="57">
        <f>'14'!Y13</f>
        <v>2704</v>
      </c>
      <c r="U11" s="32" t="str">
        <f>IF('14'!AA13=1,'14'!AR6,'14'!AR7)</f>
        <v>S.A.L</v>
      </c>
      <c r="V11" s="1016"/>
      <c r="W11" s="1016"/>
      <c r="X11" s="13">
        <v>0.25</v>
      </c>
      <c r="Y11" s="52">
        <v>3024</v>
      </c>
      <c r="Z11" s="171">
        <v>1613</v>
      </c>
      <c r="AA11" s="15">
        <v>1</v>
      </c>
      <c r="AB11" s="56">
        <f>IF('14'!AA11=1,(('14'!Z11*'14'!$AS$6*'14'!$AT$6)/('14'!Y11*0.0036)),IF('14'!AA11=2,(('14'!Z11*'14'!$AS$7*'14'!$AT$7)/('14'!Y11*0.0036))))</f>
        <v>98.530735596707814</v>
      </c>
      <c r="AC11" s="56"/>
      <c r="AD11" s="18">
        <f>(('14'!AC11*'14'!$Q$10*1000000))/('14'!Y11*3600)</f>
        <v>0</v>
      </c>
      <c r="AE11" s="278">
        <v>3500</v>
      </c>
      <c r="AF11" s="182">
        <f>('14'!AE11/24)*0.454</f>
        <v>66.208333333333343</v>
      </c>
      <c r="AG11" s="19">
        <v>500</v>
      </c>
      <c r="AH11" s="182">
        <f>('14'!AG11/24)*0.454</f>
        <v>9.4583333333333339</v>
      </c>
      <c r="AI11" s="19">
        <v>3000</v>
      </c>
      <c r="AJ11" s="182">
        <f>('14'!AI11/24)*0.454</f>
        <v>56.75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240</v>
      </c>
      <c r="C12" s="184">
        <v>5</v>
      </c>
      <c r="D12" s="184">
        <v>5</v>
      </c>
      <c r="E12" s="184">
        <v>2.5</v>
      </c>
      <c r="F12" s="184">
        <v>42</v>
      </c>
      <c r="G12" s="184">
        <v>1.8</v>
      </c>
      <c r="H12" s="184">
        <v>1.7</v>
      </c>
      <c r="I12" s="184">
        <v>0.9</v>
      </c>
      <c r="J12" s="184">
        <v>0.8</v>
      </c>
      <c r="K12" s="184">
        <v>7.3</v>
      </c>
      <c r="L12" s="184">
        <v>6</v>
      </c>
      <c r="M12" s="184">
        <v>6</v>
      </c>
      <c r="N12" s="184">
        <v>5.8</v>
      </c>
      <c r="O12" s="184">
        <v>3.5</v>
      </c>
      <c r="P12" s="184">
        <v>1</v>
      </c>
      <c r="Q12" s="186">
        <v>1.5</v>
      </c>
      <c r="R12" s="279">
        <f>'14'!Z15</f>
        <v>1503</v>
      </c>
      <c r="S12" s="35">
        <f>'14'!AB15</f>
        <v>96.435394234109069</v>
      </c>
      <c r="T12" s="57">
        <f>'14'!Y15</f>
        <v>2879</v>
      </c>
      <c r="U12" s="32" t="str">
        <f>IF('14'!AA15=1,'14'!AR6,'14'!AR7)</f>
        <v>S.A.L</v>
      </c>
      <c r="V12" s="938">
        <f>ESCALA!$B$16</f>
        <v>0</v>
      </c>
      <c r="W12" s="938"/>
      <c r="X12" s="13">
        <v>0.29166666666666702</v>
      </c>
      <c r="Y12" s="52">
        <v>2729</v>
      </c>
      <c r="Z12" s="171">
        <v>1503</v>
      </c>
      <c r="AA12" s="15">
        <v>1</v>
      </c>
      <c r="AB12" s="56">
        <f>IF('14'!AA12=1,(('14'!Z14*'14'!$AS$6*'14'!$AT$6)/('14'!Y12*0.0036)),IF('14'!AA12=2,(('14'!Z14*'14'!$AS$7*'14'!$AT$7)/('14'!Y12*0.0036))))</f>
        <v>101.735983876878</v>
      </c>
      <c r="AC12" s="56"/>
      <c r="AD12" s="18">
        <f>(('14'!AC12*'14'!$Q$10*1000000))/('14'!Y12*3600)</f>
        <v>0</v>
      </c>
      <c r="AE12" s="278">
        <v>3500</v>
      </c>
      <c r="AF12" s="182">
        <f>('14'!AE12/24)*0.454</f>
        <v>66.208333333333343</v>
      </c>
      <c r="AG12" s="19">
        <v>500</v>
      </c>
      <c r="AH12" s="182">
        <f>('14'!AG12/24)*0.454</f>
        <v>9.4583333333333339</v>
      </c>
      <c r="AI12" s="19">
        <v>3000</v>
      </c>
      <c r="AJ12" s="182" t="e">
        <f>('14'!#REF!/24)*0.454</f>
        <v>#REF!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240</v>
      </c>
      <c r="C13" s="184">
        <v>5</v>
      </c>
      <c r="D13" s="184">
        <v>5</v>
      </c>
      <c r="E13" s="184">
        <v>2.5</v>
      </c>
      <c r="F13" s="184">
        <v>43</v>
      </c>
      <c r="G13" s="184">
        <v>2</v>
      </c>
      <c r="H13" s="184">
        <v>1.9</v>
      </c>
      <c r="I13" s="184">
        <v>0.9</v>
      </c>
      <c r="J13" s="184">
        <v>0.9</v>
      </c>
      <c r="K13" s="184">
        <v>7.3</v>
      </c>
      <c r="L13" s="184">
        <v>6</v>
      </c>
      <c r="M13" s="184">
        <v>6</v>
      </c>
      <c r="N13" s="184">
        <v>5.8</v>
      </c>
      <c r="O13" s="184">
        <v>3.5</v>
      </c>
      <c r="P13" s="184">
        <v>0.8</v>
      </c>
      <c r="Q13" s="186">
        <v>1.5</v>
      </c>
      <c r="R13" s="279">
        <f>'14'!Z17</f>
        <v>1503</v>
      </c>
      <c r="S13" s="35">
        <f>'14'!AB17</f>
        <v>95.57228915662651</v>
      </c>
      <c r="T13" s="57">
        <f>'14'!Y17</f>
        <v>2905</v>
      </c>
      <c r="U13" s="32" t="str">
        <f>IF('14'!AA17=1,'14'!AR6,'14'!AR7)</f>
        <v>S.A.L</v>
      </c>
      <c r="V13" s="938"/>
      <c r="W13" s="938"/>
      <c r="X13" s="13">
        <v>0.33333333333333298</v>
      </c>
      <c r="Y13" s="52">
        <v>2704</v>
      </c>
      <c r="Z13" s="171">
        <v>1503</v>
      </c>
      <c r="AA13" s="15">
        <v>1</v>
      </c>
      <c r="AB13" s="56">
        <f>IF('14'!AA13=1,(('14'!Z13*'14'!$AS$6*'14'!$AT$6)/('14'!Y13*0.0036)),IF('14'!AA13=2,(('14'!Z13*'14'!$AS$7*'14'!$AT$7)/('14'!Y13*0.0036))))</f>
        <v>102.67659023668639</v>
      </c>
      <c r="AC13" s="56"/>
      <c r="AD13" s="18">
        <f>(('14'!AC13*'14'!$Q$10*1000000))/('14'!Y13*3600)</f>
        <v>0</v>
      </c>
      <c r="AE13" s="278">
        <v>3500</v>
      </c>
      <c r="AF13" s="182">
        <f>('14'!AE13/24)*0.454</f>
        <v>66.208333333333343</v>
      </c>
      <c r="AG13" s="19">
        <v>500</v>
      </c>
      <c r="AH13" s="182">
        <f>('14'!AG13/24)*0.454</f>
        <v>9.4583333333333339</v>
      </c>
      <c r="AI13" s="278">
        <v>3000</v>
      </c>
      <c r="AJ13" s="182">
        <f>('14'!AI13/24)*0.454</f>
        <v>56.75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240</v>
      </c>
      <c r="C14" s="184">
        <v>5</v>
      </c>
      <c r="D14" s="184">
        <v>5</v>
      </c>
      <c r="E14" s="184">
        <v>2.5</v>
      </c>
      <c r="F14" s="184">
        <v>41</v>
      </c>
      <c r="G14" s="184">
        <v>2.1</v>
      </c>
      <c r="H14" s="184">
        <v>2.2999999999999998</v>
      </c>
      <c r="I14" s="184">
        <v>1</v>
      </c>
      <c r="J14" s="184">
        <v>0.9</v>
      </c>
      <c r="K14" s="184">
        <v>7.3</v>
      </c>
      <c r="L14" s="184">
        <v>6</v>
      </c>
      <c r="M14" s="184">
        <v>6</v>
      </c>
      <c r="N14" s="184">
        <v>5.8</v>
      </c>
      <c r="O14" s="184">
        <v>3.5</v>
      </c>
      <c r="P14" s="184">
        <v>0.8</v>
      </c>
      <c r="Q14" s="186">
        <v>1.5</v>
      </c>
      <c r="R14" s="279">
        <f>'14'!Z19</f>
        <v>1503</v>
      </c>
      <c r="S14" s="35">
        <f>'14'!AB19</f>
        <v>95.737068965517253</v>
      </c>
      <c r="T14" s="57">
        <f>'14'!Y19</f>
        <v>2900</v>
      </c>
      <c r="U14" s="32" t="str">
        <f>IF('14'!AA19=1,'14'!AR6,'14'!AR7)</f>
        <v>S.A.L</v>
      </c>
      <c r="V14" s="938"/>
      <c r="W14" s="938"/>
      <c r="X14" s="13">
        <v>0.375</v>
      </c>
      <c r="Y14" s="52">
        <v>2695</v>
      </c>
      <c r="Z14" s="171">
        <v>1503</v>
      </c>
      <c r="AA14" s="15">
        <v>1</v>
      </c>
      <c r="AB14" s="56" t="e">
        <f>IF('14'!AA14=1,(('14'!#REF!*'14'!$AS$6*'14'!$AT$6)/('14'!Y14*0.0036)),IF('14'!AA14=2,(('14'!#REF!*'14'!$AS$7*'14'!$AT$7)/('14'!Y14*0.0036))))</f>
        <v>#REF!</v>
      </c>
      <c r="AC14" s="56"/>
      <c r="AD14" s="18">
        <f>(('14'!AC14*'14'!$Q$10*1000000))/('14'!Y14*3600)</f>
        <v>0</v>
      </c>
      <c r="AE14" s="278">
        <v>3500</v>
      </c>
      <c r="AF14" s="182">
        <f>('14'!AE14/24)*0.454</f>
        <v>66.208333333333343</v>
      </c>
      <c r="AG14" s="19">
        <v>500</v>
      </c>
      <c r="AH14" s="182">
        <f>('14'!AG14/24)*0.454</f>
        <v>9.4583333333333339</v>
      </c>
      <c r="AI14" s="278">
        <v>3000</v>
      </c>
      <c r="AJ14" s="182">
        <f>('14'!AI14/24)*0.454</f>
        <v>56.75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240</v>
      </c>
      <c r="C15" s="184">
        <v>5</v>
      </c>
      <c r="D15" s="184">
        <v>5</v>
      </c>
      <c r="E15" s="184">
        <v>2.5</v>
      </c>
      <c r="F15" s="184">
        <v>43</v>
      </c>
      <c r="G15" s="184">
        <v>2.2999999999999998</v>
      </c>
      <c r="H15" s="184">
        <v>2.5</v>
      </c>
      <c r="I15" s="184">
        <v>0.9</v>
      </c>
      <c r="J15" s="184">
        <v>0.9</v>
      </c>
      <c r="K15" s="184">
        <v>7.3</v>
      </c>
      <c r="L15" s="184">
        <v>6</v>
      </c>
      <c r="M15" s="184">
        <v>6</v>
      </c>
      <c r="N15" s="184">
        <v>5.8</v>
      </c>
      <c r="O15" s="184">
        <v>3.5</v>
      </c>
      <c r="P15" s="184">
        <v>0.8</v>
      </c>
      <c r="Q15" s="186">
        <v>1.5</v>
      </c>
      <c r="R15" s="279">
        <f>'14'!Z21</f>
        <v>1442</v>
      </c>
      <c r="S15" s="35">
        <f>'14'!AB21</f>
        <v>91.284936410022098</v>
      </c>
      <c r="T15" s="57">
        <f>'14'!Y21</f>
        <v>2918</v>
      </c>
      <c r="U15" s="32" t="str">
        <f>IF('14'!AA21=1,'14'!AR6,'14'!AR7)</f>
        <v>S.A.L</v>
      </c>
      <c r="V15" s="938"/>
      <c r="W15" s="938"/>
      <c r="X15" s="13">
        <v>0.41666666666666702</v>
      </c>
      <c r="Y15" s="171">
        <v>2879</v>
      </c>
      <c r="Z15" s="171">
        <v>1503</v>
      </c>
      <c r="AA15" s="15">
        <v>1</v>
      </c>
      <c r="AB15" s="56">
        <f>IF('14'!AA15=1,(('14'!Z15*'14'!$AS$6*'14'!$AT$6)/('14'!Y15*0.0036)),IF('14'!AA15=2,(('14'!Z15*'14'!$AS$7*'14'!$AT$7)/('14'!Y15*0.0036))))</f>
        <v>96.435394234109069</v>
      </c>
      <c r="AC15" s="56"/>
      <c r="AD15" s="18">
        <f>(('14'!AC15*'14'!$Q$10*1000000))/('14'!Y15*3600)</f>
        <v>0</v>
      </c>
      <c r="AE15" s="278">
        <v>3500</v>
      </c>
      <c r="AF15" s="182">
        <f>('14'!AE15/24)*0.454</f>
        <v>66.208333333333343</v>
      </c>
      <c r="AG15" s="19">
        <v>500</v>
      </c>
      <c r="AH15" s="182">
        <f>('14'!AG15/24)*0.454</f>
        <v>9.4583333333333339</v>
      </c>
      <c r="AI15" s="278">
        <v>3000</v>
      </c>
      <c r="AJ15" s="182">
        <f>('14'!AI15/24)*0.454</f>
        <v>56.75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240</v>
      </c>
      <c r="C16" s="184">
        <v>5</v>
      </c>
      <c r="D16" s="184">
        <v>5</v>
      </c>
      <c r="E16" s="184">
        <v>2.5</v>
      </c>
      <c r="F16" s="184">
        <v>42</v>
      </c>
      <c r="G16" s="184">
        <v>2.2999999999999998</v>
      </c>
      <c r="H16" s="184">
        <v>2.4</v>
      </c>
      <c r="I16" s="184">
        <v>1.1000000000000001</v>
      </c>
      <c r="J16" s="184">
        <v>1.4</v>
      </c>
      <c r="K16" s="184">
        <v>7.3</v>
      </c>
      <c r="L16" s="184">
        <v>6</v>
      </c>
      <c r="M16" s="184">
        <v>6</v>
      </c>
      <c r="N16" s="184">
        <v>5.8</v>
      </c>
      <c r="O16" s="184">
        <v>3.2</v>
      </c>
      <c r="P16" s="184">
        <v>0.8</v>
      </c>
      <c r="Q16" s="186">
        <v>1.2</v>
      </c>
      <c r="R16" s="279">
        <f>'14'!Z23</f>
        <v>1442</v>
      </c>
      <c r="S16" s="35">
        <f>'14'!AB23</f>
        <v>94.827142913650576</v>
      </c>
      <c r="T16" s="57">
        <f>'14'!Y23</f>
        <v>2809</v>
      </c>
      <c r="U16" s="32" t="str">
        <f>IF('14'!AA23=1,'14'!AR6,'14'!AR7)</f>
        <v>S.A.L</v>
      </c>
      <c r="V16" s="938"/>
      <c r="W16" s="938"/>
      <c r="X16" s="13">
        <v>0.45833333333333298</v>
      </c>
      <c r="Y16" s="171">
        <v>2925</v>
      </c>
      <c r="Z16" s="171">
        <v>1503</v>
      </c>
      <c r="AA16" s="15">
        <v>1</v>
      </c>
      <c r="AB16" s="56">
        <f>IF('14'!AA16=1,(('14'!Z16*'14'!$AS$6*'14'!$AT$6)/('14'!Y16*0.0036)),IF('14'!AA16=2,(('14'!Z16*'14'!$AS$7*'14'!$AT$7)/('14'!Y16*0.0036))))</f>
        <v>94.918803418803421</v>
      </c>
      <c r="AC16" s="56"/>
      <c r="AD16" s="18">
        <f>(('14'!AC16*'14'!$Q$10*1000000))/('14'!Y16*3600)</f>
        <v>0</v>
      </c>
      <c r="AE16" s="278">
        <v>3500</v>
      </c>
      <c r="AF16" s="182">
        <f>('14'!AE16/24)*0.454</f>
        <v>66.208333333333343</v>
      </c>
      <c r="AG16" s="19">
        <v>500</v>
      </c>
      <c r="AH16" s="182">
        <f>('14'!AG16/24)*0.454</f>
        <v>9.4583333333333339</v>
      </c>
      <c r="AI16" s="278">
        <v>3000</v>
      </c>
      <c r="AJ16" s="182">
        <f>('14'!AI16/24)*0.454</f>
        <v>56.75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240</v>
      </c>
      <c r="C17" s="184">
        <v>5</v>
      </c>
      <c r="D17" s="184">
        <v>5</v>
      </c>
      <c r="E17" s="184">
        <v>2.5</v>
      </c>
      <c r="F17" s="184">
        <v>40</v>
      </c>
      <c r="G17" s="184">
        <v>2</v>
      </c>
      <c r="H17" s="184">
        <v>2.7</v>
      </c>
      <c r="I17" s="184">
        <v>1.3</v>
      </c>
      <c r="J17" s="184">
        <v>1.6</v>
      </c>
      <c r="K17" s="184">
        <v>7.3</v>
      </c>
      <c r="L17" s="184">
        <v>6</v>
      </c>
      <c r="M17" s="184">
        <v>6</v>
      </c>
      <c r="N17" s="184">
        <v>5.8</v>
      </c>
      <c r="O17" s="184">
        <v>3.2</v>
      </c>
      <c r="P17" s="184">
        <v>0.8</v>
      </c>
      <c r="Q17" s="186">
        <v>1.2</v>
      </c>
      <c r="R17" s="279">
        <f>'14'!Z25</f>
        <v>1442</v>
      </c>
      <c r="S17" s="35">
        <f>'14'!AB25</f>
        <v>93.071084711545936</v>
      </c>
      <c r="T17" s="57">
        <f>'14'!Y25</f>
        <v>2862</v>
      </c>
      <c r="U17" s="32" t="str">
        <f>IF('14'!AA25=1,'14'!AR6,'14'!AR7)</f>
        <v>S.A.L</v>
      </c>
      <c r="V17" s="939">
        <f>ESCALA!$C$16</f>
        <v>0</v>
      </c>
      <c r="W17" s="939"/>
      <c r="X17" s="13">
        <v>0.5</v>
      </c>
      <c r="Y17" s="171">
        <v>2905</v>
      </c>
      <c r="Z17" s="171">
        <v>1503</v>
      </c>
      <c r="AA17" s="15">
        <v>1</v>
      </c>
      <c r="AB17" s="56">
        <f>IF('14'!AA17=1,(('14'!Z17*'14'!$AS$6*'14'!$AT$6)/('14'!Y17*0.0036)),IF('14'!AA17=2,(('14'!Z17*'14'!$AS$7*'14'!$AT$7)/('14'!Y17*0.0036))))</f>
        <v>95.57228915662651</v>
      </c>
      <c r="AC17" s="56"/>
      <c r="AD17" s="18">
        <f>(('14'!AC17*'14'!$Q$10*1000000))/('14'!Y17*3600)</f>
        <v>0</v>
      </c>
      <c r="AE17" s="278">
        <v>3500</v>
      </c>
      <c r="AF17" s="182">
        <f>('14'!AE17/24)*0.454</f>
        <v>66.208333333333343</v>
      </c>
      <c r="AG17" s="19">
        <v>500</v>
      </c>
      <c r="AH17" s="182">
        <f>('14'!AG17/24)*0.454</f>
        <v>9.4583333333333339</v>
      </c>
      <c r="AI17" s="180">
        <v>3000</v>
      </c>
      <c r="AJ17" s="182">
        <f>('14'!AI17/24)*0.454</f>
        <v>56.75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240</v>
      </c>
      <c r="C18" s="184">
        <v>5</v>
      </c>
      <c r="D18" s="184">
        <v>5</v>
      </c>
      <c r="E18" s="184">
        <v>2.5</v>
      </c>
      <c r="F18" s="184">
        <v>41</v>
      </c>
      <c r="G18" s="184">
        <v>2.1</v>
      </c>
      <c r="H18" s="184">
        <v>2.9</v>
      </c>
      <c r="I18" s="184">
        <v>1.4</v>
      </c>
      <c r="J18" s="184">
        <v>1.7</v>
      </c>
      <c r="K18" s="184">
        <v>7.3</v>
      </c>
      <c r="L18" s="184">
        <v>6</v>
      </c>
      <c r="M18" s="184">
        <v>6</v>
      </c>
      <c r="N18" s="184">
        <v>5.8</v>
      </c>
      <c r="O18" s="184">
        <v>3.2</v>
      </c>
      <c r="P18" s="184">
        <v>0.8</v>
      </c>
      <c r="Q18" s="186">
        <v>1.5</v>
      </c>
      <c r="R18" s="279">
        <f>'14'!Z27</f>
        <v>1442</v>
      </c>
      <c r="S18" s="35">
        <f>'14'!AB27</f>
        <v>91.222412480974128</v>
      </c>
      <c r="T18" s="57">
        <f>'14'!Y27</f>
        <v>2920</v>
      </c>
      <c r="U18" s="32" t="str">
        <f>IF('14'!AA27=1,'14'!AR6,'14'!AR7)</f>
        <v>S.A.L</v>
      </c>
      <c r="V18" s="939"/>
      <c r="W18" s="939"/>
      <c r="X18" s="13">
        <v>0.54166666666666696</v>
      </c>
      <c r="Y18" s="171">
        <v>2827</v>
      </c>
      <c r="Z18" s="171">
        <v>1503</v>
      </c>
      <c r="AA18" s="15">
        <v>1</v>
      </c>
      <c r="AB18" s="56">
        <f>IF('14'!AA18=1,(('14'!Z18*'14'!$AS$6*'14'!$AT$6)/('14'!Y18*0.0036)),IF('14'!AA18=2,(('14'!Z18*'14'!$AS$7*'14'!$AT$7)/('14'!Y18*0.0036))))</f>
        <v>98.209232401839415</v>
      </c>
      <c r="AC18" s="56"/>
      <c r="AD18" s="18">
        <f>(('14'!AC18*'14'!$Q$10*1000000))/('14'!Y18*3600)</f>
        <v>0</v>
      </c>
      <c r="AE18" s="278">
        <v>3500</v>
      </c>
      <c r="AF18" s="182">
        <f>('14'!AE18/24)*0.454</f>
        <v>66.208333333333343</v>
      </c>
      <c r="AG18" s="19">
        <v>500</v>
      </c>
      <c r="AH18" s="182">
        <f>('14'!AG18/24)*0.454</f>
        <v>9.4583333333333339</v>
      </c>
      <c r="AI18" s="180">
        <v>3000</v>
      </c>
      <c r="AJ18" s="182">
        <f>('14'!AI18/24)*0.454</f>
        <v>56.75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240</v>
      </c>
      <c r="C19" s="67">
        <f t="array" ref="C19">IF('14'!C8:C18&gt;0.01,AVERAGE('14'!C8:C18),"")</f>
        <v>5.6818181818181817</v>
      </c>
      <c r="D19" s="67">
        <f t="array" ref="D19">IF('14'!D7:D18&gt;0.01,AVERAGE('14'!D7:D18),"")</f>
        <v>5.833333333333333</v>
      </c>
      <c r="E19" s="67">
        <f t="array" ref="E19">IF('14'!E7:E18&gt;0.01,AVERAGE('14'!E7:E18),"")</f>
        <v>2.5</v>
      </c>
      <c r="F19" s="67">
        <f t="array" ref="F19">IF('14'!F7:F18&gt;0.01,AVERAGE('14'!F7:F18),"")</f>
        <v>41.916666666666664</v>
      </c>
      <c r="G19" s="67">
        <f t="array" ref="G19">IF('14'!G7:G18&gt;0.01,AVERAGE('14'!G7:G18),"")</f>
        <v>2.0583333333333336</v>
      </c>
      <c r="H19" s="67">
        <f t="array" ref="H19">IF('14'!H7:H18&gt;0.01,AVERAGE('14'!H7:H18),"")</f>
        <v>2.083333333333333</v>
      </c>
      <c r="I19" s="67">
        <f t="array" ref="I19">IF('14'!I7:I18&gt;0.01,AVERAGE('14'!I7:I18),"")</f>
        <v>0.97166666666666679</v>
      </c>
      <c r="J19" s="67">
        <f t="array" ref="J19">IF('14'!J7:J18&gt;0.01,AVERAGE('14'!J7:J18),"")</f>
        <v>1.0558333333333334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6</v>
      </c>
      <c r="M19" s="67">
        <f t="array" ref="M19">IF('14'!M7:M18&gt;0.01,AVERAGE('14'!M7:M18),"")</f>
        <v>6</v>
      </c>
      <c r="N19" s="67">
        <f t="array" ref="N19">IF('14'!N8:N18&gt;0.01,AVERAGE('14'!N8:N18),"")</f>
        <v>5.799999999999998</v>
      </c>
      <c r="O19" s="67">
        <f t="array" ref="O19">IF('14'!O7:O18&gt;0.01,AVERAGE('14'!O7:O18),"")</f>
        <v>3.5250000000000008</v>
      </c>
      <c r="P19" s="188">
        <f t="array" ref="P19">IF('14'!P7:P18&gt;0.01,AVERAGE('14'!P7:P18),"")</f>
        <v>1.2000000000000004</v>
      </c>
      <c r="Q19" s="189">
        <f t="array" ref="Q19">IF('14'!Q7:Q18&gt;0.01,AVERAGE('14'!Q7:Q18),"")</f>
        <v>1.4583333333333333</v>
      </c>
      <c r="R19" s="189">
        <f t="array" ref="R19">IF('14'!R7:R18&gt;0.01,AVERAGE('14'!R7:R18),"")</f>
        <v>1519.3333333333333</v>
      </c>
      <c r="S19" s="189">
        <f t="array" ref="S19">IF('14'!S7:S18&gt;0.01,AVERAGE('14'!S7:S18),"")</f>
        <v>96.514317454520622</v>
      </c>
      <c r="T19" s="940"/>
      <c r="U19" s="940"/>
      <c r="W19" s="48"/>
      <c r="X19" s="13">
        <v>0.58333333333333304</v>
      </c>
      <c r="Y19" s="171">
        <v>2900</v>
      </c>
      <c r="Z19" s="171">
        <v>1503</v>
      </c>
      <c r="AA19" s="15">
        <v>1</v>
      </c>
      <c r="AB19" s="56">
        <f>IF('14'!AA19=1,(('14'!Z19*'14'!$AS$6*'14'!$AT$6)/('14'!Y19*0.0036)),IF('14'!AA19=2,(('14'!Z19*'14'!$AS$7*'14'!$AT$7)/('14'!Y19*0.0036))))</f>
        <v>95.737068965517253</v>
      </c>
      <c r="AC19" s="56"/>
      <c r="AD19" s="18">
        <f>(('14'!AC19*'14'!$Q$10*1000000))/('14'!Y19*3600)</f>
        <v>0</v>
      </c>
      <c r="AE19" s="278">
        <v>3500</v>
      </c>
      <c r="AF19" s="182">
        <f>('14'!AE19/24)*0.454</f>
        <v>66.208333333333343</v>
      </c>
      <c r="AG19" s="19">
        <v>500</v>
      </c>
      <c r="AH19" s="182">
        <f>('14'!AG19/24)*0.454</f>
        <v>9.4583333333333339</v>
      </c>
      <c r="AI19" s="180">
        <v>2600</v>
      </c>
      <c r="AJ19" s="182">
        <f>('14'!AI19/24)*0.454</f>
        <v>49.18333333333333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240</v>
      </c>
      <c r="C20" s="67">
        <f>MAX('14'!C8:C18)</f>
        <v>7.5</v>
      </c>
      <c r="D20" s="67">
        <f>MAX('14'!D7:D18)</f>
        <v>7.5</v>
      </c>
      <c r="E20" s="67">
        <f>MAX('14'!E7:E18)</f>
        <v>2.5</v>
      </c>
      <c r="F20" s="67">
        <f>MAX('14'!F7:F18)</f>
        <v>44</v>
      </c>
      <c r="G20" s="67">
        <f>MAX('14'!G7:G18)</f>
        <v>2.2999999999999998</v>
      </c>
      <c r="H20" s="67">
        <f>MAX('14'!H7:H18)</f>
        <v>2.9</v>
      </c>
      <c r="I20" s="67">
        <f>MAX('14'!I7:I18)</f>
        <v>1.4</v>
      </c>
      <c r="J20" s="67">
        <f>MAX('14'!J7:J18)</f>
        <v>1.7</v>
      </c>
      <c r="K20" s="67">
        <f>MAX('14'!K7:K18)</f>
        <v>7.3</v>
      </c>
      <c r="L20" s="67">
        <f>MAX('14'!L7:L18)</f>
        <v>6</v>
      </c>
      <c r="M20" s="67">
        <f>MAX('14'!M7:M18)</f>
        <v>6</v>
      </c>
      <c r="N20" s="67">
        <f>MAX('14'!N8:N18)</f>
        <v>5.8</v>
      </c>
      <c r="O20" s="68">
        <f>MAX('14'!O7:O18)</f>
        <v>3.8</v>
      </c>
      <c r="P20" s="68">
        <f>MAX('14'!P7:P18)</f>
        <v>2</v>
      </c>
      <c r="Q20" s="68">
        <f>MAX('14'!Q7:Q18)</f>
        <v>1.6</v>
      </c>
      <c r="R20" s="68">
        <f>MAX('14'!R7:R18)</f>
        <v>1613</v>
      </c>
      <c r="S20" s="68">
        <f>MAX('14'!S7:S18)</f>
        <v>102.67659023668639</v>
      </c>
      <c r="T20" s="940"/>
      <c r="U20" s="940"/>
      <c r="X20" s="13">
        <v>0.625</v>
      </c>
      <c r="Y20" s="171">
        <v>2888</v>
      </c>
      <c r="Z20" s="171">
        <v>1442</v>
      </c>
      <c r="AA20" s="15">
        <v>1</v>
      </c>
      <c r="AB20" s="56">
        <f>IF('14'!AA20=1,(('14'!Z20*'14'!$AS$6*'14'!$AT$6)/('14'!Y20*0.0036)),IF('14'!AA20=2,(('14'!Z20*'14'!$AS$7*'14'!$AT$7)/('14'!Y20*0.0036))))</f>
        <v>92.233187134502941</v>
      </c>
      <c r="AC20" s="56"/>
      <c r="AD20" s="18">
        <f>(('14'!AC20*'14'!$Q$10*1000000))/('14'!Y20*3600)</f>
        <v>0</v>
      </c>
      <c r="AE20" s="278">
        <v>3500</v>
      </c>
      <c r="AF20" s="182">
        <f>('14'!AE20/24)*0.454</f>
        <v>66.208333333333343</v>
      </c>
      <c r="AG20" s="19">
        <v>500</v>
      </c>
      <c r="AH20" s="182">
        <f>('14'!AG20/24)*0.454</f>
        <v>9.4583333333333339</v>
      </c>
      <c r="AI20" s="180">
        <v>2600</v>
      </c>
      <c r="AJ20" s="182">
        <f>('14'!AI20/24)*0.454</f>
        <v>49.18333333333333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240</v>
      </c>
      <c r="C21" s="67">
        <f>MIN('14'!C8:C18)</f>
        <v>5</v>
      </c>
      <c r="D21" s="67">
        <f>MIN('14'!D7:D18)</f>
        <v>5</v>
      </c>
      <c r="E21" s="67">
        <f>MIN('14'!E7:E18)</f>
        <v>2.5</v>
      </c>
      <c r="F21" s="67">
        <f>MIN('14'!F7:F18)</f>
        <v>40</v>
      </c>
      <c r="G21" s="190">
        <f>MIN('14'!G7:G18)</f>
        <v>1.8</v>
      </c>
      <c r="H21" s="190">
        <f>MIN('14'!H7:H18)</f>
        <v>1.6</v>
      </c>
      <c r="I21" s="190">
        <f>MIN('14'!I7:I18)</f>
        <v>0.8</v>
      </c>
      <c r="J21" s="190">
        <f>MIN('14'!J7:J18)</f>
        <v>0.8</v>
      </c>
      <c r="K21" s="190">
        <f>MIN('14'!K7:K18)</f>
        <v>7.3</v>
      </c>
      <c r="L21" s="190">
        <f>MIN('14'!L7:L18)</f>
        <v>6</v>
      </c>
      <c r="M21" s="190">
        <f>MIN('14'!M7:M18)</f>
        <v>6</v>
      </c>
      <c r="N21" s="190">
        <f>MIN('14'!N8:N18)</f>
        <v>5.8</v>
      </c>
      <c r="O21" s="191">
        <f>MIN('14'!O7:O18)</f>
        <v>3.2</v>
      </c>
      <c r="P21" s="191">
        <f>MIN('14'!P7:P18)</f>
        <v>0.8</v>
      </c>
      <c r="Q21" s="191">
        <f>MIN('14'!Q7:Q18)</f>
        <v>1.2</v>
      </c>
      <c r="R21" s="191">
        <f>MIN('14'!R7:R18)</f>
        <v>1442</v>
      </c>
      <c r="S21" s="191">
        <f>MIN('14'!S7:S18)</f>
        <v>91.222412480974128</v>
      </c>
      <c r="T21" s="940"/>
      <c r="U21" s="940"/>
      <c r="X21" s="13">
        <v>0.66666666666666696</v>
      </c>
      <c r="Y21" s="171">
        <v>2918</v>
      </c>
      <c r="Z21" s="171">
        <v>1442</v>
      </c>
      <c r="AA21" s="15">
        <v>1</v>
      </c>
      <c r="AB21" s="56">
        <f>IF('14'!AA21=1,(('14'!Z21*'14'!$AS$6*'14'!$AT$6)/('14'!Y21*0.0036)),IF('14'!AA21=2,(('14'!Z21*'14'!$AS$7*'14'!$AT$7)/('14'!Y21*0.0036))))</f>
        <v>91.284936410022098</v>
      </c>
      <c r="AC21" s="56"/>
      <c r="AD21" s="18">
        <f>(('14'!AC21*'14'!$Q$10*1000000))/('14'!Y21*3600)</f>
        <v>0</v>
      </c>
      <c r="AE21" s="278">
        <v>3500</v>
      </c>
      <c r="AF21" s="182">
        <f>('14'!AE21/24)*0.454</f>
        <v>66.208333333333343</v>
      </c>
      <c r="AG21" s="19">
        <v>50</v>
      </c>
      <c r="AH21" s="182">
        <f>('14'!AG21/24)*0.454</f>
        <v>0.94583333333333341</v>
      </c>
      <c r="AI21" s="180">
        <v>2600</v>
      </c>
      <c r="AJ21" s="182">
        <f>('14'!AI21/24)*0.454</f>
        <v>49.18333333333333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2871</v>
      </c>
      <c r="Z22" s="171">
        <v>1422</v>
      </c>
      <c r="AA22" s="15">
        <v>1</v>
      </c>
      <c r="AB22" s="56">
        <f>IF('14'!AA22=1,(('14'!Z22*'14'!$AS$6*'14'!$AT$6)/('14'!Y22*0.0036)),IF('14'!AA22=2,(('14'!Z22*'14'!$AS$7*'14'!$AT$7)/('14'!Y22*0.0036))))</f>
        <v>91.492511320097535</v>
      </c>
      <c r="AC22" s="56"/>
      <c r="AD22" s="18">
        <f>(('14'!AC22*'14'!$Q$10*1000000))/('14'!Y22*3600)</f>
        <v>0</v>
      </c>
      <c r="AE22" s="278">
        <v>3500</v>
      </c>
      <c r="AF22" s="182">
        <f>('14'!AE22/24)*0.454</f>
        <v>66.208333333333343</v>
      </c>
      <c r="AG22" s="19">
        <v>500</v>
      </c>
      <c r="AH22" s="182">
        <f>('14'!AG22/24)*0.454</f>
        <v>9.4583333333333339</v>
      </c>
      <c r="AI22" s="180">
        <v>2600</v>
      </c>
      <c r="AJ22" s="182">
        <f>('14'!AI22/24)*0.454</f>
        <v>49.18333333333333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2809</v>
      </c>
      <c r="Z23" s="171">
        <v>1442</v>
      </c>
      <c r="AA23" s="15">
        <v>1</v>
      </c>
      <c r="AB23" s="56">
        <f>IF('14'!AA23=1,(('14'!Z23*'14'!$AS$6*'14'!$AT$6)/('14'!Y23*0.0036)),IF('14'!AA23=2,(('14'!Z23*'14'!$AS$7*'14'!$AT$7)/('14'!Y23*0.0036))))</f>
        <v>94.827142913650576</v>
      </c>
      <c r="AC23" s="56"/>
      <c r="AD23" s="18">
        <f>(('14'!AC23*'14'!$Q$10*1000000))/('14'!Y23*3600)</f>
        <v>0</v>
      </c>
      <c r="AE23" s="278">
        <v>3500</v>
      </c>
      <c r="AF23" s="182">
        <f>('14'!AE23/24)*0.454</f>
        <v>66.208333333333343</v>
      </c>
      <c r="AG23" s="19">
        <v>500</v>
      </c>
      <c r="AH23" s="182">
        <f>('14'!AG23/24)*0.454</f>
        <v>9.4583333333333339</v>
      </c>
      <c r="AI23" s="180">
        <v>2600</v>
      </c>
      <c r="AJ23" s="182">
        <f>('14'!AI23/24)*0.454</f>
        <v>49.18333333333333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2814</v>
      </c>
      <c r="Z24" s="171">
        <v>1442</v>
      </c>
      <c r="AA24" s="15">
        <v>1</v>
      </c>
      <c r="AB24" s="56">
        <f>IF('14'!AA24=1,(('14'!Z24*'14'!$AS$6*'14'!$AT$6)/('14'!Y24*0.0036)),IF('14'!AA24=2,(('14'!Z24*'14'!$AS$7*'14'!$AT$7)/('14'!Y24*0.0036))))</f>
        <v>94.658651188501949</v>
      </c>
      <c r="AC24" s="16"/>
      <c r="AD24" s="192">
        <f>(('14'!AC24*'14'!$Q$10*1000000))/('14'!Y24*3600)</f>
        <v>0</v>
      </c>
      <c r="AE24" s="278">
        <v>3500</v>
      </c>
      <c r="AF24" s="193">
        <f>('14'!AE24/24)*0.454</f>
        <v>66.208333333333343</v>
      </c>
      <c r="AG24" s="19">
        <v>500</v>
      </c>
      <c r="AH24" s="193">
        <f>('14'!AG24/24)*0.454</f>
        <v>9.4583333333333339</v>
      </c>
      <c r="AI24" s="180">
        <v>2600</v>
      </c>
      <c r="AJ24" s="193">
        <f>('14'!AI24/24)*0.454</f>
        <v>49.18333333333333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 t="s">
        <v>441</v>
      </c>
      <c r="C25" s="258">
        <v>5</v>
      </c>
      <c r="D25" s="258">
        <v>5</v>
      </c>
      <c r="E25" s="197">
        <v>1.06</v>
      </c>
      <c r="F25" s="197">
        <v>1.19</v>
      </c>
      <c r="G25" s="197" t="s">
        <v>441</v>
      </c>
      <c r="H25" s="197">
        <v>0.97</v>
      </c>
      <c r="I25" s="197">
        <v>1</v>
      </c>
      <c r="J25" s="197" t="s">
        <v>441</v>
      </c>
      <c r="K25" s="197">
        <v>1.1200000000000001</v>
      </c>
      <c r="L25" s="197">
        <v>0.83</v>
      </c>
      <c r="M25" s="197">
        <v>6</v>
      </c>
      <c r="N25" s="197">
        <v>0.81</v>
      </c>
      <c r="O25" s="197">
        <v>0.79</v>
      </c>
      <c r="P25" s="197" t="s">
        <v>441</v>
      </c>
      <c r="Q25" s="197" t="s">
        <v>441</v>
      </c>
      <c r="R25" s="63" t="e">
        <f>#DIV/0!</f>
        <v>#DIV/0!</v>
      </c>
      <c r="S25" s="64"/>
      <c r="T25" s="1076" t="s">
        <v>0</v>
      </c>
      <c r="U25" s="1047">
        <f>ESCALA!$A$16</f>
        <v>44330</v>
      </c>
      <c r="X25" s="13">
        <v>0.83333333333333304</v>
      </c>
      <c r="Y25" s="171">
        <v>2862</v>
      </c>
      <c r="Z25" s="171">
        <v>1442</v>
      </c>
      <c r="AA25" s="15">
        <v>1</v>
      </c>
      <c r="AB25" s="56">
        <f>IF('14'!AA25=1,(('14'!Z25*'14'!$AS$6*'14'!$AT$6)/('14'!Y25*0.0036)),IF('14'!AA25=2,(('14'!Z25*'14'!$AS$7*'14'!$AT$7)/('14'!Y25*0.0036))))</f>
        <v>93.071084711545936</v>
      </c>
      <c r="AC25" s="56"/>
      <c r="AD25" s="18">
        <f>(('14'!AC25*'14'!$Q$10*1000000))/('14'!Y25*3600)</f>
        <v>0</v>
      </c>
      <c r="AE25" s="278">
        <v>3500</v>
      </c>
      <c r="AF25" s="182">
        <f>('14'!AE25/24)*0.454</f>
        <v>66.208333333333343</v>
      </c>
      <c r="AG25" s="19">
        <v>500</v>
      </c>
      <c r="AH25" s="182">
        <f>('14'!AG25/24)*0.454</f>
        <v>9.4583333333333339</v>
      </c>
      <c r="AI25" s="180">
        <v>2600</v>
      </c>
      <c r="AJ25" s="182">
        <f>('14'!AI25/24)*0.454</f>
        <v>49.18333333333333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/>
      <c r="C26" s="258"/>
      <c r="D26" s="280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281"/>
      <c r="T26" s="1076"/>
      <c r="U26" s="1047"/>
      <c r="X26" s="13">
        <v>0.875</v>
      </c>
      <c r="Y26" s="171">
        <v>2923</v>
      </c>
      <c r="Z26" s="171">
        <v>1442</v>
      </c>
      <c r="AA26" s="15">
        <v>1</v>
      </c>
      <c r="AB26" s="56">
        <f>IF('14'!AA26=1,(('14'!Z26*'14'!$AS$6*'14'!$AT$6)/('14'!Y26*0.0036)),IF('14'!AA26=2,(('14'!Z26*'14'!$AS$7*'14'!$AT$7)/('14'!Y26*0.0036))))</f>
        <v>91.128787014862965</v>
      </c>
      <c r="AC26" s="56"/>
      <c r="AD26" s="18">
        <f>(('14'!AC26*'14'!$Q$10*1000000))/('14'!Y26*3600)</f>
        <v>0</v>
      </c>
      <c r="AE26" s="278">
        <v>3500</v>
      </c>
      <c r="AF26" s="182">
        <f>('14'!AE26/24)*0.454</f>
        <v>66.208333333333343</v>
      </c>
      <c r="AG26" s="19">
        <v>500</v>
      </c>
      <c r="AH26" s="182">
        <f>('14'!AG26/24)*0.454</f>
        <v>9.4583333333333339</v>
      </c>
      <c r="AI26" s="180">
        <v>2600</v>
      </c>
      <c r="AJ26" s="182">
        <f>('14'!AI26/24)*0.454</f>
        <v>49.18333333333333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v>
      </c>
      <c r="Z27" s="171">
        <v>1442</v>
      </c>
      <c r="AA27" s="15">
        <v>1</v>
      </c>
      <c r="AB27" s="56">
        <f>IF('14'!AA27=1,(('14'!Z27*'14'!$AS$6*'14'!$AT$6)/('14'!Y27*0.0036)),IF('14'!AA27=2,(('14'!Z27*'14'!$AS$7*'14'!$AT$7)/('14'!Y27*0.0036))))</f>
        <v>91.222412480974128</v>
      </c>
      <c r="AC27" s="56"/>
      <c r="AD27" s="18">
        <f>(('14'!AC27*'14'!$Q$10*1000000))/('14'!Y27*3600)</f>
        <v>0</v>
      </c>
      <c r="AE27" s="278">
        <v>3500</v>
      </c>
      <c r="AF27" s="182">
        <f>('14'!AE27/24)*0.454</f>
        <v>66.208333333333343</v>
      </c>
      <c r="AG27" s="19">
        <v>500</v>
      </c>
      <c r="AH27" s="182">
        <f>('14'!AG27/24)*0.454</f>
        <v>9.4583333333333339</v>
      </c>
      <c r="AI27" s="180">
        <v>2600</v>
      </c>
      <c r="AJ27" s="182">
        <f>('14'!AI27/24)*0.454</f>
        <v>49.18333333333333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2890</v>
      </c>
      <c r="Z28" s="171">
        <v>1442</v>
      </c>
      <c r="AA28" s="15">
        <v>1</v>
      </c>
      <c r="AB28" s="56">
        <f>IF('14'!AA28=1,(('14'!Z28*'14'!$AS$6*'14'!$AT$6)/('14'!Y28*0.0036)),IF('14'!AA28=2,(('14'!Z28*'14'!$AS$7*'14'!$AT$7)/('14'!Y28*0.0036))))</f>
        <v>92.169357939254141</v>
      </c>
      <c r="AC28" s="56"/>
      <c r="AD28" s="18">
        <f>(('14'!AC28*'14'!$Q$10*1000000))/('14'!Y28*3600)</f>
        <v>0</v>
      </c>
      <c r="AE28" s="278">
        <v>3500</v>
      </c>
      <c r="AF28" s="182">
        <f>('14'!AE28/24)*0.454</f>
        <v>66.208333333333343</v>
      </c>
      <c r="AG28" s="19">
        <v>500</v>
      </c>
      <c r="AH28" s="182">
        <f>('14'!AG28/24)*0.454</f>
        <v>9.4583333333333339</v>
      </c>
      <c r="AI28" s="180">
        <v>2600</v>
      </c>
      <c r="AJ28" s="182">
        <f>('14'!AI28/24)*0.454</f>
        <v>49.18333333333333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2865</v>
      </c>
      <c r="Z29" s="171">
        <v>1442</v>
      </c>
      <c r="AA29" s="15">
        <v>1</v>
      </c>
      <c r="AB29" s="56">
        <f>IF('14'!AA29=1,(('14'!Z29*'14'!$AS$6*'14'!$AT$6)/('14'!Y29*0.0036)),IF('14'!AA29=2,(('14'!Z29*'14'!$AS$7*'14'!$AT$7)/('14'!Y29*0.0036))))</f>
        <v>92.973628078340127</v>
      </c>
      <c r="AC29" s="56"/>
      <c r="AD29" s="18">
        <f>(('14'!AC29*'14'!$Q$10*1000000))/('14'!Y29*3600)</f>
        <v>0</v>
      </c>
      <c r="AE29" s="278">
        <v>3500</v>
      </c>
      <c r="AF29" s="182">
        <f>('14'!AE29/24)*0.454</f>
        <v>66.208333333333343</v>
      </c>
      <c r="AG29" s="19">
        <v>500</v>
      </c>
      <c r="AH29" s="182">
        <f>('14'!AG29/24)*0.454</f>
        <v>9.4583333333333339</v>
      </c>
      <c r="AI29" s="180">
        <v>2600</v>
      </c>
      <c r="AJ29" s="182">
        <f>('14'!AI29/24)*0.454</f>
        <v>49.18333333333333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SUM('14'!Y6:Y29)*3.6</f>
        <v>249058.80000000002</v>
      </c>
      <c r="Z30" s="282">
        <f>SUM('14'!Z6:Z29)</f>
        <v>36102</v>
      </c>
      <c r="AA30" s="76"/>
      <c r="AB30" s="77"/>
      <c r="AC30" s="76"/>
      <c r="AD30" s="77"/>
      <c r="AE30" s="33"/>
      <c r="AF30" s="182">
        <f>SUM('14'!AF6:AF29)</f>
        <v>1588.9999999999998</v>
      </c>
      <c r="AG30" s="33"/>
      <c r="AH30" s="182" t="e">
        <f>SUM('14'!AH6:AH29)</f>
        <v>#REF!</v>
      </c>
      <c r="AI30" s="182"/>
      <c r="AJ30" s="182" t="e">
        <f>SUM('14'!AJ6:AJ29)</f>
        <v>#REF!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SUMIF('14'!AA6:AA29,"=1",'14'!Z6:Z29)</f>
        <v>36102</v>
      </c>
      <c r="AA32" s="80">
        <f>'14'!Z32*'14'!AS6</f>
        <v>48015.66</v>
      </c>
      <c r="AB32" s="81" t="e">
        <f>SUMIF('14'!$AA$6:$AA$29,"=1",'14'!$AB$6:$AB$29)/COUNTIF('14'!$AA$6:$AA$29,"=1")</f>
        <v>#REF!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AVERAGE('14'!Y6:Y29)</f>
        <v>2882.625</v>
      </c>
      <c r="Z34" s="94">
        <f>AVERAGE('14'!Z6:Z29)</f>
        <v>1504.25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66.208333333333329</v>
      </c>
      <c r="AG34" s="96"/>
      <c r="AH34" s="96" t="e">
        <f>AVERAGE('14'!AH6:AH29)</f>
        <v>#REF!</v>
      </c>
      <c r="AI34" s="96"/>
      <c r="AJ34" s="96" t="e">
        <f>'14'!AJ30/24</f>
        <v>#REF!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63.7</v>
      </c>
      <c r="D37" s="184">
        <v>19.899999999999999</v>
      </c>
      <c r="E37" s="184">
        <v>11.9</v>
      </c>
      <c r="F37" s="184">
        <v>2.8</v>
      </c>
      <c r="G37" s="184">
        <v>0.2</v>
      </c>
      <c r="H37" s="184">
        <v>0.1</v>
      </c>
      <c r="I37" s="181">
        <v>0.2</v>
      </c>
      <c r="J37" s="181">
        <v>0.06</v>
      </c>
      <c r="K37" s="181">
        <v>0.03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33">
        <f>'14'!V12</f>
        <v>0</v>
      </c>
      <c r="X37" s="956" t="s">
        <v>75</v>
      </c>
      <c r="Y37" s="956"/>
      <c r="Z37" s="108">
        <f>COUNTA('14'!Z6:Z29)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 t="e">
        <f>SUM('14'!AF30+'14'!AH30)</f>
        <v>#REF!</v>
      </c>
      <c r="AL38" s="208" t="s">
        <v>78</v>
      </c>
      <c r="AM38" s="210">
        <f>SUM('14'!AL30+'14'!AN30)</f>
        <v>0</v>
      </c>
      <c r="AO38" s="208" t="s">
        <v>78</v>
      </c>
      <c r="AP38" s="209" t="e">
        <f>AJ30</f>
        <v>#REF!</v>
      </c>
      <c r="AQ38" s="208" t="s">
        <v>78</v>
      </c>
      <c r="AR38" s="210">
        <f>'14'!AP30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283"/>
      <c r="X39" s="110"/>
      <c r="Y39" s="110"/>
      <c r="Z39" s="111"/>
      <c r="AA39" s="109"/>
      <c r="AB39" s="109"/>
      <c r="AJ39" s="211" t="s">
        <v>86</v>
      </c>
      <c r="AK39" s="212" t="e">
        <f>('14'!AK38/'14'!Y30)*1000</f>
        <v>#REF!</v>
      </c>
      <c r="AL39" s="213" t="s">
        <v>86</v>
      </c>
      <c r="AM39" s="214">
        <f>('14'!AM38/'14'!Y30)*1000</f>
        <v>0</v>
      </c>
      <c r="AO39" s="211" t="s">
        <v>86</v>
      </c>
      <c r="AP39" s="212" t="e">
        <f>('14'!AP38/'14'!Y30)*1000</f>
        <v>#REF!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284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 t="e">
        <f>SUM('14'!AK38,'14'!AM38)</f>
        <v>#REF!</v>
      </c>
      <c r="AM40" s="969"/>
      <c r="AO40" s="970" t="s">
        <v>90</v>
      </c>
      <c r="AP40" s="970"/>
      <c r="AQ40" s="971" t="e">
        <f>SUM('14'!AP38,'14'!AR38)</f>
        <v>#REF!</v>
      </c>
      <c r="AR40" s="971"/>
    </row>
    <row r="41" spans="1:44" ht="16.5" customHeight="1">
      <c r="A41" s="131">
        <f>COUNTA('14'!E7:E18)</f>
        <v>12</v>
      </c>
      <c r="B41" s="132">
        <f>COUNTA('14'!I7:I18)</f>
        <v>12</v>
      </c>
      <c r="C41" s="972">
        <f>COUNTA('14'!J7:J18)</f>
        <v>12</v>
      </c>
      <c r="D41" s="972">
        <f>COUNTA('14'!K7:K18)</f>
        <v>12</v>
      </c>
      <c r="E41" s="972">
        <f>COUNTIF('14'!E7:E18,"&gt;15")</f>
        <v>0</v>
      </c>
      <c r="F41" s="972"/>
      <c r="G41" s="972">
        <f>COUNTIF('14'!J7:J18,"&gt;1")</f>
        <v>4</v>
      </c>
      <c r="H41" s="972"/>
      <c r="I41" s="133"/>
      <c r="J41" s="972">
        <f>'14'!A41-'14'!E41</f>
        <v>12</v>
      </c>
      <c r="K41" s="972"/>
      <c r="L41" s="972">
        <f>'14'!C41-'14'!G41</f>
        <v>8</v>
      </c>
      <c r="M41" s="972"/>
      <c r="N41" s="133"/>
      <c r="O41" s="973">
        <f>COUNTIF('14'!J7:J18,"&lt;=0,5")</f>
        <v>0</v>
      </c>
      <c r="P41" s="973"/>
      <c r="Q41" s="973"/>
      <c r="R41" s="963"/>
      <c r="S41" s="974">
        <f>COUNTIF('14'!J7:J18,"&lt;=1,0")</f>
        <v>8</v>
      </c>
      <c r="T41" s="974"/>
      <c r="U41" s="134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 t="e">
        <f>SUM(('14'!AK38+'14'!AM38)/'14'!Y30)*1000</f>
        <v>#REF!</v>
      </c>
      <c r="AM41" s="975"/>
      <c r="AO41" s="970" t="s">
        <v>91</v>
      </c>
      <c r="AP41" s="970"/>
      <c r="AQ41" s="975" t="e">
        <f>SUM(('14'!AP38+'14'!AR38)/'14'!Y30)*1000</f>
        <v>#REF!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>
        <v>0</v>
      </c>
      <c r="AB44" s="142" t="s">
        <v>101</v>
      </c>
      <c r="AC44" s="143"/>
      <c r="AD44" s="982"/>
      <c r="AE44" s="982"/>
      <c r="AF44" s="983" t="s">
        <v>102</v>
      </c>
      <c r="AG44" s="984">
        <f>SUM('14'!Y45,'14'!AA45,'14'!AC45,'14'!AE45)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.75" customHeight="1">
      <c r="H45" s="986">
        <f>COUNTIF('14'!I7:I18,"&lt;=5,0")</f>
        <v>12</v>
      </c>
      <c r="I45" s="986"/>
      <c r="J45" s="986"/>
      <c r="K45" s="133"/>
      <c r="L45" s="968">
        <f>COUNTA('14'!L37)</f>
        <v>1</v>
      </c>
      <c r="M45" s="968"/>
      <c r="O45" s="144"/>
      <c r="P45" s="145"/>
      <c r="Q45" s="987">
        <f>'14'!S41-'14'!O41</f>
        <v>8</v>
      </c>
      <c r="R45" s="987"/>
      <c r="S45" s="987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3"/>
      <c r="AG45" s="984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89" t="s">
        <v>106</v>
      </c>
      <c r="AG46" s="990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COUNTA('14'!O7:O18)</f>
        <v>12</v>
      </c>
      <c r="P51" s="968">
        <f>COUNTA('14'!W17:W28)</f>
        <v>0</v>
      </c>
      <c r="R51" s="986">
        <f>COUNTIF('14'!O7:O18,"&gt;=0,5")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SUM('14'!Y53,'14'!AA53,'14'!AC53,'14'!AE53)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>
        <v>0</v>
      </c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'14'!AS7</f>
        <v>1.262</v>
      </c>
      <c r="Z54" s="151" t="s">
        <v>105</v>
      </c>
      <c r="AA54" s="153">
        <f>'14'!Y54</f>
        <v>1.262</v>
      </c>
      <c r="AB54" s="151" t="s">
        <v>105</v>
      </c>
      <c r="AC54" s="153">
        <f>'14'!Y54</f>
        <v>1.262</v>
      </c>
      <c r="AD54" s="151" t="s">
        <v>105</v>
      </c>
      <c r="AE54" s="154">
        <f>'14'!Y54</f>
        <v>1.262</v>
      </c>
      <c r="AF54" s="989" t="s">
        <v>106</v>
      </c>
      <c r="AG54" s="990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COUNTA('14'!N8:N18)</f>
        <v>11</v>
      </c>
      <c r="P57" s="997"/>
      <c r="R57" s="998">
        <f>COUNTIF('14'!N8:N18,"&gt;=6")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  <c r="AK58">
        <v>1</v>
      </c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75">
        <f>AA32</f>
        <v>48015.66</v>
      </c>
      <c r="AR62" s="1075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-48015.66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'13'!$Y$69</f>
        <v>-18349.166666666668</v>
      </c>
      <c r="Z65" s="1007"/>
      <c r="AA65" s="1007"/>
      <c r="AB65" s="174" t="s">
        <v>126</v>
      </c>
      <c r="AC65" s="238">
        <f>'13'!$AC$69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 t="e">
        <f>SUM('14'!AK38,'14'!AP38)</f>
        <v>#REF!</v>
      </c>
      <c r="Z67" s="1007"/>
      <c r="AA67" s="1007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 t="e">
        <f>SUM('14'!Y63,'14'!Y65)-'14'!Y67</f>
        <v>#REF!</v>
      </c>
      <c r="Z68" s="1007"/>
      <c r="AA68" s="1007"/>
      <c r="AB68" s="170" t="s">
        <v>128</v>
      </c>
      <c r="AC68" s="178">
        <f>SUM('14'!AC63,'14'!AC65)-'14'!AC67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I13" sqref="AI13:AI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77" t="s">
        <v>5</v>
      </c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77"/>
      <c r="E3" s="1077"/>
      <c r="F3" s="1077"/>
      <c r="G3" s="1077"/>
      <c r="H3" s="1077"/>
      <c r="I3" s="1077"/>
      <c r="J3" s="1077"/>
      <c r="K3" s="1077"/>
      <c r="L3" s="1077"/>
      <c r="M3" s="1077"/>
      <c r="N3" s="1077"/>
      <c r="O3" s="1077"/>
      <c r="P3" s="1077"/>
      <c r="Q3" s="1077"/>
      <c r="R3" s="1077"/>
      <c r="S3" s="1077"/>
      <c r="T3" s="1077"/>
      <c r="U3" s="107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1078" t="s">
        <v>12</v>
      </c>
      <c r="S4" s="1078"/>
      <c r="T4" s="92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1078"/>
      <c r="S5" s="1078"/>
      <c r="T5" s="92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3.9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71">
        <v>2794</v>
      </c>
      <c r="Z6" s="267">
        <v>1442</v>
      </c>
      <c r="AA6" s="15">
        <v>1</v>
      </c>
      <c r="AB6" s="56">
        <f>IF('15'!AA6=1,(('15'!Z6*'15'!$AS$6*'15'!$AT$6)/('15'!Y6*0.0036)),IF('15'!AA6=2,(('15'!Z6*'15'!$AS$7*'15'!$AT$7)/('15'!Y6*0.0036))))</f>
        <v>95.336236379543479</v>
      </c>
      <c r="AC6" s="56"/>
      <c r="AD6" s="18">
        <f>(('15'!AC6*'15'!$Q$10*1000000))/('15'!Y6*3600)</f>
        <v>0</v>
      </c>
      <c r="AE6" s="181">
        <v>3000</v>
      </c>
      <c r="AF6" s="182">
        <f>('15'!AE6/24)*0.454</f>
        <v>56.75</v>
      </c>
      <c r="AG6" s="19">
        <v>500</v>
      </c>
      <c r="AH6" s="182">
        <f>('15'!AG6/24)*0.454</f>
        <v>9.4583333333333339</v>
      </c>
      <c r="AI6" s="181">
        <v>2600</v>
      </c>
      <c r="AJ6" s="182">
        <f>('15'!AI6/24)*0.454</f>
        <v>49.18333333333333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240</v>
      </c>
      <c r="C7" s="184">
        <v>5</v>
      </c>
      <c r="D7" s="184">
        <v>5</v>
      </c>
      <c r="E7" s="184">
        <v>2.5</v>
      </c>
      <c r="F7" s="184">
        <v>44</v>
      </c>
      <c r="G7" s="184">
        <v>2</v>
      </c>
      <c r="H7" s="184">
        <v>2.9</v>
      </c>
      <c r="I7" s="184">
        <v>1.1000000000000001</v>
      </c>
      <c r="J7" s="184">
        <v>1.3</v>
      </c>
      <c r="K7" s="184">
        <v>7.3</v>
      </c>
      <c r="L7" s="184">
        <v>6</v>
      </c>
      <c r="M7" s="184">
        <v>6</v>
      </c>
      <c r="N7" s="184">
        <v>5.8</v>
      </c>
      <c r="O7" s="184">
        <v>3.2</v>
      </c>
      <c r="P7" s="184">
        <v>0.8</v>
      </c>
      <c r="Q7" s="186">
        <v>1.5</v>
      </c>
      <c r="R7" s="36">
        <f>'14'!$Z$29</f>
        <v>1442</v>
      </c>
      <c r="S7" s="185">
        <f>'14'!$AB$29</f>
        <v>92.973628078340127</v>
      </c>
      <c r="T7" s="36">
        <f>'14'!$Y$29</f>
        <v>2865</v>
      </c>
      <c r="U7" s="32" t="str">
        <f>IF('15'!AA6=1,'15'!AR6,'15'!AR7)</f>
        <v>S.A.L</v>
      </c>
      <c r="V7" s="1016">
        <f>ESCALA!$C$16</f>
        <v>0</v>
      </c>
      <c r="W7" s="1016"/>
      <c r="X7" s="13">
        <v>8.3333333333333301E-2</v>
      </c>
      <c r="Y7" s="171">
        <v>1442</v>
      </c>
      <c r="Z7" s="267">
        <v>1442</v>
      </c>
      <c r="AA7" s="15">
        <v>1</v>
      </c>
      <c r="AB7" s="56">
        <f>IF('15'!AA7=1,(('15'!Z7*'15'!$AS$6*'15'!$AT$6)/('15'!Y7*0.0036)),IF('15'!AA7=2,(('15'!Z7*'15'!$AS$7*'15'!$AT$7)/('15'!Y7*0.0036))))</f>
        <v>184.72222222222223</v>
      </c>
      <c r="AC7" s="56"/>
      <c r="AD7" s="18">
        <f>(('15'!AC7*'15'!$Q$10*1000000))/('15'!Y7*3600)</f>
        <v>0</v>
      </c>
      <c r="AE7" s="181">
        <v>3000</v>
      </c>
      <c r="AF7" s="182">
        <f>('15'!AE7/24)*0.454</f>
        <v>56.75</v>
      </c>
      <c r="AG7" s="19">
        <v>500</v>
      </c>
      <c r="AH7" s="182">
        <f>('15'!AG7/24)*0.454</f>
        <v>9.4583333333333339</v>
      </c>
      <c r="AI7" s="181">
        <v>2600</v>
      </c>
      <c r="AJ7" s="182">
        <f>('15'!AI7/24)*0.454</f>
        <v>49.18333333333333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240</v>
      </c>
      <c r="C8" s="184">
        <v>5</v>
      </c>
      <c r="D8" s="184">
        <v>5</v>
      </c>
      <c r="E8" s="184">
        <v>2.5</v>
      </c>
      <c r="F8" s="184">
        <v>45</v>
      </c>
      <c r="G8" s="184">
        <v>1.9</v>
      </c>
      <c r="H8" s="184">
        <v>2.7</v>
      </c>
      <c r="I8" s="184">
        <v>0.9</v>
      </c>
      <c r="J8" s="184">
        <v>1.3</v>
      </c>
      <c r="K8" s="184">
        <v>7.3</v>
      </c>
      <c r="L8" s="184">
        <v>6</v>
      </c>
      <c r="M8" s="184">
        <v>6</v>
      </c>
      <c r="N8" s="184">
        <v>5.8</v>
      </c>
      <c r="O8" s="184">
        <v>3.5</v>
      </c>
      <c r="P8" s="184">
        <v>1.5</v>
      </c>
      <c r="Q8" s="186">
        <v>2</v>
      </c>
      <c r="R8" s="34">
        <f>'15'!Z7</f>
        <v>1442</v>
      </c>
      <c r="S8" s="35">
        <f>'15'!AB7</f>
        <v>184.72222222222223</v>
      </c>
      <c r="T8" s="36">
        <f>'15'!Y8</f>
        <v>2894</v>
      </c>
      <c r="U8" s="32" t="str">
        <f>IF('15'!AA7=1,'15'!AR6,'15'!AR7)</f>
        <v>S.A.L</v>
      </c>
      <c r="V8" s="1016"/>
      <c r="W8" s="1016"/>
      <c r="X8" s="13">
        <v>0.125</v>
      </c>
      <c r="Y8" s="171">
        <v>2894</v>
      </c>
      <c r="Z8" s="267">
        <v>1442</v>
      </c>
      <c r="AA8" s="15">
        <v>1</v>
      </c>
      <c r="AB8" s="56">
        <f>IF('15'!AA8=1,(('15'!Z8*'15'!$AS$6*'15'!$AT$6)/('15'!Y8*0.0036)),IF('15'!AA8=2,(('15'!Z8*'15'!$AS$7*'15'!$AT$7)/('15'!Y8*0.0036))))</f>
        <v>92.041964217154273</v>
      </c>
      <c r="AC8" s="56"/>
      <c r="AD8" s="18">
        <f>(('15'!AC8*'15'!$Q$10*1000000))/('15'!Y8*3600)</f>
        <v>0</v>
      </c>
      <c r="AE8" s="181">
        <v>3000</v>
      </c>
      <c r="AF8" s="182">
        <f>('15'!AE8/24)*0.454</f>
        <v>56.75</v>
      </c>
      <c r="AG8" s="19">
        <v>500</v>
      </c>
      <c r="AH8" s="182">
        <f>('15'!AG8/24)*0.454</f>
        <v>9.4583333333333339</v>
      </c>
      <c r="AI8" s="181">
        <v>2600</v>
      </c>
      <c r="AJ8" s="182">
        <f>('15'!AI8/24)*0.454</f>
        <v>49.18333333333333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5" t="s">
        <v>50</v>
      </c>
      <c r="AR8" s="935"/>
      <c r="AS8" s="935"/>
      <c r="AT8" s="935"/>
    </row>
    <row r="9" spans="1:47" ht="15" customHeight="1">
      <c r="A9" s="28">
        <v>0.16666666666666699</v>
      </c>
      <c r="B9" s="184">
        <v>240</v>
      </c>
      <c r="C9" s="184">
        <v>5</v>
      </c>
      <c r="D9" s="184">
        <v>5</v>
      </c>
      <c r="E9" s="184">
        <v>2.5</v>
      </c>
      <c r="F9" s="184">
        <v>42</v>
      </c>
      <c r="G9" s="184">
        <v>2</v>
      </c>
      <c r="H9" s="184">
        <v>2.8</v>
      </c>
      <c r="I9" s="184">
        <v>0.8</v>
      </c>
      <c r="J9" s="184">
        <v>1.1000000000000001</v>
      </c>
      <c r="K9" s="184">
        <v>7.3</v>
      </c>
      <c r="L9" s="184">
        <v>6</v>
      </c>
      <c r="M9" s="184">
        <v>6</v>
      </c>
      <c r="N9" s="184">
        <v>5.8</v>
      </c>
      <c r="O9" s="184">
        <v>3.5</v>
      </c>
      <c r="P9" s="184">
        <v>2</v>
      </c>
      <c r="Q9" s="186">
        <v>2</v>
      </c>
      <c r="R9" s="279">
        <f>'15'!Z9</f>
        <v>1442</v>
      </c>
      <c r="S9" s="35">
        <f>'15'!AB9</f>
        <v>93.430180443509101</v>
      </c>
      <c r="T9" s="36">
        <f>'15'!Y10</f>
        <v>2865</v>
      </c>
      <c r="U9" s="32" t="str">
        <f>IF('15'!AA9=1,'15'!AR6,'15'!AR7)</f>
        <v>S.A.L</v>
      </c>
      <c r="V9" s="1016"/>
      <c r="W9" s="1016"/>
      <c r="X9" s="13">
        <v>0.16666666666666699</v>
      </c>
      <c r="Y9" s="171">
        <v>2851</v>
      </c>
      <c r="Z9" s="267">
        <v>1442</v>
      </c>
      <c r="AA9" s="15">
        <v>1</v>
      </c>
      <c r="AB9" s="56">
        <f>IF('15'!AA9=1,(('15'!Z9*'15'!$AS$6*'15'!$AT$6)/('15'!Y9*0.0036)),IF('15'!AA9=2,(('15'!Z9*'15'!$AS$7*'15'!$AT$7)/('15'!Y9*0.0036))))</f>
        <v>93.430180443509101</v>
      </c>
      <c r="AC9" s="56"/>
      <c r="AD9" s="18">
        <f>(('15'!AC9*'15'!$Q$10*1000000))/('15'!Y9*3600)</f>
        <v>0</v>
      </c>
      <c r="AE9" s="181">
        <v>3000</v>
      </c>
      <c r="AF9" s="182">
        <f>('15'!AE9/24)*0.454</f>
        <v>56.75</v>
      </c>
      <c r="AG9" s="19">
        <v>500</v>
      </c>
      <c r="AH9" s="182">
        <f>('15'!AG9/24)*0.454</f>
        <v>9.4583333333333339</v>
      </c>
      <c r="AI9" s="181">
        <v>2600</v>
      </c>
      <c r="AJ9" s="182">
        <f>('15'!AI9/24)*0.454</f>
        <v>49.18333333333333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6" t="s">
        <v>37</v>
      </c>
      <c r="AR9" s="936"/>
      <c r="AS9" s="936"/>
      <c r="AT9" s="37" t="s">
        <v>39</v>
      </c>
    </row>
    <row r="10" spans="1:47" ht="15" customHeight="1">
      <c r="A10" s="28">
        <v>0.25</v>
      </c>
      <c r="B10" s="184">
        <v>240</v>
      </c>
      <c r="C10" s="184">
        <v>5</v>
      </c>
      <c r="D10" s="184">
        <v>5</v>
      </c>
      <c r="E10" s="184">
        <v>2.5</v>
      </c>
      <c r="F10" s="184">
        <v>42</v>
      </c>
      <c r="G10" s="184">
        <v>1.9</v>
      </c>
      <c r="H10" s="184">
        <v>2.9</v>
      </c>
      <c r="I10" s="184">
        <v>0.9</v>
      </c>
      <c r="J10" s="184">
        <v>1.2</v>
      </c>
      <c r="K10" s="184">
        <v>7.3</v>
      </c>
      <c r="L10" s="184">
        <v>6</v>
      </c>
      <c r="M10" s="184">
        <v>6</v>
      </c>
      <c r="N10" s="184">
        <v>5.8</v>
      </c>
      <c r="O10" s="184">
        <v>3.5</v>
      </c>
      <c r="P10" s="184">
        <v>2.5</v>
      </c>
      <c r="Q10" s="186">
        <v>2.5</v>
      </c>
      <c r="R10" s="279">
        <f>'15'!Z11</f>
        <v>1442</v>
      </c>
      <c r="S10" s="35">
        <f>'15'!AB11</f>
        <v>92.973628078340127</v>
      </c>
      <c r="T10" s="36">
        <f>'15'!Y12</f>
        <v>2704</v>
      </c>
      <c r="U10" s="32" t="str">
        <f>IF('15'!AA11=1,'15'!AR6,'15'!AR7)</f>
        <v>S.A.L</v>
      </c>
      <c r="V10" s="1016"/>
      <c r="W10" s="1016"/>
      <c r="X10" s="13">
        <v>0.20833333333333301</v>
      </c>
      <c r="Y10" s="171">
        <v>2865</v>
      </c>
      <c r="Z10" s="267">
        <v>1442</v>
      </c>
      <c r="AA10" s="15">
        <v>1</v>
      </c>
      <c r="AB10" s="56">
        <f>IF('15'!AA10=1,(('15'!Z10*'15'!$AS$6*'15'!$AT$6)/('15'!Y10*0.0036)),IF('15'!AA10=2,(('15'!Z10*'15'!$AS$7*'15'!$AT$7)/('15'!Y10*0.0036))))</f>
        <v>92.973628078340127</v>
      </c>
      <c r="AC10" s="56"/>
      <c r="AD10" s="18">
        <f>(('15'!AC10*'15'!$Q$10*1000000))/('15'!Y10*3600)</f>
        <v>0</v>
      </c>
      <c r="AE10" s="181">
        <v>3000</v>
      </c>
      <c r="AF10" s="182">
        <f>('15'!AE10/24)*0.454</f>
        <v>56.75</v>
      </c>
      <c r="AG10" s="19">
        <v>500</v>
      </c>
      <c r="AH10" s="182">
        <f>('15'!AG10/24)*0.454</f>
        <v>9.4583333333333339</v>
      </c>
      <c r="AI10" s="181">
        <v>2600</v>
      </c>
      <c r="AJ10" s="182">
        <f>('15'!AI10/24)*0.454</f>
        <v>49.18333333333333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37" t="s">
        <v>51</v>
      </c>
      <c r="AR10" s="937"/>
      <c r="AS10" s="937"/>
      <c r="AT10" s="39">
        <v>2E-3</v>
      </c>
    </row>
    <row r="11" spans="1:47" ht="15" customHeight="1">
      <c r="A11" s="28">
        <v>0.33333333333333298</v>
      </c>
      <c r="B11" s="184">
        <v>240</v>
      </c>
      <c r="C11" s="184">
        <v>5</v>
      </c>
      <c r="D11" s="184">
        <v>5</v>
      </c>
      <c r="E11" s="184">
        <v>2.5</v>
      </c>
      <c r="F11" s="184">
        <v>40</v>
      </c>
      <c r="G11" s="184">
        <v>1.5</v>
      </c>
      <c r="H11" s="184">
        <v>2.4</v>
      </c>
      <c r="I11" s="184">
        <v>0.7</v>
      </c>
      <c r="J11" s="184">
        <v>0.8</v>
      </c>
      <c r="K11" s="184">
        <v>7.3</v>
      </c>
      <c r="L11" s="184">
        <v>6</v>
      </c>
      <c r="M11" s="184">
        <v>6</v>
      </c>
      <c r="N11" s="184">
        <v>5.8</v>
      </c>
      <c r="O11" s="184">
        <v>3.5</v>
      </c>
      <c r="P11" s="184">
        <v>1.5</v>
      </c>
      <c r="Q11" s="186">
        <v>2</v>
      </c>
      <c r="R11" s="279">
        <f>'15'!Z13</f>
        <v>1442</v>
      </c>
      <c r="S11" s="35">
        <f>'15'!AB13</f>
        <v>95.95441082292669</v>
      </c>
      <c r="T11" s="36">
        <f>'15'!Y14</f>
        <v>2754</v>
      </c>
      <c r="U11" s="32" t="str">
        <f>IF('15'!AA13=1,'15'!AR6,'15'!AR7)</f>
        <v>S.A.L</v>
      </c>
      <c r="V11" s="1016"/>
      <c r="W11" s="1016"/>
      <c r="X11" s="13">
        <v>0.25</v>
      </c>
      <c r="Y11" s="171">
        <v>2865</v>
      </c>
      <c r="Z11" s="267">
        <v>1442</v>
      </c>
      <c r="AA11" s="15">
        <v>1</v>
      </c>
      <c r="AB11" s="56">
        <f>IF('15'!AA11=1,(('15'!Z11*'15'!$AS$6*'15'!$AT$6)/('15'!Y11*0.0036)),IF('15'!AA11=2,(('15'!Z11*'15'!$AS$7*'15'!$AT$7)/('15'!Y11*0.0036))))</f>
        <v>92.973628078340127</v>
      </c>
      <c r="AC11" s="56"/>
      <c r="AD11" s="18">
        <f>(('15'!AC11*'15'!$Q$10*1000000))/('15'!Y11*3600)</f>
        <v>0</v>
      </c>
      <c r="AE11" s="181">
        <v>3000</v>
      </c>
      <c r="AF11" s="182">
        <f>('15'!AE11/24)*0.454</f>
        <v>56.75</v>
      </c>
      <c r="AG11" s="19">
        <v>500</v>
      </c>
      <c r="AH11" s="182">
        <f>('15'!AG11/24)*0.454</f>
        <v>9.4583333333333339</v>
      </c>
      <c r="AI11" s="181">
        <v>2600</v>
      </c>
      <c r="AJ11" s="182">
        <f>('15'!AI11/24)*0.454</f>
        <v>49.18333333333333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240</v>
      </c>
      <c r="C12" s="184">
        <v>5</v>
      </c>
      <c r="D12" s="184">
        <v>5</v>
      </c>
      <c r="E12" s="184">
        <v>2.5</v>
      </c>
      <c r="F12" s="184">
        <v>38</v>
      </c>
      <c r="G12" s="184">
        <v>1.3</v>
      </c>
      <c r="H12" s="184">
        <v>2.2000000000000002</v>
      </c>
      <c r="I12" s="184">
        <v>0.73</v>
      </c>
      <c r="J12" s="184">
        <v>0.8</v>
      </c>
      <c r="K12" s="184">
        <v>7.3</v>
      </c>
      <c r="L12" s="184">
        <v>6</v>
      </c>
      <c r="M12" s="184">
        <v>6</v>
      </c>
      <c r="N12" s="184">
        <v>5.8</v>
      </c>
      <c r="O12" s="184">
        <v>3.5</v>
      </c>
      <c r="P12" s="184">
        <v>1.5</v>
      </c>
      <c r="Q12" s="186">
        <v>0</v>
      </c>
      <c r="R12" s="279">
        <f>'15'!Z15</f>
        <v>1442</v>
      </c>
      <c r="S12" s="35">
        <f>'15'!AB15</f>
        <v>91.567358007715526</v>
      </c>
      <c r="T12" s="36">
        <f>'15'!Y16</f>
        <v>2937</v>
      </c>
      <c r="U12" s="32" t="str">
        <f>IF('15'!AA15=1,'15'!AR6,'15'!AR7)</f>
        <v>S.A.L</v>
      </c>
      <c r="V12" s="938">
        <f>ESCALA!$B$17</f>
        <v>0</v>
      </c>
      <c r="W12" s="938"/>
      <c r="X12" s="13">
        <v>0.29166666666666702</v>
      </c>
      <c r="Y12" s="171">
        <v>2704</v>
      </c>
      <c r="Z12" s="267">
        <v>1442</v>
      </c>
      <c r="AA12" s="15">
        <v>1</v>
      </c>
      <c r="AB12" s="56">
        <f>IF('15'!AA12=1,(('15'!Z12*'15'!$AS$6*'15'!$AT$6)/('15'!Y12*0.0036)),IF('15'!AA12=2,(('15'!Z12*'15'!$AS$7*'15'!$AT$7)/('15'!Y12*0.0036))))</f>
        <v>98.509409927679172</v>
      </c>
      <c r="AC12" s="56"/>
      <c r="AD12" s="18">
        <f>(('15'!AC12*'15'!$Q$10*1000000))/('15'!Y12*3600)</f>
        <v>0</v>
      </c>
      <c r="AE12" s="181">
        <v>3000</v>
      </c>
      <c r="AF12" s="182">
        <f>('15'!AE12/24)*0.454</f>
        <v>56.75</v>
      </c>
      <c r="AG12" s="19">
        <v>500</v>
      </c>
      <c r="AH12" s="182">
        <f>('15'!AG12/24)*0.454</f>
        <v>9.4583333333333339</v>
      </c>
      <c r="AI12" s="181">
        <v>3000</v>
      </c>
      <c r="AJ12" s="182">
        <f>('15'!AI12/24)*0.454</f>
        <v>56.75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240</v>
      </c>
      <c r="C13" s="184">
        <v>5</v>
      </c>
      <c r="D13" s="184">
        <v>7.5</v>
      </c>
      <c r="E13" s="184">
        <v>2.5</v>
      </c>
      <c r="F13" s="184">
        <v>40</v>
      </c>
      <c r="G13" s="184">
        <v>1.3</v>
      </c>
      <c r="H13" s="184">
        <v>3.6</v>
      </c>
      <c r="I13" s="184">
        <v>0.7</v>
      </c>
      <c r="J13" s="184">
        <v>0.8</v>
      </c>
      <c r="K13" s="184">
        <v>7.3</v>
      </c>
      <c r="L13" s="184">
        <v>6</v>
      </c>
      <c r="M13" s="184">
        <v>6</v>
      </c>
      <c r="N13" s="184">
        <v>5.8</v>
      </c>
      <c r="O13" s="184">
        <v>3</v>
      </c>
      <c r="P13" s="184">
        <v>0.5</v>
      </c>
      <c r="Q13" s="186">
        <v>0</v>
      </c>
      <c r="R13" s="279">
        <f>'15'!Z17</f>
        <v>1442</v>
      </c>
      <c r="S13" s="35">
        <f>'15'!AB17</f>
        <v>109.48189249668907</v>
      </c>
      <c r="T13" s="36">
        <f>'15'!Y18</f>
        <v>2871</v>
      </c>
      <c r="U13" s="32" t="str">
        <f>IF('15'!AA17=1,'15'!AR6,'15'!AR7)</f>
        <v>S.A.L</v>
      </c>
      <c r="V13" s="938"/>
      <c r="W13" s="938"/>
      <c r="X13" s="13">
        <v>0.33333333333333298</v>
      </c>
      <c r="Y13" s="171">
        <v>2776</v>
      </c>
      <c r="Z13" s="267">
        <v>1442</v>
      </c>
      <c r="AA13" s="15">
        <v>1</v>
      </c>
      <c r="AB13" s="56">
        <f>IF('15'!AA13=1,(('15'!Z13*'15'!$AS$6*'15'!$AT$6)/('15'!Y13*0.0036)),IF('15'!AA13=2,(('15'!Z13*'15'!$AS$7*'15'!$AT$7)/('15'!Y13*0.0036))))</f>
        <v>95.95441082292669</v>
      </c>
      <c r="AC13" s="56"/>
      <c r="AD13" s="18">
        <f>(('15'!AC13*'15'!$Q$10*1000000))/('15'!Y13*3600)</f>
        <v>0</v>
      </c>
      <c r="AE13" s="181">
        <v>3000</v>
      </c>
      <c r="AF13" s="182">
        <f>('15'!AE13/24)*0.454</f>
        <v>56.75</v>
      </c>
      <c r="AG13" s="19">
        <v>500</v>
      </c>
      <c r="AH13" s="182">
        <f>('15'!AG13/24)*0.454</f>
        <v>9.4583333333333339</v>
      </c>
      <c r="AI13" s="181">
        <v>3000</v>
      </c>
      <c r="AJ13" s="182">
        <f>('15'!AI13/24)*0.454</f>
        <v>56.75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240</v>
      </c>
      <c r="C14" s="184">
        <v>5</v>
      </c>
      <c r="D14" s="184">
        <v>7.5</v>
      </c>
      <c r="E14" s="184">
        <v>2.5</v>
      </c>
      <c r="F14" s="184">
        <v>41</v>
      </c>
      <c r="G14" s="184">
        <v>1.5</v>
      </c>
      <c r="H14" s="184">
        <v>4.0999999999999996</v>
      </c>
      <c r="I14" s="184">
        <v>0.7</v>
      </c>
      <c r="J14" s="184">
        <v>0.9</v>
      </c>
      <c r="K14" s="184">
        <v>7.3</v>
      </c>
      <c r="L14" s="184">
        <v>6</v>
      </c>
      <c r="M14" s="184">
        <v>6</v>
      </c>
      <c r="N14" s="184">
        <v>5.8</v>
      </c>
      <c r="O14" s="184">
        <v>3</v>
      </c>
      <c r="P14" s="184">
        <v>0.5</v>
      </c>
      <c r="Q14" s="186">
        <v>0</v>
      </c>
      <c r="R14" s="279">
        <f>'15'!Z19</f>
        <v>1442</v>
      </c>
      <c r="S14" s="35">
        <f>'15'!AB19</f>
        <v>92.650241545893735</v>
      </c>
      <c r="T14" s="36">
        <f>'15'!Y20</f>
        <v>2878</v>
      </c>
      <c r="U14" s="32" t="str">
        <f>IF('15'!AA19=1,'15'!AR6,'15'!AR7)</f>
        <v>S.A.L</v>
      </c>
      <c r="V14" s="938"/>
      <c r="W14" s="938"/>
      <c r="X14" s="13">
        <v>0.375</v>
      </c>
      <c r="Y14" s="171">
        <v>2754</v>
      </c>
      <c r="Z14" s="267">
        <v>1442</v>
      </c>
      <c r="AA14" s="15">
        <v>1</v>
      </c>
      <c r="AB14" s="56">
        <f>IF('15'!AA14=1,(('15'!Z14*'15'!$AS$6*'15'!$AT$6)/('15'!Y14*0.0036)),IF('15'!AA14=2,(('15'!Z14*'15'!$AS$7*'15'!$AT$7)/('15'!Y14*0.0036))))</f>
        <v>96.72093117082224</v>
      </c>
      <c r="AC14" s="56"/>
      <c r="AD14" s="18">
        <f>(('15'!AC14*'15'!$Q$10*1000000))/('15'!Y14*3600)</f>
        <v>0</v>
      </c>
      <c r="AE14" s="181">
        <v>3000</v>
      </c>
      <c r="AF14" s="182">
        <f>('15'!AE14/24)*0.454</f>
        <v>56.75</v>
      </c>
      <c r="AG14" s="19">
        <v>500</v>
      </c>
      <c r="AH14" s="182">
        <f>('15'!AG14/24)*0.454</f>
        <v>9.4583333333333339</v>
      </c>
      <c r="AI14" s="181">
        <v>3000</v>
      </c>
      <c r="AJ14" s="182">
        <f>('15'!AI14/24)*0.454</f>
        <v>56.75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240</v>
      </c>
      <c r="C15" s="184">
        <v>5</v>
      </c>
      <c r="D15" s="184">
        <v>7.5</v>
      </c>
      <c r="E15" s="184">
        <v>2.5</v>
      </c>
      <c r="F15" s="184">
        <v>40</v>
      </c>
      <c r="G15" s="184">
        <v>1.7</v>
      </c>
      <c r="H15" s="184">
        <v>4.3</v>
      </c>
      <c r="I15" s="184">
        <v>0.8</v>
      </c>
      <c r="J15" s="184">
        <v>0.9</v>
      </c>
      <c r="K15" s="184">
        <v>7.3</v>
      </c>
      <c r="L15" s="184">
        <v>6</v>
      </c>
      <c r="M15" s="184">
        <v>6</v>
      </c>
      <c r="N15" s="184">
        <v>5.8</v>
      </c>
      <c r="O15" s="184">
        <v>3</v>
      </c>
      <c r="P15" s="184">
        <v>0.4</v>
      </c>
      <c r="Q15" s="186">
        <v>0.3</v>
      </c>
      <c r="R15" s="279">
        <f>'15'!Z21</f>
        <v>1442</v>
      </c>
      <c r="S15" s="35">
        <f>'15'!AB21</f>
        <v>93.136169386169399</v>
      </c>
      <c r="T15" s="36">
        <f>'15'!Y22</f>
        <v>2890</v>
      </c>
      <c r="U15" s="32" t="str">
        <f>IF('15'!AA21=1,'15'!AR6,'15'!AR7)</f>
        <v>S.A.L</v>
      </c>
      <c r="V15" s="938"/>
      <c r="W15" s="938"/>
      <c r="X15" s="13">
        <v>0.41666666666666702</v>
      </c>
      <c r="Y15" s="171">
        <v>2909</v>
      </c>
      <c r="Z15" s="267">
        <v>1442</v>
      </c>
      <c r="AA15" s="15">
        <v>1</v>
      </c>
      <c r="AB15" s="56">
        <f>IF('15'!AA15=1,(('15'!Z15*'15'!$AS$6*'15'!$AT$6)/('15'!Y15*0.0036)),IF('15'!AA15=2,(('15'!Z15*'15'!$AS$7*'15'!$AT$7)/('15'!Y15*0.0036))))</f>
        <v>91.567358007715526</v>
      </c>
      <c r="AC15" s="56"/>
      <c r="AD15" s="18">
        <f>(('15'!AC15*'15'!$Q$10*1000000))/('15'!Y15*3600)</f>
        <v>0</v>
      </c>
      <c r="AE15" s="181">
        <v>3000</v>
      </c>
      <c r="AF15" s="182">
        <f>('15'!AE15/24)*0.454</f>
        <v>56.75</v>
      </c>
      <c r="AG15" s="19">
        <v>500</v>
      </c>
      <c r="AH15" s="182">
        <f>('15'!AG15/24)*0.454</f>
        <v>9.4583333333333339</v>
      </c>
      <c r="AI15" s="181">
        <v>3000</v>
      </c>
      <c r="AJ15" s="182">
        <f>('15'!AI15/24)*0.454</f>
        <v>56.75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240</v>
      </c>
      <c r="C16" s="184">
        <v>5</v>
      </c>
      <c r="D16" s="184">
        <v>7.5</v>
      </c>
      <c r="E16" s="184">
        <v>2.5</v>
      </c>
      <c r="F16" s="184">
        <v>39</v>
      </c>
      <c r="G16" s="184">
        <v>1.6</v>
      </c>
      <c r="H16" s="184">
        <v>4.5999999999999996</v>
      </c>
      <c r="I16" s="184">
        <v>0.8</v>
      </c>
      <c r="J16" s="184">
        <v>0.9</v>
      </c>
      <c r="K16" s="184">
        <v>7.3</v>
      </c>
      <c r="L16" s="184">
        <v>6</v>
      </c>
      <c r="M16" s="184">
        <v>6</v>
      </c>
      <c r="N16" s="184">
        <v>5.8</v>
      </c>
      <c r="O16" s="184">
        <v>2.8</v>
      </c>
      <c r="P16" s="184">
        <v>0.2</v>
      </c>
      <c r="Q16" s="186">
        <v>0.4</v>
      </c>
      <c r="R16" s="279">
        <f>'15'!Z23</f>
        <v>1542</v>
      </c>
      <c r="S16" s="35">
        <f>'15'!AB23</f>
        <v>95.809507792353415</v>
      </c>
      <c r="T16" s="36">
        <f>'15'!Y24</f>
        <v>2890</v>
      </c>
      <c r="U16" s="32" t="str">
        <f>IF('15'!AA23=1,'15'!AR6,'15'!AR7)</f>
        <v>S.A.L</v>
      </c>
      <c r="V16" s="938"/>
      <c r="W16" s="938"/>
      <c r="X16" s="13">
        <v>0.45833333333333298</v>
      </c>
      <c r="Y16" s="171">
        <v>2937</v>
      </c>
      <c r="Z16" s="267">
        <v>1442</v>
      </c>
      <c r="AA16" s="15">
        <v>1</v>
      </c>
      <c r="AB16" s="56">
        <f>IF('15'!AA16=1,(('15'!Z16*'15'!$AS$6*'15'!$AT$6)/('15'!Y16*0.0036)),IF('15'!AA16=2,(('15'!Z16*'15'!$AS$7*'15'!$AT$7)/('15'!Y16*0.0036))))</f>
        <v>90.694397155071314</v>
      </c>
      <c r="AC16" s="56"/>
      <c r="AD16" s="18">
        <f>(('15'!AC16*'15'!$Q$10*1000000))/('15'!Y16*3600)</f>
        <v>0</v>
      </c>
      <c r="AE16" s="181">
        <v>3000</v>
      </c>
      <c r="AF16" s="182">
        <f>('15'!AE16/24)*0.454</f>
        <v>56.75</v>
      </c>
      <c r="AG16" s="19">
        <v>500</v>
      </c>
      <c r="AH16" s="182">
        <f>('15'!AG16/24)*0.454</f>
        <v>9.4583333333333339</v>
      </c>
      <c r="AI16" s="181">
        <v>3000</v>
      </c>
      <c r="AJ16" s="182">
        <f>('15'!AI16/24)*0.454</f>
        <v>56.75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240</v>
      </c>
      <c r="C17" s="184">
        <v>5</v>
      </c>
      <c r="D17" s="184">
        <v>7.5</v>
      </c>
      <c r="E17" s="184">
        <v>2.5</v>
      </c>
      <c r="F17" s="184">
        <v>38</v>
      </c>
      <c r="G17" s="184">
        <v>1.5</v>
      </c>
      <c r="H17" s="184">
        <v>4.8</v>
      </c>
      <c r="I17" s="184">
        <v>0.9</v>
      </c>
      <c r="J17" s="184">
        <v>0.9</v>
      </c>
      <c r="K17" s="184">
        <v>7.3</v>
      </c>
      <c r="L17" s="184">
        <v>6</v>
      </c>
      <c r="M17" s="184">
        <v>6</v>
      </c>
      <c r="N17" s="184">
        <v>5.8</v>
      </c>
      <c r="O17" s="184">
        <v>2.8</v>
      </c>
      <c r="P17" s="184">
        <v>0.2</v>
      </c>
      <c r="Q17" s="186">
        <v>0.6</v>
      </c>
      <c r="R17" s="279">
        <f>'15'!Z25</f>
        <v>1542</v>
      </c>
      <c r="S17" s="35">
        <f>'15'!AB25</f>
        <v>97.782927108364802</v>
      </c>
      <c r="T17" s="36">
        <f>'15'!Y26</f>
        <v>2938</v>
      </c>
      <c r="U17" s="32" t="str">
        <f>IF('15'!AA25=1,'15'!AR6,'15'!AR7)</f>
        <v>S.A.L</v>
      </c>
      <c r="V17" s="939">
        <f>ESCALA!$C$17</f>
        <v>0</v>
      </c>
      <c r="W17" s="939"/>
      <c r="X17" s="13">
        <v>0.5</v>
      </c>
      <c r="Y17" s="171">
        <v>2433</v>
      </c>
      <c r="Z17" s="267">
        <v>1442</v>
      </c>
      <c r="AA17" s="15">
        <v>1</v>
      </c>
      <c r="AB17" s="56">
        <f>IF('15'!AA17=1,(('15'!Z17*'15'!$AS$6*'15'!$AT$6)/('15'!Y17*0.0036)),IF('15'!AA17=2,(('15'!Z17*'15'!$AS$7*'15'!$AT$7)/('15'!Y17*0.0036))))</f>
        <v>109.48189249668907</v>
      </c>
      <c r="AC17" s="56"/>
      <c r="AD17" s="18">
        <f>(('15'!AC17*'15'!$Q$10*1000000))/('15'!Y17*3600)</f>
        <v>0</v>
      </c>
      <c r="AE17" s="181">
        <v>3000</v>
      </c>
      <c r="AF17" s="182">
        <f>('15'!AE17/24)*0.454</f>
        <v>56.75</v>
      </c>
      <c r="AG17" s="19">
        <v>500</v>
      </c>
      <c r="AH17" s="182">
        <f>('15'!AG17/24)*0.454</f>
        <v>9.4583333333333339</v>
      </c>
      <c r="AI17" s="181">
        <v>3000</v>
      </c>
      <c r="AJ17" s="182">
        <f>('15'!AI17/24)*0.454</f>
        <v>56.75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240</v>
      </c>
      <c r="C18" s="184">
        <v>5</v>
      </c>
      <c r="D18" s="184">
        <v>10</v>
      </c>
      <c r="E18" s="184">
        <v>2.5</v>
      </c>
      <c r="F18" s="184">
        <v>38</v>
      </c>
      <c r="G18" s="184">
        <v>1.5</v>
      </c>
      <c r="H18" s="184">
        <v>5.3</v>
      </c>
      <c r="I18" s="184">
        <v>0.9</v>
      </c>
      <c r="J18" s="184">
        <v>0.9</v>
      </c>
      <c r="K18" s="184">
        <v>7.3</v>
      </c>
      <c r="L18" s="184">
        <v>6</v>
      </c>
      <c r="M18" s="184">
        <v>6</v>
      </c>
      <c r="N18" s="184">
        <v>5.8</v>
      </c>
      <c r="O18" s="184">
        <v>2.8</v>
      </c>
      <c r="P18" s="184">
        <v>0.1</v>
      </c>
      <c r="Q18" s="186">
        <v>1.5</v>
      </c>
      <c r="R18" s="279">
        <f>'15'!Z27</f>
        <v>1542</v>
      </c>
      <c r="S18" s="35">
        <f>'15'!AB27</f>
        <v>97.917382834880257</v>
      </c>
      <c r="T18" s="36">
        <f>'15'!Y28</f>
        <v>2611</v>
      </c>
      <c r="U18" s="32" t="str">
        <f>IF('15'!AA27=1,'15'!AR6,'15'!AR7)</f>
        <v>S.A.L</v>
      </c>
      <c r="V18" s="939"/>
      <c r="W18" s="939"/>
      <c r="X18" s="13">
        <v>0.54166666666666696</v>
      </c>
      <c r="Y18" s="171">
        <v>2871</v>
      </c>
      <c r="Z18" s="267">
        <v>1442</v>
      </c>
      <c r="AA18" s="15">
        <v>1</v>
      </c>
      <c r="AB18" s="56">
        <f>IF('15'!AA18=1,(('15'!Z18*'15'!$AS$6*'15'!$AT$6)/('15'!Y18*0.0036)),IF('15'!AA18=2,(('15'!Z18*'15'!$AS$7*'15'!$AT$7)/('15'!Y18*0.0036))))</f>
        <v>92.779325825302848</v>
      </c>
      <c r="AC18" s="56"/>
      <c r="AD18" s="18">
        <f>(('15'!AC18*'15'!$Q$10*1000000))/('15'!Y18*3600)</f>
        <v>0</v>
      </c>
      <c r="AE18" s="181">
        <v>3000</v>
      </c>
      <c r="AF18" s="182">
        <f>('15'!AE18/24)*0.454</f>
        <v>56.75</v>
      </c>
      <c r="AG18" s="19">
        <v>500</v>
      </c>
      <c r="AH18" s="182">
        <f>('15'!AG18/24)*0.454</f>
        <v>9.4583333333333339</v>
      </c>
      <c r="AI18" s="181">
        <v>3000</v>
      </c>
      <c r="AJ18" s="182">
        <f>('15'!AI18/24)*0.454</f>
        <v>56.75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240</v>
      </c>
      <c r="C19" s="67">
        <f t="array" ref="C19">IF('15'!C7:C18&gt;0.01,AVERAGE('15'!C7:C18),"")</f>
        <v>5</v>
      </c>
      <c r="D19" s="67">
        <f t="array" ref="D19">IF('15'!D7:D18&gt;0.01,AVERAGE('15'!D7:D18),"")</f>
        <v>6.458333333333333</v>
      </c>
      <c r="E19" s="67">
        <f t="array" ref="E19">IF('15'!E7:E18&gt;0.01,AVERAGE('15'!E7:E18),"")</f>
        <v>2.5</v>
      </c>
      <c r="F19" s="67">
        <f t="array" ref="F19">IF('15'!F7:F18&gt;0.01,AVERAGE('15'!F7:F18),"")</f>
        <v>40.583333333333336</v>
      </c>
      <c r="G19" s="67">
        <f t="array" ref="G19">IF('15'!G7:G18&gt;0.01,AVERAGE('15'!G7:G18),"")</f>
        <v>1.6416666666666668</v>
      </c>
      <c r="H19" s="67">
        <f t="array" ref="H19">IF('15'!H7:H18&gt;0.01,AVERAGE('15'!H7:H18),"")</f>
        <v>3.5499999999999994</v>
      </c>
      <c r="I19" s="67">
        <f t="array" ref="I19">IF('15'!I7:I18&gt;0.01,AVERAGE('15'!I7:I18),"")</f>
        <v>0.82750000000000001</v>
      </c>
      <c r="J19" s="67">
        <f t="array" ref="J19">IF('15'!J7:J18&gt;0.01,AVERAGE('15'!J7:J18),"")</f>
        <v>0.98333333333333339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6</v>
      </c>
      <c r="M19" s="67">
        <f t="array" ref="M19">IF('15'!M7:M18&gt;0.01,AVERAGE('15'!M7:M18),"")</f>
        <v>6</v>
      </c>
      <c r="N19" s="67">
        <f t="array" ref="N19">IF('15'!N7:N18&gt;0.01,AVERAGE('15'!N7:N18),"")</f>
        <v>5.799999999999998</v>
      </c>
      <c r="O19" s="67">
        <f t="array" ref="O19">IF('15'!O7:O18&gt;0.01,AVERAGE('15'!O7:O18),"")</f>
        <v>3.1749999999999994</v>
      </c>
      <c r="P19" s="188">
        <f t="array" ref="P19">IF('15'!P7:P18&gt;0.01,AVERAGE('15'!P7:P18),"")</f>
        <v>0.97499999999999998</v>
      </c>
      <c r="Q19" s="189">
        <f t="array" ref="Q19">IF('15'!Q7:Q18&gt;0.01,AVERAGE('15'!Q7:Q18),"")</f>
        <v>1.0666666666666667</v>
      </c>
      <c r="R19" s="189">
        <f t="array" ref="R19">IF('15'!R7:R18&gt;0.01,AVERAGE('15'!R7:R18),"")</f>
        <v>1467</v>
      </c>
      <c r="S19" s="189">
        <f t="array" ref="S19">IF('15'!S7:S18&gt;0.01,AVERAGE('15'!S7:S18),"")</f>
        <v>103.19996240145038</v>
      </c>
      <c r="T19" s="940"/>
      <c r="U19" s="940"/>
      <c r="V19" s="47"/>
      <c r="W19" s="48"/>
      <c r="X19" s="13">
        <v>0.58333333333333304</v>
      </c>
      <c r="Y19" s="171">
        <v>2875</v>
      </c>
      <c r="Z19" s="267">
        <v>1442</v>
      </c>
      <c r="AA19" s="15">
        <v>1</v>
      </c>
      <c r="AB19" s="56">
        <f>IF('15'!AA19=1,(('15'!Z19*'15'!$AS$6*'15'!$AT$6)/('15'!Y19*0.0036)),IF('15'!AA19=2,(('15'!Z19*'15'!$AS$7*'15'!$AT$7)/('15'!Y19*0.0036))))</f>
        <v>92.650241545893735</v>
      </c>
      <c r="AC19" s="56"/>
      <c r="AD19" s="18">
        <f>(('15'!AC19*'15'!$Q$10*1000000))/('15'!Y19*3600)</f>
        <v>0</v>
      </c>
      <c r="AE19" s="181">
        <v>3000</v>
      </c>
      <c r="AF19" s="182">
        <f>('15'!AE19/24)*0.454</f>
        <v>56.75</v>
      </c>
      <c r="AG19" s="19">
        <v>500</v>
      </c>
      <c r="AH19" s="182">
        <f>('15'!AG19/24)*0.454</f>
        <v>9.4583333333333339</v>
      </c>
      <c r="AI19" s="181">
        <v>3000</v>
      </c>
      <c r="AJ19" s="182">
        <f>('15'!AI19/24)*0.454</f>
        <v>56.75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240</v>
      </c>
      <c r="C20" s="67">
        <f>MAX('15'!C7:C18)</f>
        <v>5</v>
      </c>
      <c r="D20" s="67">
        <f>MAX('15'!D7:D18)</f>
        <v>10</v>
      </c>
      <c r="E20" s="67">
        <f>MAX('15'!E7:E18)</f>
        <v>2.5</v>
      </c>
      <c r="F20" s="67">
        <f>MAX('15'!F7:F18)</f>
        <v>45</v>
      </c>
      <c r="G20" s="67">
        <f>MAX('15'!G7:G18)</f>
        <v>2</v>
      </c>
      <c r="H20" s="67">
        <f>MAX('15'!H7:H18)</f>
        <v>5.3</v>
      </c>
      <c r="I20" s="67">
        <f>MAX('15'!I7:I18)</f>
        <v>1.1000000000000001</v>
      </c>
      <c r="J20" s="67">
        <f>MAX('15'!J7:J18)</f>
        <v>1.3</v>
      </c>
      <c r="K20" s="67">
        <f>MAX('15'!K7:K18)</f>
        <v>7.3</v>
      </c>
      <c r="L20" s="67">
        <f>MAX('15'!L7:L18)</f>
        <v>6</v>
      </c>
      <c r="M20" s="67">
        <f>MAX('15'!M7:M18)</f>
        <v>6</v>
      </c>
      <c r="N20" s="67">
        <f>MAX('15'!N7:N18)</f>
        <v>5.8</v>
      </c>
      <c r="O20" s="68">
        <f>MAX('15'!O7:O18)</f>
        <v>3.5</v>
      </c>
      <c r="P20" s="68">
        <f>MAX('15'!P7:P18)</f>
        <v>2.5</v>
      </c>
      <c r="Q20" s="68">
        <f>MAX('15'!Q7:Q18)</f>
        <v>2.5</v>
      </c>
      <c r="R20" s="68">
        <f>MAX('15'!R7:R18)</f>
        <v>1542</v>
      </c>
      <c r="S20" s="68">
        <f>MAX('15'!S7:S18)</f>
        <v>184.72222222222223</v>
      </c>
      <c r="T20" s="940"/>
      <c r="U20" s="940"/>
      <c r="X20" s="13">
        <v>0.625</v>
      </c>
      <c r="Y20" s="171">
        <v>2878</v>
      </c>
      <c r="Z20" s="267">
        <v>1442</v>
      </c>
      <c r="AA20" s="15">
        <v>1</v>
      </c>
      <c r="AB20" s="56">
        <f>IF('15'!AA20=1,(('15'!Z20*'15'!$AS$6*'15'!$AT$6)/('15'!Y20*0.0036)),IF('15'!AA20=2,(('15'!Z20*'15'!$AS$7*'15'!$AT$7)/('15'!Y20*0.0036))))</f>
        <v>92.553663809744435</v>
      </c>
      <c r="AC20" s="56"/>
      <c r="AD20" s="18">
        <f>(('15'!AC20*'15'!$Q$10*1000000))/('15'!Y20*3600)</f>
        <v>0</v>
      </c>
      <c r="AE20" s="181">
        <v>3000</v>
      </c>
      <c r="AF20" s="182">
        <f>('15'!AE20/24)*0.454</f>
        <v>56.75</v>
      </c>
      <c r="AG20" s="19">
        <v>500</v>
      </c>
      <c r="AH20" s="182">
        <f>('15'!AG20/24)*0.454</f>
        <v>9.4583333333333339</v>
      </c>
      <c r="AI20" s="181">
        <v>3000</v>
      </c>
      <c r="AJ20" s="182">
        <f>('15'!AI20/24)*0.454</f>
        <v>56.75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240</v>
      </c>
      <c r="C21" s="67">
        <f>MIN('15'!C7:C18)</f>
        <v>5</v>
      </c>
      <c r="D21" s="67">
        <f>MIN('15'!D7:D18)</f>
        <v>5</v>
      </c>
      <c r="E21" s="67">
        <f>MIN('15'!E7:E18)</f>
        <v>2.5</v>
      </c>
      <c r="F21" s="67">
        <f>MIN('15'!F7:F18)</f>
        <v>38</v>
      </c>
      <c r="G21" s="190">
        <f>MIN('15'!G7:G18)</f>
        <v>1.3</v>
      </c>
      <c r="H21" s="190">
        <f>MIN('15'!H7:H18)</f>
        <v>2.2000000000000002</v>
      </c>
      <c r="I21" s="190">
        <f>MIN('15'!I7:I18)</f>
        <v>0.7</v>
      </c>
      <c r="J21" s="190">
        <f>MIN('15'!J7:J18)</f>
        <v>0.8</v>
      </c>
      <c r="K21" s="190">
        <f>MIN('15'!K7:K18)</f>
        <v>7.3</v>
      </c>
      <c r="L21" s="190">
        <f>MIN('15'!L7:L18)</f>
        <v>6</v>
      </c>
      <c r="M21" s="190">
        <f>MIN('15'!M7:M18)</f>
        <v>6</v>
      </c>
      <c r="N21" s="190">
        <f>MIN('15'!N7:N18)</f>
        <v>5.8</v>
      </c>
      <c r="O21" s="191">
        <f>MIN('15'!O7:O18)</f>
        <v>2.8</v>
      </c>
      <c r="P21" s="191">
        <f>MIN('15'!P7:P18)</f>
        <v>0.1</v>
      </c>
      <c r="Q21" s="191">
        <f>MIN('15'!Q7:Q18)</f>
        <v>0</v>
      </c>
      <c r="R21" s="191">
        <f>MIN('15'!R7:R18)</f>
        <v>1442</v>
      </c>
      <c r="S21" s="191">
        <f>MIN('15'!S7:S18)</f>
        <v>91.567358007715526</v>
      </c>
      <c r="T21" s="940"/>
      <c r="U21" s="940"/>
      <c r="X21" s="13">
        <v>0.66666666666666696</v>
      </c>
      <c r="Y21" s="171">
        <v>2860</v>
      </c>
      <c r="Z21" s="267">
        <v>1442</v>
      </c>
      <c r="AA21" s="15">
        <v>1</v>
      </c>
      <c r="AB21" s="56">
        <f>IF('15'!AA21=1,(('15'!Z21*'15'!$AS$6*'15'!$AT$6)/('15'!Y21*0.0036)),IF('15'!AA21=2,(('15'!Z21*'15'!$AS$7*'15'!$AT$7)/('15'!Y21*0.0036))))</f>
        <v>93.136169386169399</v>
      </c>
      <c r="AC21" s="56"/>
      <c r="AD21" s="18">
        <f>(('15'!AC21*'15'!$Q$10*1000000))/('15'!Y21*3600)</f>
        <v>0</v>
      </c>
      <c r="AE21" s="181">
        <v>3000</v>
      </c>
      <c r="AF21" s="182">
        <f>('15'!AE21/24)*0.454</f>
        <v>56.75</v>
      </c>
      <c r="AG21" s="19">
        <v>500</v>
      </c>
      <c r="AH21" s="182">
        <f>('15'!AG21/24)*0.454</f>
        <v>9.4583333333333339</v>
      </c>
      <c r="AI21" s="181">
        <v>3000</v>
      </c>
      <c r="AJ21" s="182">
        <f>('15'!AI21/24)*0.454</f>
        <v>56.75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2890</v>
      </c>
      <c r="Z22" s="267">
        <v>1542</v>
      </c>
      <c r="AA22" s="15">
        <v>1</v>
      </c>
      <c r="AB22" s="56">
        <f>IF('15'!AA22=1,(('15'!Z22*'15'!$AS$6*'15'!$AT$6)/('15'!Y22*0.0036)),IF('15'!AA22=2,(('15'!Z22*'15'!$AS$7*'15'!$AT$7)/('15'!Y22*0.0036))))</f>
        <v>98.561130334486748</v>
      </c>
      <c r="AC22" s="56"/>
      <c r="AD22" s="18">
        <f>(('15'!AC22*'15'!$Q$10*1000000))/('15'!Y22*3600)</f>
        <v>0</v>
      </c>
      <c r="AE22" s="181">
        <v>3000</v>
      </c>
      <c r="AF22" s="182">
        <f>('15'!AE22/24)*0.454</f>
        <v>56.75</v>
      </c>
      <c r="AG22" s="19">
        <v>500</v>
      </c>
      <c r="AH22" s="182">
        <f>('15'!AG22/24)*0.454</f>
        <v>9.4583333333333339</v>
      </c>
      <c r="AI22" s="181">
        <v>3000</v>
      </c>
      <c r="AJ22" s="182">
        <f>('15'!AI22/24)*0.454</f>
        <v>56.75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2973</v>
      </c>
      <c r="Z23" s="267">
        <v>1542</v>
      </c>
      <c r="AA23" s="15">
        <v>1</v>
      </c>
      <c r="AB23" s="56">
        <f>IF('15'!AA23=1,(('15'!Z23*'15'!$AS$6*'15'!$AT$6)/('15'!Y23*0.0036)),IF('15'!AA23=2,(('15'!Z23*'15'!$AS$7*'15'!$AT$7)/('15'!Y23*0.0036))))</f>
        <v>95.809507792353415</v>
      </c>
      <c r="AC23" s="56"/>
      <c r="AD23" s="18">
        <f>(('15'!AC23*'15'!$Q$10*1000000))/('15'!Y23*3600)</f>
        <v>0</v>
      </c>
      <c r="AE23" s="181">
        <v>3000</v>
      </c>
      <c r="AF23" s="182">
        <f>('15'!AE23/24)*0.454</f>
        <v>56.75</v>
      </c>
      <c r="AG23" s="19">
        <v>500</v>
      </c>
      <c r="AH23" s="182">
        <f>('15'!AG23/24)*0.454</f>
        <v>9.4583333333333339</v>
      </c>
      <c r="AI23" s="181">
        <v>3000</v>
      </c>
      <c r="AJ23" s="182">
        <f>('15'!AI23/24)*0.454</f>
        <v>56.75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2890</v>
      </c>
      <c r="Z24" s="267">
        <v>1542</v>
      </c>
      <c r="AA24" s="15">
        <v>1</v>
      </c>
      <c r="AB24" s="16">
        <f>IF('15'!AA24=1,(('15'!Z24*'15'!$AS$6*'15'!$AT$6)/('15'!Y24*0.0036)),IF('15'!AA24=2,(('15'!Z24*'15'!$AS$7*'15'!$AT$7)/('15'!Y24*0.0036))))</f>
        <v>98.561130334486748</v>
      </c>
      <c r="AC24" s="16"/>
      <c r="AD24" s="192">
        <f>(('15'!AC24*'15'!$Q$10*1000000))/('15'!Y24*3600)</f>
        <v>0</v>
      </c>
      <c r="AE24" s="181">
        <v>3000</v>
      </c>
      <c r="AF24" s="193">
        <f>('15'!AE24/24)*0.454</f>
        <v>56.75</v>
      </c>
      <c r="AG24" s="19">
        <v>500</v>
      </c>
      <c r="AH24" s="193">
        <f>('15'!AG24/24)*0.454</f>
        <v>9.4583333333333339</v>
      </c>
      <c r="AI24" s="181">
        <v>3000</v>
      </c>
      <c r="AJ24" s="182">
        <f>('15'!AI24/24)*0.454</f>
        <v>56.75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 t="s">
        <v>441</v>
      </c>
      <c r="C25" s="258">
        <v>0.84</v>
      </c>
      <c r="D25" s="258">
        <v>0.76</v>
      </c>
      <c r="E25" s="197">
        <v>0.85</v>
      </c>
      <c r="F25" s="197">
        <v>0.81</v>
      </c>
      <c r="G25" s="197">
        <v>0.77</v>
      </c>
      <c r="H25" s="197">
        <v>0.85</v>
      </c>
      <c r="I25" s="197">
        <v>0.75</v>
      </c>
      <c r="J25" s="197" t="s">
        <v>441</v>
      </c>
      <c r="K25" s="197">
        <v>0.9</v>
      </c>
      <c r="L25" s="197">
        <v>0.8</v>
      </c>
      <c r="M25" s="197">
        <v>0.78</v>
      </c>
      <c r="N25" s="197">
        <v>0.83</v>
      </c>
      <c r="O25" s="197">
        <v>0.82</v>
      </c>
      <c r="P25" s="197" t="s">
        <v>441</v>
      </c>
      <c r="Q25" s="197" t="s">
        <v>441</v>
      </c>
      <c r="R25" s="63" t="e">
        <f>#DIV/0!</f>
        <v>#DIV/0!</v>
      </c>
      <c r="S25" s="64"/>
      <c r="T25" s="1079" t="s">
        <v>0</v>
      </c>
      <c r="U25" s="1047">
        <f>ESCALA!$A$17</f>
        <v>44331</v>
      </c>
      <c r="X25" s="13">
        <v>0.83333333333333304</v>
      </c>
      <c r="Y25" s="171">
        <v>2913</v>
      </c>
      <c r="Z25" s="267">
        <v>1542</v>
      </c>
      <c r="AA25" s="15">
        <v>1</v>
      </c>
      <c r="AB25" s="56">
        <f>IF('15'!AA25=1,(('15'!Z25*'15'!$AS$6*'15'!$AT$6)/('15'!Y25*0.0036)),IF('15'!AA25=2,(('15'!Z25*'15'!$AS$7*'15'!$AT$7)/('15'!Y25*0.0036))))</f>
        <v>97.782927108364802</v>
      </c>
      <c r="AC25" s="56"/>
      <c r="AD25" s="18">
        <f>(('15'!AC25*'15'!$Q$10*1000000))/('15'!Y25*3600)</f>
        <v>0</v>
      </c>
      <c r="AE25" s="181">
        <v>3000</v>
      </c>
      <c r="AF25" s="182">
        <f>('15'!AE25/24)*0.454</f>
        <v>56.75</v>
      </c>
      <c r="AG25" s="19">
        <v>500</v>
      </c>
      <c r="AH25" s="182">
        <f>('15'!AG25/24)*0.454</f>
        <v>9.4583333333333339</v>
      </c>
      <c r="AI25" s="181">
        <v>3000</v>
      </c>
      <c r="AJ25" s="182">
        <f>('15'!AI25/24)*0.454</f>
        <v>56.75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79"/>
      <c r="U26" s="1047"/>
      <c r="X26" s="13">
        <v>0.875</v>
      </c>
      <c r="Y26" s="171">
        <v>2938</v>
      </c>
      <c r="Z26" s="267">
        <v>1542</v>
      </c>
      <c r="AA26" s="15">
        <v>1</v>
      </c>
      <c r="AB26" s="56">
        <f>IF('15'!AA26=1,(('15'!Z26*'15'!$AS$6*'15'!$AT$6)/('15'!Y26*0.0036)),IF('15'!AA26=2,(('15'!Z26*'15'!$AS$7*'15'!$AT$7)/('15'!Y26*0.0036))))</f>
        <v>96.950873610165644</v>
      </c>
      <c r="AC26" s="56"/>
      <c r="AD26" s="18">
        <f>(('15'!AC26*'15'!$Q$10*1000000))/('15'!Y26*3600)</f>
        <v>0</v>
      </c>
      <c r="AE26" s="181">
        <v>3000</v>
      </c>
      <c r="AF26" s="182">
        <f>('15'!AE26/24)*0.454</f>
        <v>56.75</v>
      </c>
      <c r="AG26" s="19">
        <v>500</v>
      </c>
      <c r="AH26" s="182">
        <f>('15'!AG26/24)*0.454</f>
        <v>9.4583333333333339</v>
      </c>
      <c r="AI26" s="181">
        <v>3000</v>
      </c>
      <c r="AJ26" s="182">
        <f>('15'!AI26/24)*0.454</f>
        <v>56.75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2909</v>
      </c>
      <c r="Z27" s="267">
        <v>1542</v>
      </c>
      <c r="AA27" s="15">
        <v>1</v>
      </c>
      <c r="AB27" s="56">
        <f>IF('15'!AA27=1,(('15'!Z27*'15'!$AS$6*'15'!$AT$6)/('15'!Y27*0.0036)),IF('15'!AA27=2,(('15'!Z27*'15'!$AS$7*'15'!$AT$7)/('15'!Y27*0.0036))))</f>
        <v>97.917382834880257</v>
      </c>
      <c r="AC27" s="56"/>
      <c r="AD27" s="18">
        <f>(('15'!AC27*'15'!$Q$10*1000000))/('15'!Y27*3600)</f>
        <v>0</v>
      </c>
      <c r="AE27" s="181">
        <v>3000</v>
      </c>
      <c r="AF27" s="182">
        <f>('15'!AE27/24)*0.454</f>
        <v>56.75</v>
      </c>
      <c r="AG27" s="19">
        <v>500</v>
      </c>
      <c r="AH27" s="182">
        <f>('15'!AG27/24)*0.454</f>
        <v>9.4583333333333339</v>
      </c>
      <c r="AI27" s="181">
        <v>3000</v>
      </c>
      <c r="AJ27" s="182">
        <f>('15'!AI27/24)*0.454</f>
        <v>56.75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2611</v>
      </c>
      <c r="Z28" s="267">
        <v>1372</v>
      </c>
      <c r="AA28" s="15">
        <v>1</v>
      </c>
      <c r="AB28" s="56">
        <f>IF('15'!AA28=1,(('15'!Z28*'15'!$AS$6*'15'!$AT$6)/('15'!Y28*0.0036)),IF('15'!AA28=2,(('15'!Z28*'15'!$AS$7*'15'!$AT$7)/('15'!Y28*0.0036))))</f>
        <v>97.065832588620793</v>
      </c>
      <c r="AC28" s="56"/>
      <c r="AD28" s="18">
        <f>(('15'!AC28*'15'!$Q$10*1000000))/('15'!Y28*3600)</f>
        <v>0</v>
      </c>
      <c r="AE28" s="181">
        <v>3000</v>
      </c>
      <c r="AF28" s="182">
        <f>('15'!AE28/24)*0.454</f>
        <v>56.75</v>
      </c>
      <c r="AG28" s="19">
        <v>500</v>
      </c>
      <c r="AH28" s="182">
        <f>('15'!AG28/24)*0.454</f>
        <v>9.4583333333333339</v>
      </c>
      <c r="AI28" s="181">
        <v>3000</v>
      </c>
      <c r="AJ28" s="182">
        <f>('15'!AI28/24)*0.454</f>
        <v>56.75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2569</v>
      </c>
      <c r="Z29" s="267">
        <v>1372</v>
      </c>
      <c r="AA29" s="15">
        <v>1</v>
      </c>
      <c r="AB29" s="56">
        <f>IF('15'!AA29=1,(('15'!Z29*'15'!$AS$6*'15'!$AT$6)/('15'!Y29*0.0036)),IF('15'!AA29=2,(('15'!Z29*'15'!$AS$7*'15'!$AT$7)/('15'!Y29*0.0036))))</f>
        <v>98.652739933393889</v>
      </c>
      <c r="AC29" s="56"/>
      <c r="AD29" s="18">
        <f>(('15'!AC29*'15'!$Q$10*1000000))/('15'!Y29*3600)</f>
        <v>0</v>
      </c>
      <c r="AE29" s="181">
        <v>3000</v>
      </c>
      <c r="AF29" s="182">
        <f>('15'!AE29/24)*0.454</f>
        <v>56.75</v>
      </c>
      <c r="AG29" s="19">
        <v>500</v>
      </c>
      <c r="AH29" s="182">
        <f>('15'!AG29/24)*0.454</f>
        <v>9.4583333333333339</v>
      </c>
      <c r="AI29" s="181">
        <v>3000</v>
      </c>
      <c r="AJ29" s="182">
        <f>('15'!AI29/24)*0.454</f>
        <v>56.75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231">
        <f>SUM('15'!Y6:Y29)*3.6</f>
        <v>239043.6</v>
      </c>
      <c r="Z30" s="80">
        <f>SUM('15'!Z6:Z29)</f>
        <v>35068</v>
      </c>
      <c r="AA30" s="76"/>
      <c r="AB30" s="77"/>
      <c r="AC30" s="76"/>
      <c r="AD30" s="77"/>
      <c r="AE30" s="33"/>
      <c r="AF30" s="182">
        <f>SUM('15'!AF6:AF29)</f>
        <v>1362</v>
      </c>
      <c r="AG30" s="33"/>
      <c r="AH30" s="182">
        <f>SUM('15'!AH6:AH29)</f>
        <v>227.00000000000009</v>
      </c>
      <c r="AI30" s="182"/>
      <c r="AJ30" s="261">
        <f>SUM('15'!AJ6:AJ29)</f>
        <v>1316.6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SUMIF('15'!AA6:AA29,"=1",'15'!Z6:Z29)</f>
        <v>35068</v>
      </c>
      <c r="AA32" s="80">
        <f>'15'!Z32*'15'!AS6</f>
        <v>46640.44</v>
      </c>
      <c r="AB32" s="81">
        <f>SUMIF('15'!$AA$6:$AA$29,"=1",'15'!$AB$6:$AB$29)/COUNTIF('15'!$AA$6:$AA$29,"=1")</f>
        <v>99.451132670994824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AVERAGE('15'!Y6:Y29)</f>
        <v>2766.7083333333335</v>
      </c>
      <c r="Z34" s="94">
        <f>AVERAGE('15'!Z6:Z29)</f>
        <v>1461.1666666666667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56.75</v>
      </c>
      <c r="AG34" s="96"/>
      <c r="AH34" s="96">
        <f>AVERAGE('15'!AH6:AH29)</f>
        <v>9.4583333333333375</v>
      </c>
      <c r="AI34" s="96"/>
      <c r="AJ34" s="96">
        <f>'15'!AJ30/24</f>
        <v>54.858333333333327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0" t="s">
        <v>15</v>
      </c>
      <c r="X35" s="952" t="s">
        <v>66</v>
      </c>
      <c r="Y35" s="952"/>
      <c r="Z35" s="101"/>
      <c r="AA35" s="952" t="s">
        <v>67</v>
      </c>
      <c r="AB35" s="952"/>
      <c r="AJ35" s="1024" t="s">
        <v>68</v>
      </c>
      <c r="AK35" s="1024"/>
      <c r="AL35" s="1024"/>
      <c r="AM35" s="1024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0"/>
      <c r="X36" s="103" t="s">
        <v>73</v>
      </c>
      <c r="Y36" s="104">
        <v>1</v>
      </c>
      <c r="Z36" s="105"/>
      <c r="AA36" s="106" t="s">
        <v>74</v>
      </c>
      <c r="AB36" s="104">
        <v>6</v>
      </c>
      <c r="AJ36" s="1024"/>
      <c r="AK36" s="1024"/>
      <c r="AL36" s="1024"/>
      <c r="AM36" s="1024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62.8</v>
      </c>
      <c r="D37" s="184">
        <v>21.9</v>
      </c>
      <c r="E37" s="184">
        <v>12</v>
      </c>
      <c r="F37" s="184">
        <v>2.8</v>
      </c>
      <c r="G37" s="181">
        <v>0.2</v>
      </c>
      <c r="H37" s="181">
        <v>0</v>
      </c>
      <c r="I37" s="181">
        <v>0.25</v>
      </c>
      <c r="J37" s="181">
        <v>0.1</v>
      </c>
      <c r="K37" s="181">
        <v>0.06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85">
        <f>'15'!V12</f>
        <v>0</v>
      </c>
      <c r="X37" s="1025" t="s">
        <v>75</v>
      </c>
      <c r="Y37" s="1025"/>
      <c r="Z37" s="108">
        <f>COUNTA('15'!Z6:Z29)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1589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1316.6</v>
      </c>
      <c r="AQ38" s="208" t="s">
        <v>78</v>
      </c>
      <c r="AR38" s="210">
        <f>'15'!AP30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6.6473229151502071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5.5077818439815998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SUM('15'!AK38,'15'!AM38)</f>
        <v>1589</v>
      </c>
      <c r="AM40" s="969"/>
      <c r="AO40" s="970" t="s">
        <v>90</v>
      </c>
      <c r="AP40" s="970"/>
      <c r="AQ40" s="971">
        <f>SUM('15'!AP38,'15'!AR38)</f>
        <v>1316.6</v>
      </c>
      <c r="AR40" s="971"/>
    </row>
    <row r="41" spans="1:44" ht="16.5" customHeight="1">
      <c r="A41" s="131">
        <f>COUNTA('15'!E7:E18)</f>
        <v>12</v>
      </c>
      <c r="B41" s="132">
        <f>COUNTA('15'!I7:I18)</f>
        <v>12</v>
      </c>
      <c r="C41" s="972">
        <f>COUNTA('15'!J7:J18)</f>
        <v>12</v>
      </c>
      <c r="D41" s="972">
        <f>COUNTA('15'!K7:K18)</f>
        <v>12</v>
      </c>
      <c r="E41" s="972">
        <f>COUNTIF('15'!E7:E18,"&gt;15")</f>
        <v>0</v>
      </c>
      <c r="F41" s="972"/>
      <c r="G41" s="972">
        <f>COUNTIF('15'!J7:J18,"&gt;1")</f>
        <v>4</v>
      </c>
      <c r="H41" s="972"/>
      <c r="I41" s="133"/>
      <c r="J41" s="972">
        <f>'15'!A41-'15'!E41</f>
        <v>12</v>
      </c>
      <c r="K41" s="972"/>
      <c r="L41" s="972">
        <f>'15'!C41-'15'!G41</f>
        <v>8</v>
      </c>
      <c r="M41" s="972"/>
      <c r="N41" s="133"/>
      <c r="O41" s="973">
        <f>COUNTIF('15'!J7:J18,"&lt;=0,5")</f>
        <v>0</v>
      </c>
      <c r="P41" s="973"/>
      <c r="Q41" s="973"/>
      <c r="R41" s="963"/>
      <c r="S41" s="974">
        <f>COUNTIF('15'!J7:J18,"&lt;=1,0")</f>
        <v>8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SUM(('15'!AK38+'15'!AM38)/'15'!Y30)*1000</f>
        <v>6.6473229151502071</v>
      </c>
      <c r="AM41" s="975"/>
      <c r="AO41" s="970" t="s">
        <v>91</v>
      </c>
      <c r="AP41" s="970"/>
      <c r="AQ41" s="975">
        <f>SUM(('15'!AP38+'15'!AR38)/'15'!Y30)*1000</f>
        <v>5.5077818439815998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31509</v>
      </c>
      <c r="Z44" s="142" t="s">
        <v>101</v>
      </c>
      <c r="AA44" s="143">
        <v>0</v>
      </c>
      <c r="AB44" s="142" t="s">
        <v>101</v>
      </c>
      <c r="AC44" s="143">
        <v>31</v>
      </c>
      <c r="AD44" s="982"/>
      <c r="AE44" s="982"/>
      <c r="AF44" s="983" t="s">
        <v>102</v>
      </c>
      <c r="AG44" s="996">
        <f>SUM('15'!Y45,'15'!AA45,'15'!AC45,'15'!AE45)</f>
        <v>8737036.4000000004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COUNTIF('15'!I7:I18,"&lt;=5,0")</f>
        <v>12</v>
      </c>
      <c r="I45" s="986"/>
      <c r="J45" s="986"/>
      <c r="K45" s="133"/>
      <c r="L45" s="968">
        <f>COUNTA('15'!L37)</f>
        <v>1</v>
      </c>
      <c r="M45" s="968"/>
      <c r="O45" s="144"/>
      <c r="P45" s="145"/>
      <c r="Q45" s="987">
        <f>'15'!S41-'15'!O41</f>
        <v>8</v>
      </c>
      <c r="R45" s="987"/>
      <c r="S45" s="987"/>
      <c r="T45" s="146"/>
      <c r="X45" s="147" t="s">
        <v>104</v>
      </c>
      <c r="Y45" s="148">
        <f>Y44*275.3</f>
        <v>8674427.7000000011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8608.6999999999989</v>
      </c>
      <c r="AD45" s="147" t="s">
        <v>104</v>
      </c>
      <c r="AE45" s="149">
        <v>54000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89" t="s">
        <v>106</v>
      </c>
      <c r="AG46" s="990">
        <f>SUM('15'!Y47,'15'!AA47,'15'!AC47,'15'!AE47)</f>
        <v>11608808.841000002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Y45*Y46</f>
        <v>11536988.841000002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71820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COUNTA('15'!O7:O18)</f>
        <v>12</v>
      </c>
      <c r="P51" s="968">
        <f>COUNTA('15'!W17:W28)</f>
        <v>0</v>
      </c>
      <c r="R51" s="986">
        <f>COUNTIF('15'!O7:O18,"&gt;=0,5")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SUM('15'!Y53,'15'!AA53,'15'!AC53,'15'!AE53)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'15'!AS7</f>
        <v>1.262</v>
      </c>
      <c r="Z54" s="151" t="s">
        <v>105</v>
      </c>
      <c r="AA54" s="153">
        <f>'15'!Y54</f>
        <v>1.262</v>
      </c>
      <c r="AB54" s="151" t="s">
        <v>105</v>
      </c>
      <c r="AC54" s="153">
        <f>'15'!Y54</f>
        <v>1.262</v>
      </c>
      <c r="AD54" s="151" t="s">
        <v>105</v>
      </c>
      <c r="AE54" s="154">
        <f>'15'!Y54</f>
        <v>1.262</v>
      </c>
      <c r="AF54" s="989" t="s">
        <v>106</v>
      </c>
      <c r="AG54" s="990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COUNTA('15'!N7:N18)</f>
        <v>12</v>
      </c>
      <c r="P57" s="997"/>
      <c r="R57" s="998">
        <f>COUNTIF('15'!N7:N18,"&gt;=6")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U59" t="s">
        <v>141</v>
      </c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46640.44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-46640.44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  <c r="AI64" s="1080" t="s">
        <v>142</v>
      </c>
      <c r="AJ64" s="1080"/>
      <c r="AK64" s="1080"/>
      <c r="AL64" s="1081"/>
      <c r="AM64" s="1081"/>
      <c r="AN64" s="1080" t="s">
        <v>142</v>
      </c>
      <c r="AO64" s="1080"/>
      <c r="AP64" s="1080"/>
      <c r="AQ64" s="1081"/>
      <c r="AR64" s="1081"/>
    </row>
    <row r="65" spans="24:29" ht="39" customHeight="1">
      <c r="X65" s="172" t="s">
        <v>126</v>
      </c>
      <c r="Y65" s="215" t="e">
        <f>'14'!$Y$68</f>
        <v>#REF!</v>
      </c>
      <c r="Z65" s="1007"/>
      <c r="AA65" s="1007"/>
      <c r="AB65" s="174" t="s">
        <v>126</v>
      </c>
      <c r="AC65" s="238"/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SUM('15'!AK38,'15'!AP38)</f>
        <v>2905.6</v>
      </c>
      <c r="Z67" s="1007"/>
      <c r="AA67" s="1007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 t="e">
        <f>SUM('15'!Y63,'15'!Y65)-'15'!Y67</f>
        <v>#REF!</v>
      </c>
      <c r="Z68" s="1007"/>
      <c r="AA68" s="1007"/>
      <c r="AB68" s="170" t="s">
        <v>128</v>
      </c>
      <c r="AC68" s="178">
        <f>SUM('15'!AC63,'15'!AC65)-'15'!AC67</f>
        <v>0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80">
        <v>2545</v>
      </c>
      <c r="Z6" s="180">
        <v>1372</v>
      </c>
      <c r="AA6" s="15">
        <v>1</v>
      </c>
      <c r="AB6" s="56">
        <f>IF('16'!AA6=1,(('16'!Z6*'16'!$AS$6*'16'!$AT$6)/('16'!Y6*0.0036)),IF('16'!AA6=2,(('16'!Z6*'16'!$AS$7*'16'!$AT$7)/('16'!Y6*0.0036))))</f>
        <v>99.583060467146922</v>
      </c>
      <c r="AC6" s="56"/>
      <c r="AD6" s="18">
        <f>(('16'!AC6*'16'!$O$9*1000000))/('16'!Y6*3600)</f>
        <v>0</v>
      </c>
      <c r="AE6" s="181">
        <v>3000</v>
      </c>
      <c r="AF6" s="182">
        <f>('16'!AE6/24)*0.454</f>
        <v>56.75</v>
      </c>
      <c r="AG6" s="19">
        <v>500</v>
      </c>
      <c r="AH6" s="182">
        <f>('16'!AG7/24)*0.454</f>
        <v>9.4583333333333339</v>
      </c>
      <c r="AI6" s="264">
        <v>3000</v>
      </c>
      <c r="AJ6" s="182">
        <f>('16'!AI6/24)*0.454</f>
        <v>56.75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240</v>
      </c>
      <c r="C7" s="184">
        <v>5</v>
      </c>
      <c r="D7" s="184">
        <v>10</v>
      </c>
      <c r="E7" s="184">
        <v>2.5</v>
      </c>
      <c r="F7" s="184">
        <v>44</v>
      </c>
      <c r="G7" s="184">
        <v>1.6</v>
      </c>
      <c r="H7" s="184">
        <v>5.4</v>
      </c>
      <c r="I7" s="184">
        <v>0.9</v>
      </c>
      <c r="J7" s="184">
        <v>1</v>
      </c>
      <c r="K7" s="184">
        <v>7.3</v>
      </c>
      <c r="L7" s="184">
        <v>6</v>
      </c>
      <c r="M7" s="184">
        <v>6</v>
      </c>
      <c r="N7" s="184">
        <v>5.8</v>
      </c>
      <c r="O7" s="184">
        <v>3.2</v>
      </c>
      <c r="P7" s="184">
        <v>0.5</v>
      </c>
      <c r="Q7" s="186">
        <v>2.5</v>
      </c>
      <c r="R7" s="36">
        <f>'15'!$Z$29</f>
        <v>1372</v>
      </c>
      <c r="S7" s="185">
        <f>'15'!$AB$29</f>
        <v>98.652739933393889</v>
      </c>
      <c r="T7" s="36">
        <f>'15'!$Y$29</f>
        <v>2569</v>
      </c>
      <c r="U7" s="32" t="str">
        <f>IF('16'!AA6=1,'16'!AR6,'16'!AR7)</f>
        <v>S.A.L</v>
      </c>
      <c r="V7" s="1016">
        <f>ESCALA!$C$17</f>
        <v>0</v>
      </c>
      <c r="W7" s="1016"/>
      <c r="X7" s="13">
        <v>8.3333333333333301E-2</v>
      </c>
      <c r="Y7" s="180">
        <v>2590</v>
      </c>
      <c r="Z7" s="180">
        <v>1372</v>
      </c>
      <c r="AA7" s="15">
        <v>1</v>
      </c>
      <c r="AB7" s="56">
        <f>IF('16'!AA7=1,(('16'!Z7*'16'!$AS$6*'16'!$AT$6)/('16'!Y7*0.0036)),IF('16'!AA7=2,(('16'!Z7*'16'!$AS$7*'16'!$AT$7)/('16'!Y7*0.0036))))</f>
        <v>97.852852852852848</v>
      </c>
      <c r="AC7" s="56"/>
      <c r="AD7" s="18">
        <f>(('16'!AC7*'16'!$O$9*1000000))/('16'!Y7*3600)</f>
        <v>0</v>
      </c>
      <c r="AE7" s="181">
        <v>3000</v>
      </c>
      <c r="AF7" s="182">
        <f>('16'!AE7/24)*0.454</f>
        <v>56.75</v>
      </c>
      <c r="AG7" s="19">
        <v>500</v>
      </c>
      <c r="AH7" s="182" t="e">
        <f>('16'!#REF!/24)*0.454</f>
        <v>#REF!</v>
      </c>
      <c r="AI7" s="264">
        <v>3000</v>
      </c>
      <c r="AJ7" s="182">
        <f>('16'!AI7/24)*0.454</f>
        <v>56.75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240</v>
      </c>
      <c r="C8" s="184">
        <v>5</v>
      </c>
      <c r="D8" s="184">
        <v>10</v>
      </c>
      <c r="E8" s="184">
        <v>2.5</v>
      </c>
      <c r="F8" s="184">
        <v>48</v>
      </c>
      <c r="G8" s="184">
        <v>1.4</v>
      </c>
      <c r="H8" s="184">
        <v>5.6</v>
      </c>
      <c r="I8" s="184">
        <v>0.9</v>
      </c>
      <c r="J8" s="184">
        <v>0.9</v>
      </c>
      <c r="K8" s="184">
        <v>7.3</v>
      </c>
      <c r="L8" s="184">
        <v>6</v>
      </c>
      <c r="M8" s="184">
        <v>6</v>
      </c>
      <c r="N8" s="184">
        <v>5.8</v>
      </c>
      <c r="O8" s="184">
        <v>3.3</v>
      </c>
      <c r="P8" s="184">
        <v>0.5</v>
      </c>
      <c r="Q8" s="186">
        <v>3</v>
      </c>
      <c r="R8" s="36">
        <f>'16'!Z7</f>
        <v>1372</v>
      </c>
      <c r="S8" s="35">
        <f>'16'!AB7</f>
        <v>97.852852852852848</v>
      </c>
      <c r="T8" s="36">
        <f>'16'!Y7</f>
        <v>2590</v>
      </c>
      <c r="U8" s="32" t="str">
        <f>IF('16'!AA7=1,'16'!AR6,'16'!AR7)</f>
        <v>S.A.L</v>
      </c>
      <c r="V8" s="1016"/>
      <c r="W8" s="1016"/>
      <c r="X8" s="13">
        <v>0.125</v>
      </c>
      <c r="Y8" s="180">
        <v>2590</v>
      </c>
      <c r="Z8" s="180">
        <v>1372</v>
      </c>
      <c r="AA8" s="15">
        <v>1</v>
      </c>
      <c r="AB8" s="56">
        <f>IF('16'!AA8=1,(('16'!Z8*'16'!$AS$6*'16'!$AT$6)/('16'!Y8*0.0036)),IF('16'!AA8=2,(('16'!Z8*'16'!$AS$7*'16'!$AT$7)/('16'!Y8*0.0036))))</f>
        <v>97.852852852852848</v>
      </c>
      <c r="AC8" s="56"/>
      <c r="AD8" s="18">
        <f>(('16'!AC8*'16'!$O$9*1000000))/('16'!Y8*3600)</f>
        <v>0</v>
      </c>
      <c r="AE8" s="181">
        <v>3000</v>
      </c>
      <c r="AF8" s="182">
        <f>('16'!AE8/24)*0.454</f>
        <v>56.75</v>
      </c>
      <c r="AG8" s="19">
        <v>500</v>
      </c>
      <c r="AH8" s="182">
        <f>('16'!AG8/24)*0.454</f>
        <v>9.4583333333333339</v>
      </c>
      <c r="AI8" s="264">
        <v>3000</v>
      </c>
      <c r="AJ8" s="182">
        <f>('16'!AI8/24)*0.454</f>
        <v>56.75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240</v>
      </c>
      <c r="C9" s="184">
        <v>5</v>
      </c>
      <c r="D9" s="184">
        <v>10</v>
      </c>
      <c r="E9" s="184">
        <v>2.5</v>
      </c>
      <c r="F9" s="184">
        <v>55</v>
      </c>
      <c r="G9" s="184">
        <v>1.4</v>
      </c>
      <c r="H9" s="184">
        <v>5.7</v>
      </c>
      <c r="I9" s="184">
        <v>0.9</v>
      </c>
      <c r="J9" s="184">
        <v>0.8</v>
      </c>
      <c r="K9" s="184">
        <v>7.3</v>
      </c>
      <c r="L9" s="184">
        <v>6</v>
      </c>
      <c r="M9" s="184">
        <v>6</v>
      </c>
      <c r="N9" s="184">
        <v>5.8</v>
      </c>
      <c r="O9" s="184">
        <v>3.3</v>
      </c>
      <c r="P9" s="184">
        <v>0.7</v>
      </c>
      <c r="Q9" s="186">
        <v>3</v>
      </c>
      <c r="R9" s="36">
        <f>'16'!Z9</f>
        <v>1372</v>
      </c>
      <c r="S9" s="35">
        <f>'16'!AB9</f>
        <v>97.140241045952038</v>
      </c>
      <c r="T9" s="36">
        <f>'16'!Y9</f>
        <v>2609</v>
      </c>
      <c r="U9" s="32" t="str">
        <f>IF('16'!AA9=1,'16'!AR6,'16'!AR7)</f>
        <v>S.A.L</v>
      </c>
      <c r="V9" s="1016"/>
      <c r="W9" s="1016"/>
      <c r="X9" s="13">
        <v>0.16666666666666699</v>
      </c>
      <c r="Y9" s="180">
        <v>2609</v>
      </c>
      <c r="Z9" s="180">
        <v>1372</v>
      </c>
      <c r="AA9" s="15">
        <v>1</v>
      </c>
      <c r="AB9" s="56">
        <f>IF('16'!AA9=1,(('16'!Z9*'16'!$AS$6*'16'!$AT$6)/('16'!Y9*0.0036)),IF('16'!AA9=2,(('16'!Z9*'16'!$AS$7*'16'!$AT$7)/('16'!Y9*0.0036))))</f>
        <v>97.140241045952038</v>
      </c>
      <c r="AC9" s="56"/>
      <c r="AD9" s="18">
        <f>(('16'!AC9*'16'!$O$9*1000000))/('16'!Y9*3600)</f>
        <v>0</v>
      </c>
      <c r="AE9" s="181">
        <v>3000</v>
      </c>
      <c r="AF9" s="182">
        <f>('16'!AE9/24)*0.454</f>
        <v>56.75</v>
      </c>
      <c r="AG9" s="19">
        <v>500</v>
      </c>
      <c r="AH9" s="182">
        <f>('16'!AG9/24)*0.454</f>
        <v>9.4583333333333339</v>
      </c>
      <c r="AI9" s="264">
        <v>3000</v>
      </c>
      <c r="AJ9" s="182">
        <f>('16'!AI9/24)*0.454</f>
        <v>56.75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6" t="s">
        <v>37</v>
      </c>
      <c r="AR9" s="936"/>
      <c r="AS9" s="936"/>
      <c r="AT9" s="37" t="s">
        <v>39</v>
      </c>
    </row>
    <row r="10" spans="1:47" ht="15" customHeight="1">
      <c r="A10" s="28">
        <v>0.25</v>
      </c>
      <c r="B10" s="184">
        <v>240</v>
      </c>
      <c r="C10" s="184">
        <v>5</v>
      </c>
      <c r="D10" s="184">
        <v>10</v>
      </c>
      <c r="E10" s="184">
        <v>2.5</v>
      </c>
      <c r="F10" s="184">
        <v>45</v>
      </c>
      <c r="G10" s="184">
        <v>1.3</v>
      </c>
      <c r="H10" s="184">
        <v>4.9000000000000004</v>
      </c>
      <c r="I10" s="184">
        <v>0.9</v>
      </c>
      <c r="J10" s="184">
        <v>0.8</v>
      </c>
      <c r="K10" s="184">
        <v>7.3</v>
      </c>
      <c r="L10" s="184">
        <v>6</v>
      </c>
      <c r="M10" s="184">
        <v>6</v>
      </c>
      <c r="N10" s="184">
        <v>5.8</v>
      </c>
      <c r="O10" s="184">
        <v>3.3</v>
      </c>
      <c r="P10" s="184">
        <v>0.5</v>
      </c>
      <c r="Q10" s="186">
        <v>2.8</v>
      </c>
      <c r="R10" s="36">
        <f>'16'!Z11</f>
        <v>1372</v>
      </c>
      <c r="S10" s="35">
        <f>'16'!AB11</f>
        <v>95.277777777777771</v>
      </c>
      <c r="T10" s="36">
        <f>'16'!Y11</f>
        <v>2660</v>
      </c>
      <c r="U10" s="32" t="str">
        <f>IF('16'!AA11=1,'16'!AR6,'16'!AR7)</f>
        <v>S.A.L</v>
      </c>
      <c r="V10" s="1016"/>
      <c r="W10" s="1016"/>
      <c r="X10" s="13">
        <v>0.20833333333333301</v>
      </c>
      <c r="Y10" s="180">
        <v>1618</v>
      </c>
      <c r="Z10" s="180">
        <v>972</v>
      </c>
      <c r="AA10" s="15">
        <v>1</v>
      </c>
      <c r="AB10" s="56">
        <f>IF('16'!AA10=1,(('16'!Z10*'16'!$AS$6*'16'!$AT$6)/('16'!Y10*0.0036)),IF('16'!AA10=2,(('16'!Z10*'16'!$AS$7*'16'!$AT$7)/('16'!Y10*0.0036))))</f>
        <v>110.97033374536466</v>
      </c>
      <c r="AC10" s="56"/>
      <c r="AD10" s="18">
        <f>(('16'!AC10*'16'!$O$9*1000000))/('16'!Y10*3600)</f>
        <v>0</v>
      </c>
      <c r="AE10" s="181">
        <v>3000</v>
      </c>
      <c r="AF10" s="182">
        <f>('16'!AE10/24)*0.454</f>
        <v>56.75</v>
      </c>
      <c r="AG10" s="19">
        <v>500</v>
      </c>
      <c r="AH10" s="182">
        <f>('16'!AG10/24)*0.454</f>
        <v>9.4583333333333339</v>
      </c>
      <c r="AI10" s="264">
        <v>3000</v>
      </c>
      <c r="AJ10" s="182">
        <f>('16'!AI10/24)*0.454</f>
        <v>56.75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37" t="s">
        <v>51</v>
      </c>
      <c r="AR10" s="937"/>
      <c r="AS10" s="937"/>
      <c r="AT10" s="39">
        <v>2E-3</v>
      </c>
    </row>
    <row r="11" spans="1:47" ht="15" customHeight="1">
      <c r="A11" s="28">
        <v>0.33333333333333298</v>
      </c>
      <c r="B11" s="184">
        <v>240</v>
      </c>
      <c r="C11" s="184">
        <v>5</v>
      </c>
      <c r="D11" s="184">
        <v>10</v>
      </c>
      <c r="E11" s="184">
        <v>2.5</v>
      </c>
      <c r="F11" s="184">
        <v>43</v>
      </c>
      <c r="G11" s="184">
        <v>1.5</v>
      </c>
      <c r="H11" s="184">
        <v>3.2</v>
      </c>
      <c r="I11" s="184">
        <v>0.9</v>
      </c>
      <c r="J11" s="184">
        <v>0.94</v>
      </c>
      <c r="K11" s="184">
        <v>7.3</v>
      </c>
      <c r="L11" s="184">
        <v>6</v>
      </c>
      <c r="M11" s="184">
        <v>6</v>
      </c>
      <c r="N11" s="184">
        <v>5.8</v>
      </c>
      <c r="O11" s="184">
        <v>3.2</v>
      </c>
      <c r="P11" s="184">
        <v>0.5</v>
      </c>
      <c r="Q11" s="186">
        <v>2.5</v>
      </c>
      <c r="R11" s="36">
        <f>'16'!Z13</f>
        <v>1442</v>
      </c>
      <c r="S11" s="35">
        <f>'16'!AB13</f>
        <v>94.92852617407145</v>
      </c>
      <c r="T11" s="36">
        <f>'16'!Y13</f>
        <v>2806</v>
      </c>
      <c r="U11" s="32" t="str">
        <f>IF('16'!AA13=1,'16'!AR6,'16'!AR7)</f>
        <v>S.A.L</v>
      </c>
      <c r="V11" s="1016"/>
      <c r="W11" s="1016"/>
      <c r="X11" s="13">
        <v>0.25</v>
      </c>
      <c r="Y11" s="180">
        <v>2660</v>
      </c>
      <c r="Z11" s="180">
        <v>1372</v>
      </c>
      <c r="AA11" s="15">
        <v>1</v>
      </c>
      <c r="AB11" s="56">
        <f>IF('16'!AA11=1,(('16'!Z11*'16'!$AS$6*'16'!$AT$6)/('16'!Y11*0.0036)),IF('16'!AA11=2,(('16'!Z11*'16'!$AS$7*'16'!$AT$7)/('16'!Y11*0.0036))))</f>
        <v>95.277777777777771</v>
      </c>
      <c r="AC11" s="56"/>
      <c r="AD11" s="18">
        <f>(('16'!AC11*'16'!$O$9*1000000))/('16'!Y11*3600)</f>
        <v>0</v>
      </c>
      <c r="AE11" s="181">
        <v>3000</v>
      </c>
      <c r="AF11" s="182">
        <f>('16'!AE11/24)*0.454</f>
        <v>56.75</v>
      </c>
      <c r="AG11" s="19">
        <v>500</v>
      </c>
      <c r="AH11" s="182">
        <f>('16'!AG11/24)*0.454</f>
        <v>9.4583333333333339</v>
      </c>
      <c r="AI11" s="264">
        <v>3000</v>
      </c>
      <c r="AJ11" s="182">
        <f>('16'!AI11/24)*0.454</f>
        <v>56.75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240</v>
      </c>
      <c r="C12" s="184">
        <v>5</v>
      </c>
      <c r="D12" s="184">
        <v>10</v>
      </c>
      <c r="E12" s="184">
        <v>2.5</v>
      </c>
      <c r="F12" s="184">
        <v>42</v>
      </c>
      <c r="G12" s="184">
        <v>1.8</v>
      </c>
      <c r="H12" s="184">
        <v>2.9</v>
      </c>
      <c r="I12" s="184">
        <v>0.88</v>
      </c>
      <c r="J12" s="184">
        <v>0.91</v>
      </c>
      <c r="K12" s="184">
        <v>7.3</v>
      </c>
      <c r="L12" s="184">
        <v>6</v>
      </c>
      <c r="M12" s="184">
        <v>6</v>
      </c>
      <c r="N12" s="184">
        <v>5.8</v>
      </c>
      <c r="O12" s="184">
        <v>3</v>
      </c>
      <c r="P12" s="184">
        <v>0.5</v>
      </c>
      <c r="Q12" s="186">
        <v>0</v>
      </c>
      <c r="R12" s="36">
        <f>'16'!Z15</f>
        <v>1442</v>
      </c>
      <c r="S12" s="35">
        <f>'16'!AB15</f>
        <v>93.430180443509101</v>
      </c>
      <c r="T12" s="36">
        <f>'16'!Y15</f>
        <v>2851</v>
      </c>
      <c r="U12" s="32" t="str">
        <f>IF('16'!AA15=1,'16'!AR6,'16'!AR7)</f>
        <v>S.A.L</v>
      </c>
      <c r="V12" s="938">
        <f>ESCALA!$B$18</f>
        <v>0</v>
      </c>
      <c r="W12" s="938"/>
      <c r="X12" s="13">
        <v>0.29166666666666702</v>
      </c>
      <c r="Y12" s="180">
        <v>2645</v>
      </c>
      <c r="Z12" s="180">
        <v>1442</v>
      </c>
      <c r="AA12" s="15">
        <v>1</v>
      </c>
      <c r="AB12" s="56">
        <f>IF('16'!AA12=1,(('16'!Z12*'16'!$AS$6*'16'!$AT$6)/('16'!Y12*0.0036)),IF('16'!AA12=2,(('16'!Z12*'16'!$AS$7*'16'!$AT$7)/('16'!Y12*0.0036))))</f>
        <v>100.70678428901492</v>
      </c>
      <c r="AC12" s="56"/>
      <c r="AD12" s="18">
        <f>(('16'!AC12*'16'!$O$9*1000000))/('16'!Y12*3600)</f>
        <v>0</v>
      </c>
      <c r="AE12" s="181">
        <v>3000</v>
      </c>
      <c r="AF12" s="182">
        <f>('16'!AE12/24)*0.454</f>
        <v>56.75</v>
      </c>
      <c r="AG12" s="19">
        <v>500</v>
      </c>
      <c r="AH12" s="182">
        <f>('16'!AG12/24)*0.454</f>
        <v>9.4583333333333339</v>
      </c>
      <c r="AI12" s="264">
        <v>3000</v>
      </c>
      <c r="AJ12" s="182">
        <f>('16'!AI12/24)*0.454</f>
        <v>56.75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220</v>
      </c>
      <c r="C13" s="184">
        <v>5</v>
      </c>
      <c r="D13" s="184">
        <v>10</v>
      </c>
      <c r="E13" s="184">
        <v>2.5</v>
      </c>
      <c r="F13" s="184">
        <v>40</v>
      </c>
      <c r="G13" s="184">
        <v>1.7</v>
      </c>
      <c r="H13" s="184">
        <v>3.2</v>
      </c>
      <c r="I13" s="184">
        <v>0.92</v>
      </c>
      <c r="J13" s="184">
        <v>0.98</v>
      </c>
      <c r="K13" s="184">
        <v>7.3</v>
      </c>
      <c r="L13" s="184">
        <v>6</v>
      </c>
      <c r="M13" s="184">
        <v>6</v>
      </c>
      <c r="N13" s="184">
        <v>5.8</v>
      </c>
      <c r="O13" s="184">
        <v>3</v>
      </c>
      <c r="P13" s="184">
        <v>0.5</v>
      </c>
      <c r="Q13" s="186">
        <v>0</v>
      </c>
      <c r="R13" s="36">
        <f>'16'!Z17</f>
        <v>1442</v>
      </c>
      <c r="S13" s="35">
        <f>'16'!AB17</f>
        <v>96.475713308382637</v>
      </c>
      <c r="T13" s="36">
        <f>'16'!Y17</f>
        <v>2761</v>
      </c>
      <c r="U13" s="32" t="str">
        <f>IF('16'!AA17=1,'16'!AR6,'16'!AR7)</f>
        <v>S.A.L</v>
      </c>
      <c r="V13" s="938"/>
      <c r="W13" s="938"/>
      <c r="X13" s="13">
        <v>0.33333333333333298</v>
      </c>
      <c r="Y13" s="180">
        <v>2806</v>
      </c>
      <c r="Z13" s="180">
        <v>1442</v>
      </c>
      <c r="AA13" s="15">
        <v>1</v>
      </c>
      <c r="AB13" s="56">
        <f>IF('16'!AA13=1,(('16'!Z13*'16'!$AS$6*'16'!$AT$6)/('16'!Y13*0.0036)),IF('16'!AA13=2,(('16'!Z13*'16'!$AS$7*'16'!$AT$7)/('16'!Y13*0.0036))))</f>
        <v>94.92852617407145</v>
      </c>
      <c r="AC13" s="56"/>
      <c r="AD13" s="18">
        <f>(('16'!AC13*'16'!$O$9*1000000))/('16'!Y13*3600)</f>
        <v>0</v>
      </c>
      <c r="AE13" s="181">
        <v>3000</v>
      </c>
      <c r="AF13" s="182">
        <f>('16'!AE13/24)*0.454</f>
        <v>56.75</v>
      </c>
      <c r="AG13" s="19">
        <v>500</v>
      </c>
      <c r="AH13" s="182">
        <f>('16'!AG13/24)*0.454</f>
        <v>9.4583333333333339</v>
      </c>
      <c r="AI13" s="264">
        <v>3000</v>
      </c>
      <c r="AJ13" s="182">
        <f>('16'!AI13/24)*0.454</f>
        <v>56.75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200</v>
      </c>
      <c r="C14" s="184">
        <v>5</v>
      </c>
      <c r="D14" s="184">
        <v>10</v>
      </c>
      <c r="E14" s="184">
        <v>2.5</v>
      </c>
      <c r="F14" s="184">
        <v>39</v>
      </c>
      <c r="G14" s="184">
        <v>1.6</v>
      </c>
      <c r="H14" s="184">
        <v>3.4</v>
      </c>
      <c r="I14" s="184">
        <v>0.96</v>
      </c>
      <c r="J14" s="184">
        <v>1.04</v>
      </c>
      <c r="K14" s="184">
        <v>7.3</v>
      </c>
      <c r="L14" s="184">
        <v>6</v>
      </c>
      <c r="M14" s="184">
        <v>6</v>
      </c>
      <c r="N14" s="184">
        <v>5.8</v>
      </c>
      <c r="O14" s="184">
        <v>3</v>
      </c>
      <c r="P14" s="184">
        <v>0.4</v>
      </c>
      <c r="Q14" s="186">
        <v>0</v>
      </c>
      <c r="R14" s="36">
        <f>'16'!Z19</f>
        <v>1442</v>
      </c>
      <c r="S14" s="35">
        <f>'16'!AB19</f>
        <v>94.591422032828291</v>
      </c>
      <c r="T14" s="36">
        <f>'16'!Y19</f>
        <v>2816</v>
      </c>
      <c r="U14" s="32" t="str">
        <f>IF('16'!AA19=1,'16'!AR6,'16'!AR7)</f>
        <v>S.A.L</v>
      </c>
      <c r="V14" s="938"/>
      <c r="W14" s="938"/>
      <c r="X14" s="13">
        <v>0.375</v>
      </c>
      <c r="Y14" s="180">
        <v>2829</v>
      </c>
      <c r="Z14" s="180">
        <v>1442</v>
      </c>
      <c r="AA14" s="15">
        <v>1</v>
      </c>
      <c r="AB14" s="56">
        <f>IF('16'!AA14=1,(('16'!Z14*'16'!$AS$6*'16'!$AT$6)/('16'!Y14*0.0036)),IF('16'!AA14=2,(('16'!Z14*'16'!$AS$7*'16'!$AT$7)/('16'!Y14*0.0036))))</f>
        <v>94.156749538509885</v>
      </c>
      <c r="AC14" s="56"/>
      <c r="AD14" s="18">
        <f>(('16'!AC14*'16'!$O$9*1000000))/('16'!Y14*3600)</f>
        <v>0</v>
      </c>
      <c r="AE14" s="181">
        <v>3000</v>
      </c>
      <c r="AF14" s="182">
        <f>('16'!AE14/24)*0.454</f>
        <v>56.75</v>
      </c>
      <c r="AG14" s="19">
        <v>500</v>
      </c>
      <c r="AH14" s="182">
        <f>('16'!AG14/24)*0.454</f>
        <v>9.4583333333333339</v>
      </c>
      <c r="AI14" s="264">
        <v>3000</v>
      </c>
      <c r="AJ14" s="182">
        <f>('16'!AI14/24)*0.454</f>
        <v>56.75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200</v>
      </c>
      <c r="C15" s="184">
        <v>5</v>
      </c>
      <c r="D15" s="184">
        <v>7.5</v>
      </c>
      <c r="E15" s="184">
        <v>2.5</v>
      </c>
      <c r="F15" s="184">
        <v>38</v>
      </c>
      <c r="G15" s="184">
        <v>1.4</v>
      </c>
      <c r="H15" s="184">
        <v>2.8</v>
      </c>
      <c r="I15" s="184">
        <v>0.82</v>
      </c>
      <c r="J15" s="184">
        <v>0.91</v>
      </c>
      <c r="K15" s="184">
        <v>7.3</v>
      </c>
      <c r="L15" s="184">
        <v>6</v>
      </c>
      <c r="M15" s="184">
        <v>6</v>
      </c>
      <c r="N15" s="184">
        <v>5.8</v>
      </c>
      <c r="O15" s="184">
        <v>3</v>
      </c>
      <c r="P15" s="184">
        <v>0.4</v>
      </c>
      <c r="Q15" s="186">
        <v>0</v>
      </c>
      <c r="R15" s="36">
        <f>'16'!Z21</f>
        <v>1442</v>
      </c>
      <c r="S15" s="35">
        <f>'16'!AB21</f>
        <v>95.472919155714862</v>
      </c>
      <c r="T15" s="36">
        <f>'16'!Y21</f>
        <v>2790</v>
      </c>
      <c r="U15" s="32" t="str">
        <f>IF('16'!AA21=1,'16'!AR6,'16'!AR7)</f>
        <v>S.A.L</v>
      </c>
      <c r="V15" s="938"/>
      <c r="W15" s="938"/>
      <c r="X15" s="13">
        <v>0.41666666666666702</v>
      </c>
      <c r="Y15" s="180">
        <v>2851</v>
      </c>
      <c r="Z15" s="180">
        <v>1442</v>
      </c>
      <c r="AA15" s="15">
        <v>1</v>
      </c>
      <c r="AB15" s="56">
        <f>IF('16'!AA15=1,(('16'!Z15*'16'!$AS$6*'16'!$AT$6)/('16'!Y15*0.0036)),IF('16'!AA15=2,(('16'!Z15*'16'!$AS$7*'16'!$AT$7)/('16'!Y15*0.0036))))</f>
        <v>93.430180443509101</v>
      </c>
      <c r="AC15" s="56"/>
      <c r="AD15" s="18">
        <f>(('16'!AC15*'16'!$O$9*1000000))/('16'!Y15*3600)</f>
        <v>0</v>
      </c>
      <c r="AE15" s="181">
        <v>3000</v>
      </c>
      <c r="AF15" s="182">
        <f>('16'!AE15/24)*0.454</f>
        <v>56.75</v>
      </c>
      <c r="AG15" s="19">
        <v>500</v>
      </c>
      <c r="AH15" s="182">
        <f>('16'!AG15/24)*0.454</f>
        <v>9.4583333333333339</v>
      </c>
      <c r="AI15" s="264">
        <v>3000</v>
      </c>
      <c r="AJ15" s="182">
        <f>('16'!AI15/24)*0.454</f>
        <v>56.75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200</v>
      </c>
      <c r="C16" s="184">
        <v>5</v>
      </c>
      <c r="D16" s="184">
        <v>7.5</v>
      </c>
      <c r="E16" s="184">
        <v>2.5</v>
      </c>
      <c r="F16" s="184">
        <v>37</v>
      </c>
      <c r="G16" s="184">
        <v>1.3</v>
      </c>
      <c r="H16" s="184">
        <v>2.2000000000000002</v>
      </c>
      <c r="I16" s="184">
        <v>0.69</v>
      </c>
      <c r="J16" s="184">
        <v>0.72</v>
      </c>
      <c r="K16" s="184">
        <v>7.3</v>
      </c>
      <c r="L16" s="184">
        <v>6</v>
      </c>
      <c r="M16" s="184">
        <v>6</v>
      </c>
      <c r="N16" s="184">
        <v>5.8</v>
      </c>
      <c r="O16" s="184">
        <v>3</v>
      </c>
      <c r="P16" s="184">
        <v>0.4</v>
      </c>
      <c r="Q16" s="186">
        <v>0.8</v>
      </c>
      <c r="R16" s="36">
        <f>'16'!Z23</f>
        <v>1442</v>
      </c>
      <c r="S16" s="35">
        <f>'16'!AB23</f>
        <v>95.988988988988993</v>
      </c>
      <c r="T16" s="36">
        <f>'16'!Y23</f>
        <v>2775</v>
      </c>
      <c r="U16" s="32" t="str">
        <f>IF('16'!AA23=1,'16'!AR6,'16'!AR7)</f>
        <v>S.A.L</v>
      </c>
      <c r="V16" s="938"/>
      <c r="W16" s="938"/>
      <c r="X16" s="13">
        <v>0.45833333333333298</v>
      </c>
      <c r="Y16" s="180">
        <v>2868</v>
      </c>
      <c r="Z16" s="180">
        <v>1442</v>
      </c>
      <c r="AA16" s="15">
        <v>1</v>
      </c>
      <c r="AB16" s="56">
        <f>IF('16'!AA16=1,(('16'!Z16*'16'!$AS$6*'16'!$AT$6)/('16'!Y16*0.0036)),IF('16'!AA16=2,(('16'!Z16*'16'!$AS$7*'16'!$AT$7)/('16'!Y16*0.0036))))</f>
        <v>92.87637532930421</v>
      </c>
      <c r="AC16" s="56"/>
      <c r="AD16" s="18">
        <f>(('16'!AC16*'16'!$O$9*1000000))/('16'!Y16*3600)</f>
        <v>0</v>
      </c>
      <c r="AE16" s="181">
        <v>3000</v>
      </c>
      <c r="AF16" s="182">
        <f>('16'!AE16/24)*0.454</f>
        <v>56.75</v>
      </c>
      <c r="AG16" s="19">
        <v>500</v>
      </c>
      <c r="AH16" s="182">
        <f>('16'!AG16/24)*0.454</f>
        <v>9.4583333333333339</v>
      </c>
      <c r="AI16" s="264">
        <v>3000</v>
      </c>
      <c r="AJ16" s="182">
        <f>('16'!AI16/24)*0.454</f>
        <v>56.75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200</v>
      </c>
      <c r="C17" s="184">
        <v>5</v>
      </c>
      <c r="D17" s="184">
        <v>5</v>
      </c>
      <c r="E17" s="184">
        <v>2.5</v>
      </c>
      <c r="F17" s="184">
        <v>37</v>
      </c>
      <c r="G17" s="184">
        <v>1.2</v>
      </c>
      <c r="H17" s="184">
        <v>1.6</v>
      </c>
      <c r="I17" s="184">
        <v>0.61</v>
      </c>
      <c r="J17" s="184">
        <v>0.64</v>
      </c>
      <c r="K17" s="184">
        <v>7.3</v>
      </c>
      <c r="L17" s="184">
        <v>6</v>
      </c>
      <c r="M17" s="184">
        <v>6</v>
      </c>
      <c r="N17" s="184">
        <v>5.8</v>
      </c>
      <c r="O17" s="184">
        <v>3.2</v>
      </c>
      <c r="P17" s="184">
        <v>0.5</v>
      </c>
      <c r="Q17" s="186">
        <v>1.8</v>
      </c>
      <c r="R17" s="36">
        <f>'16'!Z25</f>
        <v>1442</v>
      </c>
      <c r="S17" s="35">
        <f>'16'!AB25</f>
        <v>93.201345152009964</v>
      </c>
      <c r="T17" s="36">
        <f>'16'!Y25</f>
        <v>2858</v>
      </c>
      <c r="U17" s="32" t="str">
        <f>IF('16'!AA25=1,'16'!AR6,'16'!AR7)</f>
        <v>S.A.L</v>
      </c>
      <c r="V17" s="939">
        <f>ESCALA!$C$18</f>
        <v>0</v>
      </c>
      <c r="W17" s="939"/>
      <c r="X17" s="13">
        <v>0.5</v>
      </c>
      <c r="Y17" s="180">
        <v>2761</v>
      </c>
      <c r="Z17" s="180">
        <v>1442</v>
      </c>
      <c r="AA17" s="15">
        <v>1</v>
      </c>
      <c r="AB17" s="56">
        <f>IF('16'!AA17=1,(('16'!Z17*'16'!$AS$6*'16'!$AT$6)/('16'!Y17*0.0036)),IF('16'!AA17=2,(('16'!Z17*'16'!$AS$7*'16'!$AT$7)/('16'!Y17*0.0036))))</f>
        <v>96.475713308382637</v>
      </c>
      <c r="AC17" s="56"/>
      <c r="AD17" s="18">
        <f>(('16'!AC17*'16'!$O$9*1000000))/('16'!Y17*3600)</f>
        <v>0</v>
      </c>
      <c r="AE17" s="181">
        <v>3000</v>
      </c>
      <c r="AF17" s="182">
        <f>('16'!AE17/24)*0.454</f>
        <v>56.75</v>
      </c>
      <c r="AG17" s="19">
        <v>500</v>
      </c>
      <c r="AH17" s="182">
        <f>('16'!AG17/24)*0.454</f>
        <v>9.4583333333333339</v>
      </c>
      <c r="AI17" s="264">
        <v>3000</v>
      </c>
      <c r="AJ17" s="182">
        <f>('16'!AI17/24)*0.454</f>
        <v>56.75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200</v>
      </c>
      <c r="C18" s="184">
        <v>5</v>
      </c>
      <c r="D18" s="184">
        <v>5</v>
      </c>
      <c r="E18" s="184">
        <v>2.5</v>
      </c>
      <c r="F18" s="184">
        <v>36</v>
      </c>
      <c r="G18" s="184">
        <v>1.2</v>
      </c>
      <c r="H18" s="184">
        <v>1.4</v>
      </c>
      <c r="I18" s="184">
        <v>0.6</v>
      </c>
      <c r="J18" s="184">
        <v>0.57999999999999996</v>
      </c>
      <c r="K18" s="184">
        <v>7.3</v>
      </c>
      <c r="L18" s="184">
        <v>6</v>
      </c>
      <c r="M18" s="184">
        <v>6</v>
      </c>
      <c r="N18" s="184">
        <v>5.8</v>
      </c>
      <c r="O18" s="184">
        <v>3.2</v>
      </c>
      <c r="P18" s="184">
        <v>0.5</v>
      </c>
      <c r="Q18" s="186">
        <v>2.8</v>
      </c>
      <c r="R18" s="36">
        <f>'16'!Z27</f>
        <v>1442</v>
      </c>
      <c r="S18" s="35">
        <f>'16'!AB27</f>
        <v>92.361111111111114</v>
      </c>
      <c r="T18" s="36">
        <f>'16'!Y27</f>
        <v>2884</v>
      </c>
      <c r="U18" s="32" t="str">
        <f>IF('16'!AA27=1,'16'!AR6,'16'!AR7)</f>
        <v>S.A.L</v>
      </c>
      <c r="V18" s="939"/>
      <c r="W18" s="939"/>
      <c r="X18" s="13">
        <v>0.54166666666666696</v>
      </c>
      <c r="Y18" s="180">
        <v>2751</v>
      </c>
      <c r="Z18" s="180">
        <v>1442</v>
      </c>
      <c r="AA18" s="15">
        <v>1</v>
      </c>
      <c r="AB18" s="56">
        <f>IF('16'!AA18=1,(('16'!Z18*'16'!$AS$6*'16'!$AT$6)/('16'!Y18*0.0036)),IF('16'!AA18=2,(('16'!Z18*'16'!$AS$7*'16'!$AT$7)/('16'!Y18*0.0036))))</f>
        <v>96.826406559231003</v>
      </c>
      <c r="AC18" s="56"/>
      <c r="AD18" s="18">
        <f>(('16'!AC18*'16'!$O$9*1000000))/('16'!Y18*3600)</f>
        <v>0</v>
      </c>
      <c r="AE18" s="181">
        <v>3000</v>
      </c>
      <c r="AF18" s="182">
        <f>('16'!AE18/24)*0.454</f>
        <v>56.75</v>
      </c>
      <c r="AG18" s="19">
        <v>500</v>
      </c>
      <c r="AH18" s="182">
        <f>('16'!AG18/24)*0.454</f>
        <v>9.4583333333333339</v>
      </c>
      <c r="AI18" s="264">
        <v>3000</v>
      </c>
      <c r="AJ18" s="182">
        <f>('16'!AI18/24)*0.454</f>
        <v>56.75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221.66666666666666</v>
      </c>
      <c r="C19" s="67">
        <f t="array" ref="C19">IF('16'!C7:C18&gt;0.01,AVERAGE('16'!C7:C18),"")</f>
        <v>5</v>
      </c>
      <c r="D19" s="67">
        <f t="array" ref="D19">IF('16'!D7:D18&gt;0.01,AVERAGE('16'!D7:D18),"")</f>
        <v>8.75</v>
      </c>
      <c r="E19" s="67">
        <f t="array" ref="E19">IF('16'!E7:E18&gt;0.01,AVERAGE('16'!E7:E18),"")</f>
        <v>2.5</v>
      </c>
      <c r="F19" s="187">
        <f t="array" ref="F19">IF('16'!F7:F18&gt;0.01,AVERAGE('16'!F7:F18),"")</f>
        <v>42</v>
      </c>
      <c r="G19" s="67">
        <f t="array" ref="G19">IF('16'!G7:G18&gt;0.01,AVERAGE('16'!G7:G18),"")</f>
        <v>1.45</v>
      </c>
      <c r="H19" s="67">
        <f t="array" ref="H19">IF('16'!H7:H18&gt;0.01,AVERAGE('16'!H7:H18),"")</f>
        <v>3.5249999999999999</v>
      </c>
      <c r="I19" s="67">
        <f t="array" ref="I19">IF('16'!I7:I18&gt;0.01,AVERAGE('16'!I7:I18),"")</f>
        <v>0.83166666666666655</v>
      </c>
      <c r="J19" s="67">
        <f t="array" ref="J19">IF('16'!J7:J18&gt;0.01,AVERAGE('16'!J7:J18),"")</f>
        <v>0.85166666666666668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6</v>
      </c>
      <c r="M19" s="67">
        <f t="array" ref="M19">IF('16'!M7:M18&gt;0.01,AVERAGE('16'!M7:M18),"")</f>
        <v>6</v>
      </c>
      <c r="N19" s="67">
        <f t="array" ref="N19">IF('16'!N7:N18&gt;0.01,AVERAGE('16'!N7:N18),"")</f>
        <v>5.799999999999998</v>
      </c>
      <c r="O19" s="67">
        <f t="array" ref="O19">IF('16'!O7:O18&gt;0.01,AVERAGE('16'!O7:O18),"")</f>
        <v>3.1416666666666671</v>
      </c>
      <c r="P19" s="188">
        <f t="array" ref="P19">IF('16'!P7:P18&gt;0.01,AVERAGE('16'!P7:P18),"")</f>
        <v>0.49166666666666675</v>
      </c>
      <c r="Q19" s="189">
        <f t="array" ref="Q19">IF('16'!Q7:Q18&gt;0.01,AVERAGE('16'!Q7:Q18),"")</f>
        <v>1.6000000000000003</v>
      </c>
      <c r="R19" s="189">
        <f t="array" ref="R19">IF('16'!R7:R18&gt;0.01,AVERAGE('16'!R7:R18),"")</f>
        <v>1418.6666666666667</v>
      </c>
      <c r="S19" s="189">
        <f t="array" ref="S19">IF('16'!S7:S18&gt;0.01,AVERAGE('16'!S7:S18),"")</f>
        <v>95.447818164716082</v>
      </c>
      <c r="T19" s="940"/>
      <c r="U19" s="940"/>
      <c r="V19" s="47"/>
      <c r="W19" s="48"/>
      <c r="X19" s="13">
        <v>0.58333333333333304</v>
      </c>
      <c r="Y19" s="180">
        <v>2816</v>
      </c>
      <c r="Z19" s="180">
        <v>1442</v>
      </c>
      <c r="AA19" s="15">
        <v>1</v>
      </c>
      <c r="AB19" s="56">
        <f>IF('16'!AA19=1,(('16'!Z19*'16'!$AS$6*'16'!$AT$6)/('16'!Y19*0.0036)),IF('16'!AA19=2,(('16'!Z19*'16'!$AS$7*'16'!$AT$7)/('16'!Y19*0.0036))))</f>
        <v>94.591422032828291</v>
      </c>
      <c r="AC19" s="56"/>
      <c r="AD19" s="18">
        <f>(('16'!AC19*'16'!$O$9*1000000))/('16'!Y19*3600)</f>
        <v>0</v>
      </c>
      <c r="AE19" s="181">
        <v>3000</v>
      </c>
      <c r="AF19" s="182">
        <f>('16'!AE19/24)*0.454</f>
        <v>56.75</v>
      </c>
      <c r="AG19" s="19">
        <v>500</v>
      </c>
      <c r="AH19" s="182">
        <f>('16'!AG19/24)*0.454</f>
        <v>9.4583333333333339</v>
      </c>
      <c r="AI19" s="264">
        <v>3000</v>
      </c>
      <c r="AJ19" s="182">
        <f>('16'!AI19/24)*0.454</f>
        <v>56.75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240</v>
      </c>
      <c r="C20" s="187">
        <f>MAX('16'!C7:C18)</f>
        <v>5</v>
      </c>
      <c r="D20" s="67">
        <f>MAX('16'!D7:D18)</f>
        <v>10</v>
      </c>
      <c r="E20" s="67">
        <f>MAX('16'!E7:E18)</f>
        <v>2.5</v>
      </c>
      <c r="F20" s="67">
        <f>MAX('16'!F7:F18)</f>
        <v>55</v>
      </c>
      <c r="G20" s="67">
        <f>MAX('16'!G7:G18)</f>
        <v>1.8</v>
      </c>
      <c r="H20" s="67">
        <f>MAX('16'!H7:H18)</f>
        <v>5.7</v>
      </c>
      <c r="I20" s="67">
        <f>MAX('16'!I7:I18)</f>
        <v>0.96</v>
      </c>
      <c r="J20" s="67">
        <f>MAX('16'!J7:J18)</f>
        <v>1.04</v>
      </c>
      <c r="K20" s="67">
        <f>MAX('16'!K7:K18)</f>
        <v>7.3</v>
      </c>
      <c r="L20" s="67">
        <f>MAX('16'!L7:L18)</f>
        <v>6</v>
      </c>
      <c r="M20" s="67">
        <f>MAX('16'!M7:M18)</f>
        <v>6</v>
      </c>
      <c r="N20" s="67">
        <f>MAX('16'!N7:N18)</f>
        <v>5.8</v>
      </c>
      <c r="O20" s="68">
        <f>MAX('16'!O7:O18)</f>
        <v>3.3</v>
      </c>
      <c r="P20" s="68">
        <f>MAX('16'!P7:P18)</f>
        <v>0.7</v>
      </c>
      <c r="Q20" s="68">
        <f>MAX('16'!Q7:Q18)</f>
        <v>3</v>
      </c>
      <c r="R20" s="68">
        <f>MAX('16'!R7:R18)</f>
        <v>1442</v>
      </c>
      <c r="S20" s="68">
        <f>MAX('16'!S7:S18)</f>
        <v>98.652739933393889</v>
      </c>
      <c r="T20" s="940"/>
      <c r="U20" s="940"/>
      <c r="X20" s="13">
        <v>0.625</v>
      </c>
      <c r="Y20" s="180">
        <v>2779</v>
      </c>
      <c r="Z20" s="180">
        <v>1442</v>
      </c>
      <c r="AA20" s="15">
        <v>1</v>
      </c>
      <c r="AB20" s="56">
        <f>IF('16'!AA20=1,(('16'!Z20*'16'!$AS$6*'16'!$AT$6)/('16'!Y20*0.0036)),IF('16'!AA20=2,(('16'!Z20*'16'!$AS$7*'16'!$AT$7)/('16'!Y20*0.0036))))</f>
        <v>95.850825636719847</v>
      </c>
      <c r="AC20" s="56"/>
      <c r="AD20" s="18">
        <f>(('16'!AC20*'16'!$O$9*1000000))/('16'!Y20*3600)</f>
        <v>0</v>
      </c>
      <c r="AE20" s="181">
        <v>3000</v>
      </c>
      <c r="AF20" s="182">
        <f>('16'!AE20/24)*0.454</f>
        <v>56.75</v>
      </c>
      <c r="AG20" s="19">
        <v>500</v>
      </c>
      <c r="AH20" s="182">
        <f>('16'!AG20/24)*0.454</f>
        <v>9.4583333333333339</v>
      </c>
      <c r="AI20" s="264">
        <v>3000</v>
      </c>
      <c r="AJ20" s="182">
        <f>('16'!AI20/24)*0.454</f>
        <v>56.75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200</v>
      </c>
      <c r="C21" s="67">
        <f>MIN('16'!C7:C18)</f>
        <v>5</v>
      </c>
      <c r="D21" s="67">
        <f>MIN('16'!D7:D18)</f>
        <v>5</v>
      </c>
      <c r="E21" s="67">
        <f>MIN('16'!E7:E18)</f>
        <v>2.5</v>
      </c>
      <c r="F21" s="67">
        <f>MIN('16'!F7:F18)</f>
        <v>36</v>
      </c>
      <c r="G21" s="190">
        <f>MIN('16'!G7:G18)</f>
        <v>1.2</v>
      </c>
      <c r="H21" s="190">
        <f>MIN('16'!H7:H18)</f>
        <v>1.4</v>
      </c>
      <c r="I21" s="190">
        <f>MIN('16'!I7:I18)</f>
        <v>0.6</v>
      </c>
      <c r="J21" s="190">
        <f>MIN('16'!J7:J18)</f>
        <v>0.57999999999999996</v>
      </c>
      <c r="K21" s="190">
        <f>MIN('16'!K7:K18)</f>
        <v>7.3</v>
      </c>
      <c r="L21" s="190">
        <f>MIN('16'!L7:L18)</f>
        <v>6</v>
      </c>
      <c r="M21" s="190">
        <f>MIN('16'!M7:M18)</f>
        <v>6</v>
      </c>
      <c r="N21" s="190">
        <f>MIN('16'!N7:N18)</f>
        <v>5.8</v>
      </c>
      <c r="O21" s="191">
        <f>MIN('16'!O7:O18)</f>
        <v>3</v>
      </c>
      <c r="P21" s="191">
        <f>MIN('16'!P7:P18)</f>
        <v>0.4</v>
      </c>
      <c r="Q21" s="191">
        <f>MIN('16'!Q7:Q18)</f>
        <v>0</v>
      </c>
      <c r="R21" s="191">
        <f>MIN('16'!R7:R18)</f>
        <v>1372</v>
      </c>
      <c r="S21" s="191">
        <f>MIN('16'!S7:S18)</f>
        <v>92.361111111111114</v>
      </c>
      <c r="T21" s="940"/>
      <c r="U21" s="940"/>
      <c r="X21" s="13">
        <v>0.66666666666666696</v>
      </c>
      <c r="Y21" s="180">
        <v>2790</v>
      </c>
      <c r="Z21" s="180">
        <v>1442</v>
      </c>
      <c r="AA21" s="15">
        <v>1</v>
      </c>
      <c r="AB21" s="56">
        <f>IF('16'!AA21=1,(('16'!Z21*'16'!$AS$6*'16'!$AT$6)/('16'!Y21*0.0036)),IF('16'!AA21=2,(('16'!Z21*'16'!$AS$7*'16'!$AT$7)/('16'!Y21*0.0036))))</f>
        <v>95.472919155714862</v>
      </c>
      <c r="AC21" s="56"/>
      <c r="AD21" s="18">
        <f>(('16'!AC21*'16'!$O$9*1000000))/('16'!Y21*3600)</f>
        <v>0</v>
      </c>
      <c r="AE21" s="181">
        <v>3000</v>
      </c>
      <c r="AF21" s="182">
        <f>('16'!AE21/24)*0.454</f>
        <v>56.75</v>
      </c>
      <c r="AG21" s="19">
        <v>500</v>
      </c>
      <c r="AH21" s="182">
        <f>('16'!AG21/24)*0.454</f>
        <v>9.4583333333333339</v>
      </c>
      <c r="AI21" s="264">
        <v>3000</v>
      </c>
      <c r="AJ21" s="182">
        <f>('16'!AI21/24)*0.454</f>
        <v>56.75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80">
        <v>2815</v>
      </c>
      <c r="Z22" s="180">
        <v>1442</v>
      </c>
      <c r="AA22" s="15">
        <v>1</v>
      </c>
      <c r="AB22" s="56">
        <f>IF('16'!AA22=1,(('16'!Z22*'16'!$AS$6*'16'!$AT$6)/('16'!Y22*0.0036)),IF('16'!AA22=2,(('16'!Z22*'16'!$AS$7*'16'!$AT$7)/('16'!Y22*0.0036))))</f>
        <v>94.625024669429649</v>
      </c>
      <c r="AC22" s="56"/>
      <c r="AD22" s="18">
        <f>(('16'!AC22*'16'!$O$9*1000000))/('16'!Y22*3600)</f>
        <v>0</v>
      </c>
      <c r="AE22" s="181">
        <v>3000</v>
      </c>
      <c r="AF22" s="182">
        <f>('16'!AE22/24)*0.454</f>
        <v>56.75</v>
      </c>
      <c r="AG22" s="19">
        <v>500</v>
      </c>
      <c r="AH22" s="182">
        <f>('16'!AG22/24)*0.454</f>
        <v>9.4583333333333339</v>
      </c>
      <c r="AI22" s="264">
        <v>3000</v>
      </c>
      <c r="AJ22" s="182">
        <f>('16'!AI22/24)*0.454</f>
        <v>56.75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80">
        <v>2775</v>
      </c>
      <c r="Z23" s="180">
        <v>1442</v>
      </c>
      <c r="AA23" s="15">
        <v>1</v>
      </c>
      <c r="AB23" s="56">
        <f>IF('16'!AA23=1,(('16'!Z23*'16'!$AS$6*'16'!$AT$6)/('16'!Y23*0.0036)),IF('16'!AA23=2,(('16'!Z23*'16'!$AS$7*'16'!$AT$7)/('16'!Y23*0.0036))))</f>
        <v>95.988988988988993</v>
      </c>
      <c r="AC23" s="56"/>
      <c r="AD23" s="18">
        <f>(('16'!AC23*'16'!$O$9*1000000))/('16'!Y23*3600)</f>
        <v>0</v>
      </c>
      <c r="AE23" s="181">
        <v>3000</v>
      </c>
      <c r="AF23" s="182">
        <f>('16'!AE23/24)*0.454</f>
        <v>56.75</v>
      </c>
      <c r="AG23" s="19">
        <v>500</v>
      </c>
      <c r="AH23" s="182">
        <f>('16'!AG23/24)*0.454</f>
        <v>9.4583333333333339</v>
      </c>
      <c r="AI23" s="264">
        <v>3000</v>
      </c>
      <c r="AJ23" s="182">
        <f>('16'!AI23/24)*0.454</f>
        <v>56.75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80">
        <v>2789</v>
      </c>
      <c r="Z24" s="180">
        <v>1442</v>
      </c>
      <c r="AA24" s="15">
        <v>1</v>
      </c>
      <c r="AB24" s="16">
        <f>IF('16'!AA24=1,(('16'!Z24*'16'!$AS$6*'16'!$AT$6)/('16'!Y24*0.0036)),IF('16'!AA24=2,(('16'!Z24*'16'!$AS$7*'16'!$AT$7)/('16'!Y24*0.0036))))</f>
        <v>95.507151109517551</v>
      </c>
      <c r="AC24" s="16"/>
      <c r="AD24" s="192">
        <f>(('16'!AC24*'16'!$O$9*1000000))/('16'!Y24*3600)</f>
        <v>0</v>
      </c>
      <c r="AE24" s="181">
        <v>3000</v>
      </c>
      <c r="AF24" s="193">
        <f>('16'!AE24/24)*0.454</f>
        <v>56.75</v>
      </c>
      <c r="AG24" s="19">
        <v>500</v>
      </c>
      <c r="AH24" s="193">
        <f>('16'!AG24/24)*0.454</f>
        <v>9.4583333333333339</v>
      </c>
      <c r="AI24" s="264">
        <v>3000</v>
      </c>
      <c r="AJ24" s="182">
        <f>('16'!AI24/24)*0.454</f>
        <v>56.75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6" t="s">
        <v>0</v>
      </c>
      <c r="U25" s="1043">
        <f>ESCALA!$A$18</f>
        <v>44332</v>
      </c>
      <c r="X25" s="13">
        <v>0.83333333333333304</v>
      </c>
      <c r="Y25" s="180">
        <v>2858</v>
      </c>
      <c r="Z25" s="180">
        <v>1442</v>
      </c>
      <c r="AA25" s="15">
        <v>1</v>
      </c>
      <c r="AB25" s="56">
        <f>IF('16'!AA25=1,(('16'!Z25*'16'!$AS$6*'16'!$AT$6)/('16'!Y25*0.0036)),IF('16'!AA25=2,(('16'!Z25*'16'!$AS$7*'16'!$AT$7)/('16'!Y25*0.0036))))</f>
        <v>93.201345152009964</v>
      </c>
      <c r="AC25" s="56"/>
      <c r="AD25" s="18">
        <f>(('16'!AC25*'16'!$O$9*1000000))/('16'!Y25*3600)</f>
        <v>0</v>
      </c>
      <c r="AE25" s="181">
        <v>3000</v>
      </c>
      <c r="AF25" s="182">
        <f>('16'!AE25/24)*0.454</f>
        <v>56.75</v>
      </c>
      <c r="AG25" s="19">
        <v>500</v>
      </c>
      <c r="AH25" s="182">
        <f>('16'!AG25/24)*0.454</f>
        <v>9.4583333333333339</v>
      </c>
      <c r="AI25" s="264">
        <v>3000</v>
      </c>
      <c r="AJ25" s="182">
        <f>('16'!AI25/24)*0.454</f>
        <v>56.75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/>
      <c r="C26" s="258">
        <v>0.71</v>
      </c>
      <c r="D26" s="258">
        <v>0.68</v>
      </c>
      <c r="E26" s="259">
        <v>0.7</v>
      </c>
      <c r="F26" s="259">
        <v>0.64</v>
      </c>
      <c r="G26" s="259">
        <v>0.62</v>
      </c>
      <c r="H26" s="259">
        <v>0.59</v>
      </c>
      <c r="I26" s="259">
        <v>0.64</v>
      </c>
      <c r="J26" s="259"/>
      <c r="K26" s="259">
        <v>0.94</v>
      </c>
      <c r="L26" s="259">
        <v>0.98</v>
      </c>
      <c r="M26" s="259">
        <v>1.02</v>
      </c>
      <c r="N26" s="259">
        <v>0.91</v>
      </c>
      <c r="O26" s="259">
        <v>0.86</v>
      </c>
      <c r="P26" s="259"/>
      <c r="Q26" s="259"/>
      <c r="R26" s="63" t="e">
        <f>#DIV/0!</f>
        <v>#DIV/0!</v>
      </c>
      <c r="S26" s="65"/>
      <c r="T26" s="1036"/>
      <c r="U26" s="1043"/>
      <c r="X26" s="13">
        <v>0.875</v>
      </c>
      <c r="Y26" s="180">
        <v>2820</v>
      </c>
      <c r="Z26" s="180">
        <v>1442</v>
      </c>
      <c r="AA26" s="15">
        <v>1</v>
      </c>
      <c r="AB26" s="56">
        <f>IF('16'!AA26=1,(('16'!Z26*'16'!$AS$6*'16'!$AT$6)/('16'!Y26*0.0036)),IF('16'!AA26=2,(('16'!Z26*'16'!$AS$7*'16'!$AT$7)/('16'!Y26*0.0036))))</f>
        <v>94.457249802994497</v>
      </c>
      <c r="AC26" s="56"/>
      <c r="AD26" s="18">
        <f>(('16'!AC26*'16'!$O$9*1000000))/('16'!Y26*3600)</f>
        <v>0</v>
      </c>
      <c r="AE26" s="181">
        <v>3000</v>
      </c>
      <c r="AF26" s="182">
        <f>('16'!AE26/24)*0.454</f>
        <v>56.75</v>
      </c>
      <c r="AG26" s="19">
        <v>500</v>
      </c>
      <c r="AH26" s="182">
        <f>('16'!AG26/24)*0.454</f>
        <v>9.4583333333333339</v>
      </c>
      <c r="AI26" s="264">
        <v>3000</v>
      </c>
      <c r="AJ26" s="182">
        <f>('16'!AI26/24)*0.454</f>
        <v>56.75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80">
        <v>2884</v>
      </c>
      <c r="Z27" s="180">
        <v>1442</v>
      </c>
      <c r="AA27" s="15">
        <v>1</v>
      </c>
      <c r="AB27" s="56">
        <f>IF('16'!AA27=1,(('16'!Z27*'16'!$AS$6*'16'!$AT$6)/('16'!Y27*0.0036)),IF('16'!AA27=2,(('16'!Z27*'16'!$AS$7*'16'!$AT$7)/('16'!Y27*0.0036))))</f>
        <v>92.361111111111114</v>
      </c>
      <c r="AC27" s="56"/>
      <c r="AD27" s="18">
        <f>(('16'!AC27*'16'!$O$9*1000000))/('16'!Y27*3600)</f>
        <v>0</v>
      </c>
      <c r="AE27" s="181">
        <v>3000</v>
      </c>
      <c r="AF27" s="182">
        <f>('16'!AE27/24)*0.454</f>
        <v>56.75</v>
      </c>
      <c r="AG27" s="19">
        <v>500</v>
      </c>
      <c r="AH27" s="182">
        <f>('16'!AG27/24)*0.454</f>
        <v>9.4583333333333339</v>
      </c>
      <c r="AI27" s="264">
        <v>3000</v>
      </c>
      <c r="AJ27" s="182">
        <f>('16'!AI27/24)*0.454</f>
        <v>56.75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80">
        <v>2920</v>
      </c>
      <c r="Z28" s="180">
        <v>1442</v>
      </c>
      <c r="AA28" s="15">
        <v>1</v>
      </c>
      <c r="AB28" s="56">
        <f>IF('16'!AA28=1,(('16'!Z28*'16'!$AS$6*'16'!$AT$6)/('16'!Y28*0.0036)),IF('16'!AA28=2,(('16'!Z28*'16'!$AS$7*'16'!$AT$7)/('16'!Y28*0.0036))))</f>
        <v>91.222412480974128</v>
      </c>
      <c r="AC28" s="56"/>
      <c r="AD28" s="18">
        <f>(('16'!AC28*'16'!$O$9*1000000))/('16'!Y28*3600)</f>
        <v>0</v>
      </c>
      <c r="AE28" s="181">
        <v>3000</v>
      </c>
      <c r="AF28" s="182">
        <f>('16'!AE28/24)*0.454</f>
        <v>56.75</v>
      </c>
      <c r="AG28" s="19">
        <v>500</v>
      </c>
      <c r="AH28" s="182">
        <f>('16'!AG28/24)*0.454</f>
        <v>9.4583333333333339</v>
      </c>
      <c r="AI28" s="264">
        <v>3000</v>
      </c>
      <c r="AJ28" s="182">
        <f>('16'!AI28/24)*0.454</f>
        <v>56.75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80">
        <v>2892</v>
      </c>
      <c r="Z29" s="180">
        <v>1442</v>
      </c>
      <c r="AA29" s="15">
        <v>1</v>
      </c>
      <c r="AB29" s="56">
        <f>IF('16'!AA29=1,(('16'!Z29*'16'!$AS$6*'16'!$AT$6)/('16'!Y29*0.0036)),IF('16'!AA29=2,(('16'!Z29*'16'!$AS$7*'16'!$AT$7)/('16'!Y29*0.0036))))</f>
        <v>92.105617027816209</v>
      </c>
      <c r="AC29" s="56"/>
      <c r="AD29" s="18">
        <f>(('16'!AC29*'16'!$O$9*1000000))/('16'!Y29*3600)</f>
        <v>0</v>
      </c>
      <c r="AE29" s="181">
        <v>3000</v>
      </c>
      <c r="AF29" s="182">
        <f>('16'!AE29/24)*0.454</f>
        <v>56.75</v>
      </c>
      <c r="AG29" s="19">
        <v>500</v>
      </c>
      <c r="AH29" s="182">
        <f>('16'!AG29/24)*0.454</f>
        <v>9.4583333333333339</v>
      </c>
      <c r="AI29" s="264">
        <v>3000</v>
      </c>
      <c r="AJ29" s="182">
        <f>('16'!AI29/24)*0.454</f>
        <v>56.75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SUM('16'!Y6:Y29)*3.6</f>
        <v>234939.6</v>
      </c>
      <c r="Z30" s="80">
        <f>SUM('16'!Z6:Z29)</f>
        <v>33788</v>
      </c>
      <c r="AA30" s="76"/>
      <c r="AB30" s="77"/>
      <c r="AC30" s="76"/>
      <c r="AD30" s="77"/>
      <c r="AE30" s="33"/>
      <c r="AF30" s="182">
        <f>SUM('16'!AF6:AF29)</f>
        <v>1362</v>
      </c>
      <c r="AG30" s="33"/>
      <c r="AH30" s="182" t="e">
        <f>SUM('16'!AH6:AH29)</f>
        <v>#REF!</v>
      </c>
      <c r="AI30" s="33"/>
      <c r="AJ30" s="182">
        <f>SUM('16'!AJ6:AJ29)</f>
        <v>1362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SUMIF('16'!AA6:AA29,"=1",'16'!Z6:Z29)</f>
        <v>33788</v>
      </c>
      <c r="AA32" s="80">
        <f>'16'!Z32*'16'!AS6</f>
        <v>44938.04</v>
      </c>
      <c r="AB32" s="81">
        <f>SUMIF('16'!$AA$6:$AA$29,"=1",'16'!$AB$6:$AB$29)/COUNTIF('16'!$AA$6:$AA$29,"=1")</f>
        <v>95.977580064669795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AVERAGE('16'!Y6:Y29)</f>
        <v>2719.2083333333335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56.75</v>
      </c>
      <c r="AG34" s="96"/>
      <c r="AH34" s="96" t="e">
        <f>AVERAGE('16'!AH6:AH29)</f>
        <v>#REF!</v>
      </c>
      <c r="AI34" s="96"/>
      <c r="AJ34" s="96">
        <f>'16'!AJ30/24</f>
        <v>56.75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1</v>
      </c>
      <c r="Z36" s="105"/>
      <c r="AA36" s="106" t="s">
        <v>74</v>
      </c>
      <c r="AB36" s="104">
        <v>6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64.7</v>
      </c>
      <c r="D37" s="184">
        <v>22.9</v>
      </c>
      <c r="E37" s="184">
        <v>14.9</v>
      </c>
      <c r="F37" s="184">
        <v>2.6</v>
      </c>
      <c r="G37" s="181">
        <v>0.2</v>
      </c>
      <c r="H37" s="181">
        <v>0.1</v>
      </c>
      <c r="I37" s="181">
        <v>0.2</v>
      </c>
      <c r="J37" s="181">
        <v>0.1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86">
        <f>'16'!V12</f>
        <v>0</v>
      </c>
      <c r="X37" s="956" t="s">
        <v>75</v>
      </c>
      <c r="Y37" s="956"/>
      <c r="Z37" s="108">
        <f>COUNTA('16'!Z6:Z29)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 t="e">
        <f>SUM('16'!AF30+'16'!AH30)</f>
        <v>#REF!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1362</v>
      </c>
      <c r="AQ38" s="208" t="s">
        <v>78</v>
      </c>
      <c r="AR38" s="287">
        <f>'16'!AP30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 t="e">
        <f>('16'!AK38/'16'!Y30)*1000</f>
        <v>#REF!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5.7972346935127153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>
        <v>3070</v>
      </c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 t="e">
        <f>SUM('16'!AK38,'16'!AM38)</f>
        <v>#REF!</v>
      </c>
      <c r="AM40" s="969"/>
      <c r="AO40" s="970" t="s">
        <v>90</v>
      </c>
      <c r="AP40" s="970"/>
      <c r="AQ40" s="971">
        <f>SUM('16'!AP38,'16'!AR38)</f>
        <v>1362</v>
      </c>
      <c r="AR40" s="971"/>
    </row>
    <row r="41" spans="1:44" ht="16.5" customHeight="1">
      <c r="A41" s="131">
        <f>COUNTA('16'!E7:E18)</f>
        <v>12</v>
      </c>
      <c r="B41" s="132">
        <f>COUNTA('16'!I7:I18)</f>
        <v>12</v>
      </c>
      <c r="C41" s="972">
        <f>COUNTA('16'!J7:J18)</f>
        <v>12</v>
      </c>
      <c r="D41" s="972">
        <f>COUNTA('16'!K7:K18)</f>
        <v>12</v>
      </c>
      <c r="E41" s="972">
        <f>COUNTIF('16'!E7:E18,"&gt;15")</f>
        <v>0</v>
      </c>
      <c r="F41" s="972"/>
      <c r="G41" s="972">
        <f>COUNTIF('16'!J7:J18,"&gt;1")</f>
        <v>1</v>
      </c>
      <c r="H41" s="972"/>
      <c r="I41" s="133"/>
      <c r="J41" s="972">
        <f>'16'!A41-'16'!E41</f>
        <v>12</v>
      </c>
      <c r="K41" s="972"/>
      <c r="L41" s="972">
        <f>'16'!C41-'16'!G41</f>
        <v>11</v>
      </c>
      <c r="M41" s="972"/>
      <c r="N41" s="133"/>
      <c r="O41" s="973">
        <f>COUNTIF('16'!J7:J18,"&lt;=0,5")</f>
        <v>0</v>
      </c>
      <c r="P41" s="973"/>
      <c r="Q41" s="973"/>
      <c r="R41" s="963"/>
      <c r="S41" s="974">
        <f>COUNTIF('16'!J7:J18,"&lt;=1,0")</f>
        <v>11</v>
      </c>
      <c r="T41" s="974"/>
      <c r="U41" s="134"/>
      <c r="V41" s="120"/>
      <c r="X41" s="917"/>
      <c r="Y41" s="917"/>
      <c r="Z41" s="917">
        <v>3081</v>
      </c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 t="e">
        <f>SUM(('16'!AK38+'16'!AM38)/'16'!Y30)*1000</f>
        <v>#REF!</v>
      </c>
      <c r="AM41" s="975"/>
      <c r="AO41" s="970" t="s">
        <v>91</v>
      </c>
      <c r="AP41" s="970"/>
      <c r="AQ41" s="975">
        <f>SUM(('16'!AP38+'16'!AR38)/'16'!Y30)*1000</f>
        <v>5.7972346935127153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>
        <v>3090</v>
      </c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31</v>
      </c>
      <c r="AD44" s="982"/>
      <c r="AE44" s="982"/>
      <c r="AF44" s="983" t="s">
        <v>102</v>
      </c>
      <c r="AG44" s="996">
        <f>SUM('16'!Y45,'16'!AA45,'16'!AC45,'16'!AE45)</f>
        <v>103903.7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COUNTIF('16'!I7:I18,"&lt;=5,0")</f>
        <v>12</v>
      </c>
      <c r="I45" s="986"/>
      <c r="J45" s="986"/>
      <c r="K45" s="133"/>
      <c r="L45" s="968">
        <f>COUNTA('16'!L37)</f>
        <v>0</v>
      </c>
      <c r="M45" s="968"/>
      <c r="O45" s="144"/>
      <c r="P45" s="145"/>
      <c r="Q45" s="987">
        <f>'16'!S41-'16'!O41</f>
        <v>11</v>
      </c>
      <c r="R45" s="987"/>
      <c r="S45" s="987"/>
      <c r="T45" s="146"/>
      <c r="X45" s="147" t="s">
        <v>104</v>
      </c>
      <c r="Y45" s="148">
        <f>'16'!Y44*275.3</f>
        <v>41295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8608.6999999999989</v>
      </c>
      <c r="AD45" s="147" t="s">
        <v>104</v>
      </c>
      <c r="AE45" s="149">
        <v>54000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89" t="s">
        <v>106</v>
      </c>
      <c r="AG46" s="990">
        <f>SUM('16'!Y47,'16'!AA47,'16'!AC47,'16'!AE47)</f>
        <v>138191.921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'16'!Y45*'16'!Y46</f>
        <v>54922.350000000006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11449.571</v>
      </c>
      <c r="AD47" s="147" t="s">
        <v>108</v>
      </c>
      <c r="AE47" s="148">
        <f>'16'!AE45*'16'!AE46</f>
        <v>71820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COUNTA('16'!O7:O18)</f>
        <v>12</v>
      </c>
      <c r="P51" s="968">
        <f>COUNTA('16'!W17:W28)</f>
        <v>0</v>
      </c>
      <c r="R51" s="986">
        <f>COUNTIF('16'!O7:O18,"&gt;=0,5")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SUM('16'!Y53,'16'!AA53,'16'!AC53,'16'!AE53)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'16'!AS7</f>
        <v>1.262</v>
      </c>
      <c r="Z54" s="151" t="s">
        <v>105</v>
      </c>
      <c r="AA54" s="153">
        <f>'16'!Y54</f>
        <v>1.262</v>
      </c>
      <c r="AB54" s="151" t="s">
        <v>105</v>
      </c>
      <c r="AC54" s="153">
        <f>'16'!Y54</f>
        <v>1.262</v>
      </c>
      <c r="AD54" s="151" t="s">
        <v>105</v>
      </c>
      <c r="AE54" s="154">
        <f>'16'!Y54</f>
        <v>1.262</v>
      </c>
      <c r="AF54" s="989" t="s">
        <v>106</v>
      </c>
      <c r="AG54" s="990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COUNTA('16'!N7:N18)</f>
        <v>12</v>
      </c>
      <c r="P57" s="997"/>
      <c r="R57" s="998">
        <f>COUNTIF('16'!N7:N18,"&gt;=6")</f>
        <v>0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44938.04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-44938.04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'15'!$Y$68</f>
        <v>#REF!</v>
      </c>
      <c r="Z65" s="1007"/>
      <c r="AA65" s="1007"/>
      <c r="AB65" s="174" t="s">
        <v>126</v>
      </c>
      <c r="AC65" s="238">
        <f>'15'!$AC$68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 t="e">
        <f>SUM('16'!AK38,'16'!AP38)</f>
        <v>#REF!</v>
      </c>
      <c r="Z67" s="1007"/>
      <c r="AA67" s="1007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 t="e">
        <f>SUM('16'!Y63,'16'!Y65)-'16'!Y67</f>
        <v>#REF!</v>
      </c>
      <c r="Z68" s="1007"/>
      <c r="AA68" s="1007"/>
      <c r="AB68" s="170" t="s">
        <v>128</v>
      </c>
      <c r="AC68" s="178">
        <f>SUM('16'!AC63,'16'!AC65)-'16'!AC67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1" zoomScaleNormal="100" workbookViewId="0">
      <selection activeCell="AE53" sqref="AE53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34" t="s">
        <v>13</v>
      </c>
      <c r="U4" s="108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34"/>
      <c r="U5" s="108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3.9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2"/>
      <c r="V6" s="926"/>
      <c r="W6" s="926"/>
      <c r="X6" s="13">
        <v>4.1666666666666699E-2</v>
      </c>
      <c r="Y6" s="171">
        <v>2951</v>
      </c>
      <c r="Z6" s="180">
        <v>1352</v>
      </c>
      <c r="AA6" s="15">
        <v>1</v>
      </c>
      <c r="AB6" s="56">
        <f>IF('17'!AA6=1,(('17'!Z6*'17'!$AS$6*'17'!$AT$6)/('17'!Y6*0.0036)),IF('17'!AA6=2,(('17'!Z6*'17'!$AS$7*'17'!$AT$7)/('17'!Y6*0.0036))))</f>
        <v>84.630445423396978</v>
      </c>
      <c r="AC6" s="56"/>
      <c r="AD6" s="18">
        <f>(('17'!AC6*'17'!$Q$10*1000000))/('17'!Y6*3600)</f>
        <v>0</v>
      </c>
      <c r="AE6" s="181">
        <v>3000</v>
      </c>
      <c r="AF6" s="182">
        <f>('17'!AE6/24)*0.454</f>
        <v>56.75</v>
      </c>
      <c r="AG6" s="19">
        <v>500</v>
      </c>
      <c r="AH6" s="182">
        <f>('17'!AG6/24)*0.454</f>
        <v>9.4583333333333339</v>
      </c>
      <c r="AI6" s="181">
        <v>3000</v>
      </c>
      <c r="AJ6" s="182">
        <f>('17'!AI6/24)*0.454</f>
        <v>56.75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135</v>
      </c>
      <c r="C7" s="184">
        <v>12</v>
      </c>
      <c r="D7" s="184">
        <v>11</v>
      </c>
      <c r="E7" s="184">
        <v>6</v>
      </c>
      <c r="F7" s="184">
        <v>36</v>
      </c>
      <c r="G7" s="184">
        <v>1.2</v>
      </c>
      <c r="H7" s="184">
        <v>1.5</v>
      </c>
      <c r="I7" s="184">
        <v>0.59</v>
      </c>
      <c r="J7" s="184">
        <v>0.6</v>
      </c>
      <c r="K7" s="184">
        <v>7.3</v>
      </c>
      <c r="L7" s="184">
        <v>6</v>
      </c>
      <c r="M7" s="184">
        <v>6</v>
      </c>
      <c r="N7" s="184">
        <v>5.8</v>
      </c>
      <c r="O7" s="184">
        <v>3.5</v>
      </c>
      <c r="P7" s="184">
        <v>0.5</v>
      </c>
      <c r="Q7" s="186">
        <v>3</v>
      </c>
      <c r="R7" s="36">
        <f>'16'!$Z$29</f>
        <v>1442</v>
      </c>
      <c r="S7" s="185">
        <f>'16'!$AB$29</f>
        <v>92.105617027816209</v>
      </c>
      <c r="T7" s="36">
        <f>'16'!$Y$29</f>
        <v>2892</v>
      </c>
      <c r="U7" s="32" t="str">
        <f>IF('17'!AA6=1,'17'!AR6,'17'!AR7)</f>
        <v>S.A.L</v>
      </c>
      <c r="V7" s="1016">
        <f>ESCALA!$C$18</f>
        <v>0</v>
      </c>
      <c r="W7" s="1016"/>
      <c r="X7" s="13">
        <v>8.3333333333333301E-2</v>
      </c>
      <c r="Y7" s="171">
        <v>2905</v>
      </c>
      <c r="Z7" s="180">
        <v>1352</v>
      </c>
      <c r="AA7" s="15">
        <v>1</v>
      </c>
      <c r="AB7" s="56">
        <f>IF('17'!AA7=1,(('17'!Z7*'17'!$AS$6*'17'!$AT$6)/('17'!Y7*0.0036)),IF('17'!AA7=2,(('17'!Z7*'17'!$AS$7*'17'!$AT$7)/('17'!Y7*0.0036))))</f>
        <v>85.970548862115123</v>
      </c>
      <c r="AC7" s="56"/>
      <c r="AD7" s="18">
        <f>(('17'!AC7*'17'!$Q$10*1000000))/('17'!Y7*3600)</f>
        <v>0</v>
      </c>
      <c r="AE7" s="181">
        <v>3000</v>
      </c>
      <c r="AF7" s="182">
        <f>('17'!AE7/24)*0.454</f>
        <v>56.75</v>
      </c>
      <c r="AG7" s="19">
        <v>500</v>
      </c>
      <c r="AH7" s="182">
        <f>('17'!AG7/24)*0.454</f>
        <v>9.4583333333333339</v>
      </c>
      <c r="AI7" s="181">
        <v>3000</v>
      </c>
      <c r="AJ7" s="182">
        <f>('17'!AI7/24)*0.454</f>
        <v>56.75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132</v>
      </c>
      <c r="C8" s="184">
        <v>12</v>
      </c>
      <c r="D8" s="184">
        <v>11</v>
      </c>
      <c r="E8" s="184">
        <v>5</v>
      </c>
      <c r="F8" s="184">
        <v>35</v>
      </c>
      <c r="G8" s="184">
        <v>1.3</v>
      </c>
      <c r="H8" s="184">
        <v>1.6</v>
      </c>
      <c r="I8" s="184">
        <v>0.57999999999999996</v>
      </c>
      <c r="J8" s="184">
        <v>0.62</v>
      </c>
      <c r="K8" s="184">
        <v>7.3</v>
      </c>
      <c r="L8" s="184">
        <v>6</v>
      </c>
      <c r="M8" s="184">
        <v>6</v>
      </c>
      <c r="N8" s="184">
        <v>5.8</v>
      </c>
      <c r="O8" s="184">
        <v>3.6</v>
      </c>
      <c r="P8" s="184">
        <v>0.5</v>
      </c>
      <c r="Q8" s="186">
        <v>3</v>
      </c>
      <c r="R8" s="34">
        <f>'17'!Z7</f>
        <v>1352</v>
      </c>
      <c r="S8" s="35">
        <f>'17'!AB7</f>
        <v>85.970548862115123</v>
      </c>
      <c r="T8" s="36">
        <f>'17'!Y7</f>
        <v>2905</v>
      </c>
      <c r="U8" s="32" t="str">
        <f>IF('17'!AA7=1,'17'!AR6,'17'!AR7)</f>
        <v>S.A.L</v>
      </c>
      <c r="V8" s="1016"/>
      <c r="W8" s="1016"/>
      <c r="X8" s="13">
        <v>0.125</v>
      </c>
      <c r="Y8" s="171">
        <v>2873</v>
      </c>
      <c r="Z8" s="180">
        <v>1352</v>
      </c>
      <c r="AA8" s="15">
        <v>1</v>
      </c>
      <c r="AB8" s="56">
        <f>IF('17'!AA8=1,(('17'!Z8*'17'!$AS$6*'17'!$AT$6)/('17'!Y8*0.0036)),IF('17'!AA8=2,(('17'!Z8*'17'!$AS$7*'17'!$AT$7)/('17'!Y8*0.0036))))</f>
        <v>86.928104575163403</v>
      </c>
      <c r="AC8" s="56"/>
      <c r="AD8" s="18">
        <f>(('17'!AC8*'17'!$Q$10*1000000))/('17'!Y8*3600)</f>
        <v>0</v>
      </c>
      <c r="AE8" s="181">
        <v>3000</v>
      </c>
      <c r="AF8" s="182">
        <f>('17'!AE8/24)*0.454</f>
        <v>56.75</v>
      </c>
      <c r="AG8" s="19">
        <v>500</v>
      </c>
      <c r="AH8" s="182">
        <f>('17'!AG8/24)*0.454</f>
        <v>9.4583333333333339</v>
      </c>
      <c r="AI8" s="181">
        <v>3000</v>
      </c>
      <c r="AJ8" s="182">
        <f>('17'!AI8/24)*0.454</f>
        <v>56.75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128</v>
      </c>
      <c r="C9" s="184">
        <v>11</v>
      </c>
      <c r="D9" s="184">
        <v>10</v>
      </c>
      <c r="E9" s="184">
        <v>5</v>
      </c>
      <c r="F9" s="184">
        <v>35</v>
      </c>
      <c r="G9" s="184">
        <v>1.3</v>
      </c>
      <c r="H9" s="184">
        <v>1.6</v>
      </c>
      <c r="I9" s="184">
        <v>0.59</v>
      </c>
      <c r="J9" s="184">
        <v>0.65</v>
      </c>
      <c r="K9" s="184">
        <v>7.3</v>
      </c>
      <c r="L9" s="184">
        <v>6</v>
      </c>
      <c r="M9" s="184">
        <v>6</v>
      </c>
      <c r="N9" s="184">
        <v>5.8</v>
      </c>
      <c r="O9" s="184">
        <v>3.8</v>
      </c>
      <c r="P9" s="184">
        <v>0.4</v>
      </c>
      <c r="Q9" s="186">
        <v>3.2</v>
      </c>
      <c r="R9" s="36">
        <f>'17'!Z9</f>
        <v>1352</v>
      </c>
      <c r="S9" s="35">
        <f>'17'!AB9</f>
        <v>87.721968543886362</v>
      </c>
      <c r="T9" s="36">
        <f>'17'!Y9</f>
        <v>2847</v>
      </c>
      <c r="U9" s="32" t="str">
        <f>IF('17'!AA9=1,'17'!AR6,'17'!AR7)</f>
        <v>S.A.L</v>
      </c>
      <c r="V9" s="1016"/>
      <c r="W9" s="1016"/>
      <c r="X9" s="13">
        <v>0.16666666666666699</v>
      </c>
      <c r="Y9" s="171">
        <v>2847</v>
      </c>
      <c r="Z9" s="180">
        <v>1352</v>
      </c>
      <c r="AA9" s="15">
        <v>1</v>
      </c>
      <c r="AB9" s="56">
        <f>IF('17'!AA9=1,(('17'!Z9*'17'!$AS$6*'17'!$AT$6)/('17'!Y9*0.0036)),IF('17'!AA9=2,(('17'!Z9*'17'!$AS$7*'17'!$AT$7)/('17'!Y9*0.0036))))</f>
        <v>87.721968543886362</v>
      </c>
      <c r="AC9" s="56"/>
      <c r="AD9" s="18">
        <f>(('17'!AC9*'17'!$Q$10*1000000))/('17'!Y9*3600)</f>
        <v>0</v>
      </c>
      <c r="AE9" s="181">
        <v>3000</v>
      </c>
      <c r="AF9" s="182">
        <f>('17'!AE9/24)*0.454</f>
        <v>56.75</v>
      </c>
      <c r="AG9" s="19">
        <v>500</v>
      </c>
      <c r="AH9" s="182">
        <f>('17'!AG9/24)*0.454</f>
        <v>9.4583333333333339</v>
      </c>
      <c r="AI9" s="181">
        <v>3000</v>
      </c>
      <c r="AJ9" s="182">
        <f>('17'!AI9/24)*0.454</f>
        <v>56.75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6" t="s">
        <v>37</v>
      </c>
      <c r="AR9" s="936"/>
      <c r="AS9" s="936"/>
      <c r="AT9" s="37" t="s">
        <v>39</v>
      </c>
    </row>
    <row r="10" spans="1:47" ht="15" customHeight="1">
      <c r="A10" s="28">
        <v>0.25</v>
      </c>
      <c r="B10" s="184">
        <v>125</v>
      </c>
      <c r="C10" s="184">
        <v>11</v>
      </c>
      <c r="D10" s="184">
        <v>10</v>
      </c>
      <c r="E10" s="184">
        <v>5</v>
      </c>
      <c r="F10" s="184">
        <v>34</v>
      </c>
      <c r="G10" s="184">
        <v>1.4</v>
      </c>
      <c r="H10" s="184">
        <v>1.7</v>
      </c>
      <c r="I10" s="184">
        <v>0.61</v>
      </c>
      <c r="J10" s="184">
        <v>0.67</v>
      </c>
      <c r="K10" s="184">
        <v>7.3</v>
      </c>
      <c r="L10" s="184">
        <v>6</v>
      </c>
      <c r="M10" s="184">
        <v>6</v>
      </c>
      <c r="N10" s="184">
        <v>5.8</v>
      </c>
      <c r="O10" s="184">
        <v>3.8</v>
      </c>
      <c r="P10" s="184">
        <v>0.4</v>
      </c>
      <c r="Q10" s="186">
        <v>3.2</v>
      </c>
      <c r="R10" s="36">
        <f>'17'!Z11</f>
        <v>1352</v>
      </c>
      <c r="S10" s="35">
        <f>'17'!AB11</f>
        <v>86.476608187134516</v>
      </c>
      <c r="T10" s="36">
        <f>'17'!Y11</f>
        <v>2888</v>
      </c>
      <c r="U10" s="32" t="str">
        <f>IF('17'!AA11=1,'17'!AR6,'17'!AR7)</f>
        <v>S.A.L</v>
      </c>
      <c r="V10" s="1016"/>
      <c r="W10" s="1016"/>
      <c r="X10" s="13">
        <v>0.20833333333333301</v>
      </c>
      <c r="Y10" s="171">
        <v>2911</v>
      </c>
      <c r="Z10" s="180">
        <v>1352</v>
      </c>
      <c r="AA10" s="15">
        <v>1</v>
      </c>
      <c r="AB10" s="56">
        <f>IF('17'!AA10=1,(('17'!Z10*'17'!$AS$6*'17'!$AT$6)/('17'!Y10*0.0036)),IF('17'!AA10=2,(('17'!Z10*'17'!$AS$7*'17'!$AT$7)/('17'!Y10*0.0036))))</f>
        <v>85.7933508912554</v>
      </c>
      <c r="AC10" s="56"/>
      <c r="AD10" s="18">
        <f>(('17'!AC10*'17'!$Q$10*1000000))/('17'!Y10*3600)</f>
        <v>0</v>
      </c>
      <c r="AE10" s="181">
        <v>3000</v>
      </c>
      <c r="AF10" s="182">
        <f>('17'!AE10/24)*0.454</f>
        <v>56.75</v>
      </c>
      <c r="AG10" s="19">
        <v>500</v>
      </c>
      <c r="AH10" s="182">
        <f>('17'!AG10/24)*0.454</f>
        <v>9.4583333333333339</v>
      </c>
      <c r="AI10" s="181">
        <v>3000</v>
      </c>
      <c r="AJ10" s="182">
        <f>('17'!AI10/24)*0.454</f>
        <v>56.75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37" t="s">
        <v>51</v>
      </c>
      <c r="AR10" s="937"/>
      <c r="AS10" s="937"/>
      <c r="AT10" s="39">
        <v>2E-3</v>
      </c>
    </row>
    <row r="11" spans="1:47" ht="15" customHeight="1">
      <c r="A11" s="28">
        <v>0.33333333333333298</v>
      </c>
      <c r="B11" s="184">
        <v>105</v>
      </c>
      <c r="C11" s="184">
        <v>7</v>
      </c>
      <c r="D11" s="184">
        <v>8.5</v>
      </c>
      <c r="E11" s="184">
        <v>5.6</v>
      </c>
      <c r="F11" s="184">
        <v>2.8</v>
      </c>
      <c r="G11" s="184">
        <v>1.6</v>
      </c>
      <c r="H11" s="184">
        <v>1.9</v>
      </c>
      <c r="I11" s="184">
        <v>0.49</v>
      </c>
      <c r="J11" s="184">
        <v>0.54</v>
      </c>
      <c r="K11" s="184">
        <v>7.3</v>
      </c>
      <c r="L11" s="184">
        <v>6.3</v>
      </c>
      <c r="M11" s="184">
        <v>6.3</v>
      </c>
      <c r="N11" s="184">
        <v>6</v>
      </c>
      <c r="O11" s="184">
        <v>3.6</v>
      </c>
      <c r="P11" s="184">
        <v>0.5</v>
      </c>
      <c r="Q11" s="186">
        <v>2.2000000000000002</v>
      </c>
      <c r="R11" s="36">
        <f>'17'!Z13</f>
        <v>1352</v>
      </c>
      <c r="S11" s="35">
        <f>'17'!AB13</f>
        <v>82.833978256863844</v>
      </c>
      <c r="T11" s="36">
        <f>'17'!Y13</f>
        <v>3015</v>
      </c>
      <c r="U11" s="32" t="str">
        <f>IF('17'!AA13=1,'17'!AR6,'17'!AR7)</f>
        <v>S.A.L</v>
      </c>
      <c r="V11" s="1016"/>
      <c r="W11" s="1016"/>
      <c r="X11" s="13">
        <v>0.25</v>
      </c>
      <c r="Y11" s="171">
        <v>2888</v>
      </c>
      <c r="Z11" s="180">
        <v>1352</v>
      </c>
      <c r="AA11" s="15">
        <v>1</v>
      </c>
      <c r="AB11" s="56">
        <f>IF('17'!AA11=1,(('17'!Z11*'17'!$AS$6*'17'!$AT$6)/('17'!Y11*0.0036)),IF('17'!AA11=2,(('17'!Z11*'17'!$AS$7*'17'!$AT$7)/('17'!Y11*0.0036))))</f>
        <v>86.476608187134516</v>
      </c>
      <c r="AC11" s="56"/>
      <c r="AD11" s="18">
        <f>(('17'!AC11*'17'!$Q$10*1000000))/('17'!Y11*3600)</f>
        <v>0</v>
      </c>
      <c r="AE11" s="181">
        <v>3000</v>
      </c>
      <c r="AF11" s="182">
        <f>('17'!AE11/24)*0.454</f>
        <v>56.75</v>
      </c>
      <c r="AG11" s="19">
        <v>500</v>
      </c>
      <c r="AH11" s="182">
        <f>('17'!AG11/24)*0.454</f>
        <v>9.4583333333333339</v>
      </c>
      <c r="AI11" s="181">
        <v>3000</v>
      </c>
      <c r="AJ11" s="182">
        <f>('17'!AI11/24)*0.454</f>
        <v>56.75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103</v>
      </c>
      <c r="C12" s="184">
        <v>7</v>
      </c>
      <c r="D12" s="184">
        <v>8.4</v>
      </c>
      <c r="E12" s="184">
        <v>5.5</v>
      </c>
      <c r="F12" s="184">
        <v>2.8</v>
      </c>
      <c r="G12" s="184">
        <v>1.6</v>
      </c>
      <c r="H12" s="184">
        <v>1.9</v>
      </c>
      <c r="I12" s="184">
        <v>0.5</v>
      </c>
      <c r="J12" s="184">
        <v>0.53</v>
      </c>
      <c r="K12" s="184">
        <v>7.3</v>
      </c>
      <c r="L12" s="184">
        <v>6.3</v>
      </c>
      <c r="M12" s="184">
        <v>6.3</v>
      </c>
      <c r="N12" s="184">
        <v>6</v>
      </c>
      <c r="O12" s="184">
        <v>3.6</v>
      </c>
      <c r="P12" s="184">
        <v>0.5</v>
      </c>
      <c r="Q12" s="186">
        <v>2.2000000000000002</v>
      </c>
      <c r="R12" s="36">
        <f>'17'!Z15</f>
        <v>1352</v>
      </c>
      <c r="S12" s="35">
        <f>'17'!AB15</f>
        <v>83.834993099847082</v>
      </c>
      <c r="T12" s="36">
        <f>'17'!Y15</f>
        <v>2979</v>
      </c>
      <c r="U12" s="32" t="str">
        <f>IF('17'!AA15=1,'17'!AR6,'17'!AR7)</f>
        <v>S.A.L</v>
      </c>
      <c r="V12" s="938">
        <f>ESCALA!$B$19</f>
        <v>0</v>
      </c>
      <c r="W12" s="938"/>
      <c r="X12" s="13">
        <v>0.29166666666666702</v>
      </c>
      <c r="Y12" s="171">
        <v>2936</v>
      </c>
      <c r="Z12" s="180">
        <v>1352</v>
      </c>
      <c r="AA12" s="15">
        <v>1</v>
      </c>
      <c r="AB12" s="56">
        <f>IF('17'!AA12=1,(('17'!Z12*'17'!$AS$6*'17'!$AT$6)/('17'!Y12*0.0036)),IF('17'!AA12=2,(('17'!Z12*'17'!$AS$7*'17'!$AT$7)/('17'!Y12*0.0036))))</f>
        <v>85.062821677263102</v>
      </c>
      <c r="AC12" s="56"/>
      <c r="AD12" s="18">
        <f>(('17'!AC12*'17'!$Q$10*1000000))/('17'!Y12*3600)</f>
        <v>0</v>
      </c>
      <c r="AE12" s="181">
        <v>3000</v>
      </c>
      <c r="AF12" s="182">
        <f>('17'!AE12/24)*0.454</f>
        <v>56.75</v>
      </c>
      <c r="AG12" s="19">
        <v>500</v>
      </c>
      <c r="AH12" s="182">
        <f>('17'!AG12/24)*0.454</f>
        <v>9.4583333333333339</v>
      </c>
      <c r="AI12" s="181">
        <v>3000</v>
      </c>
      <c r="AJ12" s="182">
        <f>('17'!AI12/24)*0.454</f>
        <v>56.75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118</v>
      </c>
      <c r="C13" s="184">
        <v>6</v>
      </c>
      <c r="D13" s="184">
        <v>8.6</v>
      </c>
      <c r="E13" s="184">
        <v>6</v>
      </c>
      <c r="F13" s="184">
        <v>30</v>
      </c>
      <c r="G13" s="184">
        <v>1.6</v>
      </c>
      <c r="H13" s="184">
        <v>1.7</v>
      </c>
      <c r="I13" s="184">
        <v>0.53</v>
      </c>
      <c r="J13" s="184">
        <v>0.54</v>
      </c>
      <c r="K13" s="184">
        <v>7.3</v>
      </c>
      <c r="L13" s="184">
        <v>6.3</v>
      </c>
      <c r="M13" s="184">
        <v>6.3</v>
      </c>
      <c r="N13" s="184">
        <v>6</v>
      </c>
      <c r="O13" s="184">
        <v>3.6</v>
      </c>
      <c r="P13" s="184">
        <v>1</v>
      </c>
      <c r="Q13" s="186">
        <v>2.2000000000000002</v>
      </c>
      <c r="R13" s="36">
        <f>'17'!Z17</f>
        <v>1352</v>
      </c>
      <c r="S13" s="35">
        <f>'17'!AB17</f>
        <v>84.287696403794953</v>
      </c>
      <c r="T13" s="36">
        <f>'17'!Y17</f>
        <v>2963</v>
      </c>
      <c r="U13" s="32" t="str">
        <f>IF('17'!AA17=1,'17'!AR6,'17'!AR7)</f>
        <v>S.A.L</v>
      </c>
      <c r="V13" s="938"/>
      <c r="W13" s="938"/>
      <c r="X13" s="13">
        <v>0.33333333333333298</v>
      </c>
      <c r="Y13" s="171">
        <v>3015</v>
      </c>
      <c r="Z13" s="180">
        <v>1352</v>
      </c>
      <c r="AA13" s="15">
        <v>1</v>
      </c>
      <c r="AB13" s="56">
        <f>IF('17'!AA13=1,(('17'!Z13*'17'!$AS$6*'17'!$AT$6)/('17'!Y13*0.0036)),IF('17'!AA13=2,(('17'!Z13*'17'!$AS$7*'17'!$AT$7)/('17'!Y13*0.0036))))</f>
        <v>82.833978256863844</v>
      </c>
      <c r="AC13" s="56"/>
      <c r="AD13" s="18">
        <f>(('17'!AC13*'17'!$Q$10*1000000))/('17'!Y13*3600)</f>
        <v>0</v>
      </c>
      <c r="AE13" s="181">
        <v>3000</v>
      </c>
      <c r="AF13" s="182">
        <f>('17'!AE13/24)*0.454</f>
        <v>56.75</v>
      </c>
      <c r="AG13" s="19">
        <v>500</v>
      </c>
      <c r="AH13" s="182">
        <f>('17'!AG13/24)*0.454</f>
        <v>9.4583333333333339</v>
      </c>
      <c r="AI13" s="181">
        <v>3000</v>
      </c>
      <c r="AJ13" s="182">
        <f>('17'!AI13/24)*0.454</f>
        <v>56.75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133</v>
      </c>
      <c r="C14" s="184">
        <v>5.2</v>
      </c>
      <c r="D14" s="184">
        <v>8.8000000000000007</v>
      </c>
      <c r="E14" s="184">
        <v>6.3</v>
      </c>
      <c r="F14" s="184">
        <v>33</v>
      </c>
      <c r="G14" s="184">
        <v>1.6</v>
      </c>
      <c r="H14" s="184">
        <v>1.7</v>
      </c>
      <c r="I14" s="184">
        <v>0.56000000000000005</v>
      </c>
      <c r="J14" s="184">
        <v>0.57999999999999996</v>
      </c>
      <c r="K14" s="184">
        <v>7.3</v>
      </c>
      <c r="L14" s="184">
        <v>6.3</v>
      </c>
      <c r="M14" s="184">
        <v>6.3</v>
      </c>
      <c r="N14" s="184">
        <v>6</v>
      </c>
      <c r="O14" s="184">
        <v>3.6</v>
      </c>
      <c r="P14" s="184">
        <v>1.4</v>
      </c>
      <c r="Q14" s="186">
        <v>2.1</v>
      </c>
      <c r="R14" s="36">
        <f>'17'!Z19</f>
        <v>1352</v>
      </c>
      <c r="S14" s="35">
        <f>'17'!AB19</f>
        <v>85.675624166190204</v>
      </c>
      <c r="T14" s="36">
        <f>'17'!Y19</f>
        <v>2915</v>
      </c>
      <c r="U14" s="32" t="str">
        <f>IF('17'!AA19=1,'17'!AR6,'17'!AR7)</f>
        <v>S.A.L</v>
      </c>
      <c r="V14" s="938"/>
      <c r="W14" s="938"/>
      <c r="X14" s="13">
        <v>0.375</v>
      </c>
      <c r="Y14" s="171">
        <v>2963</v>
      </c>
      <c r="Z14" s="180">
        <v>1352</v>
      </c>
      <c r="AA14" s="15">
        <v>1</v>
      </c>
      <c r="AB14" s="56">
        <f>IF('17'!AA14=1,(('17'!Z14*'17'!$AS$6*'17'!$AT$6)/('17'!Y14*0.0036)),IF('17'!AA14=2,(('17'!Z14*'17'!$AS$7*'17'!$AT$7)/('17'!Y14*0.0036))))</f>
        <v>84.287696403794953</v>
      </c>
      <c r="AC14" s="56"/>
      <c r="AD14" s="18">
        <f>(('17'!AC14*'17'!$Q$10*1000000))/('17'!Y14*3600)</f>
        <v>0</v>
      </c>
      <c r="AE14" s="181">
        <v>3000</v>
      </c>
      <c r="AF14" s="182">
        <f>('17'!AE14/24)*0.454</f>
        <v>56.75</v>
      </c>
      <c r="AG14" s="19">
        <v>500</v>
      </c>
      <c r="AH14" s="182">
        <f>('17'!AG14/24)*0.454</f>
        <v>9.4583333333333339</v>
      </c>
      <c r="AI14" s="181">
        <v>3000</v>
      </c>
      <c r="AJ14" s="182">
        <f>('17'!AI14/24)*0.454</f>
        <v>56.75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133</v>
      </c>
      <c r="C15" s="184">
        <v>5.7</v>
      </c>
      <c r="D15" s="184">
        <v>8.3000000000000007</v>
      </c>
      <c r="E15" s="184">
        <v>6.5</v>
      </c>
      <c r="F15" s="184">
        <v>35</v>
      </c>
      <c r="G15" s="184">
        <v>1.5</v>
      </c>
      <c r="H15" s="184">
        <v>1.6</v>
      </c>
      <c r="I15" s="184">
        <v>0.57999999999999996</v>
      </c>
      <c r="J15" s="184">
        <v>0.6</v>
      </c>
      <c r="K15" s="184">
        <v>7.3</v>
      </c>
      <c r="L15" s="184">
        <v>6.3</v>
      </c>
      <c r="M15" s="184">
        <v>6.3</v>
      </c>
      <c r="N15" s="184">
        <v>6</v>
      </c>
      <c r="O15" s="184">
        <v>3.7</v>
      </c>
      <c r="P15" s="184">
        <v>1</v>
      </c>
      <c r="Q15" s="186">
        <v>1.8</v>
      </c>
      <c r="R15" s="36">
        <f>'17'!Z21</f>
        <v>1352</v>
      </c>
      <c r="S15" s="35">
        <f>'17'!AB21</f>
        <v>87.66038766038767</v>
      </c>
      <c r="T15" s="36">
        <f>'17'!Y21</f>
        <v>2849</v>
      </c>
      <c r="U15" s="32" t="str">
        <f>IF('17'!AA21=1,'17'!AR6,'17'!AR7)</f>
        <v>S.A.L</v>
      </c>
      <c r="V15" s="938"/>
      <c r="W15" s="938"/>
      <c r="X15" s="13">
        <v>0.41666666666666702</v>
      </c>
      <c r="Y15" s="171">
        <v>2979</v>
      </c>
      <c r="Z15" s="180">
        <v>1352</v>
      </c>
      <c r="AA15" s="15">
        <v>1</v>
      </c>
      <c r="AB15" s="56">
        <f>IF('17'!AA15=1,(('17'!Z15*'17'!$AS$6*'17'!$AT$6)/('17'!Y15*0.0036)),IF('17'!AA15=2,(('17'!Z15*'17'!$AS$7*'17'!$AT$7)/('17'!Y15*0.0036))))</f>
        <v>83.834993099847082</v>
      </c>
      <c r="AC15" s="56"/>
      <c r="AD15" s="18">
        <f>(('17'!AC15*'17'!$Q$10*1000000))/('17'!Y15*3600)</f>
        <v>0</v>
      </c>
      <c r="AE15" s="181">
        <v>3000</v>
      </c>
      <c r="AF15" s="182">
        <f>('17'!AE15/24)*0.454</f>
        <v>56.75</v>
      </c>
      <c r="AG15" s="19">
        <v>500</v>
      </c>
      <c r="AH15" s="182">
        <f>('17'!AG15/24)*0.454</f>
        <v>9.4583333333333339</v>
      </c>
      <c r="AI15" s="181">
        <v>3000</v>
      </c>
      <c r="AJ15" s="182">
        <f>('17'!AI15/24)*0.454</f>
        <v>56.75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133</v>
      </c>
      <c r="C16" s="184">
        <v>6.1</v>
      </c>
      <c r="D16" s="184">
        <v>8.1</v>
      </c>
      <c r="E16" s="184">
        <v>7.5</v>
      </c>
      <c r="F16" s="184">
        <v>36</v>
      </c>
      <c r="G16" s="184">
        <v>1.5</v>
      </c>
      <c r="H16" s="184">
        <v>1.6</v>
      </c>
      <c r="I16" s="184">
        <v>0.6</v>
      </c>
      <c r="J16" s="184">
        <v>0.6</v>
      </c>
      <c r="K16" s="184">
        <v>7.3</v>
      </c>
      <c r="L16" s="184">
        <v>6.3</v>
      </c>
      <c r="M16" s="184">
        <v>6.3</v>
      </c>
      <c r="N16" s="184">
        <v>6</v>
      </c>
      <c r="O16" s="184">
        <v>3.8</v>
      </c>
      <c r="P16" s="184">
        <v>0.7</v>
      </c>
      <c r="Q16" s="186">
        <v>1.4</v>
      </c>
      <c r="R16" s="36">
        <f>'17'!Z23</f>
        <v>1172</v>
      </c>
      <c r="S16" s="35">
        <f>'17'!AB23</f>
        <v>84.304690204222922</v>
      </c>
      <c r="T16" s="36">
        <f>'17'!Y23</f>
        <v>2568</v>
      </c>
      <c r="U16" s="32" t="str">
        <f>IF('17'!AA23=1,'17'!AR6,'17'!AR7)</f>
        <v>S.A.L</v>
      </c>
      <c r="V16" s="938"/>
      <c r="W16" s="938"/>
      <c r="X16" s="13">
        <v>0.45833333333333298</v>
      </c>
      <c r="Y16" s="171">
        <v>2962</v>
      </c>
      <c r="Z16" s="180">
        <v>1352</v>
      </c>
      <c r="AA16" s="15">
        <v>1</v>
      </c>
      <c r="AB16" s="56">
        <f>IF('17'!AA16=1,(('17'!Z16*'17'!$AS$6*'17'!$AT$6)/('17'!Y16*0.0036)),IF('17'!AA16=2,(('17'!Z16*'17'!$AS$7*'17'!$AT$7)/('17'!Y16*0.0036))))</f>
        <v>84.316152749643635</v>
      </c>
      <c r="AC16" s="56"/>
      <c r="AD16" s="18">
        <f>(('17'!AC16*'17'!$Q$10*1000000))/('17'!Y16*3600)</f>
        <v>0</v>
      </c>
      <c r="AE16" s="181">
        <v>3000</v>
      </c>
      <c r="AF16" s="182">
        <f>('17'!AE16/24)*0.454</f>
        <v>56.75</v>
      </c>
      <c r="AG16" s="19">
        <v>500</v>
      </c>
      <c r="AH16" s="182">
        <f>('17'!AG16/24)*0.454</f>
        <v>9.4583333333333339</v>
      </c>
      <c r="AI16" s="181">
        <v>3000</v>
      </c>
      <c r="AJ16" s="182">
        <f>('17'!AI16/24)*0.454</f>
        <v>56.75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132</v>
      </c>
      <c r="C17" s="184">
        <v>6.1</v>
      </c>
      <c r="D17" s="184">
        <v>7</v>
      </c>
      <c r="E17" s="184">
        <v>6.7</v>
      </c>
      <c r="F17" s="184">
        <v>35</v>
      </c>
      <c r="G17" s="184">
        <v>1.4</v>
      </c>
      <c r="H17" s="184">
        <v>1.6</v>
      </c>
      <c r="I17" s="184">
        <v>0.56999999999999995</v>
      </c>
      <c r="J17" s="184">
        <v>0.6</v>
      </c>
      <c r="K17" s="184">
        <v>7.3</v>
      </c>
      <c r="L17" s="184">
        <v>6.3</v>
      </c>
      <c r="M17" s="184">
        <v>6.3</v>
      </c>
      <c r="N17" s="184">
        <v>6</v>
      </c>
      <c r="O17" s="184">
        <v>4</v>
      </c>
      <c r="P17" s="184">
        <v>1.1000000000000001</v>
      </c>
      <c r="Q17" s="186">
        <v>1.7</v>
      </c>
      <c r="R17" s="36">
        <f>'17'!Z25</f>
        <v>1172</v>
      </c>
      <c r="S17" s="35">
        <f>'17'!AB25</f>
        <v>83.459693309346349</v>
      </c>
      <c r="T17" s="36">
        <f>'17'!Y25</f>
        <v>2594</v>
      </c>
      <c r="U17" s="32" t="str">
        <f>IF('17'!AA25=1,'17'!AR6,'17'!AR7)</f>
        <v>S.A.L</v>
      </c>
      <c r="V17" s="939">
        <f>ESCALA!$C$19</f>
        <v>0</v>
      </c>
      <c r="W17" s="939"/>
      <c r="X17" s="13">
        <v>0.5</v>
      </c>
      <c r="Y17" s="171">
        <v>2963</v>
      </c>
      <c r="Z17" s="180">
        <v>1352</v>
      </c>
      <c r="AA17" s="15">
        <v>1</v>
      </c>
      <c r="AB17" s="56">
        <f>IF('17'!AA17=1,(('17'!Z17*'17'!$AS$6*'17'!$AT$6)/('17'!Y17*0.0036)),IF('17'!AA17=2,(('17'!Z17*'17'!$AS$7*'17'!$AT$7)/('17'!Y17*0.0036))))</f>
        <v>84.287696403794953</v>
      </c>
      <c r="AC17" s="56"/>
      <c r="AD17" s="18">
        <f>(('17'!AC17*'17'!$Q$10*1000000))/('17'!Y17*3600)</f>
        <v>0</v>
      </c>
      <c r="AE17" s="181">
        <v>3000</v>
      </c>
      <c r="AF17" s="182">
        <f>('17'!AE17/24)*0.454</f>
        <v>56.75</v>
      </c>
      <c r="AG17" s="19">
        <v>500</v>
      </c>
      <c r="AH17" s="182">
        <f>('17'!AG17/24)*0.454</f>
        <v>9.4583333333333339</v>
      </c>
      <c r="AI17" s="181">
        <v>3000</v>
      </c>
      <c r="AJ17" s="182">
        <f>('17'!AI17/24)*0.454</f>
        <v>56.75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131</v>
      </c>
      <c r="C18" s="184">
        <v>6.2</v>
      </c>
      <c r="D18" s="184">
        <v>6.4</v>
      </c>
      <c r="E18" s="184">
        <v>6</v>
      </c>
      <c r="F18" s="184">
        <v>34</v>
      </c>
      <c r="G18" s="184">
        <v>1.3</v>
      </c>
      <c r="H18" s="184">
        <v>1.7</v>
      </c>
      <c r="I18" s="184">
        <v>0.53</v>
      </c>
      <c r="J18" s="184">
        <v>0.6</v>
      </c>
      <c r="K18" s="184">
        <v>7.3</v>
      </c>
      <c r="L18" s="184">
        <v>6.3</v>
      </c>
      <c r="M18" s="184">
        <v>6.3</v>
      </c>
      <c r="N18" s="184">
        <v>6</v>
      </c>
      <c r="O18" s="184">
        <v>4</v>
      </c>
      <c r="P18" s="184">
        <v>1.5</v>
      </c>
      <c r="Q18" s="186">
        <v>2.1</v>
      </c>
      <c r="R18" s="36">
        <f>'17'!Z27</f>
        <v>1172</v>
      </c>
      <c r="S18" s="35">
        <f>'17'!AB27</f>
        <v>80.781509121061362</v>
      </c>
      <c r="T18" s="36">
        <f>'17'!Y27</f>
        <v>2680</v>
      </c>
      <c r="U18" s="32" t="str">
        <f>IF('17'!AA27=1,'17'!AR6,'17'!AR7)</f>
        <v>S.A.L</v>
      </c>
      <c r="V18" s="939"/>
      <c r="W18" s="939"/>
      <c r="X18" s="13">
        <v>0.54166666666666696</v>
      </c>
      <c r="Y18" s="171">
        <v>2879</v>
      </c>
      <c r="Z18" s="180">
        <v>1352</v>
      </c>
      <c r="AA18" s="15">
        <v>1</v>
      </c>
      <c r="AB18" s="56">
        <f>IF('17'!AA18=1,(('17'!Z18*'17'!$AS$6*'17'!$AT$6)/('17'!Y18*0.0036)),IF('17'!AA18=2,(('17'!Z18*'17'!$AS$7*'17'!$AT$7)/('17'!Y18*0.0036))))</f>
        <v>86.746941453436776</v>
      </c>
      <c r="AC18" s="56"/>
      <c r="AD18" s="18">
        <f>(('17'!AC18*'17'!$Q$10*1000000))/('17'!Y18*3600)</f>
        <v>0</v>
      </c>
      <c r="AE18" s="181">
        <v>3000</v>
      </c>
      <c r="AF18" s="182">
        <f>('17'!AE18/24)*0.454</f>
        <v>56.75</v>
      </c>
      <c r="AG18" s="19">
        <v>500</v>
      </c>
      <c r="AH18" s="182">
        <f>('17'!AG18/24)*0.454</f>
        <v>9.4583333333333339</v>
      </c>
      <c r="AI18" s="181">
        <v>3000</v>
      </c>
      <c r="AJ18" s="182">
        <f>('17'!AI18/24)*0.454</f>
        <v>56.75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125.66666666666667</v>
      </c>
      <c r="C19" s="67">
        <f>AVERAGE('17'!C7:C18)</f>
        <v>7.9416666666666664</v>
      </c>
      <c r="D19" s="67">
        <f>AVERAGE('17'!D7:D18)</f>
        <v>8.8416666666666668</v>
      </c>
      <c r="E19" s="67">
        <f>AVERAGE('17'!E7:E18)</f>
        <v>5.9249999999999998</v>
      </c>
      <c r="F19" s="67">
        <f>AVERAGE('17'!F7:F18)</f>
        <v>29.05</v>
      </c>
      <c r="G19" s="67">
        <f>AVERAGE('17'!G8:G18)</f>
        <v>1.4636363636363634</v>
      </c>
      <c r="H19" s="67">
        <f>AVERAGE('17'!H7:H18)</f>
        <v>1.675</v>
      </c>
      <c r="I19" s="67">
        <f>AVERAGE('17'!I7:I18)</f>
        <v>0.56083333333333329</v>
      </c>
      <c r="J19" s="67">
        <f>AVERAGE('17'!J7:J18)</f>
        <v>0.59416666666666662</v>
      </c>
      <c r="K19" s="67">
        <f>AVERAGE('17'!K7:K18)</f>
        <v>7.299999999999998</v>
      </c>
      <c r="L19" s="67">
        <f>AVERAGE('17'!L7:L18)</f>
        <v>6.1999999999999993</v>
      </c>
      <c r="M19" s="67">
        <f>AVERAGE('17'!M7:M18)</f>
        <v>6.1999999999999993</v>
      </c>
      <c r="N19" s="67">
        <f>AVERAGE('17'!N7:N18)</f>
        <v>5.9333333333333336</v>
      </c>
      <c r="O19" s="67">
        <f>AVERAGE('17'!O7:O18)</f>
        <v>3.7166666666666668</v>
      </c>
      <c r="P19" s="188">
        <f>AVERAGE('17'!P7:P18)</f>
        <v>0.79166666666666663</v>
      </c>
      <c r="Q19" s="189">
        <f>AVERAGE('17'!Q7:Q18)</f>
        <v>2.3416666666666663</v>
      </c>
      <c r="R19" s="189">
        <f>AVERAGE('17'!R7:R18)</f>
        <v>1314.5</v>
      </c>
      <c r="S19" s="189">
        <f>AVERAGE('17'!S7:S18)</f>
        <v>85.426109570222209</v>
      </c>
      <c r="T19" s="940"/>
      <c r="U19" s="940"/>
      <c r="V19" s="47"/>
      <c r="W19" s="48"/>
      <c r="X19" s="13">
        <v>0.58333333333333304</v>
      </c>
      <c r="Y19" s="171">
        <v>2915</v>
      </c>
      <c r="Z19" s="180">
        <v>1352</v>
      </c>
      <c r="AA19" s="15">
        <v>1</v>
      </c>
      <c r="AB19" s="56">
        <f>IF('17'!AA19=1,(('17'!Z19*'17'!$AS$6*'17'!$AT$6)/('17'!Y19*0.0036)),IF('17'!AA19=2,(('17'!Z19*'17'!$AS$7*'17'!$AT$7)/('17'!Y19*0.0036))))</f>
        <v>85.675624166190204</v>
      </c>
      <c r="AC19" s="56"/>
      <c r="AD19" s="18">
        <f>(('17'!AC19*'17'!$Q$10*1000000))/('17'!Y19*3600)</f>
        <v>0</v>
      </c>
      <c r="AE19" s="181">
        <v>3000</v>
      </c>
      <c r="AF19" s="182">
        <f>('17'!AE19/24)*0.454</f>
        <v>56.75</v>
      </c>
      <c r="AG19" s="19">
        <v>500</v>
      </c>
      <c r="AH19" s="182">
        <f>('17'!AG19/24)*0.454</f>
        <v>9.4583333333333339</v>
      </c>
      <c r="AI19" s="181">
        <v>3000</v>
      </c>
      <c r="AJ19" s="182">
        <f>('17'!AI19/24)*0.454</f>
        <v>56.75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135</v>
      </c>
      <c r="C20" s="67">
        <f>MAX('17'!C7:C18)</f>
        <v>12</v>
      </c>
      <c r="D20" s="67">
        <f>MAX('17'!D7:D18)</f>
        <v>11</v>
      </c>
      <c r="E20" s="67">
        <f>MAX('17'!E7:E18)</f>
        <v>7.5</v>
      </c>
      <c r="F20" s="67">
        <f>MAX('17'!F7:F18)</f>
        <v>36</v>
      </c>
      <c r="G20" s="67">
        <f>MAX('17'!G8:G18)</f>
        <v>1.6</v>
      </c>
      <c r="H20" s="67">
        <f>MAX('17'!H7:H18)</f>
        <v>1.9</v>
      </c>
      <c r="I20" s="67">
        <f>MAX('17'!I7:I18)</f>
        <v>0.61</v>
      </c>
      <c r="J20" s="67">
        <f>MAX('17'!J7:J18)</f>
        <v>0.67</v>
      </c>
      <c r="K20" s="67">
        <f>MAX('17'!K7:K18)</f>
        <v>7.3</v>
      </c>
      <c r="L20" s="67">
        <f>MAX('17'!L7:L18)</f>
        <v>6.3</v>
      </c>
      <c r="M20" s="67">
        <f>MAX('17'!M7:M18)</f>
        <v>6.3</v>
      </c>
      <c r="N20" s="67">
        <f>MAX('17'!N7:N18)</f>
        <v>6</v>
      </c>
      <c r="O20" s="68">
        <f>MAX('17'!O7:O18)</f>
        <v>4</v>
      </c>
      <c r="P20" s="68">
        <f>MAX('17'!P7:P18)</f>
        <v>1.5</v>
      </c>
      <c r="Q20" s="68">
        <f>MAX('17'!Q7:Q18)</f>
        <v>3.2</v>
      </c>
      <c r="R20" s="68">
        <f>MAX('17'!R7:R18)</f>
        <v>1442</v>
      </c>
      <c r="S20" s="68">
        <f>MAX('17'!S7:S18)</f>
        <v>92.105617027816209</v>
      </c>
      <c r="T20" s="940"/>
      <c r="U20" s="940"/>
      <c r="X20" s="13">
        <v>0.625</v>
      </c>
      <c r="Y20" s="171">
        <v>2908</v>
      </c>
      <c r="Z20" s="180">
        <v>1352</v>
      </c>
      <c r="AA20" s="15">
        <v>1</v>
      </c>
      <c r="AB20" s="56">
        <f>IF('17'!AA20=1,(('17'!Z20*'17'!$AS$6*'17'!$AT$6)/('17'!Y20*0.0036)),IF('17'!AA20=2,(('17'!Z20*'17'!$AS$7*'17'!$AT$7)/('17'!Y20*0.0036))))</f>
        <v>85.881858474705794</v>
      </c>
      <c r="AC20" s="56"/>
      <c r="AD20" s="18">
        <f>(('17'!AC20*'17'!$Q$10*1000000))/('17'!Y20*3600)</f>
        <v>0</v>
      </c>
      <c r="AE20" s="181">
        <v>3000</v>
      </c>
      <c r="AF20" s="182">
        <f>('17'!AE20/24)*0.454</f>
        <v>56.75</v>
      </c>
      <c r="AG20" s="19">
        <v>500</v>
      </c>
      <c r="AH20" s="182">
        <f>('17'!AG20/24)*0.454</f>
        <v>9.4583333333333339</v>
      </c>
      <c r="AI20" s="181">
        <v>3000</v>
      </c>
      <c r="AJ20" s="182">
        <f>('17'!AI20/24)*0.454</f>
        <v>56.75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103</v>
      </c>
      <c r="C21" s="67">
        <f>MIN('17'!C7:C18)</f>
        <v>5.2</v>
      </c>
      <c r="D21" s="67">
        <f>MIN('17'!D7:D18)</f>
        <v>6.4</v>
      </c>
      <c r="E21" s="67">
        <f>MIN('17'!E7:E18)</f>
        <v>5</v>
      </c>
      <c r="F21" s="67">
        <f>MIN('17'!F7:F18)</f>
        <v>2.8</v>
      </c>
      <c r="G21" s="190">
        <f>MIN('17'!G8:G18)</f>
        <v>1.3</v>
      </c>
      <c r="H21" s="190">
        <f>MIN('17'!H7:H18)</f>
        <v>1.5</v>
      </c>
      <c r="I21" s="190">
        <f>MIN('17'!I7:I18)</f>
        <v>0.49</v>
      </c>
      <c r="J21" s="190">
        <f>MIN('17'!J7:J18)</f>
        <v>0.53</v>
      </c>
      <c r="K21" s="190">
        <f>MIN('17'!K7:K18)</f>
        <v>7.3</v>
      </c>
      <c r="L21" s="190">
        <f>MIN('17'!L7:L18)</f>
        <v>6</v>
      </c>
      <c r="M21" s="190">
        <f>MIN('17'!M7:M18)</f>
        <v>6</v>
      </c>
      <c r="N21" s="190">
        <f>MIN('17'!N7:N18)</f>
        <v>5.8</v>
      </c>
      <c r="O21" s="191">
        <f>MIN('17'!O7:O18)</f>
        <v>3.5</v>
      </c>
      <c r="P21" s="191">
        <f>MIN('17'!P7:P18)</f>
        <v>0.4</v>
      </c>
      <c r="Q21" s="191">
        <f>MIN('17'!Q7:Q18)</f>
        <v>1.4</v>
      </c>
      <c r="R21" s="191">
        <f>MIN('17'!R7:R18)</f>
        <v>1172</v>
      </c>
      <c r="S21" s="191">
        <f>MIN('17'!S7:S18)</f>
        <v>80.781509121061362</v>
      </c>
      <c r="T21" s="940"/>
      <c r="U21" s="940"/>
      <c r="X21" s="13">
        <v>0.66666666666666696</v>
      </c>
      <c r="Y21" s="171">
        <v>2849</v>
      </c>
      <c r="Z21" s="180">
        <v>1352</v>
      </c>
      <c r="AA21" s="15">
        <v>1</v>
      </c>
      <c r="AB21" s="56">
        <f>IF('17'!AA21=1,(('17'!Z21*'17'!$AS$6*'17'!$AT$6)/('17'!Y21*0.0036)),IF('17'!AA21=2,(('17'!Z21*'17'!$AS$7*'17'!$AT$7)/('17'!Y21*0.0036))))</f>
        <v>87.66038766038767</v>
      </c>
      <c r="AC21" s="56"/>
      <c r="AD21" s="18">
        <f>(('17'!AC21*'17'!$Q$10*1000000))/('17'!Y21*3600)</f>
        <v>0</v>
      </c>
      <c r="AE21" s="181">
        <v>3000</v>
      </c>
      <c r="AF21" s="182">
        <f>('17'!AE21/24)*0.454</f>
        <v>56.75</v>
      </c>
      <c r="AG21" s="19">
        <v>500</v>
      </c>
      <c r="AH21" s="182">
        <f>('17'!AG21/24)*0.454</f>
        <v>9.4583333333333339</v>
      </c>
      <c r="AI21" s="181">
        <v>3000</v>
      </c>
      <c r="AJ21" s="182">
        <f>('17'!AI21/24)*0.454</f>
        <v>56.75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2598</v>
      </c>
      <c r="Z22" s="180">
        <v>1172</v>
      </c>
      <c r="AA22" s="15">
        <v>1</v>
      </c>
      <c r="AB22" s="56">
        <f>IF('17'!AA22=1,(('17'!Z22*'17'!$AS$6*'17'!$AT$6)/('17'!Y22*0.0036)),IF('17'!AA22=2,(('17'!Z22*'17'!$AS$7*'17'!$AT$7)/('17'!Y22*0.0036))))</f>
        <v>83.331194936275764</v>
      </c>
      <c r="AC22" s="56"/>
      <c r="AD22" s="18">
        <f>(('17'!AC22*'17'!$Q$10*1000000))/('17'!Y22*3600)</f>
        <v>0</v>
      </c>
      <c r="AE22" s="181">
        <v>3000</v>
      </c>
      <c r="AF22" s="182">
        <f>('17'!AE22/24)*0.454</f>
        <v>56.75</v>
      </c>
      <c r="AG22" s="19">
        <v>500</v>
      </c>
      <c r="AH22" s="182">
        <f>('17'!AG22/24)*0.454</f>
        <v>9.4583333333333339</v>
      </c>
      <c r="AI22" s="181">
        <v>3000</v>
      </c>
      <c r="AJ22" s="182">
        <f>('17'!AI22/24)*0.454</f>
        <v>56.75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2568</v>
      </c>
      <c r="Z23" s="180">
        <v>1172</v>
      </c>
      <c r="AA23" s="15">
        <v>1</v>
      </c>
      <c r="AB23" s="56">
        <f>IF('17'!AA23=1,(('17'!Z23*'17'!$AS$6*'17'!$AT$6)/('17'!Y23*0.0036)),IF('17'!AA23=2,(('17'!Z23*'17'!$AS$7*'17'!$AT$7)/('17'!Y23*0.0036))))</f>
        <v>84.304690204222922</v>
      </c>
      <c r="AC23" s="56"/>
      <c r="AD23" s="18">
        <f>(('17'!AC23*'17'!$Q$10*1000000))/('17'!Y23*3600)</f>
        <v>0</v>
      </c>
      <c r="AE23" s="181">
        <v>3000</v>
      </c>
      <c r="AF23" s="182">
        <f>('17'!AE23/24)*0.454</f>
        <v>56.75</v>
      </c>
      <c r="AG23" s="19">
        <v>500</v>
      </c>
      <c r="AH23" s="182">
        <f>('17'!AG23/24)*0.454</f>
        <v>9.4583333333333339</v>
      </c>
      <c r="AI23" s="181">
        <v>3000</v>
      </c>
      <c r="AJ23" s="182">
        <f>('17'!AI23/24)*0.454</f>
        <v>56.75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2599</v>
      </c>
      <c r="Z24" s="180">
        <v>1172</v>
      </c>
      <c r="AA24" s="15">
        <v>1</v>
      </c>
      <c r="AB24" s="16">
        <f>IF('17'!AA24=1,(('17'!Z24*'17'!$AS$6*'17'!$AT$6)/('17'!Y24*0.0036)),IF('17'!AA24=2,(('17'!Z24*'17'!$AS$7*'17'!$AT$7)/('17'!Y24*0.0036))))</f>
        <v>83.299132144842048</v>
      </c>
      <c r="AC24" s="16"/>
      <c r="AD24" s="192">
        <f>(('17'!AC24*'17'!$Q$10*1000000))/('17'!Y24*3600)</f>
        <v>0</v>
      </c>
      <c r="AE24" s="181">
        <v>3000</v>
      </c>
      <c r="AF24" s="193">
        <f>('17'!AE24/24)*0.454</f>
        <v>56.75</v>
      </c>
      <c r="AG24" s="19">
        <v>500</v>
      </c>
      <c r="AH24" s="193">
        <f>('17'!AG24/24)*0.454</f>
        <v>9.4583333333333339</v>
      </c>
      <c r="AI24" s="181">
        <v>3000</v>
      </c>
      <c r="AJ24" s="193">
        <f>('17'!AI24/24)*0.454</f>
        <v>56.75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/>
      <c r="C25" s="258">
        <v>0.43</v>
      </c>
      <c r="D25" s="258">
        <v>0.41</v>
      </c>
      <c r="E25" s="257">
        <v>0.53</v>
      </c>
      <c r="F25" s="257">
        <v>0.46</v>
      </c>
      <c r="G25" s="257"/>
      <c r="H25" s="257">
        <v>0.54</v>
      </c>
      <c r="I25" s="257">
        <v>0.48</v>
      </c>
      <c r="J25" s="257"/>
      <c r="K25" s="257">
        <v>0.75</v>
      </c>
      <c r="L25" s="257">
        <v>0.5</v>
      </c>
      <c r="M25" s="257">
        <v>1.44</v>
      </c>
      <c r="N25" s="257">
        <v>0.75</v>
      </c>
      <c r="O25" s="288">
        <v>0.52</v>
      </c>
      <c r="P25" s="288"/>
      <c r="Q25" s="288"/>
      <c r="R25" s="63" t="e">
        <f>#DIV/0!</f>
        <v>#DIV/0!</v>
      </c>
      <c r="S25" s="64"/>
      <c r="T25" s="1036" t="s">
        <v>0</v>
      </c>
      <c r="U25" s="1043">
        <f>ESCALA!$A$19</f>
        <v>44333</v>
      </c>
      <c r="X25" s="13">
        <v>0.83333333333333304</v>
      </c>
      <c r="Y25" s="171">
        <v>2594</v>
      </c>
      <c r="Z25" s="180">
        <v>1172</v>
      </c>
      <c r="AA25" s="15">
        <v>1</v>
      </c>
      <c r="AB25" s="56">
        <f>IF('17'!AA25=1,(('17'!Z25*'17'!$AS$6*'17'!$AT$6)/('17'!Y25*0.0036)),IF('17'!AA25=2,(('17'!Z25*'17'!$AS$7*'17'!$AT$7)/('17'!Y25*0.0036))))</f>
        <v>83.459693309346349</v>
      </c>
      <c r="AC25" s="56"/>
      <c r="AD25" s="18">
        <f>(('17'!AC25*'17'!$Q$10*1000000))/('17'!Y25*3600)</f>
        <v>0</v>
      </c>
      <c r="AE25" s="181">
        <v>3000</v>
      </c>
      <c r="AF25" s="182">
        <f>('17'!AE25/24)*0.454</f>
        <v>56.75</v>
      </c>
      <c r="AG25" s="19">
        <v>500</v>
      </c>
      <c r="AH25" s="182">
        <f>('17'!AG25/24)*0.454</f>
        <v>9.4583333333333339</v>
      </c>
      <c r="AI25" s="181">
        <v>3000</v>
      </c>
      <c r="AJ25" s="182">
        <f>('17'!AI25/24)*0.454</f>
        <v>56.75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6"/>
      <c r="U26" s="1043"/>
      <c r="X26" s="13">
        <v>0.875</v>
      </c>
      <c r="Y26" s="171">
        <v>2685</v>
      </c>
      <c r="Z26" s="180">
        <v>1172</v>
      </c>
      <c r="AA26" s="15">
        <v>1</v>
      </c>
      <c r="AB26" s="56">
        <f>IF('17'!AA26=1,(('17'!Z26*'17'!$AS$6*'17'!$AT$6)/('17'!Y26*0.0036)),IF('17'!AA26=2,(('17'!Z26*'17'!$AS$7*'17'!$AT$7)/('17'!Y26*0.0036))))</f>
        <v>80.631078005379678</v>
      </c>
      <c r="AC26" s="56"/>
      <c r="AD26" s="18">
        <f>(('17'!AC26*'17'!$Q$10*1000000))/('17'!Y26*3600)</f>
        <v>0</v>
      </c>
      <c r="AE26" s="181">
        <v>3000</v>
      </c>
      <c r="AF26" s="182">
        <f>('17'!AE26/24)*0.454</f>
        <v>56.75</v>
      </c>
      <c r="AG26" s="19">
        <v>500</v>
      </c>
      <c r="AH26" s="182">
        <f>('17'!AG26/24)*0.454</f>
        <v>9.4583333333333339</v>
      </c>
      <c r="AI26" s="181">
        <v>3000</v>
      </c>
      <c r="AJ26" s="182">
        <f>('17'!AI26/24)*0.454</f>
        <v>56.75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2680</v>
      </c>
      <c r="Z27" s="180">
        <v>1172</v>
      </c>
      <c r="AA27" s="15">
        <v>1</v>
      </c>
      <c r="AB27" s="56">
        <f>IF('17'!AA27=1,(('17'!Z27*'17'!$AS$6*'17'!$AT$6)/('17'!Y27*0.0036)),IF('17'!AA27=2,(('17'!Z27*'17'!$AS$7*'17'!$AT$7)/('17'!Y27*0.0036))))</f>
        <v>80.781509121061362</v>
      </c>
      <c r="AC27" s="56"/>
      <c r="AD27" s="18">
        <f>(('17'!AC27*'17'!$Q$10*1000000))/('17'!Y27*3600)</f>
        <v>0</v>
      </c>
      <c r="AE27" s="181">
        <v>3000</v>
      </c>
      <c r="AF27" s="182">
        <f>('17'!AE27/24)*0.454</f>
        <v>56.75</v>
      </c>
      <c r="AG27" s="19">
        <v>500</v>
      </c>
      <c r="AH27" s="182">
        <f>('17'!AG27/24)*0.454</f>
        <v>9.4583333333333339</v>
      </c>
      <c r="AI27" s="181">
        <v>3000</v>
      </c>
      <c r="AJ27" s="182">
        <f>('17'!AI27/24)*0.454</f>
        <v>56.75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3" t="s">
        <v>59</v>
      </c>
      <c r="B28" s="1083"/>
      <c r="C28" s="1083"/>
      <c r="D28" s="1083"/>
      <c r="E28" s="1083"/>
      <c r="F28" s="1083"/>
      <c r="G28" s="1083"/>
      <c r="H28" s="1083"/>
      <c r="I28" s="1083"/>
      <c r="J28" s="1083"/>
      <c r="K28" s="1083"/>
      <c r="L28" s="1083"/>
      <c r="M28" s="1083"/>
      <c r="N28" s="1083"/>
      <c r="O28" s="1083"/>
      <c r="P28" s="1083"/>
      <c r="Q28" s="1083"/>
      <c r="R28" s="1083"/>
      <c r="S28" s="1083"/>
      <c r="T28" s="1083"/>
      <c r="U28" s="1083"/>
      <c r="X28" s="13">
        <v>0.95833333333333304</v>
      </c>
      <c r="Y28" s="171">
        <v>2606</v>
      </c>
      <c r="Z28" s="180">
        <v>1172</v>
      </c>
      <c r="AA28" s="15">
        <v>1</v>
      </c>
      <c r="AB28" s="56">
        <f>IF('17'!AA28=1,(('17'!Z28*'17'!$AS$6*'17'!$AT$6)/('17'!Y28*0.0036)),IF('17'!AA28=2,(('17'!Z28*'17'!$AS$7*'17'!$AT$7)/('17'!Y28*0.0036))))</f>
        <v>83.07538159802165</v>
      </c>
      <c r="AC28" s="56"/>
      <c r="AD28" s="18">
        <f>(('17'!AC28*'17'!$Q$10*1000000))/('17'!Y28*3600)</f>
        <v>0</v>
      </c>
      <c r="AE28" s="181">
        <v>3000</v>
      </c>
      <c r="AF28" s="182">
        <f>('17'!AE28/24)*0.454</f>
        <v>56.75</v>
      </c>
      <c r="AG28" s="19">
        <v>500</v>
      </c>
      <c r="AH28" s="182">
        <f>('17'!AG28/24)*0.454</f>
        <v>9.4583333333333339</v>
      </c>
      <c r="AI28" s="181">
        <v>3000</v>
      </c>
      <c r="AJ28" s="182">
        <f>('17'!AI28/24)*0.454</f>
        <v>56.75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4"/>
      <c r="B29" s="1084"/>
      <c r="C29" s="1084"/>
      <c r="D29" s="1084"/>
      <c r="E29" s="1084"/>
      <c r="F29" s="1084"/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X29" s="13">
        <v>1</v>
      </c>
      <c r="Y29" s="171">
        <v>2633</v>
      </c>
      <c r="Z29" s="180">
        <v>1172</v>
      </c>
      <c r="AA29" s="15">
        <v>1</v>
      </c>
      <c r="AB29" s="56">
        <f>IF('17'!AA29=1,(('17'!Z29*'17'!$AS$6*'17'!$AT$6)/('17'!Y29*0.0036)),IF('17'!AA29=2,(('17'!Z29*'17'!$AS$7*'17'!$AT$7)/('17'!Y29*0.0036))))</f>
        <v>82.22348820525805</v>
      </c>
      <c r="AC29" s="56"/>
      <c r="AD29" s="18">
        <f>(('17'!AC29*'17'!$Q$10*1000000))/('17'!Y29*3600)</f>
        <v>0</v>
      </c>
      <c r="AE29" s="181">
        <v>3000</v>
      </c>
      <c r="AF29" s="182">
        <f>('17'!AE29/24)*0.454</f>
        <v>56.75</v>
      </c>
      <c r="AG29" s="19">
        <v>500</v>
      </c>
      <c r="AH29" s="182">
        <f>('17'!AG29/24)*0.454</f>
        <v>9.4583333333333339</v>
      </c>
      <c r="AI29" s="181">
        <v>3000</v>
      </c>
      <c r="AJ29" s="182">
        <f>('17'!AI29/24)*0.454</f>
        <v>56.75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4"/>
      <c r="B30" s="1084"/>
      <c r="C30" s="1084"/>
      <c r="D30" s="1084"/>
      <c r="E30" s="1084"/>
      <c r="F30" s="1084"/>
      <c r="G30" s="1084"/>
      <c r="H30" s="1084"/>
      <c r="I30" s="1084"/>
      <c r="J30" s="1084"/>
      <c r="K30" s="1084"/>
      <c r="L30" s="1084"/>
      <c r="M30" s="1084"/>
      <c r="N30" s="1084"/>
      <c r="O30" s="1084"/>
      <c r="P30" s="1084"/>
      <c r="Q30" s="1084"/>
      <c r="R30" s="1084"/>
      <c r="S30" s="1084"/>
      <c r="T30" s="1084"/>
      <c r="U30" s="1084"/>
      <c r="X30" s="73" t="s">
        <v>55</v>
      </c>
      <c r="Y30" s="199">
        <f>SUM('17'!Y6:Y29)*3.6</f>
        <v>243745.2</v>
      </c>
      <c r="Z30" s="80">
        <f>SUM('17'!Z6:Z29)</f>
        <v>31008</v>
      </c>
      <c r="AA30" s="76"/>
      <c r="AB30" s="77"/>
      <c r="AC30" s="76"/>
      <c r="AD30" s="77"/>
      <c r="AE30" s="33"/>
      <c r="AF30" s="182">
        <f>SUM('17'!AF6:AF29)</f>
        <v>1362</v>
      </c>
      <c r="AG30" s="33"/>
      <c r="AH30" s="182">
        <f>SUM('17'!AH6:AH29)</f>
        <v>227.00000000000009</v>
      </c>
      <c r="AI30" s="181"/>
      <c r="AJ30" s="182">
        <f>SUM('17'!AJ6:AJ29)</f>
        <v>1362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4"/>
      <c r="B31" s="1084"/>
      <c r="C31" s="1084"/>
      <c r="D31" s="1084"/>
      <c r="E31" s="1084"/>
      <c r="F31" s="1084"/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84"/>
      <c r="B32" s="1084"/>
      <c r="C32" s="1084"/>
      <c r="D32" s="1084"/>
      <c r="E32" s="1084"/>
      <c r="F32" s="1084"/>
      <c r="G32" s="1084"/>
      <c r="H32" s="1084"/>
      <c r="I32" s="1084"/>
      <c r="J32" s="1084"/>
      <c r="K32" s="1084"/>
      <c r="L32" s="1084"/>
      <c r="M32" s="1084"/>
      <c r="N32" s="1084"/>
      <c r="O32" s="1084"/>
      <c r="P32" s="1084"/>
      <c r="Q32" s="1084"/>
      <c r="R32" s="1084"/>
      <c r="S32" s="1084"/>
      <c r="T32" s="1084"/>
      <c r="U32" s="1084"/>
      <c r="X32" s="949" t="s">
        <v>60</v>
      </c>
      <c r="Y32" s="949"/>
      <c r="Z32" s="80">
        <f>SUMIF('17'!AA6:AA29,"=1",'17'!Z6:Z29)</f>
        <v>31008</v>
      </c>
      <c r="AA32" s="80">
        <f>'17'!Z32*'17'!AS6</f>
        <v>41240.639999999999</v>
      </c>
      <c r="AB32" s="81">
        <f>SUMIF('17'!$AA$6:$AA$29,"=1",'17'!$AB$6:$AB$29)/COUNTIF('17'!$AA$6:$AA$29,"=1")</f>
        <v>84.55063934805365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4"/>
      <c r="B33" s="1084"/>
      <c r="C33" s="1084"/>
      <c r="D33" s="1084"/>
      <c r="E33" s="1084"/>
      <c r="F33" s="1084"/>
      <c r="G33" s="1084"/>
      <c r="H33" s="1084"/>
      <c r="I33" s="1084"/>
      <c r="J33" s="1084"/>
      <c r="K33" s="1084"/>
      <c r="L33" s="1084"/>
      <c r="M33" s="1084"/>
      <c r="N33" s="1084"/>
      <c r="O33" s="1084"/>
      <c r="P33" s="1084"/>
      <c r="Q33" s="1084"/>
      <c r="R33" s="1084"/>
      <c r="S33" s="1084"/>
      <c r="T33" s="1084"/>
      <c r="U33" s="1084"/>
      <c r="X33" s="949" t="s">
        <v>61</v>
      </c>
      <c r="Y33" s="949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4"/>
      <c r="B34" s="1084"/>
      <c r="C34" s="1084"/>
      <c r="D34" s="1084"/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  <c r="Q34" s="1084"/>
      <c r="R34" s="1084"/>
      <c r="S34" s="1084"/>
      <c r="T34" s="1084"/>
      <c r="U34" s="1084"/>
      <c r="X34" s="92" t="s">
        <v>52</v>
      </c>
      <c r="Y34" s="93">
        <f>AVERAGE('17'!Y6:Y29)</f>
        <v>2821.125</v>
      </c>
      <c r="Z34" s="94">
        <f>AVERAGE('17'!Z6:Z29)</f>
        <v>1292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56.75</v>
      </c>
      <c r="AG34" s="96"/>
      <c r="AH34" s="96">
        <f>AVERAGE('17'!AH6:AH29)</f>
        <v>9.4583333333333375</v>
      </c>
      <c r="AI34" s="96"/>
      <c r="AJ34" s="96">
        <f>'17'!AJ30/24</f>
        <v>56.75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103" t="s">
        <v>73</v>
      </c>
      <c r="Y36" s="104">
        <v>0</v>
      </c>
      <c r="Z36" s="105"/>
      <c r="AA36" s="106" t="s">
        <v>74</v>
      </c>
      <c r="AB36" s="104">
        <v>6</v>
      </c>
      <c r="AE36" s="289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71.7</v>
      </c>
      <c r="D37" s="184">
        <v>27.9</v>
      </c>
      <c r="E37" s="184">
        <v>23.9</v>
      </c>
      <c r="F37" s="184">
        <v>1.8</v>
      </c>
      <c r="G37" s="184">
        <v>0.2</v>
      </c>
      <c r="H37" s="184">
        <v>0.2</v>
      </c>
      <c r="I37" s="181">
        <v>0.15</v>
      </c>
      <c r="J37" s="230">
        <v>0.03</v>
      </c>
      <c r="K37" s="230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'17'!V12</f>
        <v>0</v>
      </c>
      <c r="X37" s="956" t="s">
        <v>75</v>
      </c>
      <c r="Y37" s="956"/>
      <c r="Z37" s="108">
        <f>COUNTA('17'!Z6:Z29)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1589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1362</v>
      </c>
      <c r="AQ38" s="208" t="s">
        <v>78</v>
      </c>
      <c r="AR38" s="210">
        <f>'17'!AP30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290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6.5191027351512973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5.5878023444153975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291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SUM('17'!AK38,'17'!AM38)</f>
        <v>1589</v>
      </c>
      <c r="AM40" s="969"/>
      <c r="AO40" s="970" t="s">
        <v>90</v>
      </c>
      <c r="AP40" s="970"/>
      <c r="AQ40" s="971">
        <f>SUM('17'!AP38,'17'!AR38)</f>
        <v>1362</v>
      </c>
      <c r="AR40" s="971"/>
    </row>
    <row r="41" spans="1:44" ht="16.5" customHeight="1">
      <c r="A41" s="131">
        <f>COUNTA('17'!E7:E18)</f>
        <v>12</v>
      </c>
      <c r="B41" s="132">
        <f>COUNTA('17'!I7:I18)</f>
        <v>12</v>
      </c>
      <c r="C41" s="972">
        <f>COUNTA('17'!J7:J18)</f>
        <v>12</v>
      </c>
      <c r="D41" s="972">
        <f>COUNTA('17'!K7:K18)</f>
        <v>12</v>
      </c>
      <c r="E41" s="972">
        <f>COUNTIF('17'!E7:E18,"&gt;15")</f>
        <v>0</v>
      </c>
      <c r="F41" s="972"/>
      <c r="G41" s="972">
        <f>COUNTIF('17'!J7:J18,"&gt;1")</f>
        <v>0</v>
      </c>
      <c r="H41" s="972"/>
      <c r="I41" s="133"/>
      <c r="J41" s="972">
        <f>'17'!A41-'17'!E41</f>
        <v>12</v>
      </c>
      <c r="K41" s="972"/>
      <c r="L41" s="972">
        <f>'17'!C41-'17'!G41</f>
        <v>12</v>
      </c>
      <c r="M41" s="972"/>
      <c r="N41" s="133"/>
      <c r="O41" s="973">
        <f>COUNTIF('17'!J7:J18,"&lt;=0,5")</f>
        <v>0</v>
      </c>
      <c r="P41" s="973"/>
      <c r="Q41" s="973"/>
      <c r="R41" s="963"/>
      <c r="S41" s="974">
        <f>COUNTIF('17'!J7:J18,"&lt;=1,0")</f>
        <v>12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SUM(('17'!AK38+'17'!AM38)/'17'!Y30)*1000</f>
        <v>6.5191027351512973</v>
      </c>
      <c r="AM41" s="975"/>
      <c r="AO41" s="970" t="s">
        <v>91</v>
      </c>
      <c r="AP41" s="970"/>
      <c r="AQ41" s="975">
        <f>SUM(('17'!AP38+'17'!AR38)/'17'!Y30)*1000</f>
        <v>5.5878023444153975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160</v>
      </c>
      <c r="Z44" s="142" t="s">
        <v>101</v>
      </c>
      <c r="AA44" s="143"/>
      <c r="AB44" s="142" t="s">
        <v>101</v>
      </c>
      <c r="AC44" s="143">
        <v>20</v>
      </c>
      <c r="AD44" s="982"/>
      <c r="AE44" s="982"/>
      <c r="AF44" s="983" t="s">
        <v>102</v>
      </c>
      <c r="AG44" s="996">
        <f>SUM('17'!Y45,'17'!AA45,'17'!AC45,'17'!AE45)</f>
        <v>168602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COUNTIF('17'!I7:I18,"&lt;=5,0")</f>
        <v>12</v>
      </c>
      <c r="I45" s="986"/>
      <c r="J45" s="986"/>
      <c r="K45" s="133"/>
      <c r="L45" s="968">
        <f>COUNTA('17'!L37)</f>
        <v>0</v>
      </c>
      <c r="M45" s="968"/>
      <c r="O45" s="144"/>
      <c r="P45" s="145"/>
      <c r="Q45" s="987">
        <f>'17'!S41-'17'!O41</f>
        <v>12</v>
      </c>
      <c r="R45" s="987"/>
      <c r="S45" s="987"/>
      <c r="T45" s="146"/>
      <c r="X45" s="147" t="s">
        <v>104</v>
      </c>
      <c r="Y45" s="148">
        <f>'17'!Y44*275.3</f>
        <v>44048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5554</v>
      </c>
      <c r="AD45" s="147" t="s">
        <v>104</v>
      </c>
      <c r="AE45" s="149">
        <v>119000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89" t="s">
        <v>106</v>
      </c>
      <c r="AG46" s="990">
        <f>SUM('17'!Y47,'17'!AA47,'17'!AC47,'17'!AE47)</f>
        <v>224240.66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'17'!Y45*'17'!Y46</f>
        <v>58583.840000000004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7386.8200000000006</v>
      </c>
      <c r="AD47" s="147" t="s">
        <v>108</v>
      </c>
      <c r="AE47" s="148">
        <f>'17'!AE45*'17'!AE46</f>
        <v>158270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COUNTA('17'!O7:O18)</f>
        <v>12</v>
      </c>
      <c r="P51" s="968">
        <f>COUNTA('17'!W17:W28)</f>
        <v>0</v>
      </c>
      <c r="R51" s="986">
        <f>COUNTIF('17'!O7:O18,"&gt;=0,5")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292" t="s">
        <v>101</v>
      </c>
      <c r="AC52" s="162"/>
      <c r="AD52" s="995"/>
      <c r="AE52" s="995"/>
      <c r="AF52" s="983" t="s">
        <v>102</v>
      </c>
      <c r="AG52" s="996">
        <f>SUM('17'!Y53,'17'!AA53,'17'!AC53,'17'!AE53)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'17'!AS7</f>
        <v>1.262</v>
      </c>
      <c r="Z54" s="151" t="s">
        <v>105</v>
      </c>
      <c r="AA54" s="153">
        <f>'17'!Y54</f>
        <v>1.262</v>
      </c>
      <c r="AB54" s="151" t="s">
        <v>105</v>
      </c>
      <c r="AC54" s="153">
        <f>'17'!Y54</f>
        <v>1.262</v>
      </c>
      <c r="AD54" s="151" t="s">
        <v>105</v>
      </c>
      <c r="AE54" s="154">
        <f>'17'!Y54</f>
        <v>1.262</v>
      </c>
      <c r="AF54" s="989" t="s">
        <v>106</v>
      </c>
      <c r="AG54" s="990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COUNTA('17'!N7:N18)</f>
        <v>12</v>
      </c>
      <c r="P57" s="997"/>
      <c r="R57" s="998">
        <f>COUNTIF('17'!N7:N18,"&gt;=6")</f>
        <v>8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41240.639999999999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-41240.639999999999</v>
      </c>
      <c r="AR63" s="1005"/>
    </row>
    <row r="64" spans="15:44" ht="15" customHeight="1">
      <c r="X64" s="168"/>
      <c r="Y64" s="169"/>
      <c r="Z64" s="1007"/>
      <c r="AA64" s="1007"/>
      <c r="AB64" s="170" t="s">
        <v>132</v>
      </c>
      <c r="AC64" s="171"/>
    </row>
    <row r="65" spans="24:29" ht="39" customHeight="1">
      <c r="X65" s="172" t="s">
        <v>126</v>
      </c>
      <c r="Y65" s="215" t="e">
        <f>'16'!$Y$68</f>
        <v>#REF!</v>
      </c>
      <c r="Z65" s="1007"/>
      <c r="AA65" s="1007"/>
      <c r="AB65" s="174" t="s">
        <v>126</v>
      </c>
      <c r="AC65" s="238">
        <f>'16'!$AC$68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SUM('17'!AK38,'17'!AP38)</f>
        <v>2951</v>
      </c>
      <c r="Z67" s="1007"/>
      <c r="AA67" s="1007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 t="e">
        <f>SUM('17'!Y63,'17'!Y65)-'17'!Y67</f>
        <v>#REF!</v>
      </c>
      <c r="Z68" s="1007"/>
      <c r="AA68" s="1007"/>
      <c r="AB68" s="170" t="s">
        <v>128</v>
      </c>
      <c r="AC68" s="178">
        <f>SUM('17'!AC63,'17'!AC65)-'17'!AC67-'17'!AC64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Y26" sqref="Y2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918" t="s">
        <v>5</v>
      </c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918"/>
      <c r="E3" s="918"/>
      <c r="F3" s="918"/>
      <c r="G3" s="918"/>
      <c r="H3" s="918"/>
      <c r="I3" s="918"/>
      <c r="J3" s="918"/>
      <c r="K3" s="918"/>
      <c r="L3" s="918"/>
      <c r="M3" s="918"/>
      <c r="N3" s="918"/>
      <c r="O3" s="918"/>
      <c r="P3" s="918"/>
      <c r="Q3" s="918"/>
      <c r="R3" s="918"/>
      <c r="S3" s="918"/>
      <c r="T3" s="918"/>
      <c r="U3" s="918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1085" t="s">
        <v>12</v>
      </c>
      <c r="S4" s="1085"/>
      <c r="T4" s="1086" t="s">
        <v>13</v>
      </c>
      <c r="U4" s="1087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1085"/>
      <c r="S5" s="1085"/>
      <c r="T5" s="1086"/>
      <c r="U5" s="1087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926"/>
      <c r="W6" s="926"/>
      <c r="X6" s="13">
        <v>4.1666666666666699E-2</v>
      </c>
      <c r="Y6" s="171">
        <v>2673</v>
      </c>
      <c r="Z6" s="180">
        <v>1172</v>
      </c>
      <c r="AA6" s="52">
        <v>1</v>
      </c>
      <c r="AB6" s="56">
        <f>IF('18'!AA6=1,(('18'!Z6*'18'!$AS$6*'18'!$AT$6)/('18'!Y6*0.0036)),IF('18'!AA6=2,(('18'!Z6*'18'!$AS$7*'18'!$AT$7)/('18'!Y6*0.0036))))</f>
        <v>80.993058153551985</v>
      </c>
      <c r="AC6" s="56"/>
      <c r="AD6" s="18">
        <f>(('18'!AC6*'18'!$Q$10*1000000))/('18'!Y6*3600)</f>
        <v>0</v>
      </c>
      <c r="AE6" s="181">
        <v>3000</v>
      </c>
      <c r="AF6" s="182">
        <f>('18'!AE6/24)*0.454</f>
        <v>56.75</v>
      </c>
      <c r="AG6" s="19">
        <v>500</v>
      </c>
      <c r="AH6" s="182">
        <f>('18'!AG6/24)*0.454</f>
        <v>9.4583333333333339</v>
      </c>
      <c r="AI6" s="181">
        <v>3000</v>
      </c>
      <c r="AJ6" s="182">
        <f>('18'!AI6/24)*0.454</f>
        <v>56.75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131</v>
      </c>
      <c r="C7" s="184">
        <v>6</v>
      </c>
      <c r="D7" s="184">
        <v>6.8</v>
      </c>
      <c r="E7" s="184">
        <v>6</v>
      </c>
      <c r="F7" s="184">
        <v>34</v>
      </c>
      <c r="G7" s="184">
        <v>1.3</v>
      </c>
      <c r="H7" s="184">
        <v>1.7</v>
      </c>
      <c r="I7" s="184">
        <v>0.57999999999999996</v>
      </c>
      <c r="J7" s="184">
        <v>0.67</v>
      </c>
      <c r="K7" s="184">
        <v>7.3</v>
      </c>
      <c r="L7" s="184">
        <v>6.3</v>
      </c>
      <c r="M7" s="184">
        <v>6.3</v>
      </c>
      <c r="N7" s="184">
        <v>6</v>
      </c>
      <c r="O7" s="184">
        <v>4</v>
      </c>
      <c r="P7" s="184">
        <v>1.4</v>
      </c>
      <c r="Q7" s="186">
        <v>2.1</v>
      </c>
      <c r="R7" s="36">
        <f>'17'!$Z$29</f>
        <v>1172</v>
      </c>
      <c r="S7" s="185">
        <f>'17'!$AB$29</f>
        <v>82.22348820525805</v>
      </c>
      <c r="T7" s="36">
        <f>'17'!$Y$29</f>
        <v>2633</v>
      </c>
      <c r="U7" s="32" t="str">
        <f>IF('19'!AA6=1,'19'!AR6,'19'!AR7)</f>
        <v>S.A.L</v>
      </c>
      <c r="V7" s="1088">
        <f>ESCALA!$C$19</f>
        <v>0</v>
      </c>
      <c r="W7" s="1088"/>
      <c r="X7" s="13">
        <v>8.3333333333333301E-2</v>
      </c>
      <c r="Y7" s="171">
        <v>2711</v>
      </c>
      <c r="Z7" s="180">
        <v>1172</v>
      </c>
      <c r="AA7" s="52">
        <v>1</v>
      </c>
      <c r="AB7" s="56">
        <f>IF('18'!AA7=1,(('18'!Z7*'18'!$AS$6*'18'!$AT$6)/('18'!Y7*0.0036)),IF('18'!AA7=2,(('18'!Z7*'18'!$AS$7*'18'!$AT$7)/('18'!Y7*0.0036))))</f>
        <v>79.857781056600686</v>
      </c>
      <c r="AC7" s="56"/>
      <c r="AD7" s="18">
        <f>(('18'!AC7*'18'!$Q$10*1000000))/('18'!Y7*3600)</f>
        <v>0</v>
      </c>
      <c r="AE7" s="181">
        <v>3000</v>
      </c>
      <c r="AF7" s="182">
        <f>('18'!AE7/24)*0.454</f>
        <v>56.75</v>
      </c>
      <c r="AG7" s="19">
        <v>500</v>
      </c>
      <c r="AH7" s="182">
        <f>('18'!AG7/24)*0.454</f>
        <v>9.4583333333333339</v>
      </c>
      <c r="AI7" s="181">
        <v>3000</v>
      </c>
      <c r="AJ7" s="182">
        <f>('18'!AI7/24)*0.454</f>
        <v>56.75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131</v>
      </c>
      <c r="C8" s="184">
        <v>5.5</v>
      </c>
      <c r="D8" s="184">
        <v>7.3</v>
      </c>
      <c r="E8" s="184">
        <v>6.1</v>
      </c>
      <c r="F8" s="184">
        <v>35</v>
      </c>
      <c r="G8" s="184">
        <v>1.3</v>
      </c>
      <c r="H8" s="184">
        <v>1.7</v>
      </c>
      <c r="I8" s="184">
        <v>0.61</v>
      </c>
      <c r="J8" s="184">
        <v>0.72</v>
      </c>
      <c r="K8" s="184">
        <v>7.3</v>
      </c>
      <c r="L8" s="184">
        <v>6.3</v>
      </c>
      <c r="M8" s="184">
        <v>6.3</v>
      </c>
      <c r="N8" s="184">
        <v>6</v>
      </c>
      <c r="O8" s="184">
        <v>4</v>
      </c>
      <c r="P8" s="184">
        <v>1.2</v>
      </c>
      <c r="Q8" s="186">
        <v>2.1</v>
      </c>
      <c r="R8" s="34">
        <f>'18'!Z7</f>
        <v>1172</v>
      </c>
      <c r="S8" s="35">
        <f>'18'!AB7</f>
        <v>79.857781056600686</v>
      </c>
      <c r="T8" s="36">
        <f>'18'!Y7</f>
        <v>2711</v>
      </c>
      <c r="U8" s="32" t="str">
        <f>IF('19'!AA7=1,'19'!AR6,'19'!AR7)</f>
        <v>S.A.L</v>
      </c>
      <c r="V8" s="1088"/>
      <c r="W8" s="1088"/>
      <c r="X8" s="13">
        <v>0.125</v>
      </c>
      <c r="Y8" s="171">
        <v>2621</v>
      </c>
      <c r="Z8" s="180">
        <v>1172</v>
      </c>
      <c r="AA8" s="52">
        <v>1</v>
      </c>
      <c r="AB8" s="56">
        <f>IF('18'!AA8=1,(('18'!Z8*'18'!$AS$6*'18'!$AT$6)/('18'!Y8*0.0036)),IF('18'!AA8=2,(('18'!Z8*'18'!$AS$7*'18'!$AT$7)/('18'!Y8*0.0036))))</f>
        <v>82.599940650303111</v>
      </c>
      <c r="AC8" s="56"/>
      <c r="AD8" s="18">
        <f>(('18'!AC8*'18'!$Q$10*1000000))/('18'!Y8*3600)</f>
        <v>0</v>
      </c>
      <c r="AE8" s="181">
        <v>3000</v>
      </c>
      <c r="AF8" s="182">
        <f>('18'!AE8/24)*0.454</f>
        <v>56.75</v>
      </c>
      <c r="AG8" s="19">
        <v>500</v>
      </c>
      <c r="AH8" s="182">
        <f>('18'!AG8/24)*0.454</f>
        <v>9.4583333333333339</v>
      </c>
      <c r="AI8" s="181">
        <v>3000</v>
      </c>
      <c r="AJ8" s="182">
        <f>('18'!AI8/24)*0.454</f>
        <v>56.75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130</v>
      </c>
      <c r="C9" s="184">
        <v>4.7</v>
      </c>
      <c r="D9" s="184">
        <v>7.9</v>
      </c>
      <c r="E9" s="184">
        <v>6.1</v>
      </c>
      <c r="F9" s="184">
        <v>35</v>
      </c>
      <c r="G9" s="184">
        <v>1.3</v>
      </c>
      <c r="H9" s="184">
        <v>1.8</v>
      </c>
      <c r="I9" s="184">
        <v>0.64</v>
      </c>
      <c r="J9" s="184">
        <v>0.78</v>
      </c>
      <c r="K9" s="184">
        <v>7.3</v>
      </c>
      <c r="L9" s="184">
        <v>6.3</v>
      </c>
      <c r="M9" s="184">
        <v>6.3</v>
      </c>
      <c r="N9" s="184">
        <v>6</v>
      </c>
      <c r="O9" s="184">
        <v>3.8</v>
      </c>
      <c r="P9" s="184">
        <v>1.2</v>
      </c>
      <c r="Q9" s="186">
        <v>2</v>
      </c>
      <c r="R9" s="36">
        <f>'18'!Z9</f>
        <v>1172</v>
      </c>
      <c r="S9" s="35">
        <f>'18'!AB9</f>
        <v>81.912389120107633</v>
      </c>
      <c r="T9" s="36">
        <f>'18'!Y9</f>
        <v>2643</v>
      </c>
      <c r="U9" s="32" t="str">
        <f>IF('19'!AA9=1,'19'!AR6,'19'!AR7)</f>
        <v>S.A.L</v>
      </c>
      <c r="V9" s="1088"/>
      <c r="W9" s="1088"/>
      <c r="X9" s="13">
        <v>0.16666666666666699</v>
      </c>
      <c r="Y9" s="171">
        <v>2643</v>
      </c>
      <c r="Z9" s="180">
        <v>1172</v>
      </c>
      <c r="AA9" s="52">
        <v>1</v>
      </c>
      <c r="AB9" s="56">
        <f>IF('18'!AA9=1,(('18'!Z9*'18'!$AS$6*'18'!$AT$6)/('18'!Y9*0.0036)),IF('18'!AA9=2,(('18'!Z9*'18'!$AS$7*'18'!$AT$7)/('18'!Y9*0.0036))))</f>
        <v>81.912389120107633</v>
      </c>
      <c r="AC9" s="56"/>
      <c r="AD9" s="18">
        <f>(('18'!AC9*'18'!$Q$10*1000000))/('18'!Y9*3600)</f>
        <v>0</v>
      </c>
      <c r="AE9" s="181">
        <v>3000</v>
      </c>
      <c r="AF9" s="182">
        <f>('18'!AE9/24)*0.454</f>
        <v>56.75</v>
      </c>
      <c r="AG9" s="19">
        <v>500</v>
      </c>
      <c r="AH9" s="182">
        <f>('18'!AG9/24)*0.454</f>
        <v>9.4583333333333339</v>
      </c>
      <c r="AI9" s="181">
        <v>3000</v>
      </c>
      <c r="AJ9" s="182">
        <f>('18'!AI9/24)*0.454</f>
        <v>56.75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130</v>
      </c>
      <c r="C10" s="184">
        <v>4</v>
      </c>
      <c r="D10" s="184">
        <v>8</v>
      </c>
      <c r="E10" s="184">
        <v>6.2</v>
      </c>
      <c r="F10" s="184">
        <v>36</v>
      </c>
      <c r="G10" s="184">
        <v>1.3</v>
      </c>
      <c r="H10" s="184">
        <v>1.8</v>
      </c>
      <c r="I10" s="184">
        <v>0.66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3.8</v>
      </c>
      <c r="P10" s="184">
        <v>1.1000000000000001</v>
      </c>
      <c r="Q10" s="186">
        <v>2</v>
      </c>
      <c r="R10" s="36">
        <f>'18'!Z11</f>
        <v>1352</v>
      </c>
      <c r="S10" s="35">
        <f>'18'!AB11</f>
        <v>85.062821677263102</v>
      </c>
      <c r="T10" s="36">
        <f>'18'!Y11</f>
        <v>2936</v>
      </c>
      <c r="U10" s="32" t="str">
        <f>IF('19'!AA11=1,'19'!AR6,'19'!AR7)</f>
        <v>S.A.L</v>
      </c>
      <c r="V10" s="1088"/>
      <c r="W10" s="1088"/>
      <c r="X10" s="13">
        <v>0.20833333333333301</v>
      </c>
      <c r="Y10" s="171">
        <v>2680</v>
      </c>
      <c r="Z10" s="180">
        <v>1172</v>
      </c>
      <c r="AA10" s="52">
        <v>1</v>
      </c>
      <c r="AB10" s="56">
        <f>IF('18'!AA10=1,(('18'!Z10*'18'!$AS$6*'18'!$AT$6)/('18'!Y10*0.0036)),IF('18'!AA10=2,(('18'!Z10*'18'!$AS$7*'18'!$AT$7)/('18'!Y10*0.0036))))</f>
        <v>80.781509121061362</v>
      </c>
      <c r="AC10" s="56"/>
      <c r="AD10" s="18">
        <f>(('18'!AC10*'18'!$Q$10*1000000))/('18'!Y10*3600)</f>
        <v>0</v>
      </c>
      <c r="AE10" s="181">
        <v>3000</v>
      </c>
      <c r="AF10" s="182">
        <f>('18'!AE10/24)*0.454</f>
        <v>56.75</v>
      </c>
      <c r="AG10" s="19">
        <v>500</v>
      </c>
      <c r="AH10" s="182">
        <f>('18'!AG10/24)*0.454</f>
        <v>9.4583333333333339</v>
      </c>
      <c r="AI10" s="181">
        <v>3000</v>
      </c>
      <c r="AJ10" s="182">
        <f>('18'!AI10/24)*0.454</f>
        <v>56.75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129</v>
      </c>
      <c r="C11" s="184">
        <v>4.5999999999999996</v>
      </c>
      <c r="D11" s="184">
        <v>7.2</v>
      </c>
      <c r="E11" s="184">
        <v>6</v>
      </c>
      <c r="F11" s="184">
        <v>38</v>
      </c>
      <c r="G11" s="184">
        <v>1.3</v>
      </c>
      <c r="H11" s="184">
        <v>2.2000000000000002</v>
      </c>
      <c r="I11" s="184">
        <v>0.82</v>
      </c>
      <c r="J11" s="184">
        <v>1.3</v>
      </c>
      <c r="K11" s="184">
        <v>7.3</v>
      </c>
      <c r="L11" s="184">
        <v>6.3</v>
      </c>
      <c r="M11" s="184">
        <v>6.3</v>
      </c>
      <c r="N11" s="184">
        <v>6</v>
      </c>
      <c r="O11" s="184">
        <v>3.8</v>
      </c>
      <c r="P11" s="184">
        <v>0.6</v>
      </c>
      <c r="Q11" s="186">
        <v>1.5</v>
      </c>
      <c r="R11" s="36">
        <f>'18'!Z14</f>
        <v>1352</v>
      </c>
      <c r="S11" s="35">
        <f>'18'!AB13</f>
        <v>89.739290134547048</v>
      </c>
      <c r="T11" s="36">
        <f>'18'!Y13</f>
        <v>2783</v>
      </c>
      <c r="U11" s="32" t="str">
        <f>IF('19'!AA13=1,'19'!AR6,'19'!AR7)</f>
        <v>S.A.L</v>
      </c>
      <c r="V11" s="1088"/>
      <c r="W11" s="1088"/>
      <c r="X11" s="13">
        <v>0.25</v>
      </c>
      <c r="Y11" s="171">
        <v>2936</v>
      </c>
      <c r="Z11" s="181">
        <v>1352</v>
      </c>
      <c r="AA11" s="52">
        <v>1</v>
      </c>
      <c r="AB11" s="56">
        <f>IF('18'!AA11=1,(('18'!Z11*'18'!$AS$6*'18'!$AT$6)/('18'!Y11*0.0036)),IF('18'!AA11=2,(('18'!Z11*'18'!$AS$7*'18'!$AT$7)/('18'!Y11*0.0036))))</f>
        <v>85.062821677263102</v>
      </c>
      <c r="AC11" s="56"/>
      <c r="AD11" s="18">
        <f>(('18'!AC11*'18'!$Q$10*1000000))/('18'!Y11*3600)</f>
        <v>0</v>
      </c>
      <c r="AE11" s="181">
        <v>3000</v>
      </c>
      <c r="AF11" s="182">
        <f>('18'!AE11/24)*0.454</f>
        <v>56.75</v>
      </c>
      <c r="AG11" s="19">
        <v>500</v>
      </c>
      <c r="AH11" s="182">
        <f>('18'!AG11/24)*0.454</f>
        <v>9.4583333333333339</v>
      </c>
      <c r="AI11" s="181">
        <v>3000</v>
      </c>
      <c r="AJ11" s="182">
        <f>('18'!AI11/24)*0.454</f>
        <v>56.75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132</v>
      </c>
      <c r="C12" s="184">
        <v>5.3</v>
      </c>
      <c r="D12" s="184">
        <v>7.1</v>
      </c>
      <c r="E12" s="184">
        <v>6.2</v>
      </c>
      <c r="F12" s="184">
        <v>38</v>
      </c>
      <c r="G12" s="184">
        <v>1.2</v>
      </c>
      <c r="H12" s="184">
        <v>2.5</v>
      </c>
      <c r="I12" s="184">
        <v>0.8</v>
      </c>
      <c r="J12" s="184">
        <v>1.3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0.8</v>
      </c>
      <c r="Q12" s="186">
        <v>1.5</v>
      </c>
      <c r="R12" s="36">
        <f>'18'!Z15</f>
        <v>1352</v>
      </c>
      <c r="S12" s="35">
        <f>'18'!AB15</f>
        <v>90.290833132481737</v>
      </c>
      <c r="T12" s="36">
        <f>'18'!Y15</f>
        <v>2766</v>
      </c>
      <c r="U12" s="32" t="str">
        <f>IF('19'!AA15=1,'19'!AR6,'19'!AR7)</f>
        <v>S.A.L</v>
      </c>
      <c r="V12" s="1089">
        <f>ESCALA!$B$20</f>
        <v>0</v>
      </c>
      <c r="W12" s="1089"/>
      <c r="X12" s="13">
        <v>0.29166666666666702</v>
      </c>
      <c r="Y12" s="171">
        <v>2630</v>
      </c>
      <c r="Z12" s="181">
        <v>1352</v>
      </c>
      <c r="AA12" s="52">
        <v>1</v>
      </c>
      <c r="AB12" s="56">
        <f>IF('18'!AA12=1,(('18'!Z12*'18'!$AS$6*'18'!$AT$6)/('18'!Y12*0.0036)),IF('18'!AA12=2,(('18'!Z12*'18'!$AS$7*'18'!$AT$7)/('18'!Y12*0.0036))))</f>
        <v>94.959864807773556</v>
      </c>
      <c r="AC12" s="56"/>
      <c r="AD12" s="18">
        <f>(('18'!AC12*'18'!$Q$10*1000000))/('18'!Y12*3600)</f>
        <v>0</v>
      </c>
      <c r="AE12" s="181">
        <v>3000</v>
      </c>
      <c r="AF12" s="182">
        <f>('18'!AE12/24)*0.454</f>
        <v>56.75</v>
      </c>
      <c r="AG12" s="19">
        <v>500</v>
      </c>
      <c r="AH12" s="182">
        <f>('18'!AG12/24)*0.454</f>
        <v>9.4583333333333339</v>
      </c>
      <c r="AI12" s="181">
        <v>3000</v>
      </c>
      <c r="AJ12" s="182">
        <f>('18'!AI12/24)*0.454</f>
        <v>56.75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136</v>
      </c>
      <c r="C13" s="184">
        <v>5.8</v>
      </c>
      <c r="D13" s="184">
        <v>7.6</v>
      </c>
      <c r="E13" s="184">
        <v>5.9</v>
      </c>
      <c r="F13" s="184">
        <v>39</v>
      </c>
      <c r="G13" s="184">
        <v>1.7</v>
      </c>
      <c r="H13" s="184">
        <v>2.4</v>
      </c>
      <c r="I13" s="184">
        <v>0.7</v>
      </c>
      <c r="J13" s="184">
        <v>1.3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>
        <v>1</v>
      </c>
      <c r="Q13" s="186">
        <v>1.7</v>
      </c>
      <c r="R13" s="36">
        <f>'18'!Z17</f>
        <v>1352</v>
      </c>
      <c r="S13" s="35">
        <f>'18'!AB17</f>
        <v>99.698381015746307</v>
      </c>
      <c r="T13" s="36">
        <f>'18'!Y17</f>
        <v>2505</v>
      </c>
      <c r="U13" s="32" t="str">
        <f>IF('19'!AA17=1,'19'!AR6,'19'!AR7)</f>
        <v>S.A.L</v>
      </c>
      <c r="V13" s="1089"/>
      <c r="W13" s="1089"/>
      <c r="X13" s="13">
        <v>0.33333333333333298</v>
      </c>
      <c r="Y13" s="171">
        <v>2783</v>
      </c>
      <c r="Z13" s="181">
        <v>1352</v>
      </c>
      <c r="AA13" s="52">
        <v>1</v>
      </c>
      <c r="AB13" s="56">
        <f>IF('18'!AA13=1,(('18'!Z14*'18'!$AS$6*'18'!$AT$6)/('18'!Y13*0.0036)),IF('18'!AA13=2,(('18'!Z14*'18'!$AS$7*'18'!$AT$7)/('18'!Y13*0.0036))))</f>
        <v>89.739290134547048</v>
      </c>
      <c r="AC13" s="56"/>
      <c r="AD13" s="18">
        <f>(('18'!AC13*'18'!$Q$10*1000000))/('18'!Y13*3600)</f>
        <v>0</v>
      </c>
      <c r="AE13" s="181">
        <v>3000</v>
      </c>
      <c r="AF13" s="182">
        <f>('18'!AE13/24)*0.454</f>
        <v>56.75</v>
      </c>
      <c r="AG13" s="19">
        <v>500</v>
      </c>
      <c r="AH13" s="182">
        <f>('18'!AG13/24)*0.454</f>
        <v>9.4583333333333339</v>
      </c>
      <c r="AI13" s="181">
        <v>3000</v>
      </c>
      <c r="AJ13" s="182">
        <f>('18'!AI13/24)*0.454</f>
        <v>56.75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127</v>
      </c>
      <c r="C14" s="184">
        <v>10</v>
      </c>
      <c r="D14" s="184">
        <v>7</v>
      </c>
      <c r="E14" s="184">
        <v>9.1</v>
      </c>
      <c r="F14" s="184">
        <v>37</v>
      </c>
      <c r="G14" s="184">
        <v>1.9</v>
      </c>
      <c r="H14" s="184">
        <v>2.2000000000000002</v>
      </c>
      <c r="I14" s="184">
        <v>1.1000000000000001</v>
      </c>
      <c r="J14" s="184">
        <v>1.5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>
        <v>1</v>
      </c>
      <c r="Q14" s="186">
        <v>2</v>
      </c>
      <c r="R14" s="36">
        <f>'18'!Z19</f>
        <v>1352</v>
      </c>
      <c r="S14" s="35">
        <f>'18'!AB19</f>
        <v>96.166516921233907</v>
      </c>
      <c r="T14" s="36">
        <f>'18'!Y19</f>
        <v>2597</v>
      </c>
      <c r="U14" s="32" t="str">
        <f>IF('19'!AA19=1,'19'!AR6,'19'!AR7)</f>
        <v>S.A.L</v>
      </c>
      <c r="V14" s="1089"/>
      <c r="W14" s="1089"/>
      <c r="X14" s="13">
        <v>0.375</v>
      </c>
      <c r="Y14" s="171">
        <v>2795</v>
      </c>
      <c r="Z14" s="181">
        <v>1352</v>
      </c>
      <c r="AA14" s="52">
        <v>1</v>
      </c>
      <c r="AB14" s="56" t="e">
        <f>IF('18'!AA14=1,(('18'!#REF!*'18'!$AS$6*'18'!$AT$6)/('18'!Y14*0.0036)),IF('18'!AA14=2,(('18'!#REF!*'18'!$AS$7*'18'!$AT$7)/('18'!Y14*0.0036))))</f>
        <v>#REF!</v>
      </c>
      <c r="AC14" s="56"/>
      <c r="AD14" s="18">
        <f>(('18'!AC14*'18'!$Q$10*1000000))/('18'!Y14*3600)</f>
        <v>0</v>
      </c>
      <c r="AE14" s="181">
        <v>3000</v>
      </c>
      <c r="AF14" s="182">
        <f>('18'!AE14/24)*0.454</f>
        <v>56.75</v>
      </c>
      <c r="AG14" s="19">
        <v>500</v>
      </c>
      <c r="AH14" s="182">
        <f>('18'!AG14/24)*0.454</f>
        <v>9.4583333333333339</v>
      </c>
      <c r="AI14" s="181">
        <v>3000</v>
      </c>
      <c r="AJ14" s="182">
        <f>('18'!AI14/24)*0.454</f>
        <v>56.75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129</v>
      </c>
      <c r="C15" s="184">
        <v>11</v>
      </c>
      <c r="D15" s="184">
        <v>9.6999999999999993</v>
      </c>
      <c r="E15" s="184">
        <v>9.1999999999999993</v>
      </c>
      <c r="F15" s="184">
        <v>37</v>
      </c>
      <c r="G15" s="184">
        <v>2.1</v>
      </c>
      <c r="H15" s="184">
        <v>2.2999999999999998</v>
      </c>
      <c r="I15" s="184">
        <v>1.2</v>
      </c>
      <c r="J15" s="184">
        <v>1.6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>
        <v>0</v>
      </c>
      <c r="Q15" s="186">
        <v>0</v>
      </c>
      <c r="R15" s="36">
        <f>'18'!Z21</f>
        <v>1352</v>
      </c>
      <c r="S15" s="35" t="e">
        <f>'18'!AB21</f>
        <v>#VALUE!</v>
      </c>
      <c r="T15" s="36" t="str">
        <f>'18'!Y21</f>
        <v>2616.</v>
      </c>
      <c r="U15" s="32" t="str">
        <f>IF('19'!AA21=1,'19'!AR6,'19'!AR7)</f>
        <v>S.A.L</v>
      </c>
      <c r="V15" s="1089"/>
      <c r="W15" s="1089"/>
      <c r="X15" s="13">
        <v>0.41666666666666702</v>
      </c>
      <c r="Y15" s="171">
        <v>2766</v>
      </c>
      <c r="Z15" s="181">
        <v>1352</v>
      </c>
      <c r="AA15" s="52">
        <v>1</v>
      </c>
      <c r="AB15" s="56">
        <f>IF('18'!AA15=1,(('18'!Z15*'18'!$AS$6*'18'!$AT$6)/('18'!Y15*0.0036)),IF('18'!AA15=2,(('18'!Z15*'18'!$AS$7*'18'!$AT$7)/('18'!Y15*0.0036))))</f>
        <v>90.290833132481737</v>
      </c>
      <c r="AC15" s="56"/>
      <c r="AD15" s="18">
        <f>(('18'!AC15*'18'!$Q$10*1000000))/('18'!Y15*3600)</f>
        <v>0</v>
      </c>
      <c r="AE15" s="181">
        <v>3000</v>
      </c>
      <c r="AF15" s="182">
        <f>('18'!AE15/24)*0.454</f>
        <v>56.75</v>
      </c>
      <c r="AG15" s="19">
        <v>500</v>
      </c>
      <c r="AH15" s="182">
        <f>('18'!AG15/24)*0.454</f>
        <v>9.4583333333333339</v>
      </c>
      <c r="AI15" s="181">
        <v>3000</v>
      </c>
      <c r="AJ15" s="182">
        <f>('18'!AI15/24)*0.454</f>
        <v>56.75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132</v>
      </c>
      <c r="C16" s="184">
        <v>11</v>
      </c>
      <c r="D16" s="184">
        <v>13</v>
      </c>
      <c r="E16" s="184">
        <v>8.9</v>
      </c>
      <c r="F16" s="184">
        <v>39</v>
      </c>
      <c r="G16" s="184">
        <v>2</v>
      </c>
      <c r="H16" s="184">
        <v>2.6</v>
      </c>
      <c r="I16" s="184">
        <v>1.3</v>
      </c>
      <c r="J16" s="184">
        <v>1.6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>
        <v>0</v>
      </c>
      <c r="Q16" s="186">
        <v>0</v>
      </c>
      <c r="R16" s="36">
        <f>'18'!Z23</f>
        <v>1352</v>
      </c>
      <c r="S16" s="293">
        <f>'18'!AB23</f>
        <v>93.853605578521041</v>
      </c>
      <c r="T16" s="36">
        <f>'18'!Y23</f>
        <v>2661</v>
      </c>
      <c r="U16" s="32" t="str">
        <f>IF('19'!AA23=1,'19'!AR6,'19'!AR7)</f>
        <v>S.A.L</v>
      </c>
      <c r="V16" s="1089"/>
      <c r="W16" s="1089"/>
      <c r="X16" s="13">
        <v>0.45833333333333298</v>
      </c>
      <c r="Y16" s="171">
        <v>2655</v>
      </c>
      <c r="Z16" s="181">
        <v>1352</v>
      </c>
      <c r="AA16" s="52">
        <v>1</v>
      </c>
      <c r="AB16" s="56">
        <f>IF('18'!AA16=1,(('18'!Z16*'18'!$AS$6*'18'!$AT$6)/('18'!Y16*0.0036)),IF('18'!AA16=2,(('18'!Z16*'18'!$AS$7*'18'!$AT$7)/('18'!Y16*0.0036))))</f>
        <v>94.065704122201296</v>
      </c>
      <c r="AC16" s="56"/>
      <c r="AD16" s="18">
        <f>(('18'!AC16*'18'!$Q$10*1000000))/('18'!Y16*3600)</f>
        <v>0</v>
      </c>
      <c r="AE16" s="181">
        <v>3000</v>
      </c>
      <c r="AF16" s="182">
        <f>('18'!AE16/24)*0.454</f>
        <v>56.75</v>
      </c>
      <c r="AG16" s="19">
        <v>500</v>
      </c>
      <c r="AH16" s="182">
        <f>('18'!AG16/24)*0.454</f>
        <v>9.4583333333333339</v>
      </c>
      <c r="AI16" s="181">
        <v>3000</v>
      </c>
      <c r="AJ16" s="182">
        <f>('18'!AI16/24)*0.454</f>
        <v>56.75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134</v>
      </c>
      <c r="C17" s="184">
        <v>8.6</v>
      </c>
      <c r="D17" s="184">
        <v>12</v>
      </c>
      <c r="E17" s="184">
        <v>10</v>
      </c>
      <c r="F17" s="184">
        <v>39</v>
      </c>
      <c r="G17" s="184">
        <v>1.9</v>
      </c>
      <c r="H17" s="184">
        <v>2.5</v>
      </c>
      <c r="I17" s="184">
        <v>1</v>
      </c>
      <c r="J17" s="184">
        <v>1.4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>
        <v>0</v>
      </c>
      <c r="Q17" s="186">
        <v>0</v>
      </c>
      <c r="R17" s="36">
        <f>'18'!Z25</f>
        <v>1352</v>
      </c>
      <c r="S17" s="35">
        <f>'18'!AB25</f>
        <v>96.092514214868984</v>
      </c>
      <c r="T17" s="36">
        <f>'18'!Y25</f>
        <v>2599</v>
      </c>
      <c r="U17" s="32" t="str">
        <f>IF('19'!AA25=1,'19'!AR6,'19'!AR7)</f>
        <v>S.A.L</v>
      </c>
      <c r="V17" s="939">
        <f>ESCALA!$C$20</f>
        <v>0</v>
      </c>
      <c r="W17" s="939"/>
      <c r="X17" s="13">
        <v>0.5</v>
      </c>
      <c r="Y17" s="171">
        <v>2505</v>
      </c>
      <c r="Z17" s="181">
        <v>1352</v>
      </c>
      <c r="AA17" s="52">
        <v>1</v>
      </c>
      <c r="AB17" s="56">
        <f>IF('18'!AA17=1,(('18'!Z17*'18'!$AS$6*'18'!$AT$6)/('18'!Y17*0.0036)),IF('18'!AA17=2,(('18'!Z17*'18'!$AS$7*'18'!$AT$7)/('18'!Y17*0.0036))))</f>
        <v>99.698381015746307</v>
      </c>
      <c r="AC17" s="56"/>
      <c r="AD17" s="18">
        <f>(('18'!AC17*'18'!$Q$10*1000000))/('18'!Y17*3600)</f>
        <v>0</v>
      </c>
      <c r="AE17" s="181">
        <v>3000</v>
      </c>
      <c r="AF17" s="182">
        <f>('18'!AE17/24)*0.454</f>
        <v>56.75</v>
      </c>
      <c r="AG17" s="19">
        <v>500</v>
      </c>
      <c r="AH17" s="182">
        <f>('18'!AG17/24)*0.454</f>
        <v>9.4583333333333339</v>
      </c>
      <c r="AI17" s="181">
        <v>3000</v>
      </c>
      <c r="AJ17" s="182">
        <f>('18'!AI17/24)*0.454</f>
        <v>56.75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132</v>
      </c>
      <c r="C18" s="184">
        <v>8.9</v>
      </c>
      <c r="D18" s="184">
        <v>13</v>
      </c>
      <c r="E18" s="184">
        <v>11</v>
      </c>
      <c r="F18" s="184">
        <v>38</v>
      </c>
      <c r="G18" s="184">
        <v>1.9</v>
      </c>
      <c r="H18" s="184">
        <v>2.2999999999999998</v>
      </c>
      <c r="I18" s="184">
        <v>1</v>
      </c>
      <c r="J18" s="184">
        <v>1.3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>
        <v>0</v>
      </c>
      <c r="Q18" s="186">
        <v>0</v>
      </c>
      <c r="R18" s="36">
        <f>'18'!Z27</f>
        <v>1352</v>
      </c>
      <c r="S18" s="35">
        <f>'18'!AB27</f>
        <v>96.018625315049775</v>
      </c>
      <c r="T18" s="36">
        <f>'18'!Y27</f>
        <v>2601</v>
      </c>
      <c r="U18" s="32" t="str">
        <f>IF('19'!AA27=1,'19'!AR6,'19'!AR7)</f>
        <v>S.A.L</v>
      </c>
      <c r="V18" s="939"/>
      <c r="W18" s="939"/>
      <c r="X18" s="13">
        <v>0.54166666666666696</v>
      </c>
      <c r="Y18" s="171">
        <v>2652</v>
      </c>
      <c r="Z18" s="181">
        <v>1352</v>
      </c>
      <c r="AA18" s="52">
        <v>1.8</v>
      </c>
      <c r="AB18" s="56" t="b">
        <f>IF('18'!AA18=1,(('18'!Z18*'18'!$AS$6*'18'!$AT$6)/('18'!Y18*0.0036)),IF('18'!AA18=2,(('18'!Z18*'18'!$AS$7*'18'!$AT$7)/('18'!Y18*0.0036))))</f>
        <v>0</v>
      </c>
      <c r="AC18" s="56"/>
      <c r="AD18" s="18">
        <f>(('18'!AC18*'18'!$Q$10*1000000))/('18'!Y18*3600)</f>
        <v>0</v>
      </c>
      <c r="AE18" s="181">
        <v>3000</v>
      </c>
      <c r="AF18" s="182">
        <f>('18'!AE18/24)*0.454</f>
        <v>56.75</v>
      </c>
      <c r="AG18" s="19">
        <v>500</v>
      </c>
      <c r="AH18" s="182">
        <f>('18'!AG18/24)*0.454</f>
        <v>9.4583333333333339</v>
      </c>
      <c r="AI18" s="181">
        <v>3000</v>
      </c>
      <c r="AJ18" s="182">
        <f>('18'!AI18/24)*0.454</f>
        <v>56.75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131.08333333333334</v>
      </c>
      <c r="C19" s="67">
        <f>AVERAGE('18'!C7:C18)</f>
        <v>7.1166666666666671</v>
      </c>
      <c r="D19" s="67">
        <f>AVERAGE('18'!D7:D18)</f>
        <v>8.8833333333333346</v>
      </c>
      <c r="E19" s="67">
        <f>AVERAGE('18'!E7:E18)</f>
        <v>7.5583333333333336</v>
      </c>
      <c r="F19" s="67">
        <f>AVERAGE('18'!F7:F18)</f>
        <v>37.083333333333336</v>
      </c>
      <c r="G19" s="67">
        <f>AVERAGE('18'!G7:G18)</f>
        <v>1.5999999999999999</v>
      </c>
      <c r="H19" s="67">
        <f>AVERAGE('18'!H7:H18)</f>
        <v>2.166666666666667</v>
      </c>
      <c r="I19" s="67">
        <f>AVERAGE('18'!I7:I18)</f>
        <v>0.86750000000000005</v>
      </c>
      <c r="J19" s="67">
        <f>AVERAGE('18'!J7:J18)</f>
        <v>1.1891666666666667</v>
      </c>
      <c r="K19" s="67">
        <f>AVERAGE('18'!K7:K18)</f>
        <v>7.299999999999998</v>
      </c>
      <c r="L19" s="67">
        <f>AVERAGE('18'!L7:L18)</f>
        <v>6.299999999999998</v>
      </c>
      <c r="M19" s="67">
        <f>AVERAGE('18'!M7:M18)</f>
        <v>6.299999999999998</v>
      </c>
      <c r="N19" s="67">
        <f>AVERAGE('18'!N7:N18)</f>
        <v>6</v>
      </c>
      <c r="O19" s="67">
        <f>AVERAGE('18'!O7:O18)</f>
        <v>3.6583333333333337</v>
      </c>
      <c r="P19" s="188">
        <f>AVERAGE('18'!P8:P18)</f>
        <v>0.6272727272727272</v>
      </c>
      <c r="Q19" s="189">
        <f>AVERAGE('18'!Q7:Q18)</f>
        <v>1.2416666666666665</v>
      </c>
      <c r="R19" s="189">
        <f>AVERAGE('18'!R7:R18)</f>
        <v>1307</v>
      </c>
      <c r="S19" s="189" t="e">
        <f>AVERAGE('18'!S7:S18)</f>
        <v>#VALUE!</v>
      </c>
      <c r="T19" s="940"/>
      <c r="U19" s="940"/>
      <c r="V19" s="47"/>
      <c r="W19" s="48"/>
      <c r="X19" s="13">
        <v>0.58333333333333304</v>
      </c>
      <c r="Y19" s="171">
        <v>2597</v>
      </c>
      <c r="Z19" s="181">
        <v>1352</v>
      </c>
      <c r="AA19" s="52">
        <v>1</v>
      </c>
      <c r="AB19" s="56">
        <f>IF('18'!AA19=1,(('18'!Z19*'18'!$AS$6*'18'!$AT$6)/('18'!Y19*0.0036)),IF('18'!AA19=2,(('18'!Z19*'18'!$AS$7*'18'!$AT$7)/('18'!Y19*0.0036))))</f>
        <v>96.166516921233907</v>
      </c>
      <c r="AC19" s="56"/>
      <c r="AD19" s="18">
        <f>(('18'!AC19*'18'!$Q$10*1000000))/('18'!Y19*3600)</f>
        <v>0</v>
      </c>
      <c r="AE19" s="181">
        <v>3000</v>
      </c>
      <c r="AF19" s="182">
        <f>('18'!AE19/24)*0.454</f>
        <v>56.75</v>
      </c>
      <c r="AG19" s="19">
        <v>500</v>
      </c>
      <c r="AH19" s="182">
        <f>('18'!AG19/24)*0.454</f>
        <v>9.4583333333333339</v>
      </c>
      <c r="AI19" s="181">
        <v>3000</v>
      </c>
      <c r="AJ19" s="182">
        <f>('18'!AI19/24)*0.454</f>
        <v>56.75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136</v>
      </c>
      <c r="C20" s="187">
        <f>MAX('18'!C7:C18)</f>
        <v>11</v>
      </c>
      <c r="D20" s="67">
        <f>MAX('18'!D7:D18)</f>
        <v>13</v>
      </c>
      <c r="E20" s="67">
        <f>MAX('18'!E7:E18)</f>
        <v>11</v>
      </c>
      <c r="F20" s="67">
        <f>MAX('18'!F7:F18)</f>
        <v>39</v>
      </c>
      <c r="G20" s="67">
        <f>MAX('18'!G7:G18)</f>
        <v>2.1</v>
      </c>
      <c r="H20" s="67">
        <f>MAX('18'!H7:H18)</f>
        <v>2.6</v>
      </c>
      <c r="I20" s="67">
        <f>MAX('18'!I7:I18)</f>
        <v>1.3</v>
      </c>
      <c r="J20" s="67">
        <f>MAX('18'!J7:J18)</f>
        <v>1.6</v>
      </c>
      <c r="K20" s="67">
        <f>MAX('18'!K7:K18)</f>
        <v>7.3</v>
      </c>
      <c r="L20" s="67">
        <f>MAX('18'!L7:L18)</f>
        <v>6.3</v>
      </c>
      <c r="M20" s="67">
        <f>MAX('18'!M7:M18)</f>
        <v>6.3</v>
      </c>
      <c r="N20" s="67">
        <f>MAX('18'!N7:N18)</f>
        <v>6</v>
      </c>
      <c r="O20" s="68">
        <f>MAX('18'!O7:O18)</f>
        <v>4</v>
      </c>
      <c r="P20" s="68">
        <f>MAX('18'!P8:P18)</f>
        <v>1.2</v>
      </c>
      <c r="Q20" s="68">
        <f>MAX('18'!Q7:Q18)</f>
        <v>2.1</v>
      </c>
      <c r="R20" s="68">
        <f>MAX('18'!R7:R18)</f>
        <v>1352</v>
      </c>
      <c r="S20" s="68" t="e">
        <f>MAX('18'!S7:S18)</f>
        <v>#VALUE!</v>
      </c>
      <c r="T20" s="940"/>
      <c r="U20" s="940"/>
      <c r="X20" s="13">
        <v>0.625</v>
      </c>
      <c r="Y20" s="171">
        <v>2629</v>
      </c>
      <c r="Z20" s="181">
        <v>1352</v>
      </c>
      <c r="AA20" s="52">
        <v>1</v>
      </c>
      <c r="AB20" s="56">
        <f>IF('18'!AA20=1,(('18'!Z20*'18'!$AS$6*'18'!$AT$6)/('18'!Y20*0.0036)),IF('18'!AA20=2,(('18'!Z20*'18'!$AS$7*'18'!$AT$7)/('18'!Y20*0.0036))))</f>
        <v>94.995984954143964</v>
      </c>
      <c r="AC20" s="56"/>
      <c r="AD20" s="18">
        <f>(('18'!AC20*'18'!$Q$10*1000000))/('18'!Y20*3600)</f>
        <v>0</v>
      </c>
      <c r="AE20" s="181">
        <v>0</v>
      </c>
      <c r="AF20" s="182">
        <f>('18'!AE20/24)*0.454</f>
        <v>0</v>
      </c>
      <c r="AG20" s="19">
        <v>500</v>
      </c>
      <c r="AH20" s="182">
        <f>('18'!AG20/24)*0.454</f>
        <v>9.4583333333333339</v>
      </c>
      <c r="AI20" s="181">
        <v>3000</v>
      </c>
      <c r="AJ20" s="182">
        <f>('18'!AI20/24)*0.454</f>
        <v>56.75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127</v>
      </c>
      <c r="C21" s="67">
        <f>MIN('18'!C7:C18)</f>
        <v>4</v>
      </c>
      <c r="D21" s="67">
        <f>MIN('18'!D7:D18)</f>
        <v>6.8</v>
      </c>
      <c r="E21" s="67">
        <f>MIN('18'!E7:E18)</f>
        <v>5.9</v>
      </c>
      <c r="F21" s="67">
        <f>MIN('18'!F7:F18)</f>
        <v>34</v>
      </c>
      <c r="G21" s="190">
        <f>MIN('18'!G7:G18)</f>
        <v>1.2</v>
      </c>
      <c r="H21" s="190">
        <f>MIN('18'!H7:H18)</f>
        <v>1.7</v>
      </c>
      <c r="I21" s="190">
        <f>MIN('18'!I7:I18)</f>
        <v>0.57999999999999996</v>
      </c>
      <c r="J21" s="190">
        <f>MIN('18'!J7:J18)</f>
        <v>0.67</v>
      </c>
      <c r="K21" s="190">
        <f>MIN('18'!K7:K18)</f>
        <v>7.3</v>
      </c>
      <c r="L21" s="190">
        <f>MIN('18'!L7:L18)</f>
        <v>6.3</v>
      </c>
      <c r="M21" s="190">
        <f>MIN('18'!M7:M18)</f>
        <v>6.3</v>
      </c>
      <c r="N21" s="190">
        <f>MIN('18'!N7:N18)</f>
        <v>6</v>
      </c>
      <c r="O21" s="191">
        <f>MIN('18'!O7:O18)</f>
        <v>3.5</v>
      </c>
      <c r="P21" s="191">
        <f>MIN('18'!P8:P18)</f>
        <v>0</v>
      </c>
      <c r="Q21" s="191">
        <f>MIN('18'!Q7:Q18)</f>
        <v>0</v>
      </c>
      <c r="R21" s="191">
        <f>MIN('18'!R7:R18)</f>
        <v>1172</v>
      </c>
      <c r="S21" s="191" t="e">
        <f>MIN('18'!S7:S18)</f>
        <v>#VALUE!</v>
      </c>
      <c r="T21" s="940"/>
      <c r="U21" s="940"/>
      <c r="X21" s="13">
        <v>0.66666666666666696</v>
      </c>
      <c r="Y21" s="171" t="s">
        <v>444</v>
      </c>
      <c r="Z21" s="181">
        <v>1352</v>
      </c>
      <c r="AA21" s="52">
        <v>1</v>
      </c>
      <c r="AB21" s="56" t="e">
        <f>IF('18'!AA21=1,(('18'!Z21*'18'!$AS$6*'18'!$AT$6)/('18'!Y21*0.0036)),IF('18'!AA21=2,(('18'!Z21*'18'!$AS$7*'18'!$AT$7)/('18'!Y21*0.0036))))</f>
        <v>#VALUE!</v>
      </c>
      <c r="AC21" s="56"/>
      <c r="AD21" s="18" t="e">
        <f>(('18'!AC21*'18'!$Q$10*1000000))/('18'!Y21*3600)</f>
        <v>#VALUE!</v>
      </c>
      <c r="AE21" s="181">
        <v>0</v>
      </c>
      <c r="AF21" s="182">
        <f>('18'!AE21/24)*0.454</f>
        <v>0</v>
      </c>
      <c r="AG21" s="19">
        <v>0</v>
      </c>
      <c r="AH21" s="182">
        <f>('18'!AG21/24)*0.454</f>
        <v>0</v>
      </c>
      <c r="AI21" s="181">
        <v>4000</v>
      </c>
      <c r="AJ21" s="182">
        <f>('18'!AI21/24)*0.454</f>
        <v>75.666666666666671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2645</v>
      </c>
      <c r="Z22" s="181">
        <v>1352</v>
      </c>
      <c r="AA22" s="52">
        <v>1</v>
      </c>
      <c r="AB22" s="56">
        <f>IF('18'!AA22=1,(('18'!Z22*'18'!$AS$6*'18'!$AT$6)/('18'!Y22*0.0036)),IF('18'!AA22=2,(('18'!Z22*'18'!$AS$7*'18'!$AT$7)/('18'!Y22*0.0036))))</f>
        <v>94.421340054610383</v>
      </c>
      <c r="AC22" s="56"/>
      <c r="AD22" s="18">
        <f>(('18'!AC22*'18'!$Q$10*1000000))/('18'!Y22*3600)</f>
        <v>0</v>
      </c>
      <c r="AE22" s="181">
        <v>0</v>
      </c>
      <c r="AF22" s="182">
        <f>('18'!AE22/24)*0.454</f>
        <v>0</v>
      </c>
      <c r="AG22" s="19">
        <v>0</v>
      </c>
      <c r="AH22" s="182">
        <f>('18'!AG22/24)*0.454</f>
        <v>0</v>
      </c>
      <c r="AI22" s="181">
        <v>4000</v>
      </c>
      <c r="AJ22" s="182">
        <f>('18'!AI22/24)*0.454</f>
        <v>75.666666666666671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2661</v>
      </c>
      <c r="Z23" s="181">
        <v>1352</v>
      </c>
      <c r="AA23" s="52">
        <v>1</v>
      </c>
      <c r="AB23" s="56">
        <f>IF('18'!AA23=1,(('18'!Z23*'18'!$AS$6*'18'!$AT$6)/('18'!Y23*0.0036)),IF('18'!AA23=2,(('18'!Z23*'18'!$AS$7*'18'!$AT$7)/('18'!Y23*0.0036))))</f>
        <v>93.853605578521041</v>
      </c>
      <c r="AC23" s="56"/>
      <c r="AD23" s="18">
        <f>(('18'!AC23*'18'!$Q$10*1000000))/('18'!Y23*3600)</f>
        <v>0</v>
      </c>
      <c r="AE23" s="181">
        <v>0</v>
      </c>
      <c r="AF23" s="182">
        <f>('18'!AE23/24)*0.454</f>
        <v>0</v>
      </c>
      <c r="AG23" s="19">
        <v>0</v>
      </c>
      <c r="AH23" s="182">
        <f>('18'!AG23/24)*0.454</f>
        <v>0</v>
      </c>
      <c r="AI23" s="181">
        <v>4000</v>
      </c>
      <c r="AJ23" s="182">
        <f>('18'!AI23/24)*0.454</f>
        <v>75.666666666666671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2607</v>
      </c>
      <c r="Z24" s="181">
        <v>1352</v>
      </c>
      <c r="AA24" s="52">
        <v>1</v>
      </c>
      <c r="AB24" s="16">
        <f>IF('18'!AA24=1,(('18'!Z24*'18'!$AS$6*'18'!$AT$6)/('18'!Y24*0.0036)),IF('18'!AA24=2,(('18'!Z24*'18'!$AS$7*'18'!$AT$7)/('18'!Y24*0.0036))))</f>
        <v>95.797638835613526</v>
      </c>
      <c r="AC24" s="16"/>
      <c r="AD24" s="192">
        <f>(('18'!AC24*'18'!$Q$10*1000000))/('18'!Y24*3600)</f>
        <v>0</v>
      </c>
      <c r="AE24" s="181">
        <v>0</v>
      </c>
      <c r="AF24" s="193">
        <f>('18'!AE24/24)*0.454</f>
        <v>0</v>
      </c>
      <c r="AG24" s="19">
        <v>0</v>
      </c>
      <c r="AH24" s="193">
        <f>('18'!AG24/24)*0.454</f>
        <v>0</v>
      </c>
      <c r="AI24" s="181">
        <v>4000</v>
      </c>
      <c r="AJ24" s="182">
        <f>('18'!AI24/24)*0.454</f>
        <v>75.666666666666671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>
        <v>0.52</v>
      </c>
      <c r="D25" s="196">
        <v>0.44</v>
      </c>
      <c r="E25" s="196">
        <v>0.48</v>
      </c>
      <c r="F25" s="196">
        <v>0.5</v>
      </c>
      <c r="G25" s="196" t="s">
        <v>441</v>
      </c>
      <c r="H25" s="196">
        <v>0.55000000000000004</v>
      </c>
      <c r="I25" s="196">
        <v>0.52</v>
      </c>
      <c r="J25" s="196" t="s">
        <v>441</v>
      </c>
      <c r="K25" s="196">
        <v>0.63</v>
      </c>
      <c r="L25" s="196">
        <v>0.81</v>
      </c>
      <c r="M25" s="196">
        <v>0.77</v>
      </c>
      <c r="N25" s="196">
        <v>0.81</v>
      </c>
      <c r="O25" s="196">
        <v>0.79</v>
      </c>
      <c r="P25" s="196" t="s">
        <v>441</v>
      </c>
      <c r="Q25" s="196" t="s">
        <v>441</v>
      </c>
      <c r="R25" s="63" t="e">
        <f>#DIV/0!</f>
        <v>#DIV/0!</v>
      </c>
      <c r="S25" s="64"/>
      <c r="T25" s="1059" t="s">
        <v>0</v>
      </c>
      <c r="U25" s="1047">
        <f>ESCALA!$A$20</f>
        <v>44334</v>
      </c>
      <c r="X25" s="13">
        <v>0.83333333333333304</v>
      </c>
      <c r="Y25" s="171">
        <v>2599</v>
      </c>
      <c r="Z25" s="181">
        <v>1352</v>
      </c>
      <c r="AA25" s="52">
        <v>1</v>
      </c>
      <c r="AB25" s="56">
        <f>IF('18'!AA25=1,(('18'!Z25*'18'!$AS$6*'18'!$AT$6)/('18'!Y25*0.0036)),IF('18'!AA25=2,(('18'!Z25*'18'!$AS$7*'18'!$AT$7)/('18'!Y25*0.0036))))</f>
        <v>96.092514214868984</v>
      </c>
      <c r="AC25" s="56"/>
      <c r="AD25" s="18">
        <f>(('18'!AC25*'18'!$Q$10*1000000))/('18'!Y25*3600)</f>
        <v>0</v>
      </c>
      <c r="AE25" s="181">
        <v>0</v>
      </c>
      <c r="AF25" s="182">
        <f>('18'!AE25/24)*0.454</f>
        <v>0</v>
      </c>
      <c r="AG25" s="19">
        <v>0</v>
      </c>
      <c r="AH25" s="182">
        <f>('18'!AG25/24)*0.454</f>
        <v>0</v>
      </c>
      <c r="AI25" s="181">
        <v>4000</v>
      </c>
      <c r="AJ25" s="182">
        <f>('18'!AI25/24)*0.454</f>
        <v>75.666666666666671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59"/>
      <c r="U26" s="1047"/>
      <c r="X26" s="13">
        <v>0.875</v>
      </c>
      <c r="Y26" s="171">
        <v>2590</v>
      </c>
      <c r="Z26" s="181">
        <v>1352</v>
      </c>
      <c r="AA26" s="52">
        <v>1</v>
      </c>
      <c r="AB26" s="56">
        <f>IF('18'!AA26=1,(('18'!Z26*'18'!$AS$6*'18'!$AT$6)/('18'!Y26*0.0036)),IF('18'!AA26=2,(('18'!Z26*'18'!$AS$7*'18'!$AT$7)/('18'!Y26*0.0036))))</f>
        <v>96.426426426426431</v>
      </c>
      <c r="AC26" s="56"/>
      <c r="AD26" s="18">
        <f>(('18'!AC26*'18'!$Q$10*1000000))/('18'!Y26*3600)</f>
        <v>0</v>
      </c>
      <c r="AE26" s="181">
        <v>0</v>
      </c>
      <c r="AF26" s="182">
        <f>('18'!AE26/24)*0.454</f>
        <v>0</v>
      </c>
      <c r="AG26" s="19">
        <v>0</v>
      </c>
      <c r="AH26" s="182">
        <f>('18'!AG26/24)*0.454</f>
        <v>0</v>
      </c>
      <c r="AI26" s="181">
        <v>4000</v>
      </c>
      <c r="AJ26" s="182">
        <f>('18'!AI26/24)*0.454</f>
        <v>75.666666666666671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2601</v>
      </c>
      <c r="Z27" s="181">
        <v>1352</v>
      </c>
      <c r="AA27" s="52">
        <v>1</v>
      </c>
      <c r="AB27" s="56">
        <f>IF('18'!AA27=1,(('18'!Z27*'18'!$AS$6*'18'!$AT$6)/('18'!Y27*0.0036)),IF('18'!AA27=2,(('18'!Z27*'18'!$AS$7*'18'!$AT$7)/('18'!Y27*0.0036))))</f>
        <v>96.018625315049775</v>
      </c>
      <c r="AC27" s="56"/>
      <c r="AD27" s="18">
        <f>(('18'!AC27*'18'!$Q$10*1000000))/('18'!Y27*3600)</f>
        <v>0</v>
      </c>
      <c r="AE27" s="181">
        <v>0</v>
      </c>
      <c r="AF27" s="182">
        <f>('18'!AE27/24)*0.454</f>
        <v>0</v>
      </c>
      <c r="AG27" s="19">
        <v>0</v>
      </c>
      <c r="AH27" s="182">
        <f>('18'!AG27/24)*0.454</f>
        <v>0</v>
      </c>
      <c r="AI27" s="181">
        <v>4000</v>
      </c>
      <c r="AJ27" s="182">
        <f>('18'!AI27/24)*0.454</f>
        <v>75.666666666666671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2600</v>
      </c>
      <c r="Z28" s="181">
        <v>1352</v>
      </c>
      <c r="AA28" s="52">
        <v>1</v>
      </c>
      <c r="AB28" s="56">
        <f>IF('18'!AA28=1,(('18'!Z28*'18'!$AS$6*'18'!$AT$6)/('18'!Y28*0.0036)),IF('18'!AA28=2,(('18'!Z28*'18'!$AS$7*'18'!$AT$7)/('18'!Y28*0.0036))))</f>
        <v>96.055555555555571</v>
      </c>
      <c r="AC28" s="56"/>
      <c r="AD28" s="18">
        <f>(('18'!AC28*'18'!$Q$10*1000000))/('18'!Y28*3600)</f>
        <v>0</v>
      </c>
      <c r="AE28" s="181">
        <v>0</v>
      </c>
      <c r="AF28" s="182">
        <f>('18'!AE28/24)*0.454</f>
        <v>0</v>
      </c>
      <c r="AG28" s="19">
        <v>0</v>
      </c>
      <c r="AH28" s="182">
        <f>('18'!AG28/24)*0.454</f>
        <v>0</v>
      </c>
      <c r="AI28" s="181">
        <v>4000</v>
      </c>
      <c r="AJ28" s="182">
        <f>('18'!AI28/24)*0.454</f>
        <v>75.666666666666671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2640</v>
      </c>
      <c r="Z29" s="181">
        <v>1352</v>
      </c>
      <c r="AA29" s="52">
        <v>1</v>
      </c>
      <c r="AB29" s="56">
        <f>IF('18'!AA29=1,(('18'!Z29*'18'!$AS$6*'18'!$AT$6)/('18'!Y29*0.0036)),IF('18'!AA29=2,(('18'!Z29*'18'!$AS$7*'18'!$AT$7)/('18'!Y29*0.0036))))</f>
        <v>94.60016835016836</v>
      </c>
      <c r="AC29" s="56"/>
      <c r="AD29" s="18">
        <f>(('18'!AC29*'18'!$Q$10*1000000))/('18'!Y29*3600)</f>
        <v>0</v>
      </c>
      <c r="AE29" s="181">
        <v>0</v>
      </c>
      <c r="AF29" s="182">
        <f>('18'!AE29/24)*0.454</f>
        <v>0</v>
      </c>
      <c r="AG29" s="19">
        <v>0</v>
      </c>
      <c r="AH29" s="182">
        <f>('18'!AG29/24)*0.454</f>
        <v>0</v>
      </c>
      <c r="AI29" s="181">
        <v>4000</v>
      </c>
      <c r="AJ29" s="182">
        <f>('18'!AI29/24)*0.454</f>
        <v>75.666666666666671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SUM('18'!Y6:Y29)*3.6</f>
        <v>220388.4</v>
      </c>
      <c r="Z30" s="294">
        <f>SUM('18'!Z6:Z29)</f>
        <v>31548</v>
      </c>
      <c r="AA30" s="76"/>
      <c r="AB30" s="77"/>
      <c r="AC30" s="76"/>
      <c r="AD30" s="77"/>
      <c r="AE30" s="33"/>
      <c r="AF30" s="182">
        <f>SUM('18'!AF6:AF29)</f>
        <v>794.5</v>
      </c>
      <c r="AG30" s="33"/>
      <c r="AH30" s="182">
        <f>SUM('18'!AH6:AH29)</f>
        <v>141.875</v>
      </c>
      <c r="AI30" s="182"/>
      <c r="AJ30" s="182">
        <f>SUM('18'!AJ6:AJ29)</f>
        <v>1532.2500000000005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SUMIF('18'!AA6:AA29,"=1",'18'!Z6:Z29)</f>
        <v>30196</v>
      </c>
      <c r="AA32" s="80">
        <f>'18'!Z32*'18'!AS6</f>
        <v>40160.68</v>
      </c>
      <c r="AB32" s="81" t="e">
        <f>SUMIF('18'!$AA$6:$AA$29,"=1",'18'!$AB$6:$AB$29)/COUNTIF('18'!$AA$6:$AA$29,"=1")</f>
        <v>#REF!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143</v>
      </c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AVERAGE('18'!Y6:Y29)</f>
        <v>2661.695652173913</v>
      </c>
      <c r="Z34" s="94">
        <f>AVERAGE('18'!Z6:Z29)</f>
        <v>1314.5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#VALUE!</v>
      </c>
      <c r="AE34" s="76"/>
      <c r="AF34" s="96">
        <f>AVERAGE('18'!AF6:AF29)</f>
        <v>33.104166666666664</v>
      </c>
      <c r="AG34" s="96"/>
      <c r="AH34" s="96">
        <f>AVERAGE('18'!AH6:AH29)</f>
        <v>5.911458333333333</v>
      </c>
      <c r="AI34" s="96"/>
      <c r="AJ34" s="96">
        <f>'18'!AJ30/24</f>
        <v>63.843750000000021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9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90"/>
      <c r="X36" s="103" t="s">
        <v>73</v>
      </c>
      <c r="Y36" s="104">
        <v>2568</v>
      </c>
      <c r="Z36" s="105"/>
      <c r="AA36" s="295" t="s">
        <v>74</v>
      </c>
      <c r="AB36" s="104">
        <v>1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67.7</v>
      </c>
      <c r="D37" s="184">
        <v>25.9</v>
      </c>
      <c r="E37" s="184">
        <v>23.9</v>
      </c>
      <c r="F37" s="184">
        <v>1.6</v>
      </c>
      <c r="G37" s="181">
        <v>0.2</v>
      </c>
      <c r="H37" s="181">
        <v>0.2</v>
      </c>
      <c r="I37" s="181">
        <v>0.15</v>
      </c>
      <c r="J37" s="181">
        <v>0.03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96">
        <f>'18'!V12</f>
        <v>0</v>
      </c>
      <c r="X37" s="956" t="s">
        <v>75</v>
      </c>
      <c r="Y37" s="956"/>
      <c r="Z37" s="108">
        <f>COUNTA('18'!Z6:Z29)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988.90563750000001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1532.2500000000005</v>
      </c>
      <c r="AQ38" s="208" t="s">
        <v>78</v>
      </c>
      <c r="AR38" s="210">
        <f>'18'!AP30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297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4.4871038471171802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6.9524984073571954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298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SUM('18'!AK38,'18'!AM38)</f>
        <v>988.90563750000001</v>
      </c>
      <c r="AM40" s="969"/>
      <c r="AO40" s="970" t="s">
        <v>90</v>
      </c>
      <c r="AP40" s="970"/>
      <c r="AQ40" s="971">
        <f>SUM('18'!AP38,'18'!AR38)</f>
        <v>1532.2500000000005</v>
      </c>
      <c r="AR40" s="971"/>
    </row>
    <row r="41" spans="1:44" ht="16.5" customHeight="1">
      <c r="A41" s="131">
        <f>COUNTA('18'!E7:E18)</f>
        <v>12</v>
      </c>
      <c r="B41" s="132">
        <f>COUNTA('18'!I7:I18)</f>
        <v>12</v>
      </c>
      <c r="C41" s="972">
        <f>COUNTA('18'!J7:J18)</f>
        <v>12</v>
      </c>
      <c r="D41" s="972">
        <f>COUNTA('18'!K7:K18)</f>
        <v>12</v>
      </c>
      <c r="E41" s="972">
        <f>COUNTIF('18'!E7:E18,"&gt;15")</f>
        <v>0</v>
      </c>
      <c r="F41" s="972"/>
      <c r="G41" s="972">
        <f>COUNTIF('18'!J7:J18,"&gt;1")</f>
        <v>8</v>
      </c>
      <c r="H41" s="972"/>
      <c r="I41" s="133"/>
      <c r="J41" s="972">
        <f>'18'!A41-'18'!E41</f>
        <v>12</v>
      </c>
      <c r="K41" s="972"/>
      <c r="L41" s="972">
        <f>'18'!C41-'18'!G41</f>
        <v>4</v>
      </c>
      <c r="M41" s="972"/>
      <c r="N41" s="133"/>
      <c r="O41" s="973">
        <f>COUNTIF('18'!J7:J18,"&lt;=0,5")</f>
        <v>0</v>
      </c>
      <c r="P41" s="973"/>
      <c r="Q41" s="973"/>
      <c r="R41" s="963"/>
      <c r="S41" s="974">
        <f>COUNTIF('18'!J7:J18,"&lt;=1,0")</f>
        <v>4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SUM(('18'!AK38+'18'!AM38)/'18'!Y30)*1000</f>
        <v>4.4871038471171802</v>
      </c>
      <c r="AM41" s="975"/>
      <c r="AO41" s="970" t="s">
        <v>91</v>
      </c>
      <c r="AP41" s="970"/>
      <c r="AQ41" s="975">
        <f>SUM(('18'!AP38+'18'!AR38)/'18'!Y30)*1000</f>
        <v>6.9524984073571954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2628</v>
      </c>
      <c r="Z44" s="142" t="s">
        <v>101</v>
      </c>
      <c r="AA44" s="143"/>
      <c r="AB44" s="142" t="s">
        <v>101</v>
      </c>
      <c r="AC44" s="143">
        <v>89</v>
      </c>
      <c r="AD44" s="982"/>
      <c r="AE44" s="982"/>
      <c r="AF44" s="983" t="s">
        <v>102</v>
      </c>
      <c r="AG44" s="996">
        <f>SUM('18'!Y45,'18'!AA45,'18'!AC45,'18'!AE45)</f>
        <v>822203.70000000007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COUNTIF('18'!I7:I18,"&lt;=5,0")</f>
        <v>12</v>
      </c>
      <c r="I45" s="986"/>
      <c r="J45" s="986"/>
      <c r="K45" s="133"/>
      <c r="L45" s="968">
        <f>COUNTA('18'!L37)</f>
        <v>0</v>
      </c>
      <c r="M45" s="968"/>
      <c r="O45" s="144"/>
      <c r="P45" s="145"/>
      <c r="Q45" s="987">
        <f>'18'!S41-'18'!O41</f>
        <v>4</v>
      </c>
      <c r="R45" s="987"/>
      <c r="S45" s="987"/>
      <c r="T45" s="146"/>
      <c r="X45" s="147" t="s">
        <v>104</v>
      </c>
      <c r="Y45" s="148">
        <f>'18'!Y44*275.3</f>
        <v>723488.4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24715.3</v>
      </c>
      <c r="AD45" s="147" t="s">
        <v>104</v>
      </c>
      <c r="AE45" s="149">
        <v>74000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30"/>
      <c r="AP45" s="1030"/>
      <c r="AQ45" s="1030"/>
      <c r="AR45" s="1030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89" t="s">
        <v>106</v>
      </c>
      <c r="AG46" s="990">
        <f>SUM('18'!Y47,'18'!AA47,'18'!AC47,'18'!AE47)</f>
        <v>1093530.9210000001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0"/>
      <c r="AP46" s="1030"/>
      <c r="AQ46" s="1030"/>
      <c r="AR46" s="1030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'18'!Y45*'18'!Y46</f>
        <v>962239.57200000004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32871.349000000002</v>
      </c>
      <c r="AD47" s="147" t="s">
        <v>108</v>
      </c>
      <c r="AE47" s="148">
        <f>'18'!AE45*'18'!AE46</f>
        <v>98420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0"/>
      <c r="AP47" s="1030"/>
      <c r="AQ47" s="1030"/>
      <c r="AR47" s="1030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0"/>
      <c r="AP48" s="1030"/>
      <c r="AQ48" s="1030"/>
      <c r="AR48" s="1030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0"/>
      <c r="AP49" s="1030"/>
      <c r="AQ49" s="1030"/>
      <c r="AR49" s="103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COUNTA('18'!O7:O18)</f>
        <v>12</v>
      </c>
      <c r="P51" s="968">
        <f>COUNTA('18'!W17:W28)</f>
        <v>0</v>
      </c>
      <c r="R51" s="986">
        <f>COUNTIF('18'!O7:O18,"&gt;=0,5")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>
        <v>87</v>
      </c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SUM('18'!Y53,'18'!AA53,'18'!AC53,'18'!AE53)</f>
        <v>60951.100000000006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30"/>
      <c r="AP52" s="1030"/>
      <c r="AQ52" s="1030"/>
      <c r="AR52" s="1030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'18'!Y52*275.3</f>
        <v>23951.100000000002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>
        <v>37000</v>
      </c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0"/>
      <c r="AP53" s="1030"/>
      <c r="AQ53" s="1030" t="s">
        <v>102</v>
      </c>
      <c r="AR53" s="1030">
        <f>'3'!AJ54+'3'!AL54+'3'!AN54+'3'!AP54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'18'!AS7</f>
        <v>1.262</v>
      </c>
      <c r="Z54" s="151" t="s">
        <v>105</v>
      </c>
      <c r="AA54" s="153">
        <f>'18'!Y54</f>
        <v>1.262</v>
      </c>
      <c r="AB54" s="151" t="s">
        <v>105</v>
      </c>
      <c r="AC54" s="153">
        <f>'18'!Y54</f>
        <v>1.262</v>
      </c>
      <c r="AD54" s="151" t="s">
        <v>105</v>
      </c>
      <c r="AE54" s="154">
        <f>'18'!Y54</f>
        <v>1.262</v>
      </c>
      <c r="AF54" s="989" t="s">
        <v>106</v>
      </c>
      <c r="AG54" s="990">
        <f>SUM('18'!Y55,'18'!AA55,'18'!AC55,'18'!AE55)</f>
        <v>76920.28820000001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0" t="s">
        <v>104</v>
      </c>
      <c r="AP54" s="1030">
        <v>0</v>
      </c>
      <c r="AQ54" s="1030"/>
      <c r="AR54" s="1030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'18'!Y53*'18'!Y54</f>
        <v>30226.288200000003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46694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0" t="s">
        <v>105</v>
      </c>
      <c r="AP55" s="1030">
        <f>'3'!AJ55</f>
        <v>1.262</v>
      </c>
      <c r="AQ55" s="1030" t="s">
        <v>106</v>
      </c>
      <c r="AR55" s="1030">
        <f>SUM('3'!AJ56,'3'!AL56,'3'!AN56,'3'!AP56)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0" t="s">
        <v>108</v>
      </c>
      <c r="AP56" s="1030">
        <f>'3'!AP54*'3'!AP55</f>
        <v>0</v>
      </c>
      <c r="AQ56" s="1030"/>
      <c r="AR56" s="1030"/>
    </row>
    <row r="57" spans="15:44" ht="15.75" customHeight="1">
      <c r="O57" s="997">
        <f>COUNTA('18'!N7:N18)</f>
        <v>12</v>
      </c>
      <c r="P57" s="997"/>
      <c r="R57" s="998">
        <f>COUNTIF('18'!N7:N18,"&gt;=6")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40160.68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-40160.68</v>
      </c>
      <c r="AR63" s="1005"/>
    </row>
    <row r="64" spans="15:44" ht="15" customHeight="1">
      <c r="X64" s="168" t="s">
        <v>132</v>
      </c>
      <c r="Y64" s="169"/>
      <c r="Z64" s="1007"/>
      <c r="AA64" s="1007"/>
      <c r="AB64" s="170"/>
      <c r="AC64" s="171"/>
      <c r="AE64" s="47"/>
    </row>
    <row r="65" spans="24:29" ht="39" customHeight="1">
      <c r="X65" s="172" t="s">
        <v>126</v>
      </c>
      <c r="Y65" s="215" t="e">
        <f>'17'!$Y$68</f>
        <v>#REF!</v>
      </c>
      <c r="Z65" s="1007"/>
      <c r="AA65" s="1007"/>
      <c r="AB65" s="174" t="s">
        <v>126</v>
      </c>
      <c r="AC65" s="238">
        <f>'17'!$AC$68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SUM('18'!AK38,'18'!AP38)</f>
        <v>2521.1556375000005</v>
      </c>
      <c r="Z67" s="1007"/>
      <c r="AA67" s="1007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 t="e">
        <f>SUM('18'!Y63,'18'!Y65)-'18'!Y67+'18'!Y64</f>
        <v>#REF!</v>
      </c>
      <c r="Z68" s="1007"/>
      <c r="AA68" s="1007"/>
      <c r="AB68" s="170" t="s">
        <v>128</v>
      </c>
      <c r="AC68" s="178">
        <f>SUM('18'!AC63,'18'!AC65)-'18'!AC67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C26" sqref="C26:O26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7.100000000000001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91" t="s">
        <v>13</v>
      </c>
      <c r="U4" s="109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7.100000000000001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91"/>
      <c r="U5" s="109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2"/>
      <c r="V6" s="926"/>
      <c r="W6" s="926"/>
      <c r="X6" s="13">
        <v>4.1666666666666699E-2</v>
      </c>
      <c r="Y6" s="52">
        <v>2568</v>
      </c>
      <c r="Z6" s="180">
        <v>1352</v>
      </c>
      <c r="AA6" s="15">
        <v>1</v>
      </c>
      <c r="AB6" s="56">
        <f>IF('19'!AA6=1,(('19'!Z6*'19'!$AS$6*'19'!$AT$6)/('19'!Y6*0.0036)),IF('19'!AA6=2,(('19'!Z6*'19'!$AS$7*'19'!$AT$7)/('19'!Y6*0.0036))))</f>
        <v>97.25250951886467</v>
      </c>
      <c r="AC6" s="56"/>
      <c r="AD6" s="18">
        <f>(('19'!AC6*'19'!$Q$10*1000000))/('19'!Y6*3600)</f>
        <v>0</v>
      </c>
      <c r="AE6" s="181"/>
      <c r="AF6" s="182">
        <f>('19'!AE6/24)*0.454</f>
        <v>0</v>
      </c>
      <c r="AG6" s="19"/>
      <c r="AH6" s="182">
        <f>('19'!AG6/24)*0.454</f>
        <v>0</v>
      </c>
      <c r="AI6" s="181">
        <v>4000</v>
      </c>
      <c r="AJ6" s="182">
        <f>('19'!AI6/24)*0.454</f>
        <v>75.666666666666671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132</v>
      </c>
      <c r="C7" s="184">
        <v>9.5</v>
      </c>
      <c r="D7" s="184">
        <v>17.899999999999999</v>
      </c>
      <c r="E7" s="184">
        <v>7.3</v>
      </c>
      <c r="F7" s="184">
        <v>40</v>
      </c>
      <c r="G7" s="184">
        <v>2</v>
      </c>
      <c r="H7" s="184">
        <v>2</v>
      </c>
      <c r="I7" s="184">
        <v>0.9</v>
      </c>
      <c r="J7" s="184">
        <v>1.4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>
        <v>0</v>
      </c>
      <c r="Q7" s="186">
        <v>0</v>
      </c>
      <c r="R7" s="36">
        <f>'18'!$Z$29</f>
        <v>1352</v>
      </c>
      <c r="S7" s="185">
        <f>'18'!$AB$29</f>
        <v>94.60016835016836</v>
      </c>
      <c r="T7" s="36">
        <f>'18'!$Y$29</f>
        <v>2640</v>
      </c>
      <c r="U7" s="32" t="str">
        <f>IF('19'!AA6=1,'19'!AR6,'19'!AR7)</f>
        <v>S.A.L</v>
      </c>
      <c r="V7" s="1093">
        <f>ESCALA!$C$20</f>
        <v>0</v>
      </c>
      <c r="W7" s="1093"/>
      <c r="X7" s="13">
        <v>8.3333333333333301E-2</v>
      </c>
      <c r="Y7" s="52">
        <v>2628</v>
      </c>
      <c r="Z7" s="180">
        <v>1352</v>
      </c>
      <c r="AA7" s="15">
        <v>1</v>
      </c>
      <c r="AB7" s="56">
        <f>IF('19'!AA7=1,(('19'!Z7*'19'!$AS$6*'19'!$AT$6)/('19'!Y7*0.0036)),IF('19'!AA7=2,(('19'!Z7*'19'!$AS$7*'19'!$AT$7)/('19'!Y7*0.0036))))</f>
        <v>95.032132589210235</v>
      </c>
      <c r="AC7" s="56"/>
      <c r="AD7" s="18">
        <f>(('19'!AC7*'19'!$Q$10*1000000))/('19'!Y7*3600)</f>
        <v>0</v>
      </c>
      <c r="AE7" s="181"/>
      <c r="AF7" s="182">
        <f>('19'!AE7/24)*0.454</f>
        <v>0</v>
      </c>
      <c r="AG7" s="19"/>
      <c r="AH7" s="182">
        <f>('19'!AG7/24)*0.454</f>
        <v>0</v>
      </c>
      <c r="AI7" s="181">
        <v>4000</v>
      </c>
      <c r="AJ7" s="182">
        <f>('19'!AI7/24)*0.454</f>
        <v>75.666666666666671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133</v>
      </c>
      <c r="C8" s="184">
        <v>10</v>
      </c>
      <c r="D8" s="184">
        <v>11</v>
      </c>
      <c r="E8" s="184">
        <v>3.9</v>
      </c>
      <c r="F8" s="184">
        <v>39</v>
      </c>
      <c r="G8" s="184">
        <v>1.9</v>
      </c>
      <c r="H8" s="184">
        <v>1.7</v>
      </c>
      <c r="I8" s="184">
        <v>0.9</v>
      </c>
      <c r="J8" s="184">
        <v>1.4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>
        <v>0</v>
      </c>
      <c r="Q8" s="186">
        <v>0</v>
      </c>
      <c r="R8" s="34">
        <f>'19'!Z11</f>
        <v>1352</v>
      </c>
      <c r="S8" s="35">
        <f>'19'!AB7</f>
        <v>95.032132589210235</v>
      </c>
      <c r="T8" s="36">
        <f>'19'!Y7</f>
        <v>2628</v>
      </c>
      <c r="U8" s="32" t="str">
        <f>IF('19'!AA7=1,'19'!AR6,'19'!AR7)</f>
        <v>S.A.L</v>
      </c>
      <c r="V8" s="1093"/>
      <c r="W8" s="1093"/>
      <c r="X8" s="13">
        <v>0.125</v>
      </c>
      <c r="Y8" s="52">
        <v>2543</v>
      </c>
      <c r="Z8" s="180">
        <v>1352</v>
      </c>
      <c r="AA8" s="15">
        <v>1</v>
      </c>
      <c r="AB8" s="56">
        <f>IF('19'!AA8=1,(('19'!Z8*'19'!$AS$6*'19'!$AT$6)/('19'!Y8*0.0036)),IF('19'!AA8=2,(('19'!Z8*'19'!$AS$7*'19'!$AT$7)/('19'!Y8*0.0036))))</f>
        <v>98.208590029274262</v>
      </c>
      <c r="AC8" s="56"/>
      <c r="AD8" s="18">
        <f>(('19'!AC8*'19'!$Q$10*1000000))/('19'!Y8*3600)</f>
        <v>0</v>
      </c>
      <c r="AE8" s="181"/>
      <c r="AF8" s="182">
        <f>('19'!AE8/24)*0.454</f>
        <v>0</v>
      </c>
      <c r="AG8" s="19"/>
      <c r="AH8" s="182">
        <f>('19'!AG8/24)*0.454</f>
        <v>0</v>
      </c>
      <c r="AI8" s="181">
        <v>4000</v>
      </c>
      <c r="AJ8" s="182">
        <f>('19'!AI8/24)*0.454</f>
        <v>75.666666666666671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128</v>
      </c>
      <c r="C9" s="184">
        <v>11</v>
      </c>
      <c r="D9" s="184">
        <v>10</v>
      </c>
      <c r="E9" s="184">
        <v>4.0999999999999996</v>
      </c>
      <c r="F9" s="184">
        <v>38</v>
      </c>
      <c r="G9" s="184">
        <v>2.2000000000000002</v>
      </c>
      <c r="H9" s="184">
        <v>1.8</v>
      </c>
      <c r="I9" s="184">
        <v>1</v>
      </c>
      <c r="J9" s="184">
        <v>1.3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>
        <v>0</v>
      </c>
      <c r="Q9" s="186">
        <v>0</v>
      </c>
      <c r="R9" s="36">
        <f>'19'!Z13</f>
        <v>1482</v>
      </c>
      <c r="S9" s="35">
        <f>'19'!AB9</f>
        <v>97.74733637747336</v>
      </c>
      <c r="T9" s="36">
        <f>'19'!Y9</f>
        <v>2555</v>
      </c>
      <c r="U9" s="32" t="str">
        <f>IF('19'!AA9=1,'19'!AR6,'19'!AR7)</f>
        <v>S.A.L</v>
      </c>
      <c r="V9" s="1093"/>
      <c r="W9" s="1093"/>
      <c r="X9" s="13">
        <v>0.16666666666666699</v>
      </c>
      <c r="Y9" s="52">
        <v>2555</v>
      </c>
      <c r="Z9" s="180">
        <v>1352</v>
      </c>
      <c r="AA9" s="15">
        <v>1</v>
      </c>
      <c r="AB9" s="56">
        <f>IF('19'!AA9=1,(('19'!Z9*'19'!$AS$6*'19'!$AT$6)/('19'!Y9*0.0036)),IF('9'!AA9=2,(('19'!Z9*'19'!$AS$7*'19'!$AT$7)/('19'!Y9*0.0036))))</f>
        <v>97.74733637747336</v>
      </c>
      <c r="AC9" s="56"/>
      <c r="AD9" s="18">
        <f>(('19'!AC9*'19'!$Q$10*1000000))/('19'!Y9*3600)</f>
        <v>0</v>
      </c>
      <c r="AE9" s="181"/>
      <c r="AF9" s="182">
        <f>('19'!AE9/24)*0.454</f>
        <v>0</v>
      </c>
      <c r="AG9" s="19"/>
      <c r="AH9" s="182">
        <f>('19'!AG9/24)*0.454</f>
        <v>0</v>
      </c>
      <c r="AI9" s="181">
        <v>4000</v>
      </c>
      <c r="AJ9" s="182">
        <f>('19'!AI9/24)*0.454</f>
        <v>75.666666666666671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130</v>
      </c>
      <c r="C10" s="184">
        <v>12</v>
      </c>
      <c r="D10" s="184">
        <v>11</v>
      </c>
      <c r="E10" s="184">
        <v>3.4</v>
      </c>
      <c r="F10" s="184">
        <v>39</v>
      </c>
      <c r="G10" s="184">
        <v>2.1</v>
      </c>
      <c r="H10" s="184">
        <v>1.8</v>
      </c>
      <c r="I10" s="184">
        <v>1</v>
      </c>
      <c r="J10" s="184">
        <v>1.2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>
        <v>0</v>
      </c>
      <c r="Q10" s="186">
        <v>0</v>
      </c>
      <c r="R10" s="36">
        <f>'19'!Z15</f>
        <v>1482</v>
      </c>
      <c r="S10" s="35">
        <f>'19'!AB11</f>
        <v>98.4408531511409</v>
      </c>
      <c r="T10" s="36">
        <f>'19'!Y11</f>
        <v>2537</v>
      </c>
      <c r="U10" s="32" t="str">
        <f>IF('19'!AA11=1,'19'!AR6,'19'!AR7)</f>
        <v>S.A.L</v>
      </c>
      <c r="V10" s="1093"/>
      <c r="W10" s="1093"/>
      <c r="X10" s="13">
        <v>0.20833333333333301</v>
      </c>
      <c r="Y10" s="52">
        <v>2566</v>
      </c>
      <c r="Z10" s="180">
        <v>1352</v>
      </c>
      <c r="AA10" s="15">
        <v>1</v>
      </c>
      <c r="AB10" s="56">
        <f>IF('19'!AA10=1,(('19'!Z10*'19'!$AS$6*'19'!$AT$6)/('19'!Y10*0.0036)),IF('19'!AA10=2,(('19'!Z10*'19'!$AS$7*'19'!$AT$7)/('19'!Y10*0.0036))))</f>
        <v>97.328310383649438</v>
      </c>
      <c r="AC10" s="56"/>
      <c r="AD10" s="18">
        <f>(('19'!AC10*'19'!$Q$10*1000000))/('19'!Y10*3600)</f>
        <v>0</v>
      </c>
      <c r="AE10" s="181"/>
      <c r="AF10" s="182">
        <f>('19'!AE10/24)*0.454</f>
        <v>0</v>
      </c>
      <c r="AG10" s="19"/>
      <c r="AH10" s="182">
        <f>('19'!AG10/24)*0.454</f>
        <v>0</v>
      </c>
      <c r="AI10" s="181">
        <v>4000</v>
      </c>
      <c r="AJ10" s="182">
        <f>('19'!AI10/24)*0.454</f>
        <v>75.666666666666671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135</v>
      </c>
      <c r="C11" s="184">
        <v>17.5</v>
      </c>
      <c r="D11" s="184">
        <v>15</v>
      </c>
      <c r="E11" s="184">
        <v>3.4</v>
      </c>
      <c r="F11" s="184">
        <v>39</v>
      </c>
      <c r="G11" s="184">
        <v>2.6</v>
      </c>
      <c r="H11" s="184">
        <v>2.1</v>
      </c>
      <c r="I11" s="184">
        <v>1</v>
      </c>
      <c r="J11" s="184">
        <v>1.2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>
        <v>0</v>
      </c>
      <c r="Q11" s="186">
        <v>0</v>
      </c>
      <c r="R11" s="36">
        <f>'19'!Z17</f>
        <v>1482</v>
      </c>
      <c r="S11" s="35">
        <f>'19'!AB13</f>
        <v>96.837047517981389</v>
      </c>
      <c r="T11" s="36">
        <f>'19'!Y13</f>
        <v>2827</v>
      </c>
      <c r="U11" s="32" t="str">
        <f>IF('19'!AA13=1,'19'!AR6,'19'!AR7)</f>
        <v>S.A.L</v>
      </c>
      <c r="V11" s="1093"/>
      <c r="W11" s="1093"/>
      <c r="X11" s="13">
        <v>0.25</v>
      </c>
      <c r="Y11" s="52">
        <v>2537</v>
      </c>
      <c r="Z11" s="180">
        <v>1352</v>
      </c>
      <c r="AA11" s="15">
        <v>1</v>
      </c>
      <c r="AB11" s="56">
        <f>IF('19'!AA11=1,(('19'!Z11*'19'!$AS$6*'19'!$AT$6)/('19'!Y11*0.0036)),IF('19'!AA11=2,(('19'!Z11*'19'!$AS$7*'19'!$AT$7)/('19'!Y11*0.0036))))</f>
        <v>98.4408531511409</v>
      </c>
      <c r="AC11" s="56"/>
      <c r="AD11" s="18">
        <f>(('19'!AC11*'19'!$Q$10*1000000))/('19'!Y11*3600)</f>
        <v>0</v>
      </c>
      <c r="AE11" s="181"/>
      <c r="AF11" s="182">
        <f>('19'!AE11/24)*0.454</f>
        <v>0</v>
      </c>
      <c r="AG11" s="19"/>
      <c r="AH11" s="182">
        <f>('19'!AG11/24)*0.454</f>
        <v>0</v>
      </c>
      <c r="AI11" s="181">
        <v>4000</v>
      </c>
      <c r="AJ11" s="182">
        <f>('19'!AI11/24)*0.454</f>
        <v>75.666666666666671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143</v>
      </c>
      <c r="C12" s="184">
        <v>20.100000000000001</v>
      </c>
      <c r="D12" s="184">
        <v>17.5</v>
      </c>
      <c r="E12" s="184">
        <v>4.0999999999999996</v>
      </c>
      <c r="F12" s="184">
        <v>39</v>
      </c>
      <c r="G12" s="184">
        <v>2.9</v>
      </c>
      <c r="H12" s="184">
        <v>2.6</v>
      </c>
      <c r="I12" s="184">
        <v>1</v>
      </c>
      <c r="J12" s="184">
        <v>1.3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</v>
      </c>
      <c r="Q12" s="186">
        <v>0</v>
      </c>
      <c r="R12" s="36">
        <f>'19'!Z19</f>
        <v>1482</v>
      </c>
      <c r="S12" s="35">
        <f>'19'!AB15</f>
        <v>95.686240242339522</v>
      </c>
      <c r="T12" s="36">
        <f>'19'!Y15</f>
        <v>2861</v>
      </c>
      <c r="U12" s="32" t="str">
        <f>IF('19'!AA15=1,'19'!AR6,'19'!AR7)</f>
        <v>S.A.L</v>
      </c>
      <c r="V12" s="938">
        <f>ESCALA!$B$21</f>
        <v>0</v>
      </c>
      <c r="W12" s="938"/>
      <c r="X12" s="13">
        <v>0.29166666666666702</v>
      </c>
      <c r="Y12" s="52">
        <v>2849</v>
      </c>
      <c r="Z12" s="180">
        <v>1482</v>
      </c>
      <c r="AA12" s="15">
        <v>1</v>
      </c>
      <c r="AB12" s="56">
        <f>IF('19'!AA12=1,(('19'!Z12*'19'!$AS$6*'19'!$AT$6)/('19'!Y12*0.0036)),IF('19'!AA12=2,(('19'!Z12*'19'!$AS$7*'19'!$AT$7)/('19'!Y12*0.0036))))</f>
        <v>96.089271089271108</v>
      </c>
      <c r="AC12" s="56"/>
      <c r="AD12" s="18">
        <f>(('19'!AC12*'19'!$Q$10*1000000))/('19'!Y12*3600)</f>
        <v>0</v>
      </c>
      <c r="AE12" s="181"/>
      <c r="AF12" s="182">
        <f>('19'!AE12/24)*0.454</f>
        <v>0</v>
      </c>
      <c r="AG12" s="19"/>
      <c r="AH12" s="182">
        <f>('19'!AG12/24)*0.454</f>
        <v>0</v>
      </c>
      <c r="AI12" s="181">
        <v>4000</v>
      </c>
      <c r="AJ12" s="182">
        <f>('19'!AI12/24)*0.454</f>
        <v>75.666666666666671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134</v>
      </c>
      <c r="C13" s="184">
        <v>15.1</v>
      </c>
      <c r="D13" s="184">
        <v>18.100000000000001</v>
      </c>
      <c r="E13" s="184">
        <v>1.7</v>
      </c>
      <c r="F13" s="184">
        <v>39</v>
      </c>
      <c r="G13" s="184">
        <v>2.6</v>
      </c>
      <c r="H13" s="184">
        <v>2.9</v>
      </c>
      <c r="I13" s="184">
        <v>0.9</v>
      </c>
      <c r="J13" s="184">
        <v>1.3</v>
      </c>
      <c r="K13" s="184">
        <v>7.3</v>
      </c>
      <c r="L13" s="184">
        <v>6.3</v>
      </c>
      <c r="M13" s="184">
        <v>6.3</v>
      </c>
      <c r="N13" s="184">
        <v>6</v>
      </c>
      <c r="O13" s="184">
        <v>3.3</v>
      </c>
      <c r="P13" s="184">
        <v>0</v>
      </c>
      <c r="Q13" s="186">
        <v>0</v>
      </c>
      <c r="R13" s="36">
        <f>'19'!Z21</f>
        <v>1582</v>
      </c>
      <c r="S13" s="35">
        <f>'19'!AB17</f>
        <v>102.57302757302757</v>
      </c>
      <c r="T13" s="36">
        <f>'19'!Y17</f>
        <v>2849</v>
      </c>
      <c r="U13" s="32" t="str">
        <f>IF('19'!AA17=1,'19'!AR6,'19'!AR7)</f>
        <v>S.A.L</v>
      </c>
      <c r="V13" s="938"/>
      <c r="W13" s="938"/>
      <c r="X13" s="13">
        <v>0.33333333333333298</v>
      </c>
      <c r="Y13" s="52">
        <v>2827</v>
      </c>
      <c r="Z13" s="180">
        <v>1482</v>
      </c>
      <c r="AA13" s="15">
        <v>1</v>
      </c>
      <c r="AB13" s="56">
        <f>IF('19'!AA13=1,(('19'!Z13*'19'!$AS$6*'19'!$AT$6)/('19'!Y13*0.0036)),IF('19'!AA13=2,(('19'!Z13*'19'!$AS$7*'19'!$AT$7)/('19'!Y13*0.0036))))</f>
        <v>96.837047517981389</v>
      </c>
      <c r="AC13" s="56"/>
      <c r="AD13" s="18">
        <f>(('19'!AC13*'19'!$Q$10*1000000))/('19'!Y13*3600)</f>
        <v>0</v>
      </c>
      <c r="AE13" s="181"/>
      <c r="AF13" s="182">
        <f>('19'!AE13/24)*0.454</f>
        <v>0</v>
      </c>
      <c r="AG13" s="19"/>
      <c r="AH13" s="182">
        <f>('19'!AG13/24)*0.454</f>
        <v>0</v>
      </c>
      <c r="AI13" s="181">
        <v>4000</v>
      </c>
      <c r="AJ13" s="182">
        <f>('19'!AI13/24)*0.454</f>
        <v>75.666666666666671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134</v>
      </c>
      <c r="C14" s="184">
        <v>16.100000000000001</v>
      </c>
      <c r="D14" s="184">
        <v>18.7</v>
      </c>
      <c r="E14" s="184">
        <v>3.7</v>
      </c>
      <c r="F14" s="184">
        <v>38</v>
      </c>
      <c r="G14" s="184">
        <v>2.7</v>
      </c>
      <c r="H14" s="184">
        <v>3.3</v>
      </c>
      <c r="I14" s="184">
        <v>1</v>
      </c>
      <c r="J14" s="184">
        <v>1.3</v>
      </c>
      <c r="K14" s="184">
        <v>7.3</v>
      </c>
      <c r="L14" s="184">
        <v>6.3</v>
      </c>
      <c r="M14" s="184">
        <v>6.3</v>
      </c>
      <c r="N14" s="184">
        <v>6</v>
      </c>
      <c r="O14" s="184">
        <v>3.2</v>
      </c>
      <c r="P14" s="184">
        <v>0</v>
      </c>
      <c r="Q14" s="186">
        <v>0</v>
      </c>
      <c r="R14" s="36">
        <f>'19'!Z19</f>
        <v>1482</v>
      </c>
      <c r="S14" s="35">
        <f>'19'!AB19</f>
        <v>89.027100271002709</v>
      </c>
      <c r="T14" s="36">
        <f>'19'!Y19</f>
        <v>3075</v>
      </c>
      <c r="U14" s="32" t="str">
        <f>IF('19'!AA19=1,'19'!AR6,'19'!AR7)</f>
        <v>S.A.L</v>
      </c>
      <c r="V14" s="938"/>
      <c r="W14" s="938"/>
      <c r="X14" s="13">
        <v>0.375</v>
      </c>
      <c r="Y14" s="52">
        <v>2876</v>
      </c>
      <c r="Z14" s="180">
        <v>1482</v>
      </c>
      <c r="AA14" s="15">
        <v>1</v>
      </c>
      <c r="AB14" s="56">
        <f>IF('19'!AA14=1,(('19'!Z18*'19'!$AS$6*'19'!$AT$6)/('19'!Y14*0.0036)),IF('19'!AA14=2,(('19'!Z18*'19'!$AS$7*'19'!$AT$7)/('19'!Y14*0.0036))))</f>
        <v>95.187181270282807</v>
      </c>
      <c r="AC14" s="56"/>
      <c r="AD14" s="18">
        <f>(('19'!AC14*'19'!$Q$10*1000000))/('19'!Y14*3600)</f>
        <v>0</v>
      </c>
      <c r="AE14" s="181"/>
      <c r="AF14" s="182">
        <f>('19'!AE14/24)*0.454</f>
        <v>0</v>
      </c>
      <c r="AG14" s="19"/>
      <c r="AH14" s="182">
        <f>('19'!AG14/24)*0.454</f>
        <v>0</v>
      </c>
      <c r="AI14" s="181">
        <v>4000</v>
      </c>
      <c r="AJ14" s="182">
        <f>('19'!AI14/24)*0.454</f>
        <v>75.666666666666671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139</v>
      </c>
      <c r="C15" s="184">
        <v>16.899999999999999</v>
      </c>
      <c r="D15" s="184">
        <v>20.2</v>
      </c>
      <c r="E15" s="184">
        <v>3.9</v>
      </c>
      <c r="F15" s="184">
        <v>37</v>
      </c>
      <c r="G15" s="184">
        <v>2.8</v>
      </c>
      <c r="H15" s="184">
        <v>4.0999999999999996</v>
      </c>
      <c r="I15" s="184">
        <v>1.1000000000000001</v>
      </c>
      <c r="J15" s="184">
        <v>1.2</v>
      </c>
      <c r="K15" s="184">
        <v>7.3</v>
      </c>
      <c r="L15" s="184">
        <v>6.3</v>
      </c>
      <c r="M15" s="184">
        <v>6.3</v>
      </c>
      <c r="N15" s="184">
        <v>6</v>
      </c>
      <c r="O15" s="184">
        <v>3.2</v>
      </c>
      <c r="P15" s="184">
        <v>0</v>
      </c>
      <c r="Q15" s="186">
        <v>0</v>
      </c>
      <c r="R15" s="36">
        <f>'19'!Z21</f>
        <v>1582</v>
      </c>
      <c r="S15" s="35">
        <f>'19'!AB21</f>
        <v>95.844721402281252</v>
      </c>
      <c r="T15" s="36">
        <f>'19'!Y21</f>
        <v>3049</v>
      </c>
      <c r="U15" s="32" t="str">
        <f>IF('19'!AA21=1,'19'!AR6,'19'!AR7)</f>
        <v>S.A.L</v>
      </c>
      <c r="V15" s="938"/>
      <c r="W15" s="938"/>
      <c r="X15" s="13">
        <v>0.41666666666666702</v>
      </c>
      <c r="Y15" s="52">
        <v>2861</v>
      </c>
      <c r="Z15" s="180">
        <v>1482</v>
      </c>
      <c r="AA15" s="15">
        <v>1</v>
      </c>
      <c r="AB15" s="56">
        <f>IF('19'!AA15=1,(('19'!Z19*'19'!$AS$6*'19'!$AT$6)/('19'!Y15*0.0036)),IF('19'!AA15=2,(('19'!Z19*'19'!$AS$7*'19'!$AT$7)/('19'!Y15*0.0036))))</f>
        <v>95.686240242339522</v>
      </c>
      <c r="AC15" s="56"/>
      <c r="AD15" s="18">
        <f>(('19'!AC15*'19'!$Q$10*1000000))/('19'!Y15*3600)</f>
        <v>0</v>
      </c>
      <c r="AE15" s="181"/>
      <c r="AF15" s="182">
        <f>('19'!AE15/24)*0.454</f>
        <v>0</v>
      </c>
      <c r="AG15" s="19"/>
      <c r="AH15" s="182">
        <f>('19'!AG15/24)*0.454</f>
        <v>0</v>
      </c>
      <c r="AI15" s="181">
        <v>4000</v>
      </c>
      <c r="AJ15" s="182">
        <f>('19'!AI15/24)*0.454</f>
        <v>75.666666666666671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145</v>
      </c>
      <c r="C16" s="184">
        <v>17.100000000000001</v>
      </c>
      <c r="D16" s="184">
        <v>11</v>
      </c>
      <c r="E16" s="184">
        <v>3.4</v>
      </c>
      <c r="F16" s="184">
        <v>40</v>
      </c>
      <c r="G16" s="184">
        <v>2.6</v>
      </c>
      <c r="H16" s="184">
        <v>3.2</v>
      </c>
      <c r="I16" s="184">
        <v>1.1000000000000001</v>
      </c>
      <c r="J16" s="184">
        <v>1.2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>
        <v>0</v>
      </c>
      <c r="Q16" s="186">
        <v>0</v>
      </c>
      <c r="R16" s="36">
        <f>'19'!Z23</f>
        <v>1582</v>
      </c>
      <c r="S16" s="293">
        <f>'19'!AB23</f>
        <v>96.033702121444477</v>
      </c>
      <c r="T16" s="36">
        <f>'19'!Y23</f>
        <v>3043</v>
      </c>
      <c r="U16" s="32" t="str">
        <f>IF('19'!AA23=1,'19'!AR6,'19'!AR7)</f>
        <v>S.A.L</v>
      </c>
      <c r="V16" s="938"/>
      <c r="W16" s="938"/>
      <c r="X16" s="13">
        <v>0.45833333333333298</v>
      </c>
      <c r="Y16" s="52">
        <v>2868</v>
      </c>
      <c r="Z16" s="180">
        <v>1482</v>
      </c>
      <c r="AA16" s="15">
        <v>1</v>
      </c>
      <c r="AB16" s="56">
        <f>IF('19'!AA16=1,(('19'!Z20*'19'!$AS$6*'19'!$AT$6)/('19'!Y16*0.0036)),IF('19'!AA16=2,(('19'!Z20*'19'!$AS$7*'19'!$AT$7)/('19'!Y16*0.0036))))</f>
        <v>95.452696420269646</v>
      </c>
      <c r="AC16" s="56"/>
      <c r="AD16" s="18">
        <f>(('19'!AC16*'19'!$Q$10*1000000))/('19'!Y16*3600)</f>
        <v>0</v>
      </c>
      <c r="AE16" s="181"/>
      <c r="AF16" s="182">
        <f>('19'!AE16/24)*0.454</f>
        <v>0</v>
      </c>
      <c r="AG16" s="19"/>
      <c r="AH16" s="182">
        <f>('19'!AG16/24)*0.454</f>
        <v>0</v>
      </c>
      <c r="AI16" s="181">
        <v>4000</v>
      </c>
      <c r="AJ16" s="182">
        <f>('19'!AI16/24)*0.454</f>
        <v>75.666666666666671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130</v>
      </c>
      <c r="C17" s="184">
        <v>12</v>
      </c>
      <c r="D17" s="184">
        <v>11</v>
      </c>
      <c r="E17" s="184">
        <v>3.4</v>
      </c>
      <c r="F17" s="184">
        <v>42</v>
      </c>
      <c r="G17" s="184">
        <v>2.6</v>
      </c>
      <c r="H17" s="184">
        <v>2.4</v>
      </c>
      <c r="I17" s="184">
        <v>1.2</v>
      </c>
      <c r="J17" s="184">
        <v>1.4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>
        <v>0</v>
      </c>
      <c r="Q17" s="186">
        <v>0</v>
      </c>
      <c r="R17" s="36">
        <f>'19'!Z25</f>
        <v>1582</v>
      </c>
      <c r="S17" s="35">
        <f>'19'!AB25</f>
        <v>96.765084621044878</v>
      </c>
      <c r="T17" s="36">
        <f>'19'!Y25</f>
        <v>3020</v>
      </c>
      <c r="U17" s="32" t="str">
        <f>IF('19'!AA25=1,'19'!AR6,'19'!AR7)</f>
        <v>S.A.L</v>
      </c>
      <c r="V17" s="939">
        <f>ESCALA!$C$21</f>
        <v>0</v>
      </c>
      <c r="W17" s="939"/>
      <c r="X17" s="13">
        <v>0.5</v>
      </c>
      <c r="Y17" s="52">
        <v>2849</v>
      </c>
      <c r="Z17" s="180">
        <v>1482</v>
      </c>
      <c r="AA17" s="15">
        <v>1</v>
      </c>
      <c r="AB17" s="56">
        <f>IF('19'!AA17=1,(('19'!Z21*'19'!$AS$6*'19'!$AT$6)/('19'!Y17*0.0036)),IF('19'!AA17=2,(('19'!Z21*'19'!$AS$7*'19'!$AT$7)/('19'!Y17*0.0036))))</f>
        <v>102.57302757302757</v>
      </c>
      <c r="AC17" s="56"/>
      <c r="AD17" s="18">
        <f>(('19'!AC17*'19'!$Q$10*1000000))/('19'!Y17*3600)</f>
        <v>0</v>
      </c>
      <c r="AE17" s="181"/>
      <c r="AF17" s="182">
        <f>('19'!AE17/24)*0.454</f>
        <v>0</v>
      </c>
      <c r="AG17" s="19"/>
      <c r="AH17" s="182">
        <f>('19'!AG17/24)*0.454</f>
        <v>0</v>
      </c>
      <c r="AI17" s="181">
        <v>4000</v>
      </c>
      <c r="AJ17" s="182">
        <f>('19'!AI17/24)*0.454</f>
        <v>75.666666666666671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130</v>
      </c>
      <c r="C18" s="184">
        <v>12</v>
      </c>
      <c r="D18" s="184">
        <v>11</v>
      </c>
      <c r="E18" s="184">
        <v>3.4</v>
      </c>
      <c r="F18" s="184">
        <v>39</v>
      </c>
      <c r="G18" s="184">
        <v>2.1</v>
      </c>
      <c r="H18" s="184">
        <v>1.8</v>
      </c>
      <c r="I18" s="184">
        <v>1.3</v>
      </c>
      <c r="J18" s="184">
        <v>1.3</v>
      </c>
      <c r="K18" s="184">
        <v>7.3</v>
      </c>
      <c r="L18" s="184">
        <v>6.3</v>
      </c>
      <c r="M18" s="184">
        <v>6.3</v>
      </c>
      <c r="N18" s="184">
        <v>6</v>
      </c>
      <c r="O18" s="184">
        <v>3.2</v>
      </c>
      <c r="P18" s="184">
        <v>0</v>
      </c>
      <c r="Q18" s="186">
        <v>0</v>
      </c>
      <c r="R18" s="36">
        <f>'19'!Z27</f>
        <v>1582</v>
      </c>
      <c r="S18" s="35">
        <f>'19'!AB27</f>
        <v>96.861304459912347</v>
      </c>
      <c r="T18" s="36">
        <f>'19'!Y27</f>
        <v>3017</v>
      </c>
      <c r="U18" s="32" t="str">
        <f>IF('19'!AA27=1,'19'!AR6,'19'!AR7)</f>
        <v>S.A.L</v>
      </c>
      <c r="V18" s="939"/>
      <c r="W18" s="939"/>
      <c r="X18" s="13">
        <v>0.54166666666666696</v>
      </c>
      <c r="Y18" s="52">
        <v>2831</v>
      </c>
      <c r="Z18" s="180">
        <v>1482</v>
      </c>
      <c r="AA18" s="15">
        <v>1</v>
      </c>
      <c r="AB18" s="56">
        <f>IF('19'!AA18=1,(('19'!Z18*'19'!$AS$6*'19'!$AT$6)/('19'!Y18*0.0036)),IF('19'!AA18=2,(('19'!Z18*'19'!$AS$7*'19'!$AT$7)/('19'!Y18*0.0036))))</f>
        <v>96.700223713646551</v>
      </c>
      <c r="AC18" s="56"/>
      <c r="AD18" s="18">
        <f>(('19'!AC18*'19'!$Q$10*1000000))/('19'!Y18*3600)</f>
        <v>0</v>
      </c>
      <c r="AE18" s="181"/>
      <c r="AF18" s="182">
        <f>('19'!AE18/24)*0.454</f>
        <v>0</v>
      </c>
      <c r="AG18" s="19"/>
      <c r="AH18" s="182">
        <f>('19'!AG18/24)*0.454</f>
        <v>0</v>
      </c>
      <c r="AI18" s="181">
        <v>4000</v>
      </c>
      <c r="AJ18" s="182">
        <f>('19'!AI18/24)*0.454</f>
        <v>75.666666666666671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134.41666666666666</v>
      </c>
      <c r="C19" s="67">
        <f>AVERAGE('19'!C7:C18)</f>
        <v>14.108333333333333</v>
      </c>
      <c r="D19" s="67">
        <f>AVERAGE('19'!D7:D18)</f>
        <v>14.366666666666667</v>
      </c>
      <c r="E19" s="67">
        <f>AVERAGE('19'!E7:E18)</f>
        <v>3.8083333333333322</v>
      </c>
      <c r="F19" s="67">
        <f>AVERAGE('19'!F8:F18)</f>
        <v>39</v>
      </c>
      <c r="G19" s="67">
        <f>AVERAGE('19'!G7:G18)</f>
        <v>2.4250000000000003</v>
      </c>
      <c r="H19" s="67">
        <f>AVERAGE('19'!H7:H18)</f>
        <v>2.4749999999999996</v>
      </c>
      <c r="I19" s="67">
        <f>AVERAGE('19'!I7:I18)</f>
        <v>1.0333333333333334</v>
      </c>
      <c r="J19" s="67">
        <f>AVERAGE('19'!J7:J18)</f>
        <v>1.2916666666666667</v>
      </c>
      <c r="K19" s="67">
        <f>AVERAGE('19'!K8:K18)</f>
        <v>7.299999999999998</v>
      </c>
      <c r="L19" s="67">
        <f>AVERAGE('19'!L8:L18)</f>
        <v>6.299999999999998</v>
      </c>
      <c r="M19" s="67">
        <f>AVERAGE('19'!M8:M18)</f>
        <v>6.299999999999998</v>
      </c>
      <c r="N19" s="67">
        <f>AVERAGE('19'!N8:N18)</f>
        <v>6</v>
      </c>
      <c r="O19" s="67">
        <f>AVERAGE('19'!O7:O18)</f>
        <v>3.3583333333333338</v>
      </c>
      <c r="P19" s="188">
        <f>AVERAGE('19'!P7:P18)</f>
        <v>0</v>
      </c>
      <c r="Q19" s="189">
        <f>AVERAGE('19'!Q7:Q18)</f>
        <v>0</v>
      </c>
      <c r="R19" s="189">
        <f>AVERAGE('19'!R7:R18)</f>
        <v>1502</v>
      </c>
      <c r="S19" s="189">
        <f>AVERAGE('19'!S7:S18)</f>
        <v>96.287393223085587</v>
      </c>
      <c r="T19" s="940"/>
      <c r="U19" s="940"/>
      <c r="V19" s="47"/>
      <c r="W19" s="48"/>
      <c r="X19" s="13">
        <v>0.58333333333333304</v>
      </c>
      <c r="Y19" s="52">
        <v>3075</v>
      </c>
      <c r="Z19" s="180">
        <v>1482</v>
      </c>
      <c r="AA19" s="15">
        <v>1</v>
      </c>
      <c r="AB19" s="56">
        <f>IF('19'!AA19=1,(('19'!Z19*'19'!$AS$6*'19'!$AT$6)/('19'!Y19*0.0036)),IF('19'!AA19=2,(('19'!Z19*'19'!$AS$7*'19'!$AT$7)/('19'!Y19*0.0036))))</f>
        <v>89.027100271002709</v>
      </c>
      <c r="AC19" s="56"/>
      <c r="AD19" s="18">
        <f>(('19'!AC19*'19'!$Q$10*1000000))/('19'!Y19*3600)</f>
        <v>0</v>
      </c>
      <c r="AE19" s="181"/>
      <c r="AF19" s="182">
        <f>('19'!AE19/24)*0.454</f>
        <v>0</v>
      </c>
      <c r="AG19" s="19"/>
      <c r="AH19" s="182">
        <f>('19'!AG19/24)*0.454</f>
        <v>0</v>
      </c>
      <c r="AI19" s="181">
        <v>4000</v>
      </c>
      <c r="AJ19" s="182">
        <f>('19'!AI19/24)*0.454</f>
        <v>75.666666666666671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145</v>
      </c>
      <c r="C20" s="187">
        <f>MAX('19'!C7:C18)</f>
        <v>20.100000000000001</v>
      </c>
      <c r="D20" s="67">
        <f>MAX('19'!D7:D18)</f>
        <v>20.2</v>
      </c>
      <c r="E20" s="67">
        <f>MAX('19'!E7:E18)</f>
        <v>7.3</v>
      </c>
      <c r="F20" s="67">
        <f>MAX('19'!F8:F18)</f>
        <v>42</v>
      </c>
      <c r="G20" s="67">
        <f>MAX('19'!G7:G18)</f>
        <v>2.9</v>
      </c>
      <c r="H20" s="67">
        <f>MAX('19'!H7:H18)</f>
        <v>4.0999999999999996</v>
      </c>
      <c r="I20" s="67">
        <f>MAX('19'!I7:I18)</f>
        <v>1.3</v>
      </c>
      <c r="J20" s="67">
        <f>MAX('19'!J7:J18)</f>
        <v>1.4</v>
      </c>
      <c r="K20" s="67">
        <f>MAX('19'!K8:K18)</f>
        <v>7.3</v>
      </c>
      <c r="L20" s="67">
        <f>MAX('19'!L8:L18)</f>
        <v>6.3</v>
      </c>
      <c r="M20" s="67">
        <f>MAX('19'!M8:M18)</f>
        <v>6.3</v>
      </c>
      <c r="N20" s="67">
        <f>MAX('19'!N8:N18)</f>
        <v>6</v>
      </c>
      <c r="O20" s="68">
        <f>MAX('19'!O7:O18)</f>
        <v>3.5</v>
      </c>
      <c r="P20" s="68">
        <f>MAX('19'!P7:P18)</f>
        <v>0</v>
      </c>
      <c r="Q20" s="68">
        <f>MAX('19'!Q7:Q18)</f>
        <v>0</v>
      </c>
      <c r="R20" s="68">
        <f>MAX('19'!R7:R18)</f>
        <v>1582</v>
      </c>
      <c r="S20" s="68">
        <f>MAX('19'!S7:S18)</f>
        <v>102.57302757302757</v>
      </c>
      <c r="T20" s="940"/>
      <c r="U20" s="940"/>
      <c r="X20" s="13">
        <v>0.625</v>
      </c>
      <c r="Y20" s="52">
        <v>3043</v>
      </c>
      <c r="Z20" s="180">
        <v>1482</v>
      </c>
      <c r="AA20" s="15">
        <v>1</v>
      </c>
      <c r="AB20" s="56">
        <f>IF('19'!AA20=1,(('19'!Z20*'19'!$AS$6*'19'!$AT$6)/('19'!Y20*0.0036)),IF('19'!AA20=2,(('19'!Z20*'19'!$AS$7*'19'!$AT$7)/('19'!Y20*0.0036))))</f>
        <v>89.963303757257094</v>
      </c>
      <c r="AC20" s="56"/>
      <c r="AD20" s="18">
        <f>(('19'!AC20*'19'!$Q$10*1000000))/('19'!Y20*3600)</f>
        <v>0</v>
      </c>
      <c r="AE20" s="181"/>
      <c r="AF20" s="182">
        <f>('19'!AE20/24)*0.454</f>
        <v>0</v>
      </c>
      <c r="AG20" s="19"/>
      <c r="AH20" s="182">
        <f>('19'!AG20/24)*0.454</f>
        <v>0</v>
      </c>
      <c r="AI20" s="181">
        <v>4000</v>
      </c>
      <c r="AJ20" s="182">
        <f>('19'!AI20/24)*0.454</f>
        <v>75.666666666666671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128</v>
      </c>
      <c r="C21" s="67">
        <f>MIN('19'!C7:C18)</f>
        <v>9.5</v>
      </c>
      <c r="D21" s="67">
        <f>MIN('19'!D7:D18)</f>
        <v>10</v>
      </c>
      <c r="E21" s="67">
        <f>MIN('19'!E7:E18)</f>
        <v>1.7</v>
      </c>
      <c r="F21" s="67">
        <f>MIN('19'!F8:F18)</f>
        <v>37</v>
      </c>
      <c r="G21" s="190">
        <f>MIN('19'!G7:G18)</f>
        <v>1.9</v>
      </c>
      <c r="H21" s="190">
        <f>MIN('19'!H7:H18)</f>
        <v>1.7</v>
      </c>
      <c r="I21" s="190">
        <f>MIN('19'!I7:I18)</f>
        <v>0.9</v>
      </c>
      <c r="J21" s="190">
        <f>MIN('19'!J7:J18)</f>
        <v>1.2</v>
      </c>
      <c r="K21" s="190">
        <f>MIN('19'!K8:K18)</f>
        <v>7.3</v>
      </c>
      <c r="L21" s="190">
        <f>MIN('19'!L8:L18)</f>
        <v>6.3</v>
      </c>
      <c r="M21" s="190">
        <f>MIN('19'!M8:M18)</f>
        <v>6.3</v>
      </c>
      <c r="N21" s="190">
        <f>MIN('19'!N8:N18)</f>
        <v>6</v>
      </c>
      <c r="O21" s="191">
        <f>MIN('19'!O7:O18)</f>
        <v>3.2</v>
      </c>
      <c r="P21" s="191">
        <f>MIN('19'!P7:P18)</f>
        <v>0</v>
      </c>
      <c r="Q21" s="191">
        <f>MIN('19'!Q7:Q18)</f>
        <v>0</v>
      </c>
      <c r="R21" s="191">
        <f>MIN('19'!R7:R18)</f>
        <v>1352</v>
      </c>
      <c r="S21" s="191">
        <f>MIN('19'!S7:S18)</f>
        <v>89.027100271002709</v>
      </c>
      <c r="T21" s="940"/>
      <c r="U21" s="940"/>
      <c r="X21" s="13">
        <v>0.66666666666666696</v>
      </c>
      <c r="Y21" s="52">
        <v>3049</v>
      </c>
      <c r="Z21" s="180">
        <v>1582</v>
      </c>
      <c r="AA21" s="15">
        <v>1</v>
      </c>
      <c r="AB21" s="56">
        <f>IF('19'!AA21=1,(('19'!Z21*'19'!$AS$6*'19'!$AT$6)/('19'!Y21*0.0036)),IF('19'!AA21=2,(('19'!Z21*'19'!$AS$7*'19'!$AT$7)/('19'!Y21*0.0036))))</f>
        <v>95.844721402281252</v>
      </c>
      <c r="AC21" s="56"/>
      <c r="AD21" s="18">
        <f>(('19'!AC21*'19'!$Q$10*1000000))/('19'!Y21*3600)</f>
        <v>0</v>
      </c>
      <c r="AE21" s="181"/>
      <c r="AF21" s="182">
        <f>('19'!AE21/24)*0.454</f>
        <v>0</v>
      </c>
      <c r="AG21" s="19"/>
      <c r="AH21" s="182">
        <f>('19'!AG21/24)*0.454</f>
        <v>0</v>
      </c>
      <c r="AI21" s="181">
        <v>4000</v>
      </c>
      <c r="AJ21" s="182">
        <f>('19'!AI21/24)*0.454</f>
        <v>75.666666666666671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3078</v>
      </c>
      <c r="Z22" s="180">
        <v>1582</v>
      </c>
      <c r="AA22" s="15">
        <v>1</v>
      </c>
      <c r="AB22" s="56">
        <f>IF('19'!AA22=1,(('19'!Z22*'19'!$AS$6*'19'!$AT$6)/('19'!Y22*0.0036)),IF('19'!AA22=2,(('19'!Z22*'19'!$AS$7*'19'!$AT$7)/('19'!Y22*0.0036))))</f>
        <v>94.941700960219478</v>
      </c>
      <c r="AC22" s="56"/>
      <c r="AD22" s="18">
        <f>(('19'!AC22*'19'!$Q$10*1000000))/('19'!Y22*3600)</f>
        <v>0</v>
      </c>
      <c r="AE22" s="181"/>
      <c r="AF22" s="182">
        <f>('19'!AE22/24)*0.454</f>
        <v>0</v>
      </c>
      <c r="AG22" s="19"/>
      <c r="AH22" s="182">
        <f>('19'!AG22/24)*0.454</f>
        <v>0</v>
      </c>
      <c r="AI22" s="181">
        <v>4000</v>
      </c>
      <c r="AJ22" s="182">
        <f>('19'!AI22/24)*0.454</f>
        <v>75.666666666666671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3"/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3043</v>
      </c>
      <c r="Z23" s="180">
        <v>1582</v>
      </c>
      <c r="AA23" s="15">
        <v>1</v>
      </c>
      <c r="AB23" s="56">
        <f>IF('19'!AA23=1,(('19'!Z23*'19'!$AS$6*'19'!$AT$6)/('19'!Y23*0.0036)),IF('19'!AA23=2,(('19'!Z23*'19'!$AS$7*'19'!$AT$7)/('19'!Y23*0.0036))))</f>
        <v>96.033702121444477</v>
      </c>
      <c r="AC23" s="56"/>
      <c r="AD23" s="18">
        <v>0</v>
      </c>
      <c r="AE23" s="181"/>
      <c r="AF23" s="182">
        <f>('19'!AE23/24)*0.454</f>
        <v>0</v>
      </c>
      <c r="AG23" s="19"/>
      <c r="AH23" s="182">
        <f>('19'!AG23/24)*0.454</f>
        <v>0</v>
      </c>
      <c r="AI23" s="181">
        <v>4000</v>
      </c>
      <c r="AJ23" s="182">
        <f>('19'!AI23/24)*0.454</f>
        <v>75.666666666666671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3080</v>
      </c>
      <c r="Z24" s="180">
        <v>1582</v>
      </c>
      <c r="AA24" s="15">
        <v>1</v>
      </c>
      <c r="AB24" s="16">
        <f>IF('19'!AA24=1,(('19'!Z24*'19'!$AS$6*'19'!$AT$6)/('19'!Y24*0.0036)),IF('19'!AA24=2,(('19'!Z24*'19'!$AS$7*'19'!$AT$7)/('19'!Y24*0.0036))))</f>
        <v>94.880050505050505</v>
      </c>
      <c r="AC24" s="16"/>
      <c r="AD24" s="192">
        <f>(('19'!AC24*'19'!$Q$10*1000000))/('19'!Y24*3600)</f>
        <v>0</v>
      </c>
      <c r="AE24" s="181"/>
      <c r="AF24" s="193">
        <f>('19'!AE24/24)*0.454</f>
        <v>0</v>
      </c>
      <c r="AG24" s="19"/>
      <c r="AH24" s="193">
        <f>('19'!AG24/24)*0.454</f>
        <v>0</v>
      </c>
      <c r="AI24" s="181">
        <v>4000</v>
      </c>
      <c r="AJ24" s="193">
        <f>('19'!AI24/24)*0.454</f>
        <v>75.666666666666671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 t="s">
        <v>441</v>
      </c>
      <c r="C25" s="196">
        <v>1.4</v>
      </c>
      <c r="D25" s="196">
        <v>1.1000000000000001</v>
      </c>
      <c r="E25" s="197">
        <v>1.3</v>
      </c>
      <c r="F25" s="197">
        <v>1.5</v>
      </c>
      <c r="G25" s="197">
        <v>1</v>
      </c>
      <c r="H25" s="197">
        <v>1.2</v>
      </c>
      <c r="I25" s="197">
        <v>1.4</v>
      </c>
      <c r="J25" s="197" t="s">
        <v>441</v>
      </c>
      <c r="K25" s="197">
        <v>1.7</v>
      </c>
      <c r="L25" s="197">
        <v>1.1000000000000001</v>
      </c>
      <c r="M25" s="197">
        <v>0.92</v>
      </c>
      <c r="N25" s="197">
        <v>1.2</v>
      </c>
      <c r="O25" s="197">
        <v>1</v>
      </c>
      <c r="P25" s="197" t="s">
        <v>441</v>
      </c>
      <c r="Q25" s="197" t="s">
        <v>441</v>
      </c>
      <c r="R25" s="63" t="e">
        <f>#DIV/0!</f>
        <v>#DIV/0!</v>
      </c>
      <c r="S25" s="64"/>
      <c r="T25" s="1036" t="s">
        <v>0</v>
      </c>
      <c r="U25" s="1043">
        <f>ESCALA!$A$21</f>
        <v>44335</v>
      </c>
      <c r="X25" s="13">
        <v>0.83333333333333304</v>
      </c>
      <c r="Y25" s="52">
        <v>3020</v>
      </c>
      <c r="Z25" s="180">
        <v>1582</v>
      </c>
      <c r="AA25" s="15">
        <v>1</v>
      </c>
      <c r="AB25" s="56">
        <f>IF('19'!AA25=1,(('19'!Z25*'19'!$AS$6*'19'!$AT$6)/('19'!Y25*0.0036)),IF('19'!AA25=2,(('19'!Z25*'19'!$AS$7*'19'!$AT$7)/('19'!Y25*0.0036))))</f>
        <v>96.765084621044878</v>
      </c>
      <c r="AC25" s="56"/>
      <c r="AD25" s="18">
        <f>(('19'!AC25*'19'!$Q$10*1000000))/('19'!Y25*3600)</f>
        <v>0</v>
      </c>
      <c r="AE25" s="181"/>
      <c r="AF25" s="182">
        <f>('19'!AE25/24)*0.454</f>
        <v>0</v>
      </c>
      <c r="AG25" s="19"/>
      <c r="AH25" s="182">
        <f>('19'!AG25/24)*0.454</f>
        <v>0</v>
      </c>
      <c r="AI25" s="181">
        <v>4000</v>
      </c>
      <c r="AJ25" s="182">
        <f>('19'!AI25/24)*0.454</f>
        <v>75.666666666666671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36"/>
      <c r="U26" s="1043"/>
      <c r="X26" s="13">
        <v>0.875</v>
      </c>
      <c r="Y26" s="52">
        <v>3044</v>
      </c>
      <c r="Z26" s="180">
        <v>1582</v>
      </c>
      <c r="AA26" s="15">
        <v>1</v>
      </c>
      <c r="AB26" s="56">
        <f>IF('19'!AA26=1,(('19'!Z26*'19'!$AS$6*'19'!$AT$6)/('19'!Y26*0.0036)),IF('19'!AA26=2,(('19'!Z26*'19'!$AS$7*'19'!$AT$7)/('19'!Y26*0.0036))))</f>
        <v>96.002153599065565</v>
      </c>
      <c r="AC26" s="56"/>
      <c r="AD26" s="18">
        <f>(('19'!AC26*'19'!$Q$10*1000000))/('19'!Y26*3600)</f>
        <v>0</v>
      </c>
      <c r="AE26" s="181"/>
      <c r="AF26" s="182">
        <f>('19'!AE26/24)*0.454</f>
        <v>0</v>
      </c>
      <c r="AG26" s="19"/>
      <c r="AH26" s="182">
        <f>('19'!AG26/24)*0.454</f>
        <v>0</v>
      </c>
      <c r="AI26" s="181">
        <v>4000</v>
      </c>
      <c r="AJ26" s="182">
        <f>('19'!AI26/24)*0.454</f>
        <v>75.666666666666671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3017</v>
      </c>
      <c r="Z27" s="180">
        <v>1582</v>
      </c>
      <c r="AA27" s="15">
        <v>1</v>
      </c>
      <c r="AB27" s="56">
        <f>IF('19'!AA27=1,(('19'!Z27*'19'!$AS$6*'19'!$AT$6)/('19'!Y27*0.0036)),IF('19'!AA27=2,(('19'!Z27*'19'!$AS$7*'19'!$AT$7)/('19'!Y27*0.0036))))</f>
        <v>96.861304459912347</v>
      </c>
      <c r="AC27" s="56"/>
      <c r="AD27" s="18">
        <f>(('19'!AC27*'19'!$Q$10*1000000))/('19'!Y27*3600)</f>
        <v>0</v>
      </c>
      <c r="AE27" s="181"/>
      <c r="AF27" s="182">
        <f>('19'!AE27/24)*0.454</f>
        <v>0</v>
      </c>
      <c r="AG27" s="19"/>
      <c r="AH27" s="182">
        <f>('19'!AG27/24)*0.454</f>
        <v>0</v>
      </c>
      <c r="AI27" s="181">
        <v>4000</v>
      </c>
      <c r="AJ27" s="182">
        <f>('19'!AI27/24)*0.454</f>
        <v>75.666666666666671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6">
        <v>51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3035</v>
      </c>
      <c r="Z28" s="180">
        <v>1582</v>
      </c>
      <c r="AA28" s="15">
        <v>1</v>
      </c>
      <c r="AB28" s="56">
        <f>IF('19'!AA28=1,(('19'!Z28*'19'!$AS$6*'19'!$AT$6)/('19'!Y28*0.0036)),IF('19'!AA28=2,(('19'!Z28*'19'!$AS$7*'19'!$AT$7)/('19'!Y28*0.0036))))</f>
        <v>96.286838733296719</v>
      </c>
      <c r="AC28" s="56"/>
      <c r="AD28" s="18">
        <f>(('19'!AC28*'19'!$Q$10*1000000))/('19'!Y28*3600)</f>
        <v>0</v>
      </c>
      <c r="AE28" s="181"/>
      <c r="AF28" s="182">
        <f>('19'!AE28/24)*0.454</f>
        <v>0</v>
      </c>
      <c r="AG28" s="19"/>
      <c r="AH28" s="182">
        <f>('19'!AG28/24)*0.454</f>
        <v>0</v>
      </c>
      <c r="AI28" s="181">
        <v>4000</v>
      </c>
      <c r="AJ28" s="182">
        <f>('19'!AI28/24)*0.454</f>
        <v>75.666666666666671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3031</v>
      </c>
      <c r="Z29" s="180">
        <v>1582</v>
      </c>
      <c r="AA29" s="15">
        <v>1</v>
      </c>
      <c r="AB29" s="56">
        <f>IF('19'!AA29=1,(('19'!Z29*'19'!$AS$6*'19'!$AT$6)/('19'!Y29*0.0036)),IF('19'!AA29=2,(('19'!Z29*'19'!$AS$7*'19'!$AT$7)/('19'!Y29*0.0036))))</f>
        <v>96.413908134462403</v>
      </c>
      <c r="AC29" s="56"/>
      <c r="AD29" s="18">
        <f>(('19'!AC29*'19'!$Q$10*1000000))/('19'!Y29*3600)</f>
        <v>0</v>
      </c>
      <c r="AE29" s="181"/>
      <c r="AF29" s="182">
        <f>('19'!AE29/24)*0.454</f>
        <v>0</v>
      </c>
      <c r="AG29" s="19"/>
      <c r="AH29" s="182">
        <f>('19'!AG29/24)*0.454</f>
        <v>0</v>
      </c>
      <c r="AI29" s="181">
        <v>4000</v>
      </c>
      <c r="AJ29" s="182">
        <f>('19'!AI29/24)*0.454</f>
        <v>75.666666666666671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SUM('19'!Y6:Y29)*3.6</f>
        <v>247942.80000000002</v>
      </c>
      <c r="Z30" s="80">
        <f>SUM('19'!Z6:Z29)</f>
        <v>35688</v>
      </c>
      <c r="AA30" s="76"/>
      <c r="AB30" s="77"/>
      <c r="AC30" s="76"/>
      <c r="AD30" s="77"/>
      <c r="AE30" s="33"/>
      <c r="AF30" s="182">
        <f>SUM('19'!AF6:AF29)</f>
        <v>0</v>
      </c>
      <c r="AG30" s="33"/>
      <c r="AH30" s="182">
        <f>SUM('19'!AH6:AH29)</f>
        <v>0</v>
      </c>
      <c r="AI30" s="33"/>
      <c r="AJ30" s="182">
        <f>SUM('19'!AJ6:AJ29)</f>
        <v>1816.0000000000007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SUMIF('19'!AA6:AA29,"=1",'19'!Z6:Z29)</f>
        <v>35688</v>
      </c>
      <c r="AA32" s="80">
        <f>'19'!Z32*'19'!AS6</f>
        <v>47465.04</v>
      </c>
      <c r="AB32" s="81">
        <f>SUMIF('19'!$AA$6:$AA$29,"=1",'19'!$AB$6:$AB$29)/COUNTIF('19'!$AA$6:$AA$29,"=1")</f>
        <v>96.064803685061236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AVERAGE('19'!Y6:Y29)</f>
        <v>2869.7083333333335</v>
      </c>
      <c r="Z34" s="94">
        <f>AVERAGE('19'!Z6:Z29)</f>
        <v>1487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0</v>
      </c>
      <c r="AG34" s="96"/>
      <c r="AH34" s="96">
        <f>AVERAGE('19'!AH6:AH29)</f>
        <v>0</v>
      </c>
      <c r="AI34" s="96"/>
      <c r="AJ34" s="96">
        <f>'19'!AJ30/24</f>
        <v>75.6666666666667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39.700000000000003</v>
      </c>
      <c r="D37" s="184">
        <v>26.9</v>
      </c>
      <c r="E37" s="184">
        <v>17.899999999999999</v>
      </c>
      <c r="F37" s="184">
        <v>1.2</v>
      </c>
      <c r="G37" s="184">
        <v>0.2</v>
      </c>
      <c r="H37" s="184">
        <v>0</v>
      </c>
      <c r="I37" s="181">
        <v>0.2</v>
      </c>
      <c r="J37" s="181">
        <v>0.06</v>
      </c>
      <c r="K37" s="181">
        <v>0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99">
        <f>'19'!V12</f>
        <v>0</v>
      </c>
      <c r="X37" s="956" t="s">
        <v>75</v>
      </c>
      <c r="Y37" s="956"/>
      <c r="Z37" s="108">
        <f>COUNTA('19'!Z6:Z29)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0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1816.0000000000007</v>
      </c>
      <c r="AQ38" s="208" t="s">
        <v>78</v>
      </c>
      <c r="AR38" s="210">
        <f>'19'!AP30</f>
        <v>0</v>
      </c>
    </row>
    <row r="39" spans="1:44" ht="16.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0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7.3242699525858406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SUM('19'!AK38,'19'!AM38)</f>
        <v>0</v>
      </c>
      <c r="AM40" s="969"/>
      <c r="AO40" s="970" t="s">
        <v>90</v>
      </c>
      <c r="AP40" s="970"/>
      <c r="AQ40" s="971">
        <f>SUM('19'!AP38,'19'!AR38)</f>
        <v>1816.0000000000007</v>
      </c>
      <c r="AR40" s="971"/>
    </row>
    <row r="41" spans="1:44" ht="16.5" customHeight="1">
      <c r="A41" s="131">
        <f>COUNTA('19'!E7:E18)</f>
        <v>12</v>
      </c>
      <c r="B41" s="132">
        <f>COUNTA('19'!I7:I18)</f>
        <v>12</v>
      </c>
      <c r="C41" s="972">
        <f>COUNTA('19'!J7:J18)</f>
        <v>12</v>
      </c>
      <c r="D41" s="972">
        <f>COUNTA('19'!K8:K18)</f>
        <v>11</v>
      </c>
      <c r="E41" s="972">
        <f>COUNTIF('19'!E7:E18,"&gt;15")</f>
        <v>0</v>
      </c>
      <c r="F41" s="972"/>
      <c r="G41" s="972">
        <f>COUNTIF('19'!J7:J18,"&gt;1")</f>
        <v>12</v>
      </c>
      <c r="H41" s="972"/>
      <c r="I41" s="133"/>
      <c r="J41" s="972">
        <f>'19'!A41-'19'!E41</f>
        <v>12</v>
      </c>
      <c r="K41" s="972"/>
      <c r="L41" s="972">
        <f>'19'!C41-'19'!G41</f>
        <v>0</v>
      </c>
      <c r="M41" s="972"/>
      <c r="N41" s="133"/>
      <c r="O41" s="973">
        <f>COUNTIF('19'!J7:J18,"&lt;=0,5")</f>
        <v>0</v>
      </c>
      <c r="P41" s="973"/>
      <c r="Q41" s="973"/>
      <c r="R41" s="963"/>
      <c r="S41" s="974">
        <f>COUNTIF('19'!J7:J18,"&lt;=1,0")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SUM(('19'!AK38+'19'!AM38)/'19'!Y30)*1000</f>
        <v>0</v>
      </c>
      <c r="AM41" s="975"/>
      <c r="AO41" s="970" t="s">
        <v>91</v>
      </c>
      <c r="AP41" s="970"/>
      <c r="AQ41" s="975">
        <f>SUM(('19'!AP38+'19'!AR38)/'19'!Y30)*1000</f>
        <v>7.3242699525858406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96">
        <f>SUM('19'!Y45,'19'!AA45,'19'!AC45,'19'!AE45)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COUNTIF('19'!I7:I18,"&lt;=5,0")</f>
        <v>12</v>
      </c>
      <c r="I45" s="986"/>
      <c r="J45" s="986"/>
      <c r="K45" s="133"/>
      <c r="L45" s="968">
        <f>COUNTA('19'!L37)</f>
        <v>1</v>
      </c>
      <c r="M45" s="968"/>
      <c r="O45" s="144"/>
      <c r="P45" s="145"/>
      <c r="Q45" s="987">
        <f>'19'!S41-'19'!O41</f>
        <v>0</v>
      </c>
      <c r="R45" s="987"/>
      <c r="S45" s="987"/>
      <c r="T45" s="146"/>
      <c r="X45" s="147" t="s">
        <v>104</v>
      </c>
      <c r="Y45" s="148">
        <f>'19'!Y44*275.3</f>
        <v>0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0</v>
      </c>
      <c r="AD45" s="147" t="s">
        <v>104</v>
      </c>
      <c r="AE45" s="149"/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89" t="s">
        <v>106</v>
      </c>
      <c r="AG46" s="990">
        <f>SUM('19'!Y47,'19'!AA47,'19'!AC47,'19'!AE47)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'19'!Y45*'19'!Y46</f>
        <v>0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0</v>
      </c>
      <c r="AD47" s="147" t="s">
        <v>108</v>
      </c>
      <c r="AE47" s="148">
        <f>'19'!AE45*'19'!AE46</f>
        <v>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COUNTA('19'!O7:O18)</f>
        <v>12</v>
      </c>
      <c r="P51" s="968">
        <f>COUNTA('19'!W17:W28)</f>
        <v>0</v>
      </c>
      <c r="R51" s="986">
        <f>COUNTIF('19'!O7:O18,"&gt;=0,5")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SUM('19'!Y53,'19'!AA53,'19'!AC53,'19'!AE53)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'19'!AS7</f>
        <v>1.262</v>
      </c>
      <c r="Z54" s="151" t="s">
        <v>105</v>
      </c>
      <c r="AA54" s="152">
        <f>'19'!Y54</f>
        <v>1.262</v>
      </c>
      <c r="AB54" s="151" t="s">
        <v>105</v>
      </c>
      <c r="AC54" s="152">
        <f>'19'!Y54</f>
        <v>1.262</v>
      </c>
      <c r="AD54" s="151" t="s">
        <v>105</v>
      </c>
      <c r="AE54" s="253">
        <f>'19'!Y54</f>
        <v>1.262</v>
      </c>
      <c r="AF54" s="989" t="s">
        <v>106</v>
      </c>
      <c r="AG54" s="990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'10'!AJ55</f>
        <v>1.262</v>
      </c>
      <c r="AM55" s="151" t="s">
        <v>105</v>
      </c>
      <c r="AN55" s="152">
        <f>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COUNTA('19'!N7:N18)</f>
        <v>12</v>
      </c>
      <c r="P57" s="997"/>
      <c r="R57" s="998">
        <f>COUNTIF('19'!N7:N18,"&gt;=6")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47465.04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-47465.04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 t="e">
        <f>'18'!$Y$68</f>
        <v>#REF!</v>
      </c>
      <c r="Z65" s="1007"/>
      <c r="AA65" s="1007"/>
      <c r="AB65" s="174" t="s">
        <v>126</v>
      </c>
      <c r="AC65" s="238"/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SUM('19'!AK38,'19'!AP38)</f>
        <v>1816.0000000000007</v>
      </c>
      <c r="Z67" s="1007"/>
      <c r="AA67" s="1007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 t="e">
        <f>SUM('19'!Y63,'19'!Y65)-'19'!Y67</f>
        <v>#REF!</v>
      </c>
      <c r="Z68" s="1007"/>
      <c r="AA68" s="1007"/>
      <c r="AB68" s="170" t="s">
        <v>128</v>
      </c>
      <c r="AC68" s="178">
        <f>SUM('19'!AC63,'19'!AC65)-'19'!AC67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7" zoomScaleNormal="100" workbookViewId="0">
      <selection activeCell="Z29" sqref="Z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924" t="s">
        <v>13</v>
      </c>
      <c r="U4" s="108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924"/>
      <c r="U5" s="108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7.100000000000001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2"/>
      <c r="V6" s="926"/>
      <c r="W6" s="926"/>
      <c r="X6" s="13">
        <v>4.1666666666666699E-2</v>
      </c>
      <c r="Y6" s="171">
        <v>3023</v>
      </c>
      <c r="Z6" s="254">
        <v>1582</v>
      </c>
      <c r="AA6" s="15">
        <v>1</v>
      </c>
      <c r="AB6" s="56">
        <f>IF('20'!AA6=1,(('20'!Z6*'20'!$AS$6*'20'!$AT$6)/('20'!Y6*0.0036)),IF('20'!AA6=2,(('20'!Z6*'20'!$AS$7*'20'!$AT$7)/('20'!Y6*0.0036))))</f>
        <v>96.669055757709415</v>
      </c>
      <c r="AC6" s="56"/>
      <c r="AD6" s="18">
        <f>(('20'!AC6*'20'!$Q$10*1000000))/('20'!Y6*3600)</f>
        <v>0</v>
      </c>
      <c r="AE6" s="181"/>
      <c r="AF6" s="182">
        <f>('20'!AE6/24)*0.454</f>
        <v>0</v>
      </c>
      <c r="AG6" s="19"/>
      <c r="AH6" s="182">
        <f>('20'!AG6/24)*0.454</f>
        <v>0</v>
      </c>
      <c r="AI6" s="180">
        <v>4400</v>
      </c>
      <c r="AJ6" s="182">
        <f>('20'!AI6/24)*0.454</f>
        <v>83.233333333333334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138</v>
      </c>
      <c r="C7" s="184">
        <v>16.8</v>
      </c>
      <c r="D7" s="184">
        <v>14.2</v>
      </c>
      <c r="E7" s="184">
        <v>5.5</v>
      </c>
      <c r="F7" s="184">
        <v>38</v>
      </c>
      <c r="G7" s="184">
        <v>2.2999999999999998</v>
      </c>
      <c r="H7" s="184">
        <v>2</v>
      </c>
      <c r="I7" s="184">
        <v>1</v>
      </c>
      <c r="J7" s="184">
        <v>1.1000000000000001</v>
      </c>
      <c r="K7" s="184">
        <v>7.3</v>
      </c>
      <c r="L7" s="184">
        <v>6.3</v>
      </c>
      <c r="M7" s="184">
        <v>6.3</v>
      </c>
      <c r="N7" s="184">
        <v>6</v>
      </c>
      <c r="O7" s="184">
        <v>3.2</v>
      </c>
      <c r="P7" s="184">
        <v>0</v>
      </c>
      <c r="Q7" s="186">
        <v>0</v>
      </c>
      <c r="R7" s="36">
        <f>'19'!$Z$29</f>
        <v>1582</v>
      </c>
      <c r="S7" s="185">
        <f>'19'!$AB$29</f>
        <v>96.413908134462403</v>
      </c>
      <c r="T7" s="36">
        <f>'19'!$Y$29</f>
        <v>3031</v>
      </c>
      <c r="U7" s="32" t="str">
        <f>IF('20'!AA6=1,'20'!AR6,'20'!AR7)</f>
        <v>S.A.L</v>
      </c>
      <c r="V7" s="1016">
        <f>ESCALA!$C$21</f>
        <v>0</v>
      </c>
      <c r="W7" s="1016"/>
      <c r="X7" s="13">
        <v>8.3333333333333301E-2</v>
      </c>
      <c r="Y7" s="171">
        <v>3023</v>
      </c>
      <c r="Z7" s="254">
        <v>1582</v>
      </c>
      <c r="AA7" s="15">
        <v>1</v>
      </c>
      <c r="AB7" s="56">
        <f>IF('20'!AA7=1,(('20'!Z7*'20'!$AS$6*'20'!$AT$6)/('20'!Y7*0.0036)),IF('20'!AA7=2,(('20'!Z7*'20'!$AS$7*'20'!$AT$7)/('20'!Y7*0.0036))))</f>
        <v>96.669055757709415</v>
      </c>
      <c r="AC7" s="56"/>
      <c r="AD7" s="18">
        <f>(('20'!AC7*'20'!$Q$10*1000000))/('20'!Y7*3600)</f>
        <v>0</v>
      </c>
      <c r="AE7" s="181"/>
      <c r="AF7" s="182">
        <f>('20'!AE7/24)*0.454</f>
        <v>0</v>
      </c>
      <c r="AG7" s="19"/>
      <c r="AH7" s="182">
        <f>('20'!AG7/24)*0.454</f>
        <v>0</v>
      </c>
      <c r="AI7" s="180">
        <v>4400</v>
      </c>
      <c r="AJ7" s="182">
        <f>('20'!AI7/24)*0.454</f>
        <v>83.233333333333334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135</v>
      </c>
      <c r="C8" s="184">
        <v>16.5</v>
      </c>
      <c r="D8" s="184">
        <v>13.9</v>
      </c>
      <c r="E8" s="184">
        <v>5.0999999999999996</v>
      </c>
      <c r="F8" s="184">
        <v>36</v>
      </c>
      <c r="G8" s="184">
        <v>2.2000000000000002</v>
      </c>
      <c r="H8" s="184">
        <v>1.8</v>
      </c>
      <c r="I8" s="184">
        <v>0.9</v>
      </c>
      <c r="J8" s="184">
        <v>1</v>
      </c>
      <c r="K8" s="184">
        <v>7.3</v>
      </c>
      <c r="L8" s="184">
        <v>6.3</v>
      </c>
      <c r="M8" s="184">
        <v>6.3</v>
      </c>
      <c r="N8" s="184">
        <v>6</v>
      </c>
      <c r="O8" s="184">
        <v>3</v>
      </c>
      <c r="P8" s="184">
        <v>0</v>
      </c>
      <c r="Q8" s="186">
        <v>0</v>
      </c>
      <c r="R8" s="34">
        <f>'20'!Z7</f>
        <v>1582</v>
      </c>
      <c r="S8" s="35">
        <f>'20'!AB7</f>
        <v>96.669055757709415</v>
      </c>
      <c r="T8" s="36">
        <f>'20'!Y7</f>
        <v>3023</v>
      </c>
      <c r="U8" s="32" t="str">
        <f>IF('20'!AA7=1,'20'!AR6,'20'!AR7)</f>
        <v>S.A.L</v>
      </c>
      <c r="V8" s="1016"/>
      <c r="W8" s="1016"/>
      <c r="X8" s="13">
        <v>0.125</v>
      </c>
      <c r="Y8" s="171">
        <v>3031</v>
      </c>
      <c r="Z8" s="254">
        <v>1582</v>
      </c>
      <c r="AA8" s="15">
        <v>1</v>
      </c>
      <c r="AB8" s="56">
        <f>IF('20'!AA8=1,(('20'!Z8*'20'!$AS$6*'20'!$AT$6)/('20'!Y8*0.0036)),IF('20'!AA8=2,(('20'!Z8*'20'!$AS$7*'20'!$AT$7)/('20'!Y8*0.0036))))</f>
        <v>96.413908134462403</v>
      </c>
      <c r="AC8" s="56"/>
      <c r="AD8" s="18">
        <f>(('20'!AC8*'20'!$Q$10*1000000))/('20'!Y8*3600)</f>
        <v>0</v>
      </c>
      <c r="AE8" s="181"/>
      <c r="AF8" s="182">
        <f>('20'!AE8/24)*0.454</f>
        <v>0</v>
      </c>
      <c r="AG8" s="19"/>
      <c r="AH8" s="182">
        <f>('20'!AG8/24)*0.454</f>
        <v>0</v>
      </c>
      <c r="AI8" s="180">
        <v>4400</v>
      </c>
      <c r="AJ8" s="182">
        <f>('20'!AI8/24)*0.454</f>
        <v>83.233333333333334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134</v>
      </c>
      <c r="C9" s="184">
        <v>16.3</v>
      </c>
      <c r="D9" s="184">
        <v>13.7</v>
      </c>
      <c r="E9" s="184">
        <v>4.9000000000000004</v>
      </c>
      <c r="F9" s="184">
        <v>34</v>
      </c>
      <c r="G9" s="184">
        <v>2.2000000000000002</v>
      </c>
      <c r="H9" s="184">
        <v>1.8</v>
      </c>
      <c r="I9" s="184">
        <v>0.9</v>
      </c>
      <c r="J9" s="184">
        <v>0.8</v>
      </c>
      <c r="K9" s="184">
        <v>7.3</v>
      </c>
      <c r="L9" s="184">
        <v>6.3</v>
      </c>
      <c r="M9" s="184">
        <v>6.3</v>
      </c>
      <c r="N9" s="184">
        <v>6</v>
      </c>
      <c r="O9" s="184">
        <v>3</v>
      </c>
      <c r="P9" s="184">
        <v>0</v>
      </c>
      <c r="Q9" s="186">
        <v>0</v>
      </c>
      <c r="R9" s="36">
        <f>'20'!Z9</f>
        <v>1582</v>
      </c>
      <c r="S9" s="35">
        <f>'20'!AB9</f>
        <v>97.507692878063253</v>
      </c>
      <c r="T9" s="36">
        <f>'20'!Y9</f>
        <v>2997</v>
      </c>
      <c r="U9" s="32" t="str">
        <f>IF('20'!AA9=1,'20'!AR6,'20'!AR7)</f>
        <v>S.A.L</v>
      </c>
      <c r="V9" s="1016"/>
      <c r="W9" s="1016"/>
      <c r="X9" s="13">
        <v>0.16666666666666699</v>
      </c>
      <c r="Y9" s="171">
        <v>2997</v>
      </c>
      <c r="Z9" s="254">
        <v>1582</v>
      </c>
      <c r="AA9" s="15">
        <v>1</v>
      </c>
      <c r="AB9" s="56">
        <f>IF('20'!AA9=1,(('20'!Z9*'20'!$AS$6*'20'!$AT$6)/('20'!Y9*0.0036)),IF('20'!AA9=2,(('20'!Z9*'20'!$AS$7*'20'!$AT$7)/('20'!Y9*0.0036))))</f>
        <v>97.507692878063253</v>
      </c>
      <c r="AC9" s="56"/>
      <c r="AD9" s="18">
        <f>(('20'!AC9*'20'!$Q$10*1000000))/('20'!Y9*3600)</f>
        <v>0</v>
      </c>
      <c r="AE9" s="181"/>
      <c r="AF9" s="182">
        <f>('20'!AE9/24)*0.454</f>
        <v>0</v>
      </c>
      <c r="AG9" s="19"/>
      <c r="AH9" s="182">
        <f>('20'!AG9/24)*0.454</f>
        <v>0</v>
      </c>
      <c r="AI9" s="180">
        <v>4400</v>
      </c>
      <c r="AJ9" s="182">
        <f>('20'!AI9/24)*0.454</f>
        <v>83.233333333333334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133</v>
      </c>
      <c r="C10" s="184">
        <v>15.1</v>
      </c>
      <c r="D10" s="184">
        <v>13.1</v>
      </c>
      <c r="E10" s="184">
        <v>5.3</v>
      </c>
      <c r="F10" s="184">
        <v>33</v>
      </c>
      <c r="G10" s="184">
        <v>2</v>
      </c>
      <c r="H10" s="184">
        <v>1.7</v>
      </c>
      <c r="I10" s="184">
        <v>0.9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2.8</v>
      </c>
      <c r="P10" s="184">
        <v>0</v>
      </c>
      <c r="Q10" s="186">
        <v>0</v>
      </c>
      <c r="R10" s="36">
        <f>'20'!Z11</f>
        <v>1582</v>
      </c>
      <c r="S10" s="35">
        <f>'20'!AB11</f>
        <v>97.932491808162041</v>
      </c>
      <c r="T10" s="36">
        <f>'20'!Y11</f>
        <v>2984</v>
      </c>
      <c r="U10" s="32" t="str">
        <f>IF('20'!AA11=1,'20'!AR6,'20'!AR7)</f>
        <v>S.A.L</v>
      </c>
      <c r="V10" s="1016"/>
      <c r="W10" s="1016"/>
      <c r="X10" s="13">
        <v>0.20833333333333301</v>
      </c>
      <c r="Y10" s="171">
        <v>3005</v>
      </c>
      <c r="Z10" s="254">
        <v>1582</v>
      </c>
      <c r="AA10" s="15">
        <v>1</v>
      </c>
      <c r="AB10" s="56">
        <f>IF('20'!AA10=1,(('20'!Z10*'20'!$AS$6*'20'!$AT$6)/('20'!Y10*0.0036)),IF('20'!AA10=2,(('20'!Z10*'20'!$AS$7*'20'!$AT$7)/('20'!Y10*0.0036))))</f>
        <v>97.248105010168246</v>
      </c>
      <c r="AC10" s="56"/>
      <c r="AD10" s="18">
        <f>(('20'!AC10*'20'!$Q$10*1000000))/('20'!Y10*3600)</f>
        <v>0</v>
      </c>
      <c r="AE10" s="181"/>
      <c r="AF10" s="182">
        <f>('20'!AE10/24)*0.454</f>
        <v>0</v>
      </c>
      <c r="AG10" s="19"/>
      <c r="AH10" s="182">
        <f>('20'!AG10/24)*0.454</f>
        <v>0</v>
      </c>
      <c r="AI10" s="180">
        <v>4400</v>
      </c>
      <c r="AJ10" s="182">
        <f>('20'!AI10/24)*0.454</f>
        <v>83.233333333333334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37">
        <v>4400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125</v>
      </c>
      <c r="C11" s="184">
        <v>14</v>
      </c>
      <c r="D11" s="184">
        <v>13</v>
      </c>
      <c r="E11" s="184">
        <v>5</v>
      </c>
      <c r="F11" s="184">
        <v>32</v>
      </c>
      <c r="G11" s="184">
        <v>2.1</v>
      </c>
      <c r="H11" s="184">
        <v>1.7</v>
      </c>
      <c r="I11" s="184">
        <v>0.8</v>
      </c>
      <c r="J11" s="184">
        <v>0.9</v>
      </c>
      <c r="K11" s="184">
        <v>7.3</v>
      </c>
      <c r="L11" s="184">
        <v>6.3</v>
      </c>
      <c r="M11" s="184">
        <v>6.3</v>
      </c>
      <c r="N11" s="184">
        <v>6</v>
      </c>
      <c r="O11" s="184">
        <v>2.6</v>
      </c>
      <c r="P11" s="184"/>
      <c r="Q11" s="186"/>
      <c r="R11" s="36">
        <f>'20'!Z13</f>
        <v>1582</v>
      </c>
      <c r="S11" s="35">
        <f>'20'!AB13</f>
        <v>97.248105010168246</v>
      </c>
      <c r="T11" s="36">
        <f>'20'!Y13</f>
        <v>3005</v>
      </c>
      <c r="U11" s="32" t="str">
        <f>IF('20'!AA13=1,'20'!AR6,'20'!AR7)</f>
        <v>S.A.L</v>
      </c>
      <c r="V11" s="1016"/>
      <c r="W11" s="1016"/>
      <c r="X11" s="13">
        <v>0.25</v>
      </c>
      <c r="Y11" s="171">
        <v>2984</v>
      </c>
      <c r="Z11" s="254">
        <v>1582</v>
      </c>
      <c r="AA11" s="15">
        <v>1</v>
      </c>
      <c r="AB11" s="56">
        <f>IF('20'!AA11=1,(('20'!Z11*'20'!$AS$6*'20'!$AT$6)/('20'!Y11*0.0036)),IF('20'!AA11=2,(('20'!Z11*'20'!$AS$7*'20'!$AT$7)/('20'!Y11*0.0036))))</f>
        <v>97.932491808162041</v>
      </c>
      <c r="AC11" s="56"/>
      <c r="AD11" s="18">
        <f>(('20'!AC11*'20'!$Q$10*1000000))/('20'!Y11*3600)</f>
        <v>0</v>
      </c>
      <c r="AE11" s="181"/>
      <c r="AF11" s="182">
        <f>('20'!AE11/24)*0.454</f>
        <v>0</v>
      </c>
      <c r="AG11" s="19"/>
      <c r="AH11" s="182">
        <f>('20'!AG11/24)*0.454</f>
        <v>0</v>
      </c>
      <c r="AI11" s="180">
        <v>4400</v>
      </c>
      <c r="AJ11" s="182">
        <f>('20'!AI11/24)*0.454</f>
        <v>83.233333333333334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120</v>
      </c>
      <c r="C12" s="184">
        <v>14</v>
      </c>
      <c r="D12" s="184">
        <v>13</v>
      </c>
      <c r="E12" s="184">
        <v>5</v>
      </c>
      <c r="F12" s="184">
        <v>32</v>
      </c>
      <c r="G12" s="184">
        <v>2</v>
      </c>
      <c r="H12" s="184">
        <v>1.6</v>
      </c>
      <c r="I12" s="184">
        <v>0.7</v>
      </c>
      <c r="J12" s="184">
        <v>0.9</v>
      </c>
      <c r="K12" s="184">
        <v>7.3</v>
      </c>
      <c r="L12" s="184">
        <v>6.3</v>
      </c>
      <c r="M12" s="184">
        <v>6.3</v>
      </c>
      <c r="N12" s="184">
        <v>6</v>
      </c>
      <c r="O12" s="184">
        <v>2.6</v>
      </c>
      <c r="P12" s="184"/>
      <c r="Q12" s="186"/>
      <c r="R12" s="36">
        <f>'20'!Z15</f>
        <v>1582</v>
      </c>
      <c r="S12" s="35">
        <f>'20'!AB15</f>
        <v>108.75718479923914</v>
      </c>
      <c r="T12" s="36">
        <f>'20'!Y15</f>
        <v>2687</v>
      </c>
      <c r="U12" s="32" t="str">
        <f>IF('20'!AA15=1,'20'!AR6,'20'!AR7)</f>
        <v>S.A.L</v>
      </c>
      <c r="V12" s="938">
        <f>ESCALA!$B$22</f>
        <v>0</v>
      </c>
      <c r="W12" s="938"/>
      <c r="X12" s="13">
        <v>0.29166666666666702</v>
      </c>
      <c r="Y12" s="171">
        <v>2967</v>
      </c>
      <c r="Z12" s="254">
        <v>1582</v>
      </c>
      <c r="AA12" s="15">
        <v>1</v>
      </c>
      <c r="AB12" s="56">
        <f>IF('20'!AA12=1,(('20'!Z12*'20'!$AS$6*'20'!$AT$6)/('20'!Y12*0.0036)),IF('20'!AA12=2,(('20'!Z12*'20'!$AS$7*'20'!$AT$7)/('20'!Y12*0.0036))))</f>
        <v>98.493614949631123</v>
      </c>
      <c r="AC12" s="56"/>
      <c r="AD12" s="18">
        <f>(('20'!AC12*'20'!$Q$10*1000000))/('20'!Y12*3600)</f>
        <v>0</v>
      </c>
      <c r="AE12" s="181"/>
      <c r="AF12" s="182">
        <f>('20'!AE12/24)*0.454</f>
        <v>0</v>
      </c>
      <c r="AG12" s="19"/>
      <c r="AH12" s="182">
        <f>('20'!AG12/24)*0.454</f>
        <v>0</v>
      </c>
      <c r="AI12" s="180">
        <v>4400</v>
      </c>
      <c r="AJ12" s="182">
        <f>('20'!AI13/24)*0.454</f>
        <v>83.233333333333334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120</v>
      </c>
      <c r="C13" s="184">
        <v>15</v>
      </c>
      <c r="D13" s="184">
        <v>14</v>
      </c>
      <c r="E13" s="184">
        <v>5</v>
      </c>
      <c r="F13" s="184">
        <v>32</v>
      </c>
      <c r="G13" s="184">
        <v>2.2000000000000002</v>
      </c>
      <c r="H13" s="184">
        <v>1.7</v>
      </c>
      <c r="I13" s="184">
        <v>0.8</v>
      </c>
      <c r="J13" s="184">
        <v>0.9</v>
      </c>
      <c r="K13" s="184">
        <v>7.3</v>
      </c>
      <c r="L13" s="184">
        <v>6.3</v>
      </c>
      <c r="M13" s="184">
        <v>6.3</v>
      </c>
      <c r="N13" s="184">
        <v>6</v>
      </c>
      <c r="O13" s="184">
        <v>2.6</v>
      </c>
      <c r="P13" s="184"/>
      <c r="Q13" s="186"/>
      <c r="R13" s="36">
        <f>'20'!Z17</f>
        <v>1582</v>
      </c>
      <c r="S13" s="35">
        <f>'20'!AB17</f>
        <v>97.703295070396379</v>
      </c>
      <c r="T13" s="36">
        <f>'20'!Y17</f>
        <v>2991</v>
      </c>
      <c r="U13" s="32" t="str">
        <f>IF('20'!AA17=1,'20'!AR6,'20'!AR7)</f>
        <v>S.A.L</v>
      </c>
      <c r="V13" s="938"/>
      <c r="W13" s="938"/>
      <c r="X13" s="13">
        <v>0.33333333333333298</v>
      </c>
      <c r="Y13" s="171">
        <v>3005</v>
      </c>
      <c r="Z13" s="254">
        <v>1582</v>
      </c>
      <c r="AA13" s="15">
        <v>1</v>
      </c>
      <c r="AB13" s="56">
        <f>IF('20'!AA13=1,(('20'!Z13*'20'!$AS$6*'20'!$AT$6)/('20'!Y13*0.0036)),IF('20'!AA13=2,(('20'!Z13*'20'!$AS$7*'20'!$AT$7)/('20'!Y13*0.0036))))</f>
        <v>97.248105010168246</v>
      </c>
      <c r="AC13" s="56"/>
      <c r="AD13" s="18">
        <f>(('20'!AC13*'20'!$Q$10*1000000))/('20'!Y13*3600)</f>
        <v>0</v>
      </c>
      <c r="AE13" s="181"/>
      <c r="AF13" s="182">
        <f>('20'!AE13/24)*0.454</f>
        <v>0</v>
      </c>
      <c r="AG13" s="19"/>
      <c r="AH13" s="182">
        <f>('20'!AG13/24)*0.454</f>
        <v>0</v>
      </c>
      <c r="AI13" s="180">
        <v>4400</v>
      </c>
      <c r="AJ13" s="182">
        <f>('20'!AI14/24)*0.454</f>
        <v>83.233333333333334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123</v>
      </c>
      <c r="C14" s="184">
        <v>15</v>
      </c>
      <c r="D14" s="184">
        <v>14</v>
      </c>
      <c r="E14" s="184">
        <v>5</v>
      </c>
      <c r="F14" s="184">
        <v>33</v>
      </c>
      <c r="G14" s="184">
        <v>2.2999999999999998</v>
      </c>
      <c r="H14" s="184">
        <v>1.7</v>
      </c>
      <c r="I14" s="184">
        <v>0.8</v>
      </c>
      <c r="J14" s="184">
        <v>0.9</v>
      </c>
      <c r="K14" s="184">
        <v>7.3</v>
      </c>
      <c r="L14" s="184">
        <v>6.3</v>
      </c>
      <c r="M14" s="184">
        <v>6.3</v>
      </c>
      <c r="N14" s="184">
        <v>6</v>
      </c>
      <c r="O14" s="184">
        <v>2.6</v>
      </c>
      <c r="P14" s="184"/>
      <c r="Q14" s="186"/>
      <c r="R14" s="36">
        <f>'20'!Z19</f>
        <v>1582</v>
      </c>
      <c r="S14" s="35">
        <f>'20'!AB19</f>
        <v>96.797136653049208</v>
      </c>
      <c r="T14" s="36">
        <f>'20'!Y19</f>
        <v>3019</v>
      </c>
      <c r="U14" s="32" t="str">
        <f>IF('20'!AA19=1,'20'!AR6,'20'!AR7)</f>
        <v>S.A.L</v>
      </c>
      <c r="V14" s="938"/>
      <c r="W14" s="938"/>
      <c r="X14" s="13">
        <v>0.375</v>
      </c>
      <c r="Y14" s="171">
        <v>2993</v>
      </c>
      <c r="Z14" s="254">
        <v>1582</v>
      </c>
      <c r="AA14" s="15">
        <v>1</v>
      </c>
      <c r="AB14" s="56">
        <f>IF('20'!AA14=1,(('20'!Z14*'20'!$AS$6*'20'!$AT$6)/('20'!Y14*0.0036)),IF('20'!AA14=2,(('20'!Z14*'20'!$AS$7*'20'!$AT$7)/('20'!Y14*0.0036))))</f>
        <v>97.638007201989836</v>
      </c>
      <c r="AC14" s="56"/>
      <c r="AD14" s="18">
        <f>(('20'!AC14*'20'!$Q$10*1000000))/('20'!Y14*3600)</f>
        <v>0</v>
      </c>
      <c r="AE14" s="181"/>
      <c r="AF14" s="182">
        <f>('20'!AE14/24)*0.454</f>
        <v>0</v>
      </c>
      <c r="AG14" s="19"/>
      <c r="AH14" s="182">
        <f>('20'!AG14/24)*0.454</f>
        <v>0</v>
      </c>
      <c r="AI14" s="180">
        <v>4400</v>
      </c>
      <c r="AJ14" s="182">
        <f>('20'!AI15/24)*0.454</f>
        <v>83.233333333333334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128</v>
      </c>
      <c r="C15" s="184">
        <v>15</v>
      </c>
      <c r="D15" s="184">
        <v>14</v>
      </c>
      <c r="E15" s="184">
        <v>6</v>
      </c>
      <c r="F15" s="184">
        <v>33</v>
      </c>
      <c r="G15" s="184">
        <v>2.2000000000000002</v>
      </c>
      <c r="H15" s="184">
        <v>1.7</v>
      </c>
      <c r="I15" s="184">
        <v>0.8</v>
      </c>
      <c r="J15" s="184">
        <v>0.8</v>
      </c>
      <c r="K15" s="184">
        <v>7.3</v>
      </c>
      <c r="L15" s="184">
        <v>6.3</v>
      </c>
      <c r="M15" s="184">
        <v>6.3</v>
      </c>
      <c r="N15" s="184">
        <v>6</v>
      </c>
      <c r="O15" s="184">
        <v>2.6</v>
      </c>
      <c r="P15" s="184"/>
      <c r="Q15" s="186"/>
      <c r="R15" s="36">
        <f>'20'!Z21</f>
        <v>1582</v>
      </c>
      <c r="S15" s="35">
        <f>'20'!AB21</f>
        <v>96.829209925631403</v>
      </c>
      <c r="T15" s="36">
        <f>'20'!Y21</f>
        <v>3018</v>
      </c>
      <c r="U15" s="32" t="str">
        <f>IF('20'!AA21=1,'20'!AR6,'20'!AR7)</f>
        <v>S.A.L</v>
      </c>
      <c r="V15" s="938"/>
      <c r="W15" s="938"/>
      <c r="X15" s="13">
        <v>0.41666666666666702</v>
      </c>
      <c r="Y15" s="171">
        <v>2687</v>
      </c>
      <c r="Z15" s="254">
        <v>1582</v>
      </c>
      <c r="AA15" s="15">
        <v>1</v>
      </c>
      <c r="AB15" s="56">
        <f>IF('20'!AA15=1,(('20'!Z15*'20'!$AS$6*'20'!$AT$6)/('20'!Y15*0.0036)),IF('20'!AA15=2,(('20'!Z15*'20'!$AS$7*'20'!$AT$7)/('20'!Y15*0.0036))))</f>
        <v>108.75718479923914</v>
      </c>
      <c r="AC15" s="56"/>
      <c r="AD15" s="18">
        <f>(('20'!AC15*'20'!$Q$10*1000000))/('20'!Y15*3600)</f>
        <v>0</v>
      </c>
      <c r="AE15" s="181"/>
      <c r="AF15" s="182">
        <f>('20'!AE15/24)*0.454</f>
        <v>0</v>
      </c>
      <c r="AG15" s="19"/>
      <c r="AH15" s="182">
        <f>('20'!AG15/24)*0.454</f>
        <v>0</v>
      </c>
      <c r="AI15" s="180">
        <v>4400</v>
      </c>
      <c r="AJ15" s="182">
        <f>('20'!AI16/24)*0.454</f>
        <v>83.233333333333334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134</v>
      </c>
      <c r="C16" s="184">
        <v>15</v>
      </c>
      <c r="D16" s="184">
        <v>14</v>
      </c>
      <c r="E16" s="184">
        <v>6</v>
      </c>
      <c r="F16" s="184">
        <v>34</v>
      </c>
      <c r="G16" s="184">
        <v>2.2000000000000002</v>
      </c>
      <c r="H16" s="184">
        <v>1.7</v>
      </c>
      <c r="I16" s="184">
        <v>0.7</v>
      </c>
      <c r="J16" s="184">
        <v>0.8</v>
      </c>
      <c r="K16" s="184">
        <v>7.3</v>
      </c>
      <c r="L16" s="184">
        <v>6.3</v>
      </c>
      <c r="M16" s="184">
        <v>6.3</v>
      </c>
      <c r="N16" s="184">
        <v>6</v>
      </c>
      <c r="O16" s="184">
        <v>2.6</v>
      </c>
      <c r="P16" s="184"/>
      <c r="Q16" s="186"/>
      <c r="R16" s="36">
        <f>'20'!Z23</f>
        <v>1582</v>
      </c>
      <c r="S16" s="35">
        <f>'20'!AB23</f>
        <v>97.022096797993214</v>
      </c>
      <c r="T16" s="36">
        <f>'20'!Y23</f>
        <v>3012</v>
      </c>
      <c r="U16" s="32" t="str">
        <f>IF('20'!AA23=1,'20'!AR6,'20'!AR7)</f>
        <v>S.A.L</v>
      </c>
      <c r="V16" s="938"/>
      <c r="W16" s="938"/>
      <c r="X16" s="13">
        <v>0.45833333333333298</v>
      </c>
      <c r="Y16" s="171">
        <v>3010</v>
      </c>
      <c r="Z16" s="254">
        <v>1582</v>
      </c>
      <c r="AA16" s="15">
        <v>1</v>
      </c>
      <c r="AB16" s="56">
        <f>IF('20'!AA16=1,(('20'!Z16*'20'!$AS$6*'20'!$AT$6)/('20'!Y16*0.0036)),IF('20'!AA16=2,(('20'!Z16*'20'!$AS$7*'20'!$AT$7)/('20'!Y16*0.0036))))</f>
        <v>97.086563307493535</v>
      </c>
      <c r="AC16" s="56"/>
      <c r="AD16" s="18">
        <f>(('20'!AC16*'20'!$Q$10*1000000))/('20'!Y16*3600)</f>
        <v>0</v>
      </c>
      <c r="AE16" s="181"/>
      <c r="AF16" s="182">
        <f>('20'!AE16/24)*0.454</f>
        <v>0</v>
      </c>
      <c r="AG16" s="19"/>
      <c r="AH16" s="182">
        <f>('20'!AG16/24)*0.454</f>
        <v>0</v>
      </c>
      <c r="AI16" s="180">
        <v>4400</v>
      </c>
      <c r="AJ16" s="182">
        <f>('20'!AI17/24)*0.454</f>
        <v>83.233333333333334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138</v>
      </c>
      <c r="C17" s="184">
        <v>15</v>
      </c>
      <c r="D17" s="184">
        <v>13</v>
      </c>
      <c r="E17" s="184">
        <v>6</v>
      </c>
      <c r="F17" s="184">
        <v>34</v>
      </c>
      <c r="G17" s="184">
        <v>2.1</v>
      </c>
      <c r="H17" s="184">
        <v>1.6</v>
      </c>
      <c r="I17" s="184">
        <v>0.7</v>
      </c>
      <c r="J17" s="184">
        <v>0.8</v>
      </c>
      <c r="K17" s="184">
        <v>7.3</v>
      </c>
      <c r="L17" s="184">
        <v>6.3</v>
      </c>
      <c r="M17" s="184">
        <v>6.3</v>
      </c>
      <c r="N17" s="184">
        <v>6</v>
      </c>
      <c r="O17" s="184">
        <v>2.8</v>
      </c>
      <c r="P17" s="184"/>
      <c r="Q17" s="186"/>
      <c r="R17" s="36">
        <f>'20'!Z25</f>
        <v>1582</v>
      </c>
      <c r="S17" s="35">
        <f>'20'!AB25</f>
        <v>97.054319347577405</v>
      </c>
      <c r="T17" s="36">
        <f>'20'!Y25</f>
        <v>3011</v>
      </c>
      <c r="U17" s="32" t="str">
        <f>IF('20'!AA25=1,'20'!AR6,'20'!AR7)</f>
        <v>S.A.L</v>
      </c>
      <c r="V17" s="939">
        <f>ESCALA!$C$22</f>
        <v>0</v>
      </c>
      <c r="W17" s="939"/>
      <c r="X17" s="13">
        <v>0.5</v>
      </c>
      <c r="Y17" s="171">
        <v>2991</v>
      </c>
      <c r="Z17" s="254">
        <v>1582</v>
      </c>
      <c r="AA17" s="15">
        <v>1</v>
      </c>
      <c r="AB17" s="56">
        <f>IF('20'!AA17=1,(('20'!Z17*'20'!$AS$6*'20'!$AT$6)/('20'!Y17*0.0036)),IF('20'!AA17=2,(('20'!Z17*'20'!$AS$7*'20'!$AT$7)/('20'!Y17*0.0036))))</f>
        <v>97.703295070396379</v>
      </c>
      <c r="AC17" s="56"/>
      <c r="AD17" s="18">
        <f>(('20'!AC17*'20'!$Q$10*1000000))/('20'!Y17*3600)</f>
        <v>0</v>
      </c>
      <c r="AE17" s="181"/>
      <c r="AF17" s="182">
        <f>('20'!AE17/24)*0.454</f>
        <v>0</v>
      </c>
      <c r="AG17" s="19"/>
      <c r="AH17" s="182">
        <f>('20'!AG17/24)*0.454</f>
        <v>0</v>
      </c>
      <c r="AI17" s="180">
        <v>4400</v>
      </c>
      <c r="AJ17" s="182">
        <f>('20'!AI18/24)*0.454</f>
        <v>83.233333333333334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140</v>
      </c>
      <c r="C18" s="184">
        <v>15</v>
      </c>
      <c r="D18" s="184">
        <v>13</v>
      </c>
      <c r="E18" s="184">
        <v>6</v>
      </c>
      <c r="F18" s="184">
        <v>35</v>
      </c>
      <c r="G18" s="184">
        <v>2</v>
      </c>
      <c r="H18" s="184">
        <v>1.6</v>
      </c>
      <c r="I18" s="184">
        <v>0.7</v>
      </c>
      <c r="J18" s="184">
        <v>0.7</v>
      </c>
      <c r="K18" s="184">
        <v>7.3</v>
      </c>
      <c r="L18" s="184">
        <v>6.3</v>
      </c>
      <c r="M18" s="184">
        <v>6.3</v>
      </c>
      <c r="N18" s="184">
        <v>6</v>
      </c>
      <c r="O18" s="184">
        <v>2.8</v>
      </c>
      <c r="P18" s="184"/>
      <c r="Q18" s="186"/>
      <c r="R18" s="36">
        <f>'20'!Z27</f>
        <v>1582</v>
      </c>
      <c r="S18" s="35">
        <f>'20'!AB27</f>
        <v>96.733053808525497</v>
      </c>
      <c r="T18" s="36">
        <f>'20'!Y27</f>
        <v>3021</v>
      </c>
      <c r="U18" s="32" t="str">
        <f>IF('20'!AA27=1,'20'!AR6,'20'!AR7)</f>
        <v>S.A.L</v>
      </c>
      <c r="V18" s="939"/>
      <c r="W18" s="939"/>
      <c r="X18" s="13">
        <v>0.54166666666666696</v>
      </c>
      <c r="Y18" s="171">
        <v>2997</v>
      </c>
      <c r="Z18" s="254">
        <v>1582</v>
      </c>
      <c r="AA18" s="15">
        <v>1</v>
      </c>
      <c r="AB18" s="56">
        <f>IF('20'!AA18=1,(('20'!Z18*'20'!$AS$6*'20'!$AT$6)/('20'!Y18*0.0036)),IF('20'!AA18=2,(('20'!Z18*'20'!$AS$7*'20'!$AT$7)/('20'!Y18*0.0036))))</f>
        <v>97.507692878063253</v>
      </c>
      <c r="AC18" s="56"/>
      <c r="AD18" s="18">
        <f>(('20'!AC18*'20'!$Q$10*1000000))/('20'!Y18*3600)</f>
        <v>0</v>
      </c>
      <c r="AE18" s="181"/>
      <c r="AF18" s="182">
        <f>('20'!AE18/24)*0.454</f>
        <v>0</v>
      </c>
      <c r="AG18" s="19"/>
      <c r="AH18" s="182">
        <f>('20'!AG18/24)*0.454</f>
        <v>0</v>
      </c>
      <c r="AI18" s="180">
        <v>4400</v>
      </c>
      <c r="AJ18" s="182">
        <f>('20'!AI19/24)*0.454</f>
        <v>83.233333333333334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130.66666666666666</v>
      </c>
      <c r="C19" s="67">
        <f>AVERAGE('20'!C7:C18)</f>
        <v>15.225</v>
      </c>
      <c r="D19" s="67">
        <f>AVERAGE('20'!D7:D18)</f>
        <v>13.575000000000001</v>
      </c>
      <c r="E19" s="67">
        <f>AVERAGE('20'!E7:E18)</f>
        <v>5.3999999999999995</v>
      </c>
      <c r="F19" s="67">
        <f>AVERAGE('20'!F7:F18)</f>
        <v>33.833333333333336</v>
      </c>
      <c r="G19" s="67">
        <f>AVERAGE('20'!G7:G18)</f>
        <v>2.15</v>
      </c>
      <c r="H19" s="67">
        <f>AVERAGE('20'!H7:H18)</f>
        <v>1.7166666666666668</v>
      </c>
      <c r="I19" s="67">
        <f>AVERAGE('20'!I7:I18)</f>
        <v>0.80833333333333313</v>
      </c>
      <c r="J19" s="67">
        <f>AVERAGE('20'!J7:J18)</f>
        <v>0.86666666666666681</v>
      </c>
      <c r="K19" s="67">
        <f>AVERAGE('20'!K7:K18)</f>
        <v>7.299999999999998</v>
      </c>
      <c r="L19" s="67">
        <f>AVERAGE('20'!L7:L18)</f>
        <v>6.299999999999998</v>
      </c>
      <c r="M19" s="67">
        <f>AVERAGE('20'!M7:M18)</f>
        <v>6.299999999999998</v>
      </c>
      <c r="N19" s="301">
        <f>AVERAGE('20'!N8:N18)</f>
        <v>6</v>
      </c>
      <c r="O19" s="67">
        <f>AVERAGE('20'!O7:O18)</f>
        <v>2.7666666666666671</v>
      </c>
      <c r="P19" s="188">
        <f>AVERAGE('20'!P7:P18)</f>
        <v>0</v>
      </c>
      <c r="Q19" s="189">
        <f>AVERAGE('20'!Q7:Q18)</f>
        <v>0</v>
      </c>
      <c r="R19" s="189">
        <f>AVERAGE('20'!R7:R18)</f>
        <v>1582</v>
      </c>
      <c r="S19" s="189">
        <f>AVERAGE('20'!S7:S18)</f>
        <v>98.055629165914794</v>
      </c>
      <c r="T19" s="940"/>
      <c r="U19" s="940"/>
      <c r="V19" s="47"/>
      <c r="W19" s="48"/>
      <c r="X19" s="13">
        <v>0.58333333333333304</v>
      </c>
      <c r="Y19" s="171">
        <v>3019</v>
      </c>
      <c r="Z19" s="254">
        <v>1582</v>
      </c>
      <c r="AA19" s="15">
        <v>1</v>
      </c>
      <c r="AB19" s="56">
        <f>IF('20'!AA19=1,(('20'!Z19*'20'!$AS$6*'20'!$AT$6)/('20'!Y19*0.0036)),IF('20'!AA19=2,(('20'!Z19*'20'!$AS$7*'20'!$AT$7)/('20'!Y19*0.0036))))</f>
        <v>96.797136653049208</v>
      </c>
      <c r="AC19" s="56"/>
      <c r="AD19" s="18">
        <f>(('20'!AC19*'20'!$Q$10*1000000))/('20'!Y19*3600)</f>
        <v>0</v>
      </c>
      <c r="AE19" s="181"/>
      <c r="AF19" s="182">
        <f>('20'!AE19/24)*0.454</f>
        <v>0</v>
      </c>
      <c r="AG19" s="19"/>
      <c r="AH19" s="182">
        <f>('20'!AG19/24)*0.454</f>
        <v>0</v>
      </c>
      <c r="AI19" s="180">
        <v>4400</v>
      </c>
      <c r="AJ19" s="182">
        <f>('20'!AI20/24)*0.454</f>
        <v>94.583333333333343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140</v>
      </c>
      <c r="C20" s="67">
        <f>MAX('20'!C7:C18)</f>
        <v>16.8</v>
      </c>
      <c r="D20" s="67">
        <f>MAX('20'!D7:D18)</f>
        <v>14.2</v>
      </c>
      <c r="E20" s="67">
        <f>MAX('20'!E7:E18)</f>
        <v>6</v>
      </c>
      <c r="F20" s="67">
        <f>MAX('20'!F7:F18)</f>
        <v>38</v>
      </c>
      <c r="G20" s="67">
        <f>MAX('20'!G7:G18)</f>
        <v>2.2999999999999998</v>
      </c>
      <c r="H20" s="67">
        <f>MAX('20'!H7:H18)</f>
        <v>2</v>
      </c>
      <c r="I20" s="67">
        <f>MAX('20'!I7:I18)</f>
        <v>1</v>
      </c>
      <c r="J20" s="67">
        <f>MAX('20'!J7:J18)</f>
        <v>1.1000000000000001</v>
      </c>
      <c r="K20" s="67">
        <f>MAX('20'!K7:K18)</f>
        <v>7.3</v>
      </c>
      <c r="L20" s="67">
        <f>MAX('20'!L7:L18)</f>
        <v>6.3</v>
      </c>
      <c r="M20" s="67">
        <f>MAX('20'!M7:M18)</f>
        <v>6.3</v>
      </c>
      <c r="N20" s="67">
        <f>MAX('20'!N8:N18)</f>
        <v>6</v>
      </c>
      <c r="O20" s="68">
        <f>MAX('20'!O7:O18)</f>
        <v>3.2</v>
      </c>
      <c r="P20" s="68">
        <f>MAX('20'!P7:P18)</f>
        <v>0</v>
      </c>
      <c r="Q20" s="68">
        <f>MAX('20'!Q7:Q18)</f>
        <v>0</v>
      </c>
      <c r="R20" s="68">
        <f>MAX('20'!R7:R18)</f>
        <v>1582</v>
      </c>
      <c r="S20" s="68">
        <f>MAX('20'!S7:S18)</f>
        <v>108.75718479923914</v>
      </c>
      <c r="T20" s="940"/>
      <c r="U20" s="940"/>
      <c r="X20" s="13">
        <v>0.625</v>
      </c>
      <c r="Y20" s="171">
        <v>2970</v>
      </c>
      <c r="Z20" s="254">
        <v>1582</v>
      </c>
      <c r="AA20" s="15">
        <v>1</v>
      </c>
      <c r="AB20" s="56">
        <f>IF('20'!AA20=1,(('20'!Z20*'20'!$AS$6*'20'!$AT$6)/('20'!Y20*0.0036)),IF('20'!AA20=2,(('20'!Z20*'20'!$AS$7*'20'!$AT$7)/('20'!Y20*0.0036))))</f>
        <v>98.394126449682005</v>
      </c>
      <c r="AC20" s="56"/>
      <c r="AD20" s="18">
        <f>(('20'!AC20*'20'!$Q$10*1000000))/('20'!Y20*3600)</f>
        <v>0</v>
      </c>
      <c r="AE20" s="181"/>
      <c r="AF20" s="182">
        <f>('20'!AE20/24)*0.454</f>
        <v>0</v>
      </c>
      <c r="AG20" s="19"/>
      <c r="AH20" s="182">
        <f>('20'!AG20/24)*0.454</f>
        <v>0</v>
      </c>
      <c r="AI20" s="180">
        <v>5000</v>
      </c>
      <c r="AJ20" s="182">
        <f>('20'!AI21/24)*0.454</f>
        <v>94.583333333333343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120</v>
      </c>
      <c r="C21" s="190">
        <f>MIN('20'!C7:C18)</f>
        <v>14</v>
      </c>
      <c r="D21" s="190">
        <f>MIN('20'!D7:D18)</f>
        <v>13</v>
      </c>
      <c r="E21" s="190">
        <f>MIN('20'!E7:E18)</f>
        <v>4.9000000000000004</v>
      </c>
      <c r="F21" s="67">
        <f>MIN('20'!F7:F18)</f>
        <v>32</v>
      </c>
      <c r="G21" s="190">
        <f>MIN('20'!G7:G18)</f>
        <v>2</v>
      </c>
      <c r="H21" s="190">
        <f>MIN('20'!H7:H18)</f>
        <v>1.6</v>
      </c>
      <c r="I21" s="190">
        <f>MIN('20'!I7:I18)</f>
        <v>0.7</v>
      </c>
      <c r="J21" s="190">
        <f>MIN('20'!J7:J18)</f>
        <v>0.7</v>
      </c>
      <c r="K21" s="190">
        <f>MIN('20'!K7:K18)</f>
        <v>7.3</v>
      </c>
      <c r="L21" s="190">
        <f>MIN('20'!L7:L18)</f>
        <v>6.3</v>
      </c>
      <c r="M21" s="190">
        <f>MIN('20'!M7:M18)</f>
        <v>6.3</v>
      </c>
      <c r="N21" s="190">
        <f>MIN('20'!N8:N18)</f>
        <v>6</v>
      </c>
      <c r="O21" s="191">
        <f>MIN('20'!O7:O18)</f>
        <v>2.6</v>
      </c>
      <c r="P21" s="191">
        <f>MIN('20'!P7:P18)</f>
        <v>0</v>
      </c>
      <c r="Q21" s="191">
        <f>MIN('20'!Q7:Q18)</f>
        <v>0</v>
      </c>
      <c r="R21" s="191">
        <f>MIN('20'!R7:R18)</f>
        <v>1582</v>
      </c>
      <c r="S21" s="191">
        <f>MIN('20'!S7:S18)</f>
        <v>96.413908134462403</v>
      </c>
      <c r="T21" s="940"/>
      <c r="U21" s="940"/>
      <c r="X21" s="13">
        <v>0.66666666666666696</v>
      </c>
      <c r="Y21" s="171">
        <v>3018</v>
      </c>
      <c r="Z21" s="254">
        <v>1582</v>
      </c>
      <c r="AA21" s="15">
        <v>1</v>
      </c>
      <c r="AB21" s="56">
        <f>IF('20'!AA21=1,(('20'!Z21*'20'!$AS$6*'20'!$AT$6)/('20'!Y21*0.0036)),IF('20'!AA21=2,(('20'!Z21*'20'!$AS$7*'20'!$AT$7)/('20'!Y21*0.0036))))</f>
        <v>96.829209925631403</v>
      </c>
      <c r="AC21" s="56"/>
      <c r="AD21" s="18">
        <f>(('20'!AC21*'20'!$Q$10*1000000))/('20'!Y21*3600)</f>
        <v>0</v>
      </c>
      <c r="AE21" s="181"/>
      <c r="AF21" s="182">
        <f>('20'!AE21/24)*0.454</f>
        <v>0</v>
      </c>
      <c r="AG21" s="19"/>
      <c r="AH21" s="182">
        <f>('20'!AG21/24)*0.454</f>
        <v>0</v>
      </c>
      <c r="AI21" s="180">
        <v>5000</v>
      </c>
      <c r="AJ21" s="182">
        <f>('20'!AI22/24)*0.454</f>
        <v>94.583333333333343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3008</v>
      </c>
      <c r="Z22" s="254">
        <v>1582</v>
      </c>
      <c r="AA22" s="15">
        <v>1</v>
      </c>
      <c r="AB22" s="56">
        <f>IF('20'!AA22=1,(('20'!Z22*'20'!$AS$6*'20'!$AT$6)/('20'!Y22*0.0036)),IF('20'!AA22=2,(('20'!Z22*'20'!$AS$7*'20'!$AT$7)/('20'!Y22*0.0036))))</f>
        <v>97.15111554373523</v>
      </c>
      <c r="AC22" s="56"/>
      <c r="AD22" s="18">
        <f>(('20'!AC22*'20'!$Q$10*1000000))/('20'!Y22*3600)</f>
        <v>0</v>
      </c>
      <c r="AE22" s="181"/>
      <c r="AF22" s="182">
        <f>('20'!AE22/24)*0.454</f>
        <v>0</v>
      </c>
      <c r="AG22" s="19"/>
      <c r="AH22" s="182">
        <f>('20'!AG22/24)*0.454</f>
        <v>0</v>
      </c>
      <c r="AI22" s="180">
        <v>5000</v>
      </c>
      <c r="AJ22" s="182">
        <f>('20'!AI23/24)*0.454</f>
        <v>94.583333333333343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3012</v>
      </c>
      <c r="Z23" s="254">
        <v>1582</v>
      </c>
      <c r="AA23" s="15">
        <v>1</v>
      </c>
      <c r="AB23" s="56">
        <f>IF('20'!AA23=1,(('20'!Z23*'20'!$AS$6*'20'!$AT$6)/('20'!Y23*0.0036)),IF('20'!AA23=2,(('20'!Z23*'20'!$AS$7*'20'!$AT$7)/('20'!Y23*0.0036))))</f>
        <v>97.022096797993214</v>
      </c>
      <c r="AC23" s="56"/>
      <c r="AD23" s="18">
        <f>(('20'!AC23*'20'!$Q$10*1000000))/('20'!Y23*3600)</f>
        <v>0</v>
      </c>
      <c r="AE23" s="181"/>
      <c r="AF23" s="182">
        <f>('20'!AE23/24)*0.454</f>
        <v>0</v>
      </c>
      <c r="AG23" s="19"/>
      <c r="AH23" s="182">
        <f>('20'!AG23/24)*0.454</f>
        <v>0</v>
      </c>
      <c r="AI23" s="180">
        <v>5000</v>
      </c>
      <c r="AJ23" s="182">
        <f>('20'!AI24/24)*0.454</f>
        <v>94.583333333333343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3012</v>
      </c>
      <c r="Z24" s="254">
        <v>1582</v>
      </c>
      <c r="AA24" s="15">
        <v>1</v>
      </c>
      <c r="AB24" s="16">
        <f>IF('20'!AA24=1,(('20'!Z24*'20'!$AS$6*'20'!$AT$6)/('20'!Y24*0.0036)),IF('20'!AA24=2,(('20'!Z24*'20'!$AS$7*'20'!$AT$7)/('20'!Y24*0.0036))))</f>
        <v>97.022096797993214</v>
      </c>
      <c r="AC24" s="16"/>
      <c r="AD24" s="192">
        <f>(('20'!AC24*'20'!$Q$10*1000000))/('20'!Y24*3600)</f>
        <v>0</v>
      </c>
      <c r="AE24" s="181"/>
      <c r="AF24" s="193">
        <f>('20'!AE24/24)*0.454</f>
        <v>0</v>
      </c>
      <c r="AG24" s="19"/>
      <c r="AH24" s="193">
        <f>('20'!AG24/24)*0.454</f>
        <v>0</v>
      </c>
      <c r="AI24" s="180">
        <v>5000</v>
      </c>
      <c r="AJ24" s="193">
        <f>('20'!AI25/24)*0.454</f>
        <v>94.583333333333343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4" t="s">
        <v>0</v>
      </c>
      <c r="U25" s="1043">
        <f>ESCALA!$A$22</f>
        <v>44336</v>
      </c>
      <c r="X25" s="13">
        <v>0.83333333333333304</v>
      </c>
      <c r="Y25" s="171">
        <v>3011</v>
      </c>
      <c r="Z25" s="254">
        <v>1582</v>
      </c>
      <c r="AA25" s="15">
        <v>1</v>
      </c>
      <c r="AB25" s="56">
        <f>IF('20'!AA25=1,(('20'!Z25*'20'!$AS$6*'20'!$AT$6)/('20'!Y25*0.0036)),IF('20'!AA25=2,(('20'!Z25*'20'!$AS$7*'20'!$AT$7)/('20'!Y25*0.0036))))</f>
        <v>97.054319347577405</v>
      </c>
      <c r="AC25" s="56"/>
      <c r="AD25" s="18">
        <f>(('20'!AC25*'20'!$Q$10*1000000))/('20'!Y25*3600)</f>
        <v>0</v>
      </c>
      <c r="AE25" s="181"/>
      <c r="AF25" s="182">
        <f>('20'!AE25/24)*0.454</f>
        <v>0</v>
      </c>
      <c r="AG25" s="19"/>
      <c r="AH25" s="182">
        <f>('20'!AG25/24)*0.454</f>
        <v>0</v>
      </c>
      <c r="AI25" s="180">
        <v>5000</v>
      </c>
      <c r="AJ25" s="182">
        <f>('20'!AI26/24)*0.454</f>
        <v>94.583333333333343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4"/>
      <c r="U26" s="1043"/>
      <c r="X26" s="13">
        <v>0.875</v>
      </c>
      <c r="Y26" s="171">
        <v>3052</v>
      </c>
      <c r="Z26" s="254">
        <v>1582</v>
      </c>
      <c r="AA26" s="15">
        <v>1</v>
      </c>
      <c r="AB26" s="56">
        <f>IF('20'!AA26=1,(('20'!Z26*'20'!$AS$6*'20'!$AT$6)/('20'!Y26*0.0036)),IF('20'!AA26=2,(('20'!Z26*'20'!$AS$7*'20'!$AT$7)/('20'!Y26*0.0036))))</f>
        <v>95.750509683995929</v>
      </c>
      <c r="AC26" s="56"/>
      <c r="AD26" s="18">
        <f>(('20'!AC26*'20'!$Q$10*1000000))/('20'!Y26*3600)</f>
        <v>0</v>
      </c>
      <c r="AE26" s="181"/>
      <c r="AF26" s="182">
        <f>('20'!AE26/24)*0.454</f>
        <v>0</v>
      </c>
      <c r="AG26" s="19"/>
      <c r="AH26" s="182">
        <f>('20'!AG26/24)*0.454</f>
        <v>0</v>
      </c>
      <c r="AI26" s="180">
        <v>5000</v>
      </c>
      <c r="AJ26" s="182">
        <f>('20'!AI27/24)*0.454</f>
        <v>94.583333333333343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3021</v>
      </c>
      <c r="Z27" s="254">
        <v>1582</v>
      </c>
      <c r="AA27" s="15">
        <v>1</v>
      </c>
      <c r="AB27" s="56">
        <f>IF('20'!AA27=1,(('20'!Z27*'20'!$AS$6*'20'!$AT$6)/('20'!Y27*0.0036)),IF('20'!AA27=2,(('20'!Z27*'20'!$AS$7*'20'!$AT$7)/('20'!Y27*0.0036))))</f>
        <v>96.733053808525497</v>
      </c>
      <c r="AC27" s="56"/>
      <c r="AD27" s="18">
        <f>(('20'!AC27*'20'!$Q$10*1000000))/('20'!Y27*3600)</f>
        <v>0</v>
      </c>
      <c r="AE27" s="181"/>
      <c r="AF27" s="182">
        <f>('20'!AE27/24)*0.454</f>
        <v>0</v>
      </c>
      <c r="AG27" s="19"/>
      <c r="AH27" s="182">
        <f>('20'!AG27/24)*0.454</f>
        <v>0</v>
      </c>
      <c r="AI27" s="180">
        <v>5000</v>
      </c>
      <c r="AJ27" s="182">
        <f>('20'!AI28/24)*0.454</f>
        <v>94.583333333333343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3012</v>
      </c>
      <c r="Z28" s="254">
        <v>1582</v>
      </c>
      <c r="AA28" s="15">
        <v>1</v>
      </c>
      <c r="AB28" s="56">
        <f>IF('20'!AA28=1,(('20'!Z28*'20'!$AS$6*'20'!$AT$6)/('20'!Y28*0.0036)),IF('20'!AA28=2,(('20'!Z28*'20'!$AS$7*'20'!$AT$7)/('20'!Y28*0.0036))))</f>
        <v>97.022096797993214</v>
      </c>
      <c r="AC28" s="56"/>
      <c r="AD28" s="18">
        <f>(('20'!AC28*'20'!$Q$10*1000000))/('20'!Y28*3600)</f>
        <v>0</v>
      </c>
      <c r="AE28" s="181"/>
      <c r="AF28" s="182">
        <f>('20'!AE28/24)*0.454</f>
        <v>0</v>
      </c>
      <c r="AG28" s="19"/>
      <c r="AH28" s="182">
        <f>('20'!AG28/24)*0.454</f>
        <v>0</v>
      </c>
      <c r="AI28" s="180">
        <v>5000</v>
      </c>
      <c r="AJ28" s="182">
        <f>('20'!AI29/24)*0.454</f>
        <v>94.583333333333343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3022</v>
      </c>
      <c r="Z29" s="254">
        <v>1582</v>
      </c>
      <c r="AA29" s="15">
        <v>1</v>
      </c>
      <c r="AB29" s="56">
        <f>IF('20'!AA29=1,(('20'!Z29*'20'!$AS$6*'20'!$AT$6)/('20'!Y29*0.0036)),IF('20'!AA29=2,(('20'!Z29*'20'!$AS$7*'20'!$AT$7)/('20'!Y29*0.0036))))</f>
        <v>96.701044194426061</v>
      </c>
      <c r="AC29" s="56"/>
      <c r="AD29" s="18">
        <f>(('20'!AC29*'20'!$Q$10*1000000))/('20'!Y29*3600)</f>
        <v>0</v>
      </c>
      <c r="AE29" s="181"/>
      <c r="AF29" s="182">
        <f>('20'!AE29/24)*0.454</f>
        <v>0</v>
      </c>
      <c r="AG29" s="19"/>
      <c r="AH29" s="182">
        <f>('20'!AG29/24)*0.454</f>
        <v>0</v>
      </c>
      <c r="AI29" s="180">
        <v>5000</v>
      </c>
      <c r="AJ29" s="182">
        <f>('20'!AI29/24)*0.454</f>
        <v>94.583333333333343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SUM('20'!Y6:Y29)*3.6</f>
        <v>258732</v>
      </c>
      <c r="Z30" s="80">
        <f>SUM('20'!Z6:Z29)</f>
        <v>37968</v>
      </c>
      <c r="AA30" s="76"/>
      <c r="AB30" s="77"/>
      <c r="AC30" s="76"/>
      <c r="AD30" s="77"/>
      <c r="AE30" s="33"/>
      <c r="AF30" s="182">
        <f>SUM('20'!AF6:AF29)</f>
        <v>0</v>
      </c>
      <c r="AG30" s="33"/>
      <c r="AH30" s="182">
        <f>SUM('20'!AH6:AH29)</f>
        <v>0</v>
      </c>
      <c r="AI30" s="33"/>
      <c r="AJ30" s="182">
        <f>SUM('20'!AJ6:AJ29)</f>
        <v>2122.4499999999994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SUMIF('20'!AA6:AA29,"=1",'20'!Z6:Z29)</f>
        <v>37968</v>
      </c>
      <c r="AA32" s="80">
        <f>'20'!Z32*'20'!AS6</f>
        <v>50497.440000000002</v>
      </c>
      <c r="AB32" s="81">
        <f>SUMIF('20'!$AA$6:$AA$29,"=1",'20'!$AB$6:$AB$29)/COUNTIF('20'!$AA$6:$AA$29,"=1")</f>
        <v>97.639649106827449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AVERAGE('20'!Y6:Y29)</f>
        <v>2994.5833333333335</v>
      </c>
      <c r="Z34" s="94">
        <f>AVERAGE('20'!Z6:Z29)</f>
        <v>1582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0</v>
      </c>
      <c r="AG34" s="96"/>
      <c r="AH34" s="96">
        <f>AVERAGE('20'!AH6:AH29)</f>
        <v>0</v>
      </c>
      <c r="AI34" s="96"/>
      <c r="AJ34" s="96">
        <f>'20'!AJ30/24</f>
        <v>88.43541666666664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65.7</v>
      </c>
      <c r="D37" s="184">
        <v>24.9</v>
      </c>
      <c r="E37" s="184">
        <v>19.899999999999999</v>
      </c>
      <c r="F37" s="184">
        <v>1.6</v>
      </c>
      <c r="G37" s="184">
        <v>0.2</v>
      </c>
      <c r="H37" s="184">
        <v>0.1</v>
      </c>
      <c r="I37" s="181">
        <v>0.2</v>
      </c>
      <c r="J37" s="181">
        <v>0.06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'20'!V12</f>
        <v>0</v>
      </c>
      <c r="X37" s="956" t="s">
        <v>75</v>
      </c>
      <c r="Y37" s="956"/>
      <c r="Z37" s="108">
        <f>COUNTA('20'!Z6:Z29)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0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2122.4499999999994</v>
      </c>
      <c r="AQ38" s="208" t="s">
        <v>78</v>
      </c>
      <c r="AR38" s="210">
        <f>'20'!AP30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0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8.2032759766862995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SUM('20'!AK38,'20'!AM38)</f>
        <v>0</v>
      </c>
      <c r="AM40" s="969"/>
      <c r="AO40" s="970" t="s">
        <v>90</v>
      </c>
      <c r="AP40" s="970"/>
      <c r="AQ40" s="971">
        <f>SUM('20'!AP38,'20'!AR38)</f>
        <v>2122.4499999999994</v>
      </c>
      <c r="AR40" s="971"/>
    </row>
    <row r="41" spans="1:44" ht="16.5" customHeight="1">
      <c r="A41" s="131">
        <f>COUNTA('20'!E7:E18)</f>
        <v>12</v>
      </c>
      <c r="B41" s="132">
        <f>COUNTA('20'!I7:I18)</f>
        <v>12</v>
      </c>
      <c r="C41" s="972">
        <f>COUNTA('20'!J7:J18)</f>
        <v>12</v>
      </c>
      <c r="D41" s="972">
        <f>COUNTA('20'!K7:K18)</f>
        <v>12</v>
      </c>
      <c r="E41" s="972">
        <f>COUNTIF('20'!E7:E18,"&gt;15")</f>
        <v>0</v>
      </c>
      <c r="F41" s="972"/>
      <c r="G41" s="972">
        <f>COUNTIF('20'!J7:J18,"&gt;1")</f>
        <v>1</v>
      </c>
      <c r="H41" s="972"/>
      <c r="I41" s="133"/>
      <c r="J41" s="972">
        <f>'20'!A41-'20'!E41</f>
        <v>12</v>
      </c>
      <c r="K41" s="972"/>
      <c r="L41" s="972">
        <f>'20'!C41-'20'!G41</f>
        <v>11</v>
      </c>
      <c r="M41" s="972"/>
      <c r="N41" s="133"/>
      <c r="O41" s="973">
        <f>COUNTIF('20'!J7:J18,"&lt;=0,5")</f>
        <v>0</v>
      </c>
      <c r="P41" s="973"/>
      <c r="Q41" s="973"/>
      <c r="R41" s="963"/>
      <c r="S41" s="974">
        <f>COUNTIF('20'!J7:J18,"&lt;=1,0")</f>
        <v>11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SUM(('20'!AK38+'20'!AM38)/'20'!Y30)*1000</f>
        <v>0</v>
      </c>
      <c r="AM41" s="975"/>
      <c r="AO41" s="970" t="s">
        <v>91</v>
      </c>
      <c r="AP41" s="970"/>
      <c r="AQ41" s="975">
        <f>SUM(('20'!AP38+'20'!AR38)/'20'!Y30)*1000</f>
        <v>8.2032759766862995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138</v>
      </c>
      <c r="Z44" s="142" t="s">
        <v>101</v>
      </c>
      <c r="AA44" s="143"/>
      <c r="AB44" s="142" t="s">
        <v>101</v>
      </c>
      <c r="AC44" s="143">
        <v>56</v>
      </c>
      <c r="AD44" s="982"/>
      <c r="AE44" s="982"/>
      <c r="AF44" s="983" t="s">
        <v>102</v>
      </c>
      <c r="AG44" s="996">
        <f>SUM('20'!Y45,'20'!AA45,'20'!AC45,'20'!AE45)</f>
        <v>184542.6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COUNTIF('20'!I7:I18,"&lt;=5,0")</f>
        <v>12</v>
      </c>
      <c r="I45" s="986"/>
      <c r="J45" s="986"/>
      <c r="K45" s="133"/>
      <c r="L45" s="968">
        <f>COUNTA('20'!L37)</f>
        <v>0</v>
      </c>
      <c r="M45" s="968"/>
      <c r="O45" s="144"/>
      <c r="P45" s="145"/>
      <c r="Q45" s="987">
        <f>'20'!S41-'20'!O41</f>
        <v>11</v>
      </c>
      <c r="R45" s="987"/>
      <c r="S45" s="987"/>
      <c r="T45" s="146"/>
      <c r="X45" s="147" t="s">
        <v>104</v>
      </c>
      <c r="Y45" s="148">
        <f>'20'!Y44*275.3</f>
        <v>37991.4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15551.199999999999</v>
      </c>
      <c r="AD45" s="147" t="s">
        <v>104</v>
      </c>
      <c r="AE45" s="149">
        <v>131000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89" t="s">
        <v>106</v>
      </c>
      <c r="AG46" s="990">
        <f>SUM('20'!Y47,'20'!AA47,'20'!AC47,'20'!AE47)</f>
        <v>245441.658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'20'!Y45*'20'!Y46</f>
        <v>50528.562000000005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20683.096000000001</v>
      </c>
      <c r="AD47" s="147" t="s">
        <v>108</v>
      </c>
      <c r="AE47" s="148">
        <f>'20'!AE45*'20'!AE46</f>
        <v>174230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COUNTA('20'!O7:O18)</f>
        <v>12</v>
      </c>
      <c r="P51" s="968">
        <f>COUNTA('20'!W17:W28)</f>
        <v>0</v>
      </c>
      <c r="R51" s="986">
        <f>COUNTIF('20'!O7:O18,"&gt;=0,5")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SUM(Y53,AA53,AC53,AE53)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'20'!AS7</f>
        <v>1.262</v>
      </c>
      <c r="Z54" s="151" t="s">
        <v>105</v>
      </c>
      <c r="AA54" s="153">
        <f>'20'!Y54</f>
        <v>1.262</v>
      </c>
      <c r="AB54" s="151" t="s">
        <v>105</v>
      </c>
      <c r="AC54" s="153">
        <f>'20'!Y54</f>
        <v>1.262</v>
      </c>
      <c r="AD54" s="151" t="s">
        <v>105</v>
      </c>
      <c r="AE54" s="154">
        <f>'20'!Y54</f>
        <v>1.262</v>
      </c>
      <c r="AF54" s="989" t="s">
        <v>106</v>
      </c>
      <c r="AG54" s="990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'10'!AJ55</f>
        <v>1.262</v>
      </c>
      <c r="AM55" s="151" t="s">
        <v>105</v>
      </c>
      <c r="AN55" s="152">
        <f>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COUNTA('20'!N7:N18)</f>
        <v>12</v>
      </c>
      <c r="P57" s="997"/>
      <c r="R57" s="998">
        <f>COUNTIF('20'!N7:N18,"&gt;=6")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07"/>
      <c r="AA65" s="1007"/>
      <c r="AB65" s="174" t="s">
        <v>126</v>
      </c>
      <c r="AC65" s="238">
        <f>'19'!$AC$1048576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SUM('20'!AK38,'20'!AP38)</f>
        <v>2122.4499999999994</v>
      </c>
      <c r="Z67" s="1007"/>
      <c r="AA67" s="1007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-2122.4499999999994</v>
      </c>
      <c r="Z68" s="1007"/>
      <c r="AA68" s="1007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2" zoomScaleNormal="100" workbookViewId="0">
      <selection activeCell="AE53" sqref="AE53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135</v>
      </c>
      <c r="AF4" s="931" t="s">
        <v>136</v>
      </c>
      <c r="AG4" s="931" t="s">
        <v>137</v>
      </c>
      <c r="AH4" s="931" t="s">
        <v>138</v>
      </c>
      <c r="AI4" s="931" t="s">
        <v>139</v>
      </c>
      <c r="AJ4" s="931" t="s">
        <v>140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1095" t="s">
        <v>34</v>
      </c>
      <c r="AR4" s="1095"/>
      <c r="AS4" s="1095"/>
      <c r="AT4" s="1095"/>
      <c r="AU4" s="1096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1096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267">
        <v>3041</v>
      </c>
      <c r="Z6" s="267">
        <v>1582</v>
      </c>
      <c r="AA6" s="52">
        <v>1</v>
      </c>
      <c r="AB6" s="56">
        <f>IF('21'!AA6=1,(('21'!Z6*'21'!$AS$6*'21'!$AT$6)/('21'!Y6*0.0036)),IF('21'!AA6=2,(('21'!Z6*'21'!$AS$7*'21'!$AT$7)/('21'!Y6*0.0036))))</f>
        <v>96.096861412547042</v>
      </c>
      <c r="AC6" s="56"/>
      <c r="AD6" s="18">
        <f>(('21'!AC6*'21'!$Q$10*1000000))/('21'!Y6*3600)</f>
        <v>0</v>
      </c>
      <c r="AE6" s="181"/>
      <c r="AF6" s="182">
        <f>('21'!AE6/24)*0.454</f>
        <v>0</v>
      </c>
      <c r="AG6" s="19"/>
      <c r="AH6" s="182">
        <f>('21'!AG6/24)*0.454</f>
        <v>0</v>
      </c>
      <c r="AI6" s="181">
        <v>5000</v>
      </c>
      <c r="AJ6" s="182">
        <f>('21'!AI6/24)*0.454</f>
        <v>94.583333333333343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140</v>
      </c>
      <c r="C7" s="184">
        <v>15</v>
      </c>
      <c r="D7" s="184">
        <v>13</v>
      </c>
      <c r="E7" s="184">
        <v>5</v>
      </c>
      <c r="F7" s="184">
        <v>35</v>
      </c>
      <c r="G7" s="184">
        <v>2</v>
      </c>
      <c r="H7" s="184">
        <v>1.7</v>
      </c>
      <c r="I7" s="184">
        <v>0.7</v>
      </c>
      <c r="J7" s="184">
        <v>0.7</v>
      </c>
      <c r="K7" s="184">
        <v>7.3</v>
      </c>
      <c r="L7" s="184">
        <v>6.3</v>
      </c>
      <c r="M7" s="184">
        <v>6.3</v>
      </c>
      <c r="N7" s="184">
        <v>6</v>
      </c>
      <c r="O7" s="184">
        <v>3</v>
      </c>
      <c r="P7" s="184"/>
      <c r="Q7" s="186"/>
      <c r="R7" s="36">
        <f>'20'!$Z$29</f>
        <v>1582</v>
      </c>
      <c r="S7" s="185">
        <f>'20'!$AB$29</f>
        <v>96.701044194426061</v>
      </c>
      <c r="T7" s="36">
        <f>'20'!$Y$29</f>
        <v>3022</v>
      </c>
      <c r="U7" s="32" t="str">
        <f>IF('21'!AA6=1,'21'!AR6,'21'!AR7)</f>
        <v>S.A.L</v>
      </c>
      <c r="V7" s="1016">
        <f>ESCALA!$C$22</f>
        <v>0</v>
      </c>
      <c r="W7" s="1016"/>
      <c r="X7" s="13">
        <v>8.3333333333333301E-2</v>
      </c>
      <c r="Y7" s="267">
        <v>2998</v>
      </c>
      <c r="Z7" s="267">
        <v>1582</v>
      </c>
      <c r="AA7" s="52">
        <v>1</v>
      </c>
      <c r="AB7" s="56">
        <f>IF('21'!AA7=1,(('21'!Z7*'21'!$AS$6*'21'!$AT$6)/('21'!Y7*0.0036)),IF('21'!AA7=2,(('21'!Z7*'21'!$AS$7*'21'!$AT$7)/('21'!Y7*0.0036))))</f>
        <v>97.475168630939152</v>
      </c>
      <c r="AC7" s="56"/>
      <c r="AD7" s="18">
        <f>(('21'!AC7*'21'!$Q$10*1000000))/('21'!Y7*3600)</f>
        <v>0</v>
      </c>
      <c r="AE7" s="181"/>
      <c r="AF7" s="182">
        <f>('21'!AE7/24)*0.454</f>
        <v>0</v>
      </c>
      <c r="AG7" s="19"/>
      <c r="AH7" s="182">
        <f>('21'!AG7/24)*0.454</f>
        <v>0</v>
      </c>
      <c r="AI7" s="181">
        <v>5000</v>
      </c>
      <c r="AJ7" s="182">
        <f>('21'!AI7/24)*0.454</f>
        <v>94.583333333333343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135</v>
      </c>
      <c r="C8" s="184">
        <v>14</v>
      </c>
      <c r="D8" s="184">
        <v>13</v>
      </c>
      <c r="E8" s="184">
        <v>4</v>
      </c>
      <c r="F8" s="184">
        <v>35</v>
      </c>
      <c r="G8" s="184">
        <v>2</v>
      </c>
      <c r="H8" s="184">
        <v>1.7</v>
      </c>
      <c r="I8" s="184">
        <v>0.7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3</v>
      </c>
      <c r="P8" s="184"/>
      <c r="Q8" s="186"/>
      <c r="R8" s="34">
        <f>'21'!Z7</f>
        <v>1582</v>
      </c>
      <c r="S8" s="35">
        <f>'21'!AB7</f>
        <v>97.475168630939152</v>
      </c>
      <c r="T8" s="36">
        <f>'21'!Y7</f>
        <v>2998</v>
      </c>
      <c r="U8" s="32" t="str">
        <f>IF('21'!AA7=1,'21'!AR6,'21'!AR7)</f>
        <v>S.A.L</v>
      </c>
      <c r="V8" s="1016"/>
      <c r="W8" s="1016"/>
      <c r="X8" s="13">
        <v>0.125</v>
      </c>
      <c r="Y8" s="267">
        <v>3013</v>
      </c>
      <c r="Z8" s="267">
        <v>1582</v>
      </c>
      <c r="AA8" s="52">
        <v>1</v>
      </c>
      <c r="AB8" s="56">
        <f>IF('21'!AA8=1,(('21'!Z8*'21'!$AS$6*'21'!$AT$6)/('21'!Y8*0.0036)),IF('21'!AA8=2,(('21'!Z8*'21'!$AS$7*'21'!$AT$7)/('21'!Y8*0.0036))))</f>
        <v>96.989895637423018</v>
      </c>
      <c r="AC8" s="56"/>
      <c r="AD8" s="18">
        <f>(('21'!AC8*'21'!$Q$10*1000000))/('21'!Y8*3600)</f>
        <v>0</v>
      </c>
      <c r="AE8" s="181"/>
      <c r="AF8" s="182">
        <f>('21'!AE8/24)*0.454</f>
        <v>0</v>
      </c>
      <c r="AG8" s="19"/>
      <c r="AH8" s="182">
        <f>('21'!AG8/24)*0.454</f>
        <v>0</v>
      </c>
      <c r="AI8" s="181">
        <v>5000</v>
      </c>
      <c r="AJ8" s="182">
        <f>('21'!AI8/24)*0.454</f>
        <v>94.583333333333343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097" t="s">
        <v>50</v>
      </c>
      <c r="AR8" s="1097"/>
      <c r="AS8" s="1097"/>
      <c r="AT8" s="1097"/>
    </row>
    <row r="9" spans="1:47" ht="18.75" customHeight="1">
      <c r="A9" s="28">
        <v>0.16666666666666699</v>
      </c>
      <c r="B9" s="184">
        <v>125</v>
      </c>
      <c r="C9" s="184">
        <v>13</v>
      </c>
      <c r="D9" s="184">
        <v>12</v>
      </c>
      <c r="E9" s="184">
        <v>3</v>
      </c>
      <c r="F9" s="184">
        <v>34</v>
      </c>
      <c r="G9" s="184">
        <v>2.1</v>
      </c>
      <c r="H9" s="184">
        <v>1.8</v>
      </c>
      <c r="I9" s="184">
        <v>0.8</v>
      </c>
      <c r="J9" s="184">
        <v>0.7</v>
      </c>
      <c r="K9" s="184">
        <v>7.3</v>
      </c>
      <c r="L9" s="184">
        <v>6.3</v>
      </c>
      <c r="M9" s="184">
        <v>6.3</v>
      </c>
      <c r="N9" s="184">
        <v>6</v>
      </c>
      <c r="O9" s="184">
        <v>3</v>
      </c>
      <c r="P9" s="184"/>
      <c r="Q9" s="186"/>
      <c r="R9" s="36">
        <f>'21'!Z9</f>
        <v>1582</v>
      </c>
      <c r="S9" s="35">
        <f>'21'!AB9</f>
        <v>94.941700960219478</v>
      </c>
      <c r="T9" s="36">
        <f>'21'!Y9</f>
        <v>3078</v>
      </c>
      <c r="U9" s="32" t="str">
        <f>IF('21'!AA9=1,'21'!AR6,'21'!AR7)</f>
        <v>S.A.L</v>
      </c>
      <c r="V9" s="1016"/>
      <c r="W9" s="1016"/>
      <c r="X9" s="13">
        <v>0.16666666666666699</v>
      </c>
      <c r="Y9" s="267">
        <v>3078</v>
      </c>
      <c r="Z9" s="267">
        <v>1582</v>
      </c>
      <c r="AA9" s="52">
        <v>1</v>
      </c>
      <c r="AB9" s="56">
        <f>IF('21'!AA9=1,(('21'!Z9*'21'!$AS$6*'21'!$AT$6)/('21'!Y9*0.0036)),IF('21'!AA9=2,(('21'!Z9*'21'!$AS$7*'21'!$AT$7)/('21'!Y9*0.0036))))</f>
        <v>94.941700960219478</v>
      </c>
      <c r="AC9" s="56"/>
      <c r="AD9" s="18">
        <f>(('21'!AC9*'21'!$Q$10*1000000))/('21'!Y9*3600)</f>
        <v>0</v>
      </c>
      <c r="AE9" s="181"/>
      <c r="AF9" s="182">
        <f>('21'!AE9/24)*0.454</f>
        <v>0</v>
      </c>
      <c r="AG9" s="19"/>
      <c r="AH9" s="182">
        <f>('21'!AG9/24)*0.454</f>
        <v>0</v>
      </c>
      <c r="AI9" s="181">
        <v>5000</v>
      </c>
      <c r="AJ9" s="182">
        <f>('21'!AI9/24)*0.454</f>
        <v>94.583333333333343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098" t="s">
        <v>37</v>
      </c>
      <c r="AR9" s="1098"/>
      <c r="AS9" s="1098"/>
      <c r="AT9" s="37" t="s">
        <v>39</v>
      </c>
    </row>
    <row r="10" spans="1:47" ht="18.75" customHeight="1">
      <c r="A10" s="28">
        <v>0.25</v>
      </c>
      <c r="B10" s="184">
        <v>120</v>
      </c>
      <c r="C10" s="184">
        <v>13</v>
      </c>
      <c r="D10" s="184">
        <v>12</v>
      </c>
      <c r="E10" s="184">
        <v>3</v>
      </c>
      <c r="F10" s="184">
        <v>34</v>
      </c>
      <c r="G10" s="184">
        <v>2.1</v>
      </c>
      <c r="H10" s="184">
        <v>1.8</v>
      </c>
      <c r="I10" s="184">
        <v>0.8</v>
      </c>
      <c r="J10" s="184">
        <v>0.7</v>
      </c>
      <c r="K10" s="184">
        <v>7.3</v>
      </c>
      <c r="L10" s="184">
        <v>6.3</v>
      </c>
      <c r="M10" s="184">
        <v>6.3</v>
      </c>
      <c r="N10" s="184">
        <v>6</v>
      </c>
      <c r="O10" s="184">
        <v>3</v>
      </c>
      <c r="P10" s="184"/>
      <c r="Q10" s="186"/>
      <c r="R10" s="36">
        <f>'21'!Z11</f>
        <v>1582</v>
      </c>
      <c r="S10" s="35">
        <f>'21'!AB11</f>
        <v>95.907632279473447</v>
      </c>
      <c r="T10" s="36">
        <f>'21'!Y11</f>
        <v>3047</v>
      </c>
      <c r="U10" s="32" t="str">
        <f>IF('21'!AA11=1,'21'!AR6,'21'!AR7)</f>
        <v>S.A.L</v>
      </c>
      <c r="V10" s="1016"/>
      <c r="W10" s="1016"/>
      <c r="X10" s="13">
        <v>0.20833333333333301</v>
      </c>
      <c r="Y10" s="267">
        <v>3045</v>
      </c>
      <c r="Z10" s="267">
        <v>1582</v>
      </c>
      <c r="AA10" s="52">
        <v>1</v>
      </c>
      <c r="AB10" s="56">
        <f>IF('21'!AA10=1,(('21'!Z10*'21'!$AS$6*'21'!$AT$6)/('21'!Y10*0.0036)),IF('21'!AA10=2,(('21'!Z10*'21'!$AS$7*'21'!$AT$7)/('21'!Y10*0.0036))))</f>
        <v>95.970625798211998</v>
      </c>
      <c r="AC10" s="56"/>
      <c r="AD10" s="18">
        <f>(('21'!AC10*'21'!$Q$10*1000000))/('21'!Y10*3600)</f>
        <v>0</v>
      </c>
      <c r="AE10" s="181"/>
      <c r="AF10" s="182">
        <f>('21'!AE10/24)*0.454</f>
        <v>0</v>
      </c>
      <c r="AG10" s="19"/>
      <c r="AH10" s="182">
        <f>('21'!AG10/24)*0.454</f>
        <v>0</v>
      </c>
      <c r="AI10" s="181">
        <v>5000</v>
      </c>
      <c r="AJ10" s="182">
        <f>('21'!AI10/24)*0.454</f>
        <v>94.583333333333343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099" t="s">
        <v>51</v>
      </c>
      <c r="AR10" s="1099"/>
      <c r="AS10" s="1099"/>
      <c r="AT10" s="39">
        <v>2E-3</v>
      </c>
    </row>
    <row r="11" spans="1:47" ht="19.5" customHeight="1">
      <c r="A11" s="28">
        <v>0.33333333333333298</v>
      </c>
      <c r="B11" s="184">
        <v>127</v>
      </c>
      <c r="C11" s="184">
        <v>10</v>
      </c>
      <c r="D11" s="184">
        <v>12</v>
      </c>
      <c r="E11" s="184">
        <v>4</v>
      </c>
      <c r="F11" s="184">
        <v>34</v>
      </c>
      <c r="G11" s="184">
        <v>1.9</v>
      </c>
      <c r="H11" s="184">
        <v>2.1</v>
      </c>
      <c r="I11" s="184">
        <v>0.6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3.2</v>
      </c>
      <c r="P11" s="184"/>
      <c r="Q11" s="186"/>
      <c r="R11" s="36">
        <f>'21'!Z13</f>
        <v>1582</v>
      </c>
      <c r="S11" s="35">
        <f>'21'!AB13</f>
        <v>96.957715844577152</v>
      </c>
      <c r="T11" s="36">
        <f>'21'!Y13</f>
        <v>3014</v>
      </c>
      <c r="U11" s="32" t="str">
        <f>IF('21'!AA13=1,'21'!AR6,'21'!AR7)</f>
        <v>S.A.L</v>
      </c>
      <c r="V11" s="1016"/>
      <c r="W11" s="1016"/>
      <c r="X11" s="13">
        <v>0.25</v>
      </c>
      <c r="Y11" s="52">
        <v>3047</v>
      </c>
      <c r="Z11" s="267">
        <v>1582</v>
      </c>
      <c r="AA11" s="52">
        <v>1</v>
      </c>
      <c r="AB11" s="56">
        <f>IF('21'!AA11=1,(('21'!Z11*'21'!$AS$6*'21'!$AT$6)/('21'!Y11*0.0036)),IF('21'!AA11=2,(('21'!Z11*'21'!$AS$7*'21'!$AT$7)/('21'!Y11*0.0036))))</f>
        <v>95.907632279473447</v>
      </c>
      <c r="AC11" s="56"/>
      <c r="AD11" s="18">
        <f>(('21'!AC11*'21'!$Q$10*1000000))/('21'!Y11*3600)</f>
        <v>0</v>
      </c>
      <c r="AE11" s="181"/>
      <c r="AF11" s="182">
        <f>('21'!AE11/24)*0.454</f>
        <v>0</v>
      </c>
      <c r="AG11" s="19"/>
      <c r="AH11" s="182">
        <f>('21'!AG11/24)*0.454</f>
        <v>0</v>
      </c>
      <c r="AI11" s="181">
        <v>5000</v>
      </c>
      <c r="AJ11" s="182">
        <f>('21'!AI11/24)*0.454</f>
        <v>94.583333333333343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184">
        <v>125</v>
      </c>
      <c r="C12" s="184">
        <v>10</v>
      </c>
      <c r="D12" s="184">
        <v>12</v>
      </c>
      <c r="E12" s="184">
        <v>3</v>
      </c>
      <c r="F12" s="184">
        <v>34</v>
      </c>
      <c r="G12" s="184">
        <v>1.9</v>
      </c>
      <c r="H12" s="184">
        <v>2.1</v>
      </c>
      <c r="I12" s="184">
        <v>0.6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/>
      <c r="Q12" s="186"/>
      <c r="R12" s="36">
        <f>'21'!Z15</f>
        <v>1582</v>
      </c>
      <c r="S12" s="35">
        <f>'21'!AB15</f>
        <v>97.801390748177894</v>
      </c>
      <c r="T12" s="36">
        <f>'21'!Y15</f>
        <v>2988</v>
      </c>
      <c r="U12" s="32" t="str">
        <f>IF('21'!AA15=1,'21'!AR6,'21'!AR7)</f>
        <v>S.A.L</v>
      </c>
      <c r="V12" s="938">
        <f>ESCALA!$B$23</f>
        <v>0</v>
      </c>
      <c r="W12" s="938"/>
      <c r="X12" s="13">
        <v>0.29166666666666702</v>
      </c>
      <c r="Y12" s="52">
        <v>3008</v>
      </c>
      <c r="Z12" s="267">
        <v>1582</v>
      </c>
      <c r="AA12" s="52">
        <v>1</v>
      </c>
      <c r="AB12" s="56">
        <f>IF('21'!AA12=1,(('21'!Z12*'21'!$AS$6*'21'!$AT$6)/('21'!Y12*0.0036)),IF('21'!AA12=2,(('21'!Z12*'21'!$AS$7*'21'!$AT$7)/('21'!Y12*0.0036))))</f>
        <v>97.15111554373523</v>
      </c>
      <c r="AC12" s="56"/>
      <c r="AD12" s="18">
        <f>(('21'!AC12*'21'!$Q$10*1000000))/('21'!Y12*3600)</f>
        <v>0</v>
      </c>
      <c r="AE12" s="181"/>
      <c r="AF12" s="182">
        <f>('21'!AE12/24)*0.454</f>
        <v>0</v>
      </c>
      <c r="AG12" s="19"/>
      <c r="AH12" s="182">
        <f>('21'!AG12/24)*0.454</f>
        <v>0</v>
      </c>
      <c r="AI12" s="181">
        <v>5000</v>
      </c>
      <c r="AJ12" s="182">
        <f>('21'!AI12/24)*0.454</f>
        <v>94.583333333333343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2">
        <v>116</v>
      </c>
      <c r="C13" s="184">
        <v>10</v>
      </c>
      <c r="D13" s="184">
        <v>12</v>
      </c>
      <c r="E13" s="184">
        <v>6</v>
      </c>
      <c r="F13" s="184">
        <v>29</v>
      </c>
      <c r="G13" s="184">
        <v>1.6</v>
      </c>
      <c r="H13" s="184">
        <v>2.1</v>
      </c>
      <c r="I13" s="184">
        <v>0.4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3.4</v>
      </c>
      <c r="P13" s="184"/>
      <c r="Q13" s="186"/>
      <c r="R13" s="36">
        <f>'21'!Z17</f>
        <v>1582</v>
      </c>
      <c r="S13" s="35">
        <f>'21'!AB17</f>
        <v>96.989895637423018</v>
      </c>
      <c r="T13" s="36">
        <f>'21'!Y17</f>
        <v>3013</v>
      </c>
      <c r="U13" s="32" t="str">
        <f>IF('21'!AA17=1,'21'!AR6,'21'!AR7)</f>
        <v>S.A.L</v>
      </c>
      <c r="V13" s="938"/>
      <c r="W13" s="938"/>
      <c r="X13" s="13">
        <v>0.33333333333333298</v>
      </c>
      <c r="Y13" s="52">
        <v>3014</v>
      </c>
      <c r="Z13" s="267">
        <v>1582</v>
      </c>
      <c r="AA13" s="52">
        <v>1</v>
      </c>
      <c r="AB13" s="56">
        <f>IF('21'!AA13=1,(('21'!Z13*'21'!$AS$6*'21'!$AT$6)/('21'!Y13*0.0036)),IF('21'!AA13=2,(('21'!Z13*'21'!$AS$7*'21'!$AT$7)/('21'!Y13*0.0036))))</f>
        <v>96.957715844577152</v>
      </c>
      <c r="AC13" s="56"/>
      <c r="AD13" s="18">
        <f>(('21'!AC13*'21'!$Q$10*1000000))/('21'!Y13*3600)</f>
        <v>0</v>
      </c>
      <c r="AE13" s="181"/>
      <c r="AF13" s="182">
        <f>('21'!AE13/24)*0.454</f>
        <v>0</v>
      </c>
      <c r="AG13" s="19"/>
      <c r="AH13" s="182">
        <f>('21'!AG13/24)*0.454</f>
        <v>0</v>
      </c>
      <c r="AI13" s="181">
        <v>5000</v>
      </c>
      <c r="AJ13" s="182">
        <f>('21'!AI13/24)*0.454</f>
        <v>94.583333333333343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2">
        <v>118</v>
      </c>
      <c r="C14" s="184">
        <v>10</v>
      </c>
      <c r="D14" s="184">
        <v>12</v>
      </c>
      <c r="E14" s="184">
        <v>6</v>
      </c>
      <c r="F14" s="184">
        <v>30</v>
      </c>
      <c r="G14" s="184">
        <v>1.6</v>
      </c>
      <c r="H14" s="184">
        <v>2.1</v>
      </c>
      <c r="I14" s="184">
        <v>0.4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3.4</v>
      </c>
      <c r="P14" s="184"/>
      <c r="Q14" s="186"/>
      <c r="R14" s="36">
        <f>'21'!Z19</f>
        <v>1582</v>
      </c>
      <c r="S14" s="35">
        <f>'21'!AB19</f>
        <v>96.669055757709415</v>
      </c>
      <c r="T14" s="36">
        <f>'21'!Y19</f>
        <v>3023</v>
      </c>
      <c r="U14" s="32" t="str">
        <f>IF('21'!AA19=1,'21'!AR6,'21'!AR7)</f>
        <v>S.A.L</v>
      </c>
      <c r="V14" s="938"/>
      <c r="W14" s="938"/>
      <c r="X14" s="13">
        <v>0.375</v>
      </c>
      <c r="Y14" s="52">
        <v>3030</v>
      </c>
      <c r="Z14" s="267">
        <v>1582</v>
      </c>
      <c r="AA14" s="52">
        <v>1</v>
      </c>
      <c r="AB14" s="56">
        <f>IF('21'!AA14=1,(('21'!Z14*'21'!$AS$6*'21'!$AT$6)/('21'!Y14*0.0036)),IF('21'!AA14=2,(('21'!Z14*'21'!$AS$7*'21'!$AT$7)/('21'!Y14*0.0036))))</f>
        <v>96.445727906123949</v>
      </c>
      <c r="AC14" s="56"/>
      <c r="AD14" s="18">
        <f>(('21'!AC14*'21'!$Q$10*1000000))/('21'!Y14*3600)</f>
        <v>0</v>
      </c>
      <c r="AE14" s="181"/>
      <c r="AF14" s="182">
        <f>('21'!AE14/24)*0.454</f>
        <v>0</v>
      </c>
      <c r="AG14" s="19"/>
      <c r="AH14" s="182">
        <f>('21'!AG14/24)*0.454</f>
        <v>0</v>
      </c>
      <c r="AI14" s="181">
        <v>5000</v>
      </c>
      <c r="AJ14" s="182">
        <f>('21'!AI14/24)*0.454</f>
        <v>94.583333333333343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2">
        <v>140</v>
      </c>
      <c r="C15" s="184">
        <v>13</v>
      </c>
      <c r="D15" s="184">
        <v>15</v>
      </c>
      <c r="E15" s="184">
        <v>8</v>
      </c>
      <c r="F15" s="184">
        <v>38</v>
      </c>
      <c r="G15" s="184">
        <v>2.2999999999999998</v>
      </c>
      <c r="H15" s="184">
        <v>2.1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3.4</v>
      </c>
      <c r="P15" s="184"/>
      <c r="Q15" s="186"/>
      <c r="R15" s="36">
        <f>'21'!Z21</f>
        <v>1582</v>
      </c>
      <c r="S15" s="35">
        <f>'21'!AB21</f>
        <v>96.989895637423018</v>
      </c>
      <c r="T15" s="36">
        <f>'21'!Y21</f>
        <v>3013</v>
      </c>
      <c r="U15" s="32" t="str">
        <f>IF('21'!AA21=1,'21'!AR6,'21'!AR7)</f>
        <v>S.A.L</v>
      </c>
      <c r="V15" s="938"/>
      <c r="W15" s="938"/>
      <c r="X15" s="13">
        <v>0.41666666666666702</v>
      </c>
      <c r="Y15" s="52">
        <v>2988</v>
      </c>
      <c r="Z15" s="267">
        <v>1582</v>
      </c>
      <c r="AA15" s="52">
        <v>1</v>
      </c>
      <c r="AB15" s="56">
        <f>IF('21'!AA15=1,(('21'!Z15*'21'!$AS$6*'21'!$AT$6)/('21'!Y15*0.0036)),IF('21'!AA15=2,(('21'!Z15*'21'!$AS$7*'21'!$AT$7)/('21'!Y15*0.0036))))</f>
        <v>97.801390748177894</v>
      </c>
      <c r="AC15" s="56"/>
      <c r="AD15" s="18">
        <f>(('21'!AC15*'21'!$Q$10*1000000))/('21'!Y15*3600)</f>
        <v>0</v>
      </c>
      <c r="AE15" s="181"/>
      <c r="AF15" s="182">
        <f>('21'!AE15/24)*0.454</f>
        <v>0</v>
      </c>
      <c r="AG15" s="19"/>
      <c r="AH15" s="182">
        <f>('21'!AG15/24)*0.454</f>
        <v>0</v>
      </c>
      <c r="AI15" s="181">
        <v>5000</v>
      </c>
      <c r="AJ15" s="182">
        <f>('21'!AI15/24)*0.454</f>
        <v>94.583333333333343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2">
        <v>141</v>
      </c>
      <c r="C16" s="184">
        <v>13</v>
      </c>
      <c r="D16" s="184">
        <v>15</v>
      </c>
      <c r="E16" s="184">
        <v>8</v>
      </c>
      <c r="F16" s="184">
        <v>38</v>
      </c>
      <c r="G16" s="184">
        <v>2.2999999999999998</v>
      </c>
      <c r="H16" s="184">
        <v>2.1</v>
      </c>
      <c r="I16" s="184">
        <v>0.6</v>
      </c>
      <c r="J16" s="184">
        <v>0.9</v>
      </c>
      <c r="K16" s="184">
        <v>7.3</v>
      </c>
      <c r="L16" s="184">
        <v>6.5</v>
      </c>
      <c r="M16" s="184">
        <v>6.5</v>
      </c>
      <c r="N16" s="184">
        <v>6.3</v>
      </c>
      <c r="O16" s="184">
        <v>3.4</v>
      </c>
      <c r="P16" s="184"/>
      <c r="Q16" s="186"/>
      <c r="R16" s="36">
        <f>'21'!Z23</f>
        <v>1582</v>
      </c>
      <c r="S16" s="35">
        <f>'21'!AB23</f>
        <v>105.99584895014709</v>
      </c>
      <c r="T16" s="36">
        <f>'21'!Y23</f>
        <v>2757</v>
      </c>
      <c r="U16" s="32" t="str">
        <f>IF('21'!AA23=1,'21'!AR6,'21'!AR7)</f>
        <v>S.A.L</v>
      </c>
      <c r="V16" s="938"/>
      <c r="W16" s="938"/>
      <c r="X16" s="13">
        <v>0.45833333333333298</v>
      </c>
      <c r="Y16" s="52">
        <v>3047</v>
      </c>
      <c r="Z16" s="267">
        <v>1582</v>
      </c>
      <c r="AA16" s="52">
        <v>1</v>
      </c>
      <c r="AB16" s="56">
        <f>IF('21'!AA16=1,(('21'!Z16*'21'!$AS$6*'21'!$AT$6)/('21'!Y16*0.0036)),IF('21'!AA16=2,(('21'!Z16*'21'!$AS$7*'21'!$AT$7)/('21'!Y16*0.0036))))</f>
        <v>95.907632279473447</v>
      </c>
      <c r="AC16" s="56"/>
      <c r="AD16" s="18">
        <f>(('21'!AC16*'21'!$Q$10*1000000))/('21'!Y16*3600)</f>
        <v>0</v>
      </c>
      <c r="AE16" s="181"/>
      <c r="AF16" s="182">
        <f>('21'!AE16/24)*0.454</f>
        <v>0</v>
      </c>
      <c r="AG16" s="19"/>
      <c r="AH16" s="182">
        <f>('21'!AG16/24)*0.454</f>
        <v>0</v>
      </c>
      <c r="AI16" s="181">
        <v>5000</v>
      </c>
      <c r="AJ16" s="182">
        <f>('21'!AI16/24)*0.454</f>
        <v>94.583333333333343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2">
        <v>132</v>
      </c>
      <c r="C17" s="184">
        <v>12</v>
      </c>
      <c r="D17" s="184">
        <v>14</v>
      </c>
      <c r="E17" s="184">
        <v>7</v>
      </c>
      <c r="F17" s="184">
        <v>36</v>
      </c>
      <c r="G17" s="184">
        <v>2</v>
      </c>
      <c r="H17" s="184">
        <v>2.2999999999999998</v>
      </c>
      <c r="I17" s="184">
        <v>0.7</v>
      </c>
      <c r="J17" s="184">
        <v>1</v>
      </c>
      <c r="K17" s="184">
        <v>7.3</v>
      </c>
      <c r="L17" s="184">
        <v>6.5</v>
      </c>
      <c r="M17" s="184">
        <v>6.5</v>
      </c>
      <c r="N17" s="184">
        <v>6.3</v>
      </c>
      <c r="O17" s="184">
        <v>3.4</v>
      </c>
      <c r="P17" s="184"/>
      <c r="Q17" s="186"/>
      <c r="R17" s="36">
        <f>'21'!Z25</f>
        <v>1582</v>
      </c>
      <c r="S17" s="35">
        <f>'21'!AB25</f>
        <v>97.932491808162041</v>
      </c>
      <c r="T17" s="36">
        <f>'21'!Y25</f>
        <v>2984</v>
      </c>
      <c r="U17" s="32" t="str">
        <f>IF('21'!AA25=1,'21'!AR6,'21'!AR7)</f>
        <v>S.A.L</v>
      </c>
      <c r="V17" s="939">
        <f>ESCALA!$C$23</f>
        <v>0</v>
      </c>
      <c r="W17" s="939"/>
      <c r="X17" s="13">
        <v>0.5</v>
      </c>
      <c r="Y17" s="52">
        <v>3013</v>
      </c>
      <c r="Z17" s="267">
        <v>1582</v>
      </c>
      <c r="AA17" s="52">
        <v>1</v>
      </c>
      <c r="AB17" s="56">
        <f>IF('21'!AA17=1,(('21'!Z17*'21'!$AS$6*'21'!$AT$6)/('21'!Y17*0.0036)),IF('21'!AA17=2,(('21'!Z17*'21'!$AS$7*'21'!$AT$7)/('21'!Y17*0.0036))))</f>
        <v>96.989895637423018</v>
      </c>
      <c r="AC17" s="56"/>
      <c r="AD17" s="18">
        <f>(('21'!AC17*'21'!$Q$10*1000000))/('21'!Y17*3600)</f>
        <v>0</v>
      </c>
      <c r="AE17" s="181"/>
      <c r="AF17" s="182">
        <f>('21'!AE17/24)*0.454</f>
        <v>0</v>
      </c>
      <c r="AG17" s="19"/>
      <c r="AH17" s="182">
        <f>('21'!AG17/24)*0.454</f>
        <v>0</v>
      </c>
      <c r="AI17" s="181">
        <v>5000</v>
      </c>
      <c r="AJ17" s="182">
        <f>('21'!AI17/24)*0.454</f>
        <v>94.583333333333343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2">
        <v>130</v>
      </c>
      <c r="C18" s="184">
        <v>12</v>
      </c>
      <c r="D18" s="184">
        <v>15</v>
      </c>
      <c r="E18" s="184">
        <v>7</v>
      </c>
      <c r="F18" s="184">
        <v>35</v>
      </c>
      <c r="G18" s="184">
        <v>2</v>
      </c>
      <c r="H18" s="184">
        <v>2.5</v>
      </c>
      <c r="I18" s="184">
        <v>0.7</v>
      </c>
      <c r="J18" s="184">
        <v>1</v>
      </c>
      <c r="K18" s="184">
        <v>7.3</v>
      </c>
      <c r="L18" s="184">
        <v>6.5</v>
      </c>
      <c r="M18" s="184">
        <v>6.5</v>
      </c>
      <c r="N18" s="184">
        <v>6.3</v>
      </c>
      <c r="O18" s="184">
        <v>3.4</v>
      </c>
      <c r="P18" s="184"/>
      <c r="Q18" s="186"/>
      <c r="R18" s="36">
        <f>'21'!Z24</f>
        <v>1582</v>
      </c>
      <c r="S18" s="35">
        <f>'21'!AB27</f>
        <v>100.56109964059036</v>
      </c>
      <c r="T18" s="36">
        <f>'21'!Y27</f>
        <v>2906</v>
      </c>
      <c r="U18" s="32" t="str">
        <f>IF('21'!AA27=1,'21'!AR6,'21'!AR7)</f>
        <v>S.A.L</v>
      </c>
      <c r="V18" s="939"/>
      <c r="W18" s="939"/>
      <c r="X18" s="13">
        <v>0.54166666666666696</v>
      </c>
      <c r="Y18" s="52">
        <v>2978</v>
      </c>
      <c r="Z18" s="267">
        <v>1582</v>
      </c>
      <c r="AA18" s="52">
        <v>1</v>
      </c>
      <c r="AB18" s="56">
        <f>IF('21'!AA18=1,(('21'!Z18*'21'!$AS$6*'21'!$AT$6)/('21'!Y18*0.0036)),IF('21'!AA18=2,(('21'!Z18*'21'!$AS$7*'21'!$AT$7)/('21'!Y18*0.0036))))</f>
        <v>98.129803745989093</v>
      </c>
      <c r="AC18" s="56"/>
      <c r="AD18" s="18">
        <f>(('21'!AC18*'21'!$Q$10*1000000))/('21'!Y18*3600)</f>
        <v>0</v>
      </c>
      <c r="AE18" s="181"/>
      <c r="AF18" s="182">
        <f>('21'!AE18/24)*0.454</f>
        <v>0</v>
      </c>
      <c r="AG18" s="19"/>
      <c r="AH18" s="182">
        <f>('21'!AG18/24)*0.454</f>
        <v>0</v>
      </c>
      <c r="AI18" s="181">
        <v>5000</v>
      </c>
      <c r="AJ18" s="182">
        <f>('21'!AI18/24)*0.454</f>
        <v>94.583333333333343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129.08333333333334</v>
      </c>
      <c r="C19" s="189">
        <f>AVERAGE('21'!C7:C18)</f>
        <v>12.083333333333334</v>
      </c>
      <c r="D19" s="189">
        <f>AVERAGE('21'!D7:D18)</f>
        <v>13.083333333333334</v>
      </c>
      <c r="E19" s="189">
        <f>AVERAGE('21'!E7:E18)</f>
        <v>5.333333333333333</v>
      </c>
      <c r="F19" s="189">
        <f>AVERAGE('21'!F7:F18)</f>
        <v>34.333333333333336</v>
      </c>
      <c r="G19" s="189">
        <f>AVERAGE('21'!G7:G18)</f>
        <v>1.9833333333333334</v>
      </c>
      <c r="H19" s="189">
        <f>AVERAGE('21'!H7:H18)</f>
        <v>2.0333333333333337</v>
      </c>
      <c r="I19" s="189">
        <f>AVERAGE('21'!I7:I18)</f>
        <v>0.63333333333333341</v>
      </c>
      <c r="J19" s="189">
        <f>AVERAGE('21'!J7:J18)</f>
        <v>0.74166666666666659</v>
      </c>
      <c r="K19" s="189">
        <f>AVERAGE('21'!K7:K18)</f>
        <v>7.299999999999998</v>
      </c>
      <c r="L19" s="189">
        <f>AVERAGE('21'!L7:L18)</f>
        <v>6.4333333333333336</v>
      </c>
      <c r="M19" s="189">
        <f>AVERAGE('21'!M7:M18)</f>
        <v>6.4333333333333336</v>
      </c>
      <c r="N19" s="189">
        <f>AVERAGE('21'!N7:N18)</f>
        <v>6.1999999999999993</v>
      </c>
      <c r="O19" s="189">
        <f>AVERAGE('21'!O7:O18)</f>
        <v>3.2333333333333325</v>
      </c>
      <c r="P19" s="189" t="e">
        <f>AVERAGE('21'!P7:P18)</f>
        <v>#DIV/0!</v>
      </c>
      <c r="Q19" s="189" t="e">
        <f>AVERAGE('21'!Q7:Q18)</f>
        <v>#DIV/0!</v>
      </c>
      <c r="R19" s="189">
        <f>AVERAGE('21'!R7:R18)</f>
        <v>1582</v>
      </c>
      <c r="S19" s="189">
        <f>AVERAGE('21'!S7:S18)</f>
        <v>97.910245007439016</v>
      </c>
      <c r="T19" s="940"/>
      <c r="U19" s="940"/>
      <c r="V19" s="47"/>
      <c r="W19" s="48"/>
      <c r="X19" s="13">
        <v>0.58333333333333304</v>
      </c>
      <c r="Y19" s="52">
        <v>3023</v>
      </c>
      <c r="Z19" s="267">
        <v>1582</v>
      </c>
      <c r="AA19" s="52">
        <v>1</v>
      </c>
      <c r="AB19" s="56">
        <f>IF('21'!AA19=1,(('21'!Z19*'21'!$AS$6*'21'!$AT$6)/('21'!Y19*0.0036)),IF('21'!AA19=2,(('21'!Z19*'21'!$AS$7*'21'!$AT$7)/('21'!Y19*0.0036))))</f>
        <v>96.669055757709415</v>
      </c>
      <c r="AC19" s="56"/>
      <c r="AD19" s="18">
        <f>(('21'!AC19*'21'!$Q$10*1000000))/('21'!Y19*3600)</f>
        <v>0</v>
      </c>
      <c r="AE19" s="181"/>
      <c r="AF19" s="182">
        <f>('21'!AE19/24)*0.454</f>
        <v>0</v>
      </c>
      <c r="AG19" s="19"/>
      <c r="AH19" s="182">
        <f>('21'!AG19/24)*0.454</f>
        <v>0</v>
      </c>
      <c r="AI19" s="181">
        <v>5000</v>
      </c>
      <c r="AJ19" s="182">
        <f>('21'!AI19/24)*0.454</f>
        <v>94.583333333333343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141</v>
      </c>
      <c r="C20" s="68">
        <f>MAX('21'!C7:C18)</f>
        <v>15</v>
      </c>
      <c r="D20" s="68">
        <f>MAX('21'!D7:D18)</f>
        <v>15</v>
      </c>
      <c r="E20" s="68">
        <f>MAX('21'!E7:E18)</f>
        <v>8</v>
      </c>
      <c r="F20" s="68">
        <f>MAX('21'!F7:F18)</f>
        <v>38</v>
      </c>
      <c r="G20" s="68">
        <f>MAX('21'!G7:G18)</f>
        <v>2.2999999999999998</v>
      </c>
      <c r="H20" s="68">
        <f>MAX('21'!H7:H18)</f>
        <v>2.5</v>
      </c>
      <c r="I20" s="68">
        <f>MAX('21'!I7:I18)</f>
        <v>0.8</v>
      </c>
      <c r="J20" s="68">
        <f>MAX('21'!J7:J18)</f>
        <v>1</v>
      </c>
      <c r="K20" s="68">
        <f>MAX('21'!K7:K18)</f>
        <v>7.3</v>
      </c>
      <c r="L20" s="68">
        <f>MAX('21'!L7:L18)</f>
        <v>6.5</v>
      </c>
      <c r="M20" s="68">
        <f>MAX('21'!M7:M18)</f>
        <v>6.5</v>
      </c>
      <c r="N20" s="68">
        <f>MAX('21'!N7:N18)</f>
        <v>6.3</v>
      </c>
      <c r="O20" s="68">
        <f>MAX('21'!O7:O18)</f>
        <v>3.4</v>
      </c>
      <c r="P20" s="68">
        <f>MAX('21'!P7:P18)</f>
        <v>0</v>
      </c>
      <c r="Q20" s="68">
        <f>MAX('21'!Q7:Q18)</f>
        <v>0</v>
      </c>
      <c r="R20" s="68">
        <f>MAX('21'!R7:R18)</f>
        <v>1582</v>
      </c>
      <c r="S20" s="68">
        <f>MAX('21'!S7:S18)</f>
        <v>105.99584895014709</v>
      </c>
      <c r="T20" s="940"/>
      <c r="U20" s="940"/>
      <c r="X20" s="13">
        <v>0.625</v>
      </c>
      <c r="Y20" s="52">
        <v>3003</v>
      </c>
      <c r="Z20" s="267">
        <v>1582</v>
      </c>
      <c r="AA20" s="52">
        <v>1</v>
      </c>
      <c r="AB20" s="56">
        <f>IF('21'!AA20=1,(('21'!Z20*'21'!$AS$6*'21'!$AT$6)/('21'!Y20*0.0036)),IF('21'!AA20=2,(('21'!Z20*'21'!$AS$7*'21'!$AT$7)/('21'!Y20*0.0036))))</f>
        <v>97.312872312872301</v>
      </c>
      <c r="AC20" s="56"/>
      <c r="AD20" s="18">
        <f>(('21'!AC20*'21'!$Q$10*1000000))/('21'!Y20*3600)</f>
        <v>0</v>
      </c>
      <c r="AE20" s="181"/>
      <c r="AF20" s="182">
        <f>('21'!AE20/24)*0.454</f>
        <v>0</v>
      </c>
      <c r="AG20" s="19"/>
      <c r="AH20" s="182">
        <f>('21'!AG20/24)*0.454</f>
        <v>0</v>
      </c>
      <c r="AI20" s="181">
        <v>5000</v>
      </c>
      <c r="AJ20" s="182">
        <f>('21'!AI20/24)*0.454</f>
        <v>94.583333333333343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116</v>
      </c>
      <c r="C21" s="191">
        <f>MIN('21'!C7:C18)</f>
        <v>10</v>
      </c>
      <c r="D21" s="191">
        <f>MIN('21'!D7:D18)</f>
        <v>12</v>
      </c>
      <c r="E21" s="191">
        <f>MIN('21'!E7:E18)</f>
        <v>3</v>
      </c>
      <c r="F21" s="191">
        <f>MIN('21'!F7:F18)</f>
        <v>29</v>
      </c>
      <c r="G21" s="191">
        <f>MIN('21'!G7:G18)</f>
        <v>1.6</v>
      </c>
      <c r="H21" s="191">
        <f>MIN('21'!H7:H18)</f>
        <v>1.7</v>
      </c>
      <c r="I21" s="191">
        <f>MIN('21'!I7:I18)</f>
        <v>0.4</v>
      </c>
      <c r="J21" s="191">
        <f>MIN('21'!J7:J18)</f>
        <v>0.6</v>
      </c>
      <c r="K21" s="191">
        <f>MIN('21'!K7:K18)</f>
        <v>7.3</v>
      </c>
      <c r="L21" s="191">
        <f>MIN('21'!L7:L18)</f>
        <v>6.3</v>
      </c>
      <c r="M21" s="191">
        <f>MIN('21'!M7:M18)</f>
        <v>6.3</v>
      </c>
      <c r="N21" s="191">
        <f>MIN('21'!N7:N18)</f>
        <v>6</v>
      </c>
      <c r="O21" s="191">
        <f>MIN('21'!O7:O18)</f>
        <v>3</v>
      </c>
      <c r="P21" s="191">
        <f>MIN('21'!P7:P18)</f>
        <v>0</v>
      </c>
      <c r="Q21" s="191">
        <f>MIN('21'!Q7:Q18)</f>
        <v>0</v>
      </c>
      <c r="R21" s="191">
        <f>MIN('21'!R7:R18)</f>
        <v>1582</v>
      </c>
      <c r="S21" s="191">
        <f>MIN('21'!S7:S18)</f>
        <v>94.941700960219478</v>
      </c>
      <c r="T21" s="940"/>
      <c r="U21" s="940"/>
      <c r="X21" s="13">
        <v>0.66666666666666696</v>
      </c>
      <c r="Y21" s="52">
        <v>3013</v>
      </c>
      <c r="Z21" s="267">
        <v>1582</v>
      </c>
      <c r="AA21" s="52">
        <v>1</v>
      </c>
      <c r="AB21" s="56">
        <f>IF('21'!AA21=1,(('21'!Z21*'21'!$AS$6*'21'!$AT$6)/('21'!Y21*0.0036)),IF('21'!AA21=2,(('21'!Z21*'21'!$AS$7*'21'!$AT$7)/('21'!Y21*0.0036))))</f>
        <v>96.989895637423018</v>
      </c>
      <c r="AC21" s="56"/>
      <c r="AD21" s="18">
        <f>(('21'!AC21*'21'!$Q$10*1000000))/('21'!Y21*3600)</f>
        <v>0</v>
      </c>
      <c r="AE21" s="181"/>
      <c r="AF21" s="182">
        <f>('21'!AE21/24)*0.454</f>
        <v>0</v>
      </c>
      <c r="AG21" s="19"/>
      <c r="AH21" s="182">
        <f>('21'!AG21/24)*0.454</f>
        <v>0</v>
      </c>
      <c r="AI21" s="181">
        <v>5000</v>
      </c>
      <c r="AJ21" s="182">
        <f>('21'!AI21/24)*0.454</f>
        <v>94.583333333333343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3020</v>
      </c>
      <c r="Z22" s="267">
        <v>1582</v>
      </c>
      <c r="AA22" s="52">
        <v>1</v>
      </c>
      <c r="AB22" s="56">
        <f>IF('21'!AA22=1,(('21'!Z22*'21'!$AS$6*'21'!$AT$6)/('21'!Y22*0.0036)),IF('21'!AA22=2,(('21'!Z22*'21'!$AS$7*'21'!$AT$7)/('21'!Y22*0.0036))))</f>
        <v>96.765084621044878</v>
      </c>
      <c r="AC22" s="56"/>
      <c r="AD22" s="18">
        <f>(('21'!AC22*'21'!$Q$10*1000000))/('21'!Y22*3600)</f>
        <v>0</v>
      </c>
      <c r="AE22" s="181"/>
      <c r="AF22" s="182">
        <f>('21'!AE22/24)*0.454</f>
        <v>0</v>
      </c>
      <c r="AG22" s="19"/>
      <c r="AH22" s="182">
        <f>('21'!AG22/24)*0.454</f>
        <v>0</v>
      </c>
      <c r="AI22" s="181">
        <v>5000</v>
      </c>
      <c r="AJ22" s="182">
        <f>('21'!AI22/24)*0.454</f>
        <v>94.583333333333343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2757</v>
      </c>
      <c r="Z23" s="267">
        <v>1582</v>
      </c>
      <c r="AA23" s="52">
        <v>1</v>
      </c>
      <c r="AB23" s="56">
        <f>IF('21'!AA23=1,(('21'!Z23*'21'!$AS$6*'21'!$AT$6)/('21'!Y23*0.0036)),IF('21'!AA23=2,(('21'!Z23*'21'!$AS$7*'21'!$AT$7)/('21'!Y23*0.0036))))</f>
        <v>105.99584895014709</v>
      </c>
      <c r="AC23" s="56"/>
      <c r="AD23" s="18">
        <f>(('21'!AC23*'21'!$Q$10*1000000))/('21'!Y23*3600)</f>
        <v>0</v>
      </c>
      <c r="AE23" s="181"/>
      <c r="AF23" s="182">
        <f>('21'!AE23/24)*0.454</f>
        <v>0</v>
      </c>
      <c r="AG23" s="19"/>
      <c r="AH23" s="182">
        <f>('21'!AG23/24)*0.454</f>
        <v>0</v>
      </c>
      <c r="AI23" s="181">
        <v>5000</v>
      </c>
      <c r="AJ23" s="182">
        <f>('21'!AI23/24)*0.454</f>
        <v>94.583333333333343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2892</v>
      </c>
      <c r="Z24" s="267">
        <v>1582</v>
      </c>
      <c r="AA24" s="52">
        <v>1</v>
      </c>
      <c r="AB24" s="16">
        <f>IF('21'!AA24=1,(('21'!Z24*'21'!$AS$6*'21'!$AT$6)/('21'!Y24*0.0036)),IF('21'!AA24=2,(('21'!Z24*'21'!$AS$7*'21'!$AT$7)/('21'!Y24*0.0036))))</f>
        <v>101.04790994313817</v>
      </c>
      <c r="AC24" s="16"/>
      <c r="AD24" s="192">
        <f>(('21'!AC24*'21'!$Q$10*1000000))/('21'!Y24*3600)</f>
        <v>0</v>
      </c>
      <c r="AE24" s="181"/>
      <c r="AF24" s="193">
        <f>('21'!AE24/24)*0.454</f>
        <v>0</v>
      </c>
      <c r="AG24" s="19"/>
      <c r="AH24" s="193">
        <f>('21'!AG24/24)*0.454</f>
        <v>0</v>
      </c>
      <c r="AI24" s="181">
        <v>5000</v>
      </c>
      <c r="AJ24" s="193">
        <f>('21'!AI24/24)*0.454</f>
        <v>94.583333333333343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3"/>
      <c r="C25" s="303">
        <v>0.78</v>
      </c>
      <c r="D25" s="303">
        <v>0.86</v>
      </c>
      <c r="E25" s="303">
        <v>0.9</v>
      </c>
      <c r="F25" s="303">
        <v>0.74099999999999999</v>
      </c>
      <c r="G25" s="303"/>
      <c r="H25" s="303">
        <v>0.49</v>
      </c>
      <c r="I25" s="303">
        <v>0.67</v>
      </c>
      <c r="J25" s="303"/>
      <c r="K25" s="303">
        <v>0.59</v>
      </c>
      <c r="L25" s="303">
        <v>0.51</v>
      </c>
      <c r="M25" s="303">
        <v>0.36</v>
      </c>
      <c r="N25" s="303">
        <v>0.71</v>
      </c>
      <c r="O25" s="303">
        <v>0.66</v>
      </c>
      <c r="P25" s="303"/>
      <c r="Q25" s="303"/>
      <c r="R25" s="63" t="e">
        <f>#DIV/0!</f>
        <v>#DIV/0!</v>
      </c>
      <c r="S25" s="64"/>
      <c r="T25" s="1059" t="s">
        <v>0</v>
      </c>
      <c r="U25" s="1043">
        <f>ESCALA!$A$23</f>
        <v>44337</v>
      </c>
      <c r="X25" s="13">
        <v>0.83333333333333304</v>
      </c>
      <c r="Y25" s="52">
        <v>2984</v>
      </c>
      <c r="Z25" s="267">
        <v>1582</v>
      </c>
      <c r="AA25" s="52">
        <v>1</v>
      </c>
      <c r="AB25" s="56">
        <f>IF('21'!AA25=1,(('21'!Z25*'21'!$AS$6*'21'!$AT$6)/('21'!Y25*0.0036)),IF('21'!AA25=2,(('21'!Z25*'21'!$AS$7*'21'!$AT$7)/('21'!Y25*0.0036))))</f>
        <v>97.932491808162041</v>
      </c>
      <c r="AC25" s="56"/>
      <c r="AD25" s="18">
        <f>(('21'!AC25*'21'!$Q$10*1000000))/('21'!Y25*3600)</f>
        <v>0</v>
      </c>
      <c r="AE25" s="181"/>
      <c r="AF25" s="182">
        <f>('21'!AE25/24)*0.454</f>
        <v>0</v>
      </c>
      <c r="AG25" s="19"/>
      <c r="AH25" s="182">
        <f>('21'!AG25/24)*0.454</f>
        <v>0</v>
      </c>
      <c r="AI25" s="181">
        <v>5000</v>
      </c>
      <c r="AJ25" s="182">
        <f>('21'!AI25/24)*0.454</f>
        <v>94.583333333333343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3"/>
      <c r="C26" s="303"/>
      <c r="D26" s="303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63" t="e">
        <f>#DIV/0!</f>
        <v>#DIV/0!</v>
      </c>
      <c r="S26" s="65"/>
      <c r="T26" s="1059"/>
      <c r="U26" s="1043"/>
      <c r="X26" s="13">
        <v>0.875</v>
      </c>
      <c r="Y26" s="52">
        <v>2932</v>
      </c>
      <c r="Z26" s="267">
        <v>1582</v>
      </c>
      <c r="AA26" s="52">
        <v>1</v>
      </c>
      <c r="AB26" s="56">
        <f>IF('21'!AA26=1,(('21'!Z26*'21'!$AS$6*'21'!$AT$6)/('21'!Y26*0.0036)),IF('21'!AA26=2,(('21'!Z26*'21'!$AS$7*'21'!$AT$7)/('21'!Y26*0.0036))))</f>
        <v>99.669357283613763</v>
      </c>
      <c r="AC26" s="56"/>
      <c r="AD26" s="18">
        <f>(('21'!AC26*'21'!$Q$10*1000000))/('21'!Y26*3600)</f>
        <v>0</v>
      </c>
      <c r="AE26" s="181"/>
      <c r="AF26" s="182">
        <f>('21'!AE26/24)*0.454</f>
        <v>0</v>
      </c>
      <c r="AG26" s="19"/>
      <c r="AH26" s="182">
        <f>('21'!AG26/24)*0.454</f>
        <v>0</v>
      </c>
      <c r="AI26" s="181">
        <v>5000</v>
      </c>
      <c r="AJ26" s="182">
        <f>('21'!AI26/24)*0.454</f>
        <v>94.583333333333343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2906</v>
      </c>
      <c r="Z27" s="267">
        <v>1582</v>
      </c>
      <c r="AA27" s="52">
        <v>1</v>
      </c>
      <c r="AB27" s="56">
        <f>IF('21'!AA27=1,(('21'!Z24*'21'!$AS$6*'21'!$AT$6)/('21'!Y27*0.0036)),IF('21'!AA27=2,(('21'!Z24*'21'!$AS$7*'21'!$AT$7)/('21'!Y27*0.0036))))</f>
        <v>100.56109964059036</v>
      </c>
      <c r="AC27" s="56"/>
      <c r="AD27" s="18">
        <f>(('21'!AC27*'21'!$Q$10*1000000))/('21'!Y27*3600)</f>
        <v>0</v>
      </c>
      <c r="AE27" s="181"/>
      <c r="AF27" s="182">
        <f>('21'!AE27/24)*0.454</f>
        <v>0</v>
      </c>
      <c r="AG27" s="19"/>
      <c r="AH27" s="182">
        <f>('21'!AG27/24)*0.454</f>
        <v>0</v>
      </c>
      <c r="AI27" s="181">
        <v>5000</v>
      </c>
      <c r="AJ27" s="182">
        <f>('21'!AI27/24)*0.454</f>
        <v>94.583333333333343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2886</v>
      </c>
      <c r="Z28" s="267">
        <v>1582</v>
      </c>
      <c r="AA28" s="52">
        <v>1</v>
      </c>
      <c r="AB28" s="56">
        <f>IF('21'!AA28=1,(('21'!Z25*'21'!$AS$6*'21'!$AT$6)/('21'!Y28*0.0036)),IF('21'!AA28=2,(('21'!Z25*'21'!$AS$7*'21'!$AT$7)/('21'!Y28*0.0036))))</f>
        <v>101.25798875798876</v>
      </c>
      <c r="AC28" s="56"/>
      <c r="AD28" s="18">
        <f>(('21'!AC28*'21'!$Q$10*1000000))/('21'!Y28*3600)</f>
        <v>0</v>
      </c>
      <c r="AE28" s="181"/>
      <c r="AF28" s="182">
        <f>('21'!AE28/24)*0.454</f>
        <v>0</v>
      </c>
      <c r="AG28" s="19"/>
      <c r="AH28" s="182">
        <f>('21'!AG28/24)*0.454</f>
        <v>0</v>
      </c>
      <c r="AI28" s="181">
        <v>5000</v>
      </c>
      <c r="AJ28" s="182">
        <f>('21'!AI28/24)*0.454</f>
        <v>94.583333333333343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2877</v>
      </c>
      <c r="Z29" s="267">
        <v>1582</v>
      </c>
      <c r="AA29" s="52">
        <v>1</v>
      </c>
      <c r="AB29" s="56">
        <f>IF('21'!AA29=1,(('21'!Z26*'21'!$AS$6*'21'!$AT$6)/('21'!Y29*0.0036)),IF('21'!AA29=2,(('21'!Z26*'21'!$AS$7*'21'!$AT$7)/('21'!Y29*0.0036))))</f>
        <v>101.57474993241418</v>
      </c>
      <c r="AC29" s="56"/>
      <c r="AD29" s="18">
        <f>(('21'!AC29*'21'!$Q$10*1000000))/('21'!Y29*3600)</f>
        <v>0</v>
      </c>
      <c r="AE29" s="181"/>
      <c r="AF29" s="182">
        <f>('21'!AE29/24)*0.454</f>
        <v>0</v>
      </c>
      <c r="AG29" s="19"/>
      <c r="AH29" s="182">
        <f>('21'!AG29/24)*0.454</f>
        <v>0</v>
      </c>
      <c r="AI29" s="181">
        <v>5000</v>
      </c>
      <c r="AJ29" s="182">
        <f>('21'!AI29/24)*0.454</f>
        <v>94.583333333333343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SUM('21'!Y6:Y29)*3.6</f>
        <v>257734.80000000002</v>
      </c>
      <c r="Z30" s="80">
        <f>SUM('21'!Z6:Z29)</f>
        <v>37968</v>
      </c>
      <c r="AA30" s="76"/>
      <c r="AB30" s="77"/>
      <c r="AC30" s="76"/>
      <c r="AD30" s="77"/>
      <c r="AE30" s="33"/>
      <c r="AF30" s="182">
        <f>SUM('21'!AF6:AF29)</f>
        <v>0</v>
      </c>
      <c r="AG30" s="33"/>
      <c r="AH30" s="182">
        <f>SUM('21'!AH6:AH29)</f>
        <v>0</v>
      </c>
      <c r="AI30" s="33"/>
      <c r="AJ30" s="182">
        <f>SUM('21'!AJ6:AJ29)</f>
        <v>2270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SUMIF('21'!AA6:AA29,"=1",'21'!Z6:Z29)</f>
        <v>37968</v>
      </c>
      <c r="AA32" s="80">
        <f>'21'!Z32*'21'!AS6</f>
        <v>50497.440000000002</v>
      </c>
      <c r="AB32" s="81">
        <f>SUMIF('21'!$AA$6:$AA$29,"=1",'21'!$AB$6:$AB$29)/COUNTIF('21'!$AA$6:$AA$29,"=1")</f>
        <v>98.022563377892411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AVERAGE('21'!Y6:Y29)</f>
        <v>2983.0416666666665</v>
      </c>
      <c r="Z34" s="94">
        <f>AVERAGE('21'!Z6:Z29)</f>
        <v>1582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0</v>
      </c>
      <c r="AG34" s="96"/>
      <c r="AH34" s="96">
        <f>AVERAGE('21'!AH6:AH29)</f>
        <v>0</v>
      </c>
      <c r="AI34" s="96"/>
      <c r="AJ34" s="96">
        <f>'21'!AJ30/24</f>
        <v>94.583333333333329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951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951"/>
      <c r="X36" s="103" t="s">
        <v>73</v>
      </c>
      <c r="Y36" s="104">
        <v>0</v>
      </c>
      <c r="Z36" s="105"/>
      <c r="AA36" s="106" t="s">
        <v>74</v>
      </c>
      <c r="AB36" s="104">
        <v>7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69.7</v>
      </c>
      <c r="D37" s="184">
        <v>37.799999999999997</v>
      </c>
      <c r="E37" s="184">
        <v>23.9</v>
      </c>
      <c r="F37" s="184">
        <v>1.8</v>
      </c>
      <c r="G37" s="181">
        <v>0.2</v>
      </c>
      <c r="H37" s="181">
        <v>0.2</v>
      </c>
      <c r="I37" s="181">
        <v>0.15</v>
      </c>
      <c r="J37" s="181">
        <v>0.04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'21'!V12</f>
        <v>0</v>
      </c>
      <c r="X37" s="956" t="s">
        <v>75</v>
      </c>
      <c r="Y37" s="956"/>
      <c r="Z37" s="108">
        <f>COUNTA('21'!Z6:Z29)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0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2270</v>
      </c>
      <c r="AQ38" s="208" t="s">
        <v>78</v>
      </c>
      <c r="AR38" s="210">
        <f>'21'!AP30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0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8.8075029060879633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SUM('21'!AK38,'21'!AM38)</f>
        <v>0</v>
      </c>
      <c r="AM40" s="969"/>
      <c r="AO40" s="970" t="s">
        <v>90</v>
      </c>
      <c r="AP40" s="970"/>
      <c r="AQ40" s="1100">
        <f>SUM('21'!AP38,'21'!AR38)</f>
        <v>2270</v>
      </c>
      <c r="AR40" s="1100"/>
    </row>
    <row r="41" spans="1:44" ht="16.5" customHeight="1">
      <c r="A41" s="131">
        <f>COUNTA('21'!E7:E18)</f>
        <v>12</v>
      </c>
      <c r="B41" s="132">
        <f>COUNTA('21'!I7:I18)</f>
        <v>12</v>
      </c>
      <c r="C41" s="972">
        <f>COUNTA('21'!J7:J18)</f>
        <v>12</v>
      </c>
      <c r="D41" s="972">
        <f>COUNTA('21'!K7:K18)</f>
        <v>12</v>
      </c>
      <c r="E41" s="972">
        <f>COUNTIF('21'!E7:E18,"&gt;15")</f>
        <v>0</v>
      </c>
      <c r="F41" s="972"/>
      <c r="G41" s="972">
        <f>COUNTIF('21'!J7:J18,"&gt;1")</f>
        <v>0</v>
      </c>
      <c r="H41" s="972"/>
      <c r="I41" s="133"/>
      <c r="J41" s="972">
        <f>'21'!A41-'21'!E41</f>
        <v>12</v>
      </c>
      <c r="K41" s="972"/>
      <c r="L41" s="972">
        <f>'21'!C41-'21'!G41</f>
        <v>12</v>
      </c>
      <c r="M41" s="972"/>
      <c r="N41" s="133"/>
      <c r="O41" s="973">
        <f>COUNTIF('21'!J7:J18,"&lt;=0,5")</f>
        <v>0</v>
      </c>
      <c r="P41" s="973"/>
      <c r="Q41" s="973"/>
      <c r="R41" s="963"/>
      <c r="S41" s="974">
        <f>COUNTIF('21'!J7:J18,"&lt;=1,0")</f>
        <v>12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SUM(('21'!AK38+'21'!AM38)/'21'!Y30)*1000</f>
        <v>0</v>
      </c>
      <c r="AM41" s="975"/>
      <c r="AO41" s="970" t="s">
        <v>91</v>
      </c>
      <c r="AP41" s="970"/>
      <c r="AQ41" s="975">
        <f>SUM(('21'!AP38+'21'!AR38)/'21'!Y30)*1000</f>
        <v>8.8075029060879633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155</v>
      </c>
      <c r="Z44" s="142" t="s">
        <v>101</v>
      </c>
      <c r="AA44" s="143"/>
      <c r="AB44" s="142" t="s">
        <v>101</v>
      </c>
      <c r="AC44" s="143">
        <v>36</v>
      </c>
      <c r="AD44" s="982"/>
      <c r="AE44" s="982"/>
      <c r="AF44" s="983" t="s">
        <v>102</v>
      </c>
      <c r="AG44" s="996">
        <f>SUM('21'!Y45,'21'!AA45,'21'!AC45,'21'!AE45)</f>
        <v>206668.7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COUNTIF('21'!I7:I18,"&lt;=5,0")</f>
        <v>12</v>
      </c>
      <c r="I45" s="986"/>
      <c r="J45" s="986"/>
      <c r="K45" s="133"/>
      <c r="L45" s="968">
        <f>COUNTA('21'!L37)</f>
        <v>0</v>
      </c>
      <c r="M45" s="968"/>
      <c r="O45" s="144"/>
      <c r="P45" s="145"/>
      <c r="Q45" s="987">
        <f>'21'!S41-'21'!O41</f>
        <v>12</v>
      </c>
      <c r="R45" s="987"/>
      <c r="S45" s="987"/>
      <c r="T45" s="146"/>
      <c r="X45" s="147" t="s">
        <v>104</v>
      </c>
      <c r="Y45" s="148">
        <f>'21'!Y44*275.3</f>
        <v>42671.5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9997.1999999999989</v>
      </c>
      <c r="AD45" s="147" t="s">
        <v>104</v>
      </c>
      <c r="AE45" s="149">
        <v>154000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89" t="s">
        <v>106</v>
      </c>
      <c r="AG46" s="990">
        <f>SUM('21'!Y47,'21'!AA47,'21'!AC47,'21'!AE47)</f>
        <v>274869.37099999998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'21'!Y45*'21'!Y46</f>
        <v>56753.095000000001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13296.276</v>
      </c>
      <c r="AD47" s="147" t="s">
        <v>108</v>
      </c>
      <c r="AE47" s="148">
        <f>'21'!AE45*'21'!AE46</f>
        <v>204820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COUNTA('21'!O7:O18)</f>
        <v>12</v>
      </c>
      <c r="P51" s="968">
        <f>COUNTA('21'!W17:W28)</f>
        <v>0</v>
      </c>
      <c r="R51" s="986">
        <f>COUNTIF('21'!O7:O18,"&gt;=0,5")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SUM('21'!Y53,'21'!AA53,'21'!AC53,'21'!AE53)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'21'!AS7</f>
        <v>1.262</v>
      </c>
      <c r="Z54" s="151" t="s">
        <v>105</v>
      </c>
      <c r="AA54" s="153">
        <f>'21'!Y54</f>
        <v>1.262</v>
      </c>
      <c r="AB54" s="151" t="s">
        <v>105</v>
      </c>
      <c r="AC54" s="153">
        <f>'21'!Y54</f>
        <v>1.262</v>
      </c>
      <c r="AD54" s="151" t="s">
        <v>105</v>
      </c>
      <c r="AE54" s="154">
        <f>'21'!Y54</f>
        <v>1.262</v>
      </c>
      <c r="AF54" s="989" t="s">
        <v>106</v>
      </c>
      <c r="AG54" s="990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'10'!AJ55</f>
        <v>1.262</v>
      </c>
      <c r="AM55" s="151" t="s">
        <v>105</v>
      </c>
      <c r="AN55" s="152">
        <f>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COUNTA('21'!N7:N18)</f>
        <v>12</v>
      </c>
      <c r="P57" s="997"/>
      <c r="R57" s="998">
        <f>COUNTIF('21'!N7:N18,"&gt;=6")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  <c r="AF58" t="s">
        <v>145</v>
      </c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'20'!$Y$68</f>
        <v>-2122.4499999999994</v>
      </c>
      <c r="Z65" s="1007"/>
      <c r="AA65" s="1007"/>
      <c r="AB65" s="174" t="s">
        <v>126</v>
      </c>
      <c r="AC65" s="238">
        <f>'20'!$AC$68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SUM('21'!AK38,'21'!AP38)</f>
        <v>2270</v>
      </c>
      <c r="Z67" s="1007"/>
      <c r="AA67" s="1007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-4392.4499999999989</v>
      </c>
      <c r="Z68" s="1007"/>
      <c r="AA68" s="1007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A20" sqref="AA20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3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3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278">
        <v>2910</v>
      </c>
      <c r="Z6" s="180">
        <v>1582</v>
      </c>
      <c r="AA6" s="15">
        <v>1</v>
      </c>
      <c r="AB6" s="56">
        <f>IF('22'!AA6=1,(('22'!Z6*'22'!$AS$6*'22'!$AT$6)/('22'!Y6*0.0036)),IF('22'!AA6=2,(('22'!Z6*'22'!$AS$7*'22'!$AT$7)/('22'!Y6*0.0036))))</f>
        <v>100.42287132493318</v>
      </c>
      <c r="AC6" s="56"/>
      <c r="AD6" s="18">
        <f>(('22'!AC6*'22'!$Q$10*1000000))/('22'!Y6*3600)</f>
        <v>0</v>
      </c>
      <c r="AE6" s="181"/>
      <c r="AF6" s="182">
        <f>('22'!AE6/24)*0.454</f>
        <v>0</v>
      </c>
      <c r="AG6" s="19"/>
      <c r="AH6" s="182">
        <f>('22'!AG6/24)*0.454</f>
        <v>0</v>
      </c>
      <c r="AI6" s="181">
        <v>5000</v>
      </c>
      <c r="AJ6" s="182">
        <f>('22'!AI6/24)*0.454</f>
        <v>94.583333333333343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2">
        <v>129</v>
      </c>
      <c r="C7" s="184">
        <v>13</v>
      </c>
      <c r="D7" s="184">
        <v>17</v>
      </c>
      <c r="E7" s="184">
        <v>7</v>
      </c>
      <c r="F7" s="184">
        <v>33</v>
      </c>
      <c r="G7" s="184">
        <v>2</v>
      </c>
      <c r="H7" s="184">
        <v>2.7</v>
      </c>
      <c r="I7" s="184">
        <v>0.7</v>
      </c>
      <c r="J7" s="184">
        <v>1</v>
      </c>
      <c r="K7" s="184">
        <v>7.3</v>
      </c>
      <c r="L7" s="184">
        <v>6.5</v>
      </c>
      <c r="M7" s="184">
        <v>6.5</v>
      </c>
      <c r="N7" s="184">
        <v>6.3</v>
      </c>
      <c r="O7" s="184">
        <v>3</v>
      </c>
      <c r="P7" s="184"/>
      <c r="Q7" s="186"/>
      <c r="R7" s="36">
        <f>'21'!$Z$26</f>
        <v>1582</v>
      </c>
      <c r="S7" s="185">
        <f>'21'!$AB$29</f>
        <v>101.57474993241418</v>
      </c>
      <c r="T7" s="36">
        <f>'21'!$Y$29</f>
        <v>2877</v>
      </c>
      <c r="U7" s="32" t="str">
        <f>IF('22'!AA6=1,'22'!AR6,'22'!AR7)</f>
        <v>S.A.L</v>
      </c>
      <c r="V7" s="1016">
        <f>ESCALA!$C$23</f>
        <v>0</v>
      </c>
      <c r="W7" s="1016"/>
      <c r="X7" s="13">
        <v>8.3333333333333301E-2</v>
      </c>
      <c r="Y7" s="278">
        <v>2913</v>
      </c>
      <c r="Z7" s="180">
        <v>1582</v>
      </c>
      <c r="AA7" s="15">
        <v>1</v>
      </c>
      <c r="AB7" s="56">
        <f>IF('22'!AA7=1,(('22'!Z7*'22'!$AS$6*'22'!$AT$6)/('22'!Y7*0.0036)),IF('22'!AA7=2,(('22'!Z7*'22'!$AS$7*'22'!$AT$7)/('22'!Y7*0.0036))))</f>
        <v>100.31944921234313</v>
      </c>
      <c r="AC7" s="56"/>
      <c r="AD7" s="18">
        <f>(('22'!AC7*'22'!$Q$10*1000000))/('22'!Y7*3600)</f>
        <v>0</v>
      </c>
      <c r="AE7" s="181"/>
      <c r="AF7" s="182">
        <f>('22'!AE7/24)*0.454</f>
        <v>0</v>
      </c>
      <c r="AG7" s="19"/>
      <c r="AH7" s="182">
        <f>('22'!AG7/24)*0.454</f>
        <v>0</v>
      </c>
      <c r="AI7" s="181">
        <v>5000</v>
      </c>
      <c r="AJ7" s="182">
        <f>('22'!AI9/24)*0.454</f>
        <v>94.583333333333343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144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2">
        <v>128</v>
      </c>
      <c r="C8" s="184">
        <v>13</v>
      </c>
      <c r="D8" s="184">
        <v>18</v>
      </c>
      <c r="E8" s="184">
        <v>7</v>
      </c>
      <c r="F8" s="184">
        <v>33</v>
      </c>
      <c r="G8" s="184">
        <v>2</v>
      </c>
      <c r="H8" s="184">
        <v>3</v>
      </c>
      <c r="I8" s="184">
        <v>0.7</v>
      </c>
      <c r="J8" s="184">
        <v>1</v>
      </c>
      <c r="K8" s="184">
        <v>7.3</v>
      </c>
      <c r="L8" s="184">
        <v>6.5</v>
      </c>
      <c r="M8" s="184">
        <v>6.5</v>
      </c>
      <c r="N8" s="184">
        <v>6.3</v>
      </c>
      <c r="O8" s="184">
        <v>3</v>
      </c>
      <c r="P8" s="184"/>
      <c r="Q8" s="186"/>
      <c r="R8" s="34">
        <f>'22'!Z8</f>
        <v>1582</v>
      </c>
      <c r="S8" s="35">
        <f>'22'!AB7</f>
        <v>100.31944921234313</v>
      </c>
      <c r="T8" s="36">
        <f>'22'!Y7</f>
        <v>2913</v>
      </c>
      <c r="U8" s="32" t="str">
        <f>IF('22'!AA7=1,'22'!AR6,'22'!AR7)</f>
        <v>S.A.L</v>
      </c>
      <c r="V8" s="1016"/>
      <c r="W8" s="1016"/>
      <c r="X8" s="13">
        <v>0.125</v>
      </c>
      <c r="Y8" s="278">
        <v>2926</v>
      </c>
      <c r="Z8" s="180">
        <v>1582</v>
      </c>
      <c r="AA8" s="15">
        <v>1</v>
      </c>
      <c r="AB8" s="56">
        <f>IF('22'!AA8=1,(('22'!Z8*'22'!$AS$6*'22'!$AT$6)/('22'!Y8*0.0036)),IF('22'!AA8=2,(('22'!Z8*'22'!$AS$7*'22'!$AT$7)/('22'!Y8*0.0036))))</f>
        <v>99.87373737373737</v>
      </c>
      <c r="AC8" s="56"/>
      <c r="AD8" s="18">
        <f>(('22'!AC8*'22'!$Q$10*1000000))/('22'!Y8*3600)</f>
        <v>0</v>
      </c>
      <c r="AE8" s="181"/>
      <c r="AF8" s="182">
        <f>('22'!AE8/24)*0.454</f>
        <v>0</v>
      </c>
      <c r="AG8" s="19"/>
      <c r="AH8" s="182">
        <f>('22'!AG8/24)*0.454</f>
        <v>0</v>
      </c>
      <c r="AI8" s="181">
        <v>5000</v>
      </c>
      <c r="AJ8" s="182">
        <f>('22'!AI10/24)*0.454</f>
        <v>94.583333333333343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302">
        <v>126</v>
      </c>
      <c r="C9" s="184">
        <v>14</v>
      </c>
      <c r="D9" s="184">
        <v>20</v>
      </c>
      <c r="E9" s="184">
        <v>8</v>
      </c>
      <c r="F9" s="184">
        <v>32</v>
      </c>
      <c r="G9" s="184">
        <v>2.1</v>
      </c>
      <c r="H9" s="184">
        <v>3.4</v>
      </c>
      <c r="I9" s="184">
        <v>0.7</v>
      </c>
      <c r="J9" s="184">
        <v>1.1000000000000001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/>
      <c r="Q9" s="186"/>
      <c r="R9" s="34">
        <f>'22'!Z10</f>
        <v>1582</v>
      </c>
      <c r="S9" s="35">
        <f>'22'!AB9</f>
        <v>101.08286252354048</v>
      </c>
      <c r="T9" s="36">
        <f>'22'!Y9</f>
        <v>2891</v>
      </c>
      <c r="U9" s="32" t="str">
        <f>IF('22'!AA9=1,'22'!AR6,'22'!AR7)</f>
        <v>S.A.L</v>
      </c>
      <c r="V9" s="1016"/>
      <c r="W9" s="1016"/>
      <c r="X9" s="13">
        <v>0.16666666666666699</v>
      </c>
      <c r="Y9" s="278">
        <v>2891</v>
      </c>
      <c r="Z9" s="180">
        <v>1582</v>
      </c>
      <c r="AA9" s="15">
        <v>1</v>
      </c>
      <c r="AB9" s="56">
        <f>IF('22'!AA9=1,(('22'!Z9*'22'!$AS$6*'22'!$AT$6)/('22'!Y9*0.0036)),IF('22'!AA9=2,(('22'!Z9*'22'!$AS$7*'22'!$AT$7)/('22'!Y9*0.0036))))</f>
        <v>101.08286252354048</v>
      </c>
      <c r="AC9" s="56"/>
      <c r="AD9" s="18">
        <f>(('22'!AC9*'22'!$Q$10*1000000))/('22'!Y9*3600)</f>
        <v>0</v>
      </c>
      <c r="AE9" s="181"/>
      <c r="AF9" s="182">
        <f>('22'!AE9/24)*0.454</f>
        <v>0</v>
      </c>
      <c r="AG9" s="19"/>
      <c r="AH9" s="182">
        <f>('22'!AG9/24)*0.454</f>
        <v>0</v>
      </c>
      <c r="AI9" s="181">
        <v>5000</v>
      </c>
      <c r="AJ9" s="182">
        <f>('22'!AI11/24)*0.454</f>
        <v>94.583333333333343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302">
        <v>126</v>
      </c>
      <c r="C10" s="184">
        <v>15</v>
      </c>
      <c r="D10" s="184">
        <v>21</v>
      </c>
      <c r="E10" s="184">
        <v>8</v>
      </c>
      <c r="F10" s="184">
        <v>32</v>
      </c>
      <c r="G10" s="184">
        <v>2.1</v>
      </c>
      <c r="H10" s="184">
        <v>3.6</v>
      </c>
      <c r="I10" s="184">
        <v>0.7</v>
      </c>
      <c r="J10" s="184">
        <v>1.1000000000000001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/>
      <c r="Q10" s="186"/>
      <c r="R10" s="36">
        <f>'22'!Z12</f>
        <v>1582</v>
      </c>
      <c r="S10" s="35">
        <f>'22'!AB11</f>
        <v>100.49193794895308</v>
      </c>
      <c r="T10" s="36">
        <f>'22'!Y11</f>
        <v>2908</v>
      </c>
      <c r="U10" s="32" t="str">
        <f>IF('22'!AA11=1,'22'!AR6,'22'!AR7)</f>
        <v>S.A.L</v>
      </c>
      <c r="V10" s="1016"/>
      <c r="W10" s="1016"/>
      <c r="X10" s="13">
        <v>0.20833333333333301</v>
      </c>
      <c r="Y10" s="278">
        <v>2902</v>
      </c>
      <c r="Z10" s="180">
        <v>1582</v>
      </c>
      <c r="AA10" s="15">
        <v>1</v>
      </c>
      <c r="AB10" s="56">
        <f>IF('22'!AA10=1,(('22'!Z10*'22'!$AS$6*'22'!$AT$6)/('22'!Y10*0.0036)),IF('22'!AA10=2,(('22'!Z10*'22'!$AS$7*'22'!$AT$7)/('22'!Y10*0.0036))))</f>
        <v>100.69970901294126</v>
      </c>
      <c r="AC10" s="56"/>
      <c r="AD10" s="18">
        <f>(('22'!AC10*'22'!$Q$10*1000000))/('22'!Y10*3600)</f>
        <v>0</v>
      </c>
      <c r="AE10" s="181"/>
      <c r="AF10" s="182">
        <f>('22'!AE10/24)*0.454</f>
        <v>0</v>
      </c>
      <c r="AG10" s="19"/>
      <c r="AH10" s="182">
        <f>('22'!AG10/24)*0.454</f>
        <v>0</v>
      </c>
      <c r="AI10" s="181">
        <v>5000</v>
      </c>
      <c r="AJ10" s="182">
        <f>('22'!AI12/24)*0.454</f>
        <v>94.583333333333343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302">
        <v>121</v>
      </c>
      <c r="C11" s="184">
        <v>14.2</v>
      </c>
      <c r="D11" s="184">
        <v>11</v>
      </c>
      <c r="E11" s="184">
        <v>4.8</v>
      </c>
      <c r="F11" s="184">
        <v>31</v>
      </c>
      <c r="G11" s="184">
        <v>1.6</v>
      </c>
      <c r="H11" s="184">
        <v>1.9</v>
      </c>
      <c r="I11" s="184">
        <v>0.8</v>
      </c>
      <c r="J11" s="184">
        <v>1</v>
      </c>
      <c r="K11" s="184">
        <v>7.3</v>
      </c>
      <c r="L11" s="184">
        <v>6.5</v>
      </c>
      <c r="M11" s="184">
        <v>6.5</v>
      </c>
      <c r="N11" s="184">
        <v>6.3</v>
      </c>
      <c r="O11" s="184">
        <v>3</v>
      </c>
      <c r="P11" s="184"/>
      <c r="Q11" s="186"/>
      <c r="R11" s="36">
        <f>'22'!Z14</f>
        <v>1582</v>
      </c>
      <c r="S11" s="35">
        <f>'22'!AB13</f>
        <v>10.306138443151315</v>
      </c>
      <c r="T11" s="36">
        <f>'22'!Y13</f>
        <v>28355</v>
      </c>
      <c r="U11" s="32" t="str">
        <f>IF('22'!AA13=1,'22'!AR6,'22'!AR7)</f>
        <v>S.A.L</v>
      </c>
      <c r="V11" s="1016"/>
      <c r="W11" s="1016"/>
      <c r="X11" s="13">
        <v>0.25</v>
      </c>
      <c r="Y11" s="278">
        <v>2908</v>
      </c>
      <c r="Z11" s="180">
        <v>1582</v>
      </c>
      <c r="AA11" s="15">
        <v>1</v>
      </c>
      <c r="AB11" s="56">
        <f>IF('22'!AA11=1,(('22'!Z11*'22'!$AS$6*'22'!$AT$6)/('22'!Y11*0.0036)),IF('22'!AA11=2,(('22'!Z11*'22'!$AS$7*'22'!$AT$7)/('22'!Y11*0.0036))))</f>
        <v>100.49193794895308</v>
      </c>
      <c r="AC11" s="56"/>
      <c r="AD11" s="18">
        <f>(('22'!AC11*'22'!$Q$10*1000000))/('22'!Y11*3600)</f>
        <v>0</v>
      </c>
      <c r="AE11" s="181"/>
      <c r="AF11" s="182">
        <f>('22'!AE11/24)*0.454</f>
        <v>0</v>
      </c>
      <c r="AG11" s="19"/>
      <c r="AH11" s="182">
        <f>('22'!AG11/24)*0.454</f>
        <v>0</v>
      </c>
      <c r="AI11" s="181">
        <v>5000</v>
      </c>
      <c r="AJ11" s="182">
        <f>('22'!AI13/24)*0.454</f>
        <v>94.583333333333343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2">
        <v>124</v>
      </c>
      <c r="C12" s="184">
        <v>14</v>
      </c>
      <c r="D12" s="184">
        <v>11</v>
      </c>
      <c r="E12" s="184">
        <v>4.3</v>
      </c>
      <c r="F12" s="184">
        <v>30</v>
      </c>
      <c r="G12" s="184">
        <v>1.7</v>
      </c>
      <c r="H12" s="184">
        <v>1.9</v>
      </c>
      <c r="I12" s="184">
        <v>0.7</v>
      </c>
      <c r="J12" s="184">
        <v>1.1000000000000001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/>
      <c r="Q12" s="186"/>
      <c r="R12" s="36">
        <f>'22'!Z16</f>
        <v>1582</v>
      </c>
      <c r="S12" s="35">
        <f>'22'!AB15</f>
        <v>130.92766825965751</v>
      </c>
      <c r="T12" s="36">
        <f>'22'!Y15</f>
        <v>2232</v>
      </c>
      <c r="U12" s="32" t="str">
        <f>IF('22'!AA15=1,'22'!AR6,'22'!AR7)</f>
        <v>S.A.L</v>
      </c>
      <c r="V12" s="938">
        <f>ESCALA!$B$24</f>
        <v>0</v>
      </c>
      <c r="W12" s="938"/>
      <c r="X12" s="13">
        <v>0.29166666666666702</v>
      </c>
      <c r="Y12" s="278">
        <v>2862</v>
      </c>
      <c r="Z12" s="180">
        <v>1582</v>
      </c>
      <c r="AA12" s="15">
        <v>1</v>
      </c>
      <c r="AB12" s="56">
        <f>IF('22'!AA12=1,(('22'!Z12*'22'!$AS$6*'22'!$AT$6)/('22'!Y12*0.0036)),IF('22'!AA12=2,(('22'!Z12*'22'!$AS$7*'22'!$AT$7)/('22'!Y12*0.0036))))</f>
        <v>102.10711235344358</v>
      </c>
      <c r="AC12" s="56"/>
      <c r="AD12" s="18">
        <f>(('22'!AC12*'22'!$Q$10*1000000))/('22'!Y12*3600)</f>
        <v>0</v>
      </c>
      <c r="AE12" s="181"/>
      <c r="AF12" s="182">
        <f>('22'!AE12/24)*0.454</f>
        <v>0</v>
      </c>
      <c r="AG12" s="19"/>
      <c r="AH12" s="182">
        <f>('22'!AG12/24)*0.454</f>
        <v>0</v>
      </c>
      <c r="AI12" s="181">
        <v>5000</v>
      </c>
      <c r="AJ12" s="182">
        <f>('22'!AI14/24)*0.454</f>
        <v>94.583333333333343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2">
        <v>116</v>
      </c>
      <c r="C13" s="184">
        <v>12</v>
      </c>
      <c r="D13" s="184">
        <v>15</v>
      </c>
      <c r="E13" s="184">
        <v>3.9</v>
      </c>
      <c r="F13" s="184">
        <v>30</v>
      </c>
      <c r="G13" s="184">
        <v>1.9</v>
      </c>
      <c r="H13" s="184">
        <v>1.7</v>
      </c>
      <c r="I13" s="184">
        <v>0.8</v>
      </c>
      <c r="J13" s="184">
        <v>1.1000000000000001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/>
      <c r="Q13" s="186"/>
      <c r="R13" s="36">
        <f>'22'!Z18</f>
        <v>1582</v>
      </c>
      <c r="S13" s="35">
        <f>'22'!AB17</f>
        <v>95.939118698475227</v>
      </c>
      <c r="T13" s="36">
        <f>'22'!Y17</f>
        <v>3046</v>
      </c>
      <c r="U13" s="32" t="str">
        <f>IF('22'!AA17=1,'22'!AR6,'22'!AR7)</f>
        <v>S.A.L</v>
      </c>
      <c r="V13" s="938"/>
      <c r="W13" s="938"/>
      <c r="X13" s="13">
        <v>0.33333333333333298</v>
      </c>
      <c r="Y13" s="278">
        <v>28355</v>
      </c>
      <c r="Z13" s="180">
        <v>1582</v>
      </c>
      <c r="AA13" s="15">
        <v>1</v>
      </c>
      <c r="AB13" s="56">
        <f>IF('22'!AA13=1,(('22'!Z13*'22'!$AS$6*'22'!$AT$6)/('22'!Y13*0.0036)),IF('22'!AA13=2,(('22'!Z13*'22'!$AS$7*'22'!$AT$7)/('22'!Y13*0.0036))))</f>
        <v>10.306138443151315</v>
      </c>
      <c r="AC13" s="56"/>
      <c r="AD13" s="18">
        <f>(('22'!AC13*'22'!$Q$10*1000000))/('22'!Y13*3600)</f>
        <v>0</v>
      </c>
      <c r="AE13" s="181"/>
      <c r="AF13" s="182">
        <f>('22'!AE13/24)*0.454</f>
        <v>0</v>
      </c>
      <c r="AG13" s="19"/>
      <c r="AH13" s="182">
        <f>('22'!AG13/24)*0.454</f>
        <v>0</v>
      </c>
      <c r="AI13" s="181">
        <v>5000</v>
      </c>
      <c r="AJ13" s="182">
        <f>('22'!AI15/24)*0.454</f>
        <v>94.583333333333343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2">
        <v>121</v>
      </c>
      <c r="C14" s="184">
        <v>16</v>
      </c>
      <c r="D14" s="184">
        <v>18</v>
      </c>
      <c r="E14" s="184">
        <v>3.7</v>
      </c>
      <c r="F14" s="184">
        <v>37</v>
      </c>
      <c r="G14" s="184">
        <v>2</v>
      </c>
      <c r="H14" s="184">
        <v>2.9</v>
      </c>
      <c r="I14" s="184">
        <v>0.9</v>
      </c>
      <c r="J14" s="184">
        <v>1.1000000000000001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/>
      <c r="Q14" s="186"/>
      <c r="R14" s="36">
        <f>'22'!Z20</f>
        <v>1582</v>
      </c>
      <c r="S14" s="35">
        <f>'22'!AB19</f>
        <v>95.437803904492341</v>
      </c>
      <c r="T14" s="36">
        <f>'22'!Y19</f>
        <v>3062</v>
      </c>
      <c r="U14" s="32" t="str">
        <f>IF('22'!AA19=1,'22'!AR6,'22'!AR7)</f>
        <v>S.A.L</v>
      </c>
      <c r="V14" s="938"/>
      <c r="W14" s="938"/>
      <c r="X14" s="13">
        <v>0.375</v>
      </c>
      <c r="Y14" s="278">
        <v>2884</v>
      </c>
      <c r="Z14" s="180">
        <v>1582</v>
      </c>
      <c r="AA14" s="15">
        <v>1</v>
      </c>
      <c r="AB14" s="56">
        <f>IF('22'!AA14=1,(('22'!Z14*'22'!$AS$6*'22'!$AT$6)/('22'!Y14*0.0036)),IF('22'!AA14=2,(('22'!Z14*'22'!$AS$7*'22'!$AT$7)/('22'!Y14*0.0036))))</f>
        <v>101.3282092772384</v>
      </c>
      <c r="AC14" s="56"/>
      <c r="AD14" s="18">
        <f>(('22'!AC14*'22'!$Q$10*1000000))/('22'!Y14*3600)</f>
        <v>0</v>
      </c>
      <c r="AE14" s="181"/>
      <c r="AF14" s="182">
        <f>('22'!AE14/24)*0.454</f>
        <v>0</v>
      </c>
      <c r="AG14" s="19"/>
      <c r="AH14" s="182">
        <f>('22'!AG14/24)*0.454</f>
        <v>0</v>
      </c>
      <c r="AI14" s="181">
        <v>5000</v>
      </c>
      <c r="AJ14" s="182">
        <f>('22'!AI16/24)*0.454</f>
        <v>94.583333333333343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2">
        <v>127</v>
      </c>
      <c r="C15" s="184">
        <v>15</v>
      </c>
      <c r="D15" s="184">
        <v>17</v>
      </c>
      <c r="E15" s="184">
        <v>4.5999999999999996</v>
      </c>
      <c r="F15" s="184">
        <v>37</v>
      </c>
      <c r="G15" s="184">
        <v>2</v>
      </c>
      <c r="H15" s="184">
        <v>2.7</v>
      </c>
      <c r="I15" s="184">
        <v>0.9</v>
      </c>
      <c r="J15" s="184">
        <v>1.2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/>
      <c r="Q15" s="186"/>
      <c r="R15" s="36">
        <f>'22'!Z22</f>
        <v>1582</v>
      </c>
      <c r="S15" s="35">
        <f>'22'!AB21</f>
        <v>95.813296903460838</v>
      </c>
      <c r="T15" s="36">
        <f>'22'!Y21</f>
        <v>3050</v>
      </c>
      <c r="U15" s="32" t="str">
        <f>IF('22'!AA21=1,'22'!AR6,'22'!AR7)</f>
        <v>S.A.L</v>
      </c>
      <c r="V15" s="938"/>
      <c r="W15" s="938"/>
      <c r="X15" s="13">
        <v>0.41666666666666702</v>
      </c>
      <c r="Y15" s="278">
        <v>2232</v>
      </c>
      <c r="Z15" s="180">
        <v>1582</v>
      </c>
      <c r="AA15" s="15">
        <v>1</v>
      </c>
      <c r="AB15" s="56">
        <f>IF('22'!AA15=1,(('22'!Z15*'22'!$AS$6*'22'!$AT$6)/('22'!Y15*0.0036)),IF('22'!AA15=2,(('22'!Z15*'22'!$AS$7*'22'!$AT$7)/('22'!Y15*0.0036))))</f>
        <v>130.92766825965751</v>
      </c>
      <c r="AC15" s="56"/>
      <c r="AD15" s="18">
        <f>(('22'!AC15*'22'!$Q$10*1000000))/('22'!Y15*3600)</f>
        <v>0</v>
      </c>
      <c r="AE15" s="181"/>
      <c r="AF15" s="182">
        <f>('22'!AE15/24)*0.454</f>
        <v>0</v>
      </c>
      <c r="AG15" s="19"/>
      <c r="AH15" s="182">
        <f>('22'!AG15/24)*0.454</f>
        <v>0</v>
      </c>
      <c r="AI15" s="181">
        <v>5000</v>
      </c>
      <c r="AJ15" s="182">
        <f>('22'!AI17/24)*0.454</f>
        <v>94.583333333333343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2">
        <v>129</v>
      </c>
      <c r="C16" s="184">
        <v>15</v>
      </c>
      <c r="D16" s="184">
        <v>14</v>
      </c>
      <c r="E16" s="184">
        <v>1.3</v>
      </c>
      <c r="F16" s="184">
        <v>36</v>
      </c>
      <c r="G16" s="184">
        <v>1.9</v>
      </c>
      <c r="H16" s="184">
        <v>2.2000000000000002</v>
      </c>
      <c r="I16" s="184">
        <v>0.8</v>
      </c>
      <c r="J16" s="184">
        <v>1.1000000000000001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/>
      <c r="Q16" s="186"/>
      <c r="R16" s="36">
        <f>'22'!Z24</f>
        <v>1582</v>
      </c>
      <c r="S16" s="35">
        <f>'22'!AB23</f>
        <v>94.328778423355573</v>
      </c>
      <c r="T16" s="36">
        <f>'22'!Y23</f>
        <v>3098</v>
      </c>
      <c r="U16" s="32" t="str">
        <f>IF('22'!AA23=1,'22'!AR6,'22'!AR7)</f>
        <v>S.A.L</v>
      </c>
      <c r="V16" s="938"/>
      <c r="W16" s="938"/>
      <c r="X16" s="13">
        <v>0.45833333333333298</v>
      </c>
      <c r="Y16" s="278">
        <v>2941</v>
      </c>
      <c r="Z16" s="180">
        <v>1582</v>
      </c>
      <c r="AA16" s="15">
        <v>1</v>
      </c>
      <c r="AB16" s="56">
        <f>IF('22'!AA16=1,(('22'!Z16*'22'!$AS$6*'22'!$AT$6)/('22'!Y16*0.0036)),IF('22'!AA16=2,(('22'!Z16*'22'!$AS$7*'22'!$AT$7)/('22'!Y16*0.0036))))</f>
        <v>99.364350749933877</v>
      </c>
      <c r="AC16" s="56"/>
      <c r="AD16" s="18">
        <f>(('22'!AC16*'22'!$Q$10*1000000))/('22'!Y16*3600)</f>
        <v>0</v>
      </c>
      <c r="AE16" s="181"/>
      <c r="AF16" s="182">
        <f>('22'!AE16/24)*0.454</f>
        <v>0</v>
      </c>
      <c r="AG16" s="19"/>
      <c r="AH16" s="182">
        <f>('22'!AG16/24)*0.454</f>
        <v>0</v>
      </c>
      <c r="AI16" s="181">
        <v>5000</v>
      </c>
      <c r="AJ16" s="182">
        <f>('22'!AI16/24)*0.454</f>
        <v>94.583333333333343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2">
        <v>127</v>
      </c>
      <c r="C17" s="184">
        <v>13</v>
      </c>
      <c r="D17" s="184">
        <v>15</v>
      </c>
      <c r="E17" s="184">
        <v>4.0999999999999996</v>
      </c>
      <c r="F17" s="184">
        <v>35</v>
      </c>
      <c r="G17" s="184">
        <v>2</v>
      </c>
      <c r="H17" s="184">
        <v>2.2999999999999998</v>
      </c>
      <c r="I17" s="184">
        <v>0.8</v>
      </c>
      <c r="J17" s="184">
        <v>1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/>
      <c r="Q17" s="186"/>
      <c r="R17" s="36">
        <f>'22'!Z26</f>
        <v>1582</v>
      </c>
      <c r="S17" s="35">
        <f>'22'!AB25</f>
        <v>94.726274086079599</v>
      </c>
      <c r="T17" s="36">
        <f>'22'!Y25</f>
        <v>3085</v>
      </c>
      <c r="U17" s="32" t="str">
        <f>IF('22'!AA25=1,'22'!AR6,'22'!AR7)</f>
        <v>S.A.L</v>
      </c>
      <c r="V17" s="939">
        <f>ESCALA!$C$24</f>
        <v>0</v>
      </c>
      <c r="W17" s="939"/>
      <c r="X17" s="13">
        <v>0.5</v>
      </c>
      <c r="Y17" s="278">
        <v>3046</v>
      </c>
      <c r="Z17" s="180">
        <v>1582</v>
      </c>
      <c r="AA17" s="15">
        <v>1</v>
      </c>
      <c r="AB17" s="56">
        <f>IF('22'!AA17=1,(('22'!Z17*'22'!$AS$6*'22'!$AT$6)/('22'!Y17*0.0036)),IF('22'!AA17=2,(('22'!Z17*'22'!$AS$7*'22'!$AT$7)/('22'!Y17*0.0036))))</f>
        <v>95.939118698475227</v>
      </c>
      <c r="AC17" s="56"/>
      <c r="AD17" s="18">
        <f>(('22'!AC17*'22'!$Q$10*1000000))/('22'!Y17*3600)</f>
        <v>0</v>
      </c>
      <c r="AE17" s="181"/>
      <c r="AF17" s="182">
        <f>('22'!AE17/24)*0.454</f>
        <v>0</v>
      </c>
      <c r="AG17" s="19"/>
      <c r="AH17" s="182">
        <f>('22'!AG17/24)*0.454</f>
        <v>0</v>
      </c>
      <c r="AI17" s="181">
        <v>5000</v>
      </c>
      <c r="AJ17" s="182">
        <f>('22'!AI17/24)*0.454</f>
        <v>94.583333333333343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2">
        <v>125</v>
      </c>
      <c r="C18" s="184">
        <v>14</v>
      </c>
      <c r="D18" s="184">
        <v>13</v>
      </c>
      <c r="E18" s="184">
        <v>4.2</v>
      </c>
      <c r="F18" s="184">
        <v>34</v>
      </c>
      <c r="G18" s="184">
        <v>2.2999999999999998</v>
      </c>
      <c r="H18" s="184">
        <v>2.1</v>
      </c>
      <c r="I18" s="184">
        <v>0.8</v>
      </c>
      <c r="J18" s="184">
        <v>1.1000000000000001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184"/>
      <c r="Q18" s="186"/>
      <c r="R18" s="36">
        <f>'22'!Z28</f>
        <v>1582</v>
      </c>
      <c r="S18" s="35">
        <f>'22'!AB27</f>
        <v>97.507692878063253</v>
      </c>
      <c r="T18" s="36">
        <f>'22'!Y27</f>
        <v>2997</v>
      </c>
      <c r="U18" s="32" t="str">
        <f>IF('22'!AA27=1,'22'!AR6,'22'!AR7)</f>
        <v>S.A.L</v>
      </c>
      <c r="V18" s="939"/>
      <c r="W18" s="939"/>
      <c r="X18" s="13">
        <v>0.54166666666666696</v>
      </c>
      <c r="Y18" s="278">
        <v>3046</v>
      </c>
      <c r="Z18" s="180">
        <v>1582</v>
      </c>
      <c r="AA18" s="15">
        <v>1</v>
      </c>
      <c r="AB18" s="56">
        <f>IF('22'!AA18=1,(('22'!Z18*'22'!$AS$6*'22'!$AT$6)/('22'!Y18*0.0036)),IF('22'!AA18=2,(('22'!Z18*'22'!$AS$7*'22'!$AT$7)/('22'!Y18*0.0036))))</f>
        <v>95.939118698475227</v>
      </c>
      <c r="AC18" s="56"/>
      <c r="AD18" s="18">
        <f>(('22'!AC18*'22'!$Q$10*1000000))/('22'!Y18*3600)</f>
        <v>0</v>
      </c>
      <c r="AE18" s="181"/>
      <c r="AF18" s="182">
        <f>('22'!AE18/24)*0.454</f>
        <v>0</v>
      </c>
      <c r="AG18" s="19"/>
      <c r="AH18" s="182">
        <f>('22'!AG18/24)*0.454</f>
        <v>0</v>
      </c>
      <c r="AI18" s="181">
        <v>5000</v>
      </c>
      <c r="AJ18" s="182">
        <f>('22'!AI18/24)*0.454</f>
        <v>94.583333333333343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124.91666666666667</v>
      </c>
      <c r="C19" s="67">
        <f>AVERAGE('22'!C7:C18)</f>
        <v>14.016666666666666</v>
      </c>
      <c r="D19" s="67">
        <f>AVERAGE('22'!D7:D18)</f>
        <v>15.833333333333334</v>
      </c>
      <c r="E19" s="67">
        <f>AVERAGE('22'!E7:E18)</f>
        <v>5.0750000000000002</v>
      </c>
      <c r="F19" s="67">
        <f>AVERAGE('22'!F7:F18)</f>
        <v>33.333333333333336</v>
      </c>
      <c r="G19" s="67">
        <f>AVERAGE('22'!G7:G18)</f>
        <v>1.9666666666666666</v>
      </c>
      <c r="H19" s="67">
        <f>AVERAGE('22'!H7:H18)</f>
        <v>2.5333333333333332</v>
      </c>
      <c r="I19" s="67">
        <f>AVERAGE('22'!I7:I18)</f>
        <v>0.77500000000000002</v>
      </c>
      <c r="J19" s="67">
        <f>AVERAGE('22'!J7:J18)</f>
        <v>1.075</v>
      </c>
      <c r="K19" s="67">
        <f>AVERAGE('22'!K7:K18)</f>
        <v>7.299999999999998</v>
      </c>
      <c r="L19" s="67">
        <f>AVERAGE('22'!L7:L18)</f>
        <v>6.5</v>
      </c>
      <c r="M19" s="67">
        <f>AVERAGE('22'!M7:M18)</f>
        <v>6.5</v>
      </c>
      <c r="N19" s="67">
        <f>AVERAGE('22'!N7:N18)</f>
        <v>6.299999999999998</v>
      </c>
      <c r="O19" s="67">
        <f>AVERAGE('22'!O7:O18)</f>
        <v>3</v>
      </c>
      <c r="P19" s="188" t="e">
        <f>AVERAGE('22'!P7:P18)</f>
        <v>#DIV/0!</v>
      </c>
      <c r="Q19" s="189" t="e">
        <f>AVERAGE('22'!Q7:Q18)</f>
        <v>#DIV/0!</v>
      </c>
      <c r="R19" s="189">
        <f>AVERAGE('22'!R7:R18)</f>
        <v>1582</v>
      </c>
      <c r="S19" s="189">
        <f>AVERAGE('22'!S7:S18)</f>
        <v>93.204647601165547</v>
      </c>
      <c r="T19" s="940"/>
      <c r="U19" s="940"/>
      <c r="V19" s="47"/>
      <c r="W19" s="48"/>
      <c r="X19" s="13">
        <v>0.58333333333333304</v>
      </c>
      <c r="Y19" s="278">
        <v>3062</v>
      </c>
      <c r="Z19" s="180">
        <v>1582</v>
      </c>
      <c r="AA19" s="15">
        <v>1</v>
      </c>
      <c r="AB19" s="56">
        <f>IF('22'!AA19=1,(('22'!Z19*'22'!$AS$6*'22'!$AT$6)/('22'!Y19*0.0036)),IF('22'!AA19=2,(('22'!Z19*'22'!$AS$7*'22'!$AT$7)/('22'!Y19*0.0036))))</f>
        <v>95.437803904492341</v>
      </c>
      <c r="AC19" s="56"/>
      <c r="AD19" s="18">
        <f>(('22'!AC19*'22'!$Q$10*1000000))/('22'!Y19*3600)</f>
        <v>0</v>
      </c>
      <c r="AE19" s="181"/>
      <c r="AF19" s="182">
        <f>('22'!AE19/24)*0.454</f>
        <v>0</v>
      </c>
      <c r="AG19" s="19"/>
      <c r="AH19" s="182">
        <f>('22'!AG19/24)*0.454</f>
        <v>0</v>
      </c>
      <c r="AI19" s="181">
        <v>5000</v>
      </c>
      <c r="AJ19" s="182">
        <f>('22'!AI19/24)*0.454</f>
        <v>94.583333333333343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129</v>
      </c>
      <c r="C20" s="187">
        <f>MAX('22'!C7:C18)</f>
        <v>16</v>
      </c>
      <c r="D20" s="67">
        <f>MAX('22'!D7:D18)</f>
        <v>21</v>
      </c>
      <c r="E20" s="67">
        <f>MAX('22'!E7:E18)</f>
        <v>8</v>
      </c>
      <c r="F20" s="67">
        <f>MAX('22'!F7:F18)</f>
        <v>37</v>
      </c>
      <c r="G20" s="67">
        <f>MAX('22'!G7:G18)</f>
        <v>2.2999999999999998</v>
      </c>
      <c r="H20" s="67">
        <f>MAX('22'!H7:H18)</f>
        <v>3.6</v>
      </c>
      <c r="I20" s="67">
        <f>MAX('22'!I7:I18)</f>
        <v>0.9</v>
      </c>
      <c r="J20" s="67">
        <f>MAX('22'!J7:J18)</f>
        <v>1.2</v>
      </c>
      <c r="K20" s="67">
        <f>MAX('22'!K7:K18)</f>
        <v>7.3</v>
      </c>
      <c r="L20" s="67">
        <f>MAX('22'!L7:L18)</f>
        <v>6.5</v>
      </c>
      <c r="M20" s="67">
        <f>MAX('22'!M7:M18)</f>
        <v>6.5</v>
      </c>
      <c r="N20" s="67">
        <f>MAX('22'!N7:N18)</f>
        <v>6.3</v>
      </c>
      <c r="O20" s="68">
        <f>MAX('22'!O7:O18)</f>
        <v>3</v>
      </c>
      <c r="P20" s="68">
        <f>MAX('22'!P7:P18)</f>
        <v>0</v>
      </c>
      <c r="Q20" s="68">
        <f>MAX('22'!Q7:Q18)</f>
        <v>0</v>
      </c>
      <c r="R20" s="68">
        <f>MAX('22'!R7:R18)</f>
        <v>1582</v>
      </c>
      <c r="S20" s="68">
        <f>MAX('22'!S7:S18)</f>
        <v>130.92766825965751</v>
      </c>
      <c r="T20" s="940"/>
      <c r="U20" s="940"/>
      <c r="X20" s="13">
        <v>0.625</v>
      </c>
      <c r="Y20" s="278">
        <v>3036</v>
      </c>
      <c r="Z20" s="180">
        <v>1582</v>
      </c>
      <c r="AA20" s="15">
        <v>1</v>
      </c>
      <c r="AB20" s="56">
        <f>IF('22'!AA20=1,(('22'!Z20*'22'!$AS$6*'22'!$AT$6)/('22'!Y20*0.0036)),IF('22'!AA20=2,(('22'!Z20*'22'!$AS$7*'22'!$AT$7)/('22'!Y20*0.0036))))</f>
        <v>96.255123700775883</v>
      </c>
      <c r="AC20" s="56"/>
      <c r="AD20" s="18">
        <f>(('22'!AC20*'22'!$Q$10*1000000))/('22'!Y20*3600)</f>
        <v>0</v>
      </c>
      <c r="AE20" s="181"/>
      <c r="AF20" s="182">
        <f>('22'!AE20/24)*0.454</f>
        <v>0</v>
      </c>
      <c r="AG20" s="19"/>
      <c r="AH20" s="182">
        <f>('22'!AG20/24)*0.454</f>
        <v>0</v>
      </c>
      <c r="AI20" s="181">
        <v>5000</v>
      </c>
      <c r="AJ20" s="182">
        <f>('22'!AI20/24)*0.454</f>
        <v>94.583333333333343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116</v>
      </c>
      <c r="C21" s="67">
        <f>MIN('22'!C7:C18)</f>
        <v>12</v>
      </c>
      <c r="D21" s="67">
        <f>MIN('22'!D7:D18)</f>
        <v>11</v>
      </c>
      <c r="E21" s="67">
        <f>MIN('22'!E7:E18)</f>
        <v>1.3</v>
      </c>
      <c r="F21" s="67">
        <f>MIN('22'!F7:F18)</f>
        <v>30</v>
      </c>
      <c r="G21" s="190">
        <f>MIN('22'!G7:G18)</f>
        <v>1.6</v>
      </c>
      <c r="H21" s="305">
        <f>MIN('22'!H7:H18)</f>
        <v>1.7</v>
      </c>
      <c r="I21" s="190">
        <f>MIN('22'!I7:I18)</f>
        <v>0.7</v>
      </c>
      <c r="J21" s="190">
        <f>MIN('22'!J7:J18)</f>
        <v>1</v>
      </c>
      <c r="K21" s="190">
        <f>MIN('22'!K7:K18)</f>
        <v>7.3</v>
      </c>
      <c r="L21" s="190">
        <f>MIN('22'!L7:L18)</f>
        <v>6.5</v>
      </c>
      <c r="M21" s="190">
        <f>MIN('22'!M7:M18)</f>
        <v>6.5</v>
      </c>
      <c r="N21" s="190">
        <f>MIN('22'!N7:N18)</f>
        <v>6.3</v>
      </c>
      <c r="O21" s="191">
        <f>MIN('22'!O7:O18)</f>
        <v>3</v>
      </c>
      <c r="P21" s="191">
        <f>MIN('22'!P7:P18)</f>
        <v>0</v>
      </c>
      <c r="Q21" s="191">
        <f>MIN('22'!Q7:Q18)</f>
        <v>0</v>
      </c>
      <c r="R21" s="191">
        <f>MIN('22'!R7:R18)</f>
        <v>1582</v>
      </c>
      <c r="S21" s="191">
        <f>MIN('22'!S7:S18)</f>
        <v>10.306138443151315</v>
      </c>
      <c r="T21" s="940"/>
      <c r="U21" s="940"/>
      <c r="X21" s="13">
        <v>0.66666666666666696</v>
      </c>
      <c r="Y21" s="278">
        <v>3050</v>
      </c>
      <c r="Z21" s="180">
        <v>1582</v>
      </c>
      <c r="AA21" s="15">
        <v>1</v>
      </c>
      <c r="AB21" s="56">
        <f>IF('22'!AA21=1,(('22'!Z21*'22'!$AS$6*'22'!$AT$6)/('22'!Y21*0.0036)),IF('22'!AA21=2,(('22'!Z21*'22'!$AS$7*'22'!$AT$7)/('22'!Y21*0.0036))))</f>
        <v>95.813296903460838</v>
      </c>
      <c r="AC21" s="56"/>
      <c r="AD21" s="18">
        <f>(('22'!AC21*'22'!$Q$10*1000000))/('22'!Y21*3600)</f>
        <v>0</v>
      </c>
      <c r="AE21" s="181"/>
      <c r="AF21" s="182">
        <f>('22'!AE21/24)*0.454</f>
        <v>0</v>
      </c>
      <c r="AG21" s="19"/>
      <c r="AH21" s="182">
        <f>('22'!AG21/24)*0.454</f>
        <v>0</v>
      </c>
      <c r="AI21" s="181">
        <v>5000</v>
      </c>
      <c r="AJ21" s="182">
        <f>('22'!AI21/24)*0.454</f>
        <v>94.583333333333343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6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278">
        <v>3083</v>
      </c>
      <c r="Z22" s="180">
        <v>1582</v>
      </c>
      <c r="AA22" s="15">
        <v>1</v>
      </c>
      <c r="AB22" s="56">
        <f>IF('22'!AA22=1,(('22'!Z22*'22'!$AS$6*'22'!$AT$6)/('22'!Y22*0.0036)),IF('22'!AA22=2,(('22'!Z22*'22'!$AS$7*'22'!$AT$7)/('22'!Y22*0.0036))))</f>
        <v>94.787724799077381</v>
      </c>
      <c r="AC22" s="56"/>
      <c r="AD22" s="18">
        <f>(('22'!AC22*'22'!$Q$10*1000000))/('22'!Y22*3600)</f>
        <v>0</v>
      </c>
      <c r="AE22" s="181"/>
      <c r="AF22" s="182">
        <f>('22'!AE22/24)*0.454</f>
        <v>0</v>
      </c>
      <c r="AG22" s="19"/>
      <c r="AH22" s="182">
        <f>('22'!AG22/24)*0.454</f>
        <v>0</v>
      </c>
      <c r="AI22" s="181">
        <v>5000</v>
      </c>
      <c r="AJ22" s="182">
        <f>('22'!AI22/24)*0.454</f>
        <v>94.583333333333343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278">
        <v>3098</v>
      </c>
      <c r="Z23" s="180">
        <v>1582</v>
      </c>
      <c r="AA23" s="15">
        <v>1</v>
      </c>
      <c r="AB23" s="56">
        <f>IF('22'!AA23=1,(('22'!Z23*'22'!$AS$6*'22'!$AT$6)/('22'!Y23*0.0036)),IF('22'!AA23=2,(('22'!Z23*'22'!$AS$7*'22'!$AT$7)/('22'!Y23*0.0036))))</f>
        <v>94.328778423355573</v>
      </c>
      <c r="AC23" s="56"/>
      <c r="AD23" s="18">
        <f>(('22'!AC23*'22'!$Q$10*1000000))/('22'!Y23*3600)</f>
        <v>0</v>
      </c>
      <c r="AE23" s="181"/>
      <c r="AF23" s="182">
        <f>('22'!AE23/24)*0.454</f>
        <v>0</v>
      </c>
      <c r="AG23" s="19"/>
      <c r="AH23" s="182">
        <f>('22'!AG23/24)*0.454</f>
        <v>0</v>
      </c>
      <c r="AI23" s="181">
        <v>5000</v>
      </c>
      <c r="AJ23" s="182">
        <f>('22'!AI23/24)*0.454</f>
        <v>94.583333333333343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278">
        <v>3079</v>
      </c>
      <c r="Z24" s="180">
        <v>1582</v>
      </c>
      <c r="AA24" s="15">
        <v>1</v>
      </c>
      <c r="AB24" s="16">
        <f>IF('22'!AA24=1,(('22'!Z24*'22'!$AS$6*'22'!$AT$6)/('22'!Y24*0.0036)),IF('22'!AA24=2,(('22'!Z24*'22'!$AS$7*'22'!$AT$7)/('22'!Y24*0.0036))))</f>
        <v>94.910865721193744</v>
      </c>
      <c r="AC24" s="16"/>
      <c r="AD24" s="192">
        <f>(('22'!AC24*'22'!$Q$10*1000000))/('22'!Y24*3600)</f>
        <v>0</v>
      </c>
      <c r="AE24" s="181"/>
      <c r="AF24" s="193">
        <f>('22'!AE24/24)*0.454</f>
        <v>0</v>
      </c>
      <c r="AG24" s="19"/>
      <c r="AH24" s="193">
        <f>('22'!AG24/24)*0.454</f>
        <v>0</v>
      </c>
      <c r="AI24" s="181">
        <v>5000</v>
      </c>
      <c r="AJ24" s="193">
        <f>('22'!AI24/24)*0.454</f>
        <v>94.583333333333343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8">
        <v>0.69</v>
      </c>
      <c r="D25" s="258">
        <v>0.77</v>
      </c>
      <c r="E25" s="197">
        <v>0.81</v>
      </c>
      <c r="F25" s="197">
        <v>0.78</v>
      </c>
      <c r="G25" s="197" t="s">
        <v>441</v>
      </c>
      <c r="H25" s="197">
        <v>0.66</v>
      </c>
      <c r="I25" s="197">
        <v>0.72</v>
      </c>
      <c r="J25" s="197" t="s">
        <v>441</v>
      </c>
      <c r="K25" s="197">
        <v>59</v>
      </c>
      <c r="L25" s="197">
        <v>0.68</v>
      </c>
      <c r="M25" s="197">
        <v>0.85</v>
      </c>
      <c r="N25" s="197">
        <v>0.91</v>
      </c>
      <c r="O25" s="197">
        <v>0.83</v>
      </c>
      <c r="P25" s="197" t="s">
        <v>441</v>
      </c>
      <c r="Q25" s="197" t="s">
        <v>441</v>
      </c>
      <c r="R25" s="63" t="e">
        <f>#DIV/0!</f>
        <v>#DIV/0!</v>
      </c>
      <c r="S25" s="64"/>
      <c r="T25" s="1036" t="s">
        <v>0</v>
      </c>
      <c r="U25" s="1043">
        <f>ESCALA!$A$24</f>
        <v>44338</v>
      </c>
      <c r="X25" s="13">
        <v>0.83333333333333304</v>
      </c>
      <c r="Y25" s="278">
        <v>3085</v>
      </c>
      <c r="Z25" s="180">
        <v>1582</v>
      </c>
      <c r="AA25" s="15">
        <v>1</v>
      </c>
      <c r="AB25" s="56">
        <f>IF('22'!AA25=1,(('22'!Z25*'22'!$AS$6*'22'!$AT$6)/('22'!Y25*0.0036)),IF('22'!AA25=2,(('22'!Z25*'22'!$AS$7*'22'!$AT$7)/('22'!Y25*0.0036))))</f>
        <v>94.726274086079599</v>
      </c>
      <c r="AC25" s="56"/>
      <c r="AD25" s="18">
        <f>(('22'!AC25*'22'!$Q$10*1000000))/('22'!Y25*3600)</f>
        <v>0</v>
      </c>
      <c r="AE25" s="181"/>
      <c r="AF25" s="182">
        <f>('22'!AE25/24)*0.454</f>
        <v>0</v>
      </c>
      <c r="AG25" s="19"/>
      <c r="AH25" s="182">
        <f>('22'!AG25/24)*0.454</f>
        <v>0</v>
      </c>
      <c r="AI25" s="181">
        <v>5000</v>
      </c>
      <c r="AJ25" s="182">
        <f>('22'!AI25/24)*0.454</f>
        <v>94.583333333333343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6"/>
      <c r="U26" s="1043"/>
      <c r="X26" s="13">
        <v>0.875</v>
      </c>
      <c r="Y26" s="278">
        <v>3093</v>
      </c>
      <c r="Z26" s="180">
        <v>1582</v>
      </c>
      <c r="AA26" s="15">
        <v>1</v>
      </c>
      <c r="AB26" s="16">
        <f>IF('22'!AA26=1,(('22'!Z26*'22'!$AS$6*'22'!$AT$6)/('22'!Y26*0.0036)),IF('22'!AA26=2,(('22'!Z26*'22'!$AS$7*'22'!$AT$7)/('22'!Y26*0.0036))))</f>
        <v>94.48126594101376</v>
      </c>
      <c r="AC26" s="56"/>
      <c r="AD26" s="18">
        <f>(('22'!AC26*'22'!$Q$10*1000000))/('22'!Y26*3600)</f>
        <v>0</v>
      </c>
      <c r="AE26" s="181"/>
      <c r="AF26" s="182">
        <f>('22'!AE26/24)*0.454</f>
        <v>0</v>
      </c>
      <c r="AG26" s="19"/>
      <c r="AH26" s="182">
        <f>('22'!AG26/24)*0.454</f>
        <v>0</v>
      </c>
      <c r="AI26" s="181">
        <v>5000</v>
      </c>
      <c r="AJ26" s="182">
        <f>('22'!AI26/24)*0.454</f>
        <v>94.583333333333343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278">
        <v>2997</v>
      </c>
      <c r="Z27" s="180">
        <v>1582</v>
      </c>
      <c r="AA27" s="15">
        <v>1</v>
      </c>
      <c r="AB27" s="56">
        <f>IF('22'!AA27=1,(('22'!Z27*'22'!$AS$6*'22'!$AT$6)/('22'!Y27*0.0036)),IF('22'!AA27=2,(('22'!Z27*'22'!$AS$7*'22'!$AT$7)/('22'!Y27*0.0036))))</f>
        <v>97.507692878063253</v>
      </c>
      <c r="AC27" s="56"/>
      <c r="AD27" s="18">
        <f>(('22'!AC27*'22'!$Q$10*1000000))/('22'!Y27*3600)</f>
        <v>0</v>
      </c>
      <c r="AE27" s="181"/>
      <c r="AF27" s="182">
        <f>('22'!AE27/24)*0.454</f>
        <v>0</v>
      </c>
      <c r="AG27" s="19"/>
      <c r="AH27" s="182">
        <f>('22'!AG27/24)*0.454</f>
        <v>0</v>
      </c>
      <c r="AI27" s="181">
        <v>5000</v>
      </c>
      <c r="AJ27" s="182">
        <f>('22'!AI27/24)*0.454</f>
        <v>94.583333333333343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278">
        <v>3022</v>
      </c>
      <c r="Z28" s="180">
        <v>1582</v>
      </c>
      <c r="AA28" s="15">
        <v>1</v>
      </c>
      <c r="AB28" s="56">
        <f>IF('22'!AA28=1,(('22'!Z28*'22'!$AS$6*'22'!$AT$6)/('22'!Y28*0.0036)),IF('22'!AA28=2,(('22'!Z28*'22'!$AS$7*'22'!$AT$7)/('22'!Y28*0.0036))))</f>
        <v>96.701044194426061</v>
      </c>
      <c r="AC28" s="56"/>
      <c r="AD28" s="18">
        <f>(('22'!AC28*'22'!$Q$10*1000000))/('22'!Y28*3600)</f>
        <v>0</v>
      </c>
      <c r="AE28" s="181"/>
      <c r="AF28" s="182">
        <f>('22'!AE28/24)*0.454</f>
        <v>0</v>
      </c>
      <c r="AG28" s="19"/>
      <c r="AH28" s="182">
        <f>('22'!AG28/24)*0.454</f>
        <v>0</v>
      </c>
      <c r="AI28" s="181">
        <v>5000</v>
      </c>
      <c r="AJ28" s="182">
        <f>('22'!AI28/24)*0.454</f>
        <v>94.583333333333343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47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7"/>
      <c r="X29" s="13">
        <v>1</v>
      </c>
      <c r="Y29" s="278">
        <v>3074</v>
      </c>
      <c r="Z29" s="180">
        <v>1582</v>
      </c>
      <c r="AA29" s="15">
        <v>1</v>
      </c>
      <c r="AB29" s="56">
        <f>IF('22'!AA29=1,(('22'!Z29*'22'!$AS$6*'22'!$AT$6)/('22'!Y29*0.0036)),IF('22'!AA29=2,(('22'!Z29*'22'!$AS$7*'22'!$AT$7)/('22'!Y29*0.0036))))</f>
        <v>95.065242535964728</v>
      </c>
      <c r="AC29" s="56"/>
      <c r="AD29" s="18">
        <f>(('22'!AC29*'22'!$Q$10*1000000))/('22'!Y29*3600)</f>
        <v>0</v>
      </c>
      <c r="AE29" s="181"/>
      <c r="AF29" s="182">
        <f>('22'!AE29/24)*0.454</f>
        <v>0</v>
      </c>
      <c r="AG29" s="19"/>
      <c r="AH29" s="182">
        <f>('22'!AG29/24)*0.454</f>
        <v>0</v>
      </c>
      <c r="AI29" s="181">
        <v>5000</v>
      </c>
      <c r="AJ29" s="182">
        <f>('22'!AI29/24)*0.454</f>
        <v>94.583333333333343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47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7"/>
      <c r="X30" s="73" t="s">
        <v>55</v>
      </c>
      <c r="Y30" s="199">
        <f>SUM('22'!Y6:Y29)*3.6</f>
        <v>347382</v>
      </c>
      <c r="Z30" s="80">
        <f>SUM('22'!Z6:Z29)</f>
        <v>37968</v>
      </c>
      <c r="AA30" s="76"/>
      <c r="AB30" s="77"/>
      <c r="AC30" s="76"/>
      <c r="AD30" s="77"/>
      <c r="AE30" s="33"/>
      <c r="AF30" s="182">
        <f>SUM('22'!AF6:AF29)</f>
        <v>0</v>
      </c>
      <c r="AG30" s="33"/>
      <c r="AH30" s="182">
        <f>SUM('22'!AH6:AH29)</f>
        <v>0</v>
      </c>
      <c r="AI30" s="33"/>
      <c r="AJ30" s="182">
        <f>SUM('22'!AJ6:AJ29)</f>
        <v>2270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47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7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947"/>
      <c r="B32" s="947"/>
      <c r="C32" s="947"/>
      <c r="D32" s="947"/>
      <c r="E32" s="947"/>
      <c r="F32" s="947"/>
      <c r="G32" s="947"/>
      <c r="H32" s="947"/>
      <c r="I32" s="947"/>
      <c r="J32" s="947"/>
      <c r="K32" s="947"/>
      <c r="L32" s="947"/>
      <c r="M32" s="947"/>
      <c r="N32" s="947"/>
      <c r="O32" s="947"/>
      <c r="P32" s="947"/>
      <c r="Q32" s="947"/>
      <c r="R32" s="947"/>
      <c r="S32" s="947"/>
      <c r="T32" s="947"/>
      <c r="U32" s="947"/>
      <c r="X32" s="949" t="s">
        <v>60</v>
      </c>
      <c r="Y32" s="949"/>
      <c r="Z32" s="80">
        <f>SUMIF('22'!AA6:AA29,"=1",'22'!Z6:Z29)</f>
        <v>37968</v>
      </c>
      <c r="AA32" s="80">
        <f>'22'!Z32*'22'!AS6</f>
        <v>50497.440000000002</v>
      </c>
      <c r="AB32" s="81">
        <f>SUMIF('22'!$AA$6:$AA$29,"=1",'22'!$AB$6:$AB$29)/COUNTIF('22'!$AA$6:$AA$29,"=1")</f>
        <v>95.367391540196977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47"/>
      <c r="B33" s="947"/>
      <c r="C33" s="947"/>
      <c r="D33" s="947"/>
      <c r="E33" s="947"/>
      <c r="F33" s="947"/>
      <c r="G33" s="947"/>
      <c r="H33" s="947"/>
      <c r="I33" s="947"/>
      <c r="J33" s="947"/>
      <c r="K33" s="947"/>
      <c r="L33" s="947"/>
      <c r="M33" s="947"/>
      <c r="N33" s="947"/>
      <c r="O33" s="947"/>
      <c r="P33" s="947"/>
      <c r="Q33" s="947"/>
      <c r="R33" s="947"/>
      <c r="S33" s="947"/>
      <c r="T33" s="947"/>
      <c r="U33" s="947"/>
      <c r="X33" s="949" t="s">
        <v>146</v>
      </c>
      <c r="Y33" s="949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47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7"/>
      <c r="X34" s="92" t="s">
        <v>52</v>
      </c>
      <c r="Y34" s="93">
        <f>AVERAGE('22'!Y6:Y29)</f>
        <v>4020.625</v>
      </c>
      <c r="Z34" s="94">
        <f>AVERAGE('22'!Z6:Z29)</f>
        <v>1582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0</v>
      </c>
      <c r="AG34" s="96"/>
      <c r="AH34" s="96">
        <f>AVERAGE('22'!AH6:AH29)</f>
        <v>0</v>
      </c>
      <c r="AI34" s="96"/>
      <c r="AJ34" s="96">
        <f>'22'!AJ30/24</f>
        <v>94.583333333333329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72.7</v>
      </c>
      <c r="D37" s="184">
        <v>38.799999999999997</v>
      </c>
      <c r="E37" s="184">
        <v>24.9</v>
      </c>
      <c r="F37" s="184">
        <v>1.6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'22'!V12</f>
        <v>0</v>
      </c>
      <c r="X37" s="956" t="s">
        <v>75</v>
      </c>
      <c r="Y37" s="956"/>
      <c r="Z37" s="108">
        <f>COUNTA('22'!Z6:Z29)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0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2270</v>
      </c>
      <c r="AQ38" s="208" t="s">
        <v>78</v>
      </c>
      <c r="AR38" s="210">
        <f>'22'!AP30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0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6.5345930416659463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SUM('22'!AK38,'22'!AM38)</f>
        <v>0</v>
      </c>
      <c r="AM40" s="969"/>
      <c r="AO40" s="970" t="s">
        <v>90</v>
      </c>
      <c r="AP40" s="970"/>
      <c r="AQ40" s="1100">
        <f>SUM(AP38,AR38)</f>
        <v>2270</v>
      </c>
      <c r="AR40" s="1100"/>
    </row>
    <row r="41" spans="1:44" ht="16.5" customHeight="1">
      <c r="A41" s="131">
        <f>COUNTA('22'!E7:E18)</f>
        <v>12</v>
      </c>
      <c r="B41" s="132">
        <f>COUNTA('22'!I7:I18)</f>
        <v>12</v>
      </c>
      <c r="C41" s="972">
        <f>COUNTA('22'!J7:J18)</f>
        <v>12</v>
      </c>
      <c r="D41" s="972">
        <f>COUNTA('22'!K7:K18)</f>
        <v>12</v>
      </c>
      <c r="E41" s="972">
        <f>COUNTIF('22'!E7:E18,"&gt;15")</f>
        <v>0</v>
      </c>
      <c r="F41" s="972"/>
      <c r="G41" s="972">
        <f>COUNTIF('22'!J7:J18,"&gt;1")</f>
        <v>8</v>
      </c>
      <c r="H41" s="972"/>
      <c r="I41" s="133"/>
      <c r="J41" s="972">
        <f>'22'!A41-'22'!E41</f>
        <v>12</v>
      </c>
      <c r="K41" s="972"/>
      <c r="L41" s="972">
        <f>'22'!C41-'22'!G41</f>
        <v>4</v>
      </c>
      <c r="M41" s="972"/>
      <c r="N41" s="133"/>
      <c r="O41" s="973">
        <f>COUNTIF('22'!J7:J18,"&lt;=0,5")</f>
        <v>0</v>
      </c>
      <c r="P41" s="973"/>
      <c r="Q41" s="973"/>
      <c r="R41" s="963"/>
      <c r="S41" s="974">
        <f>COUNTIF('22'!J7:J18,"&lt;=1,0")</f>
        <v>4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SUM(('22'!AK38+'22'!AM38)/'22'!Y30)*1000</f>
        <v>0</v>
      </c>
      <c r="AM41" s="975"/>
      <c r="AO41" s="970" t="s">
        <v>91</v>
      </c>
      <c r="AP41" s="970"/>
      <c r="AQ41" s="975">
        <f>SUM(('22'!AP38+'22'!AR38)/'22'!Y30)*1000</f>
        <v>6.5345930416659463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96">
        <f>SUM('22'!Y45,'22'!AA45,'22'!AC45,'22'!AE45)</f>
        <v>2600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COUNTIF('22'!I7:I18,"&lt;=5,0")</f>
        <v>12</v>
      </c>
      <c r="I45" s="986"/>
      <c r="J45" s="986"/>
      <c r="K45" s="133"/>
      <c r="L45" s="968">
        <f>COUNTA('22'!L37)</f>
        <v>0</v>
      </c>
      <c r="M45" s="968"/>
      <c r="O45" s="144"/>
      <c r="P45" s="145"/>
      <c r="Q45" s="987">
        <f>'22'!S41-'22'!O41</f>
        <v>4</v>
      </c>
      <c r="R45" s="987"/>
      <c r="S45" s="987"/>
      <c r="T45" s="146"/>
      <c r="X45" s="147" t="s">
        <v>104</v>
      </c>
      <c r="Y45" s="148">
        <f>'22'!Y44*275.3</f>
        <v>0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0</v>
      </c>
      <c r="AD45" s="147" t="s">
        <v>104</v>
      </c>
      <c r="AE45" s="149">
        <v>2600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89" t="s">
        <v>106</v>
      </c>
      <c r="AG46" s="990">
        <f>SUM('22'!Y47,'22'!AA47,'22'!AC47,'22'!AE47)</f>
        <v>3458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'22'!Y45*'22'!Y46</f>
        <v>0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0</v>
      </c>
      <c r="AD47" s="147" t="s">
        <v>108</v>
      </c>
      <c r="AE47" s="148">
        <f>'22'!AE45*'22'!AE46</f>
        <v>3458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COUNTA('22'!O7:O18)</f>
        <v>12</v>
      </c>
      <c r="P51" s="968">
        <f>COUNTA('22'!W17:W28)</f>
        <v>0</v>
      </c>
      <c r="R51" s="986">
        <f>COUNTIF('22'!O7:O18,"&gt;=0,5")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SUM('22'!Y53,'22'!AA53,'22'!AC53,'22'!AE53)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'22'!AS7</f>
        <v>1.262</v>
      </c>
      <c r="Z54" s="151" t="s">
        <v>105</v>
      </c>
      <c r="AA54" s="153">
        <f>'22'!Y54</f>
        <v>1.262</v>
      </c>
      <c r="AB54" s="151" t="s">
        <v>105</v>
      </c>
      <c r="AC54" s="152">
        <f>'22'!Y54</f>
        <v>1.262</v>
      </c>
      <c r="AD54" s="151" t="s">
        <v>105</v>
      </c>
      <c r="AE54" s="253">
        <f>'22'!Y54</f>
        <v>1.262</v>
      </c>
      <c r="AF54" s="989" t="s">
        <v>106</v>
      </c>
      <c r="AG54" s="990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'10'!AJ55</f>
        <v>1.262</v>
      </c>
      <c r="AM55" s="151" t="s">
        <v>105</v>
      </c>
      <c r="AN55" s="152">
        <f>AJ55</f>
        <v>1.262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COUNTA('22'!N7:N18)</f>
        <v>12</v>
      </c>
      <c r="P57" s="997"/>
      <c r="R57" s="998">
        <f>COUNTIF('22'!N7:N18,"&gt;=6")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9">
        <f>AJ56+AL56+AN56</f>
        <v>0</v>
      </c>
      <c r="AM61" s="1009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'21'!$Y$68</f>
        <v>-4392.4499999999989</v>
      </c>
      <c r="Z65" s="1007"/>
      <c r="AA65" s="1007"/>
      <c r="AB65" s="174" t="s">
        <v>126</v>
      </c>
      <c r="AC65" s="238">
        <f>'21'!$AC$68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SUM('22'!AK38,'22'!AP38)</f>
        <v>2270</v>
      </c>
      <c r="Z67" s="1007"/>
      <c r="AA67" s="1007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-6662.4499999999989</v>
      </c>
      <c r="Z68" s="1007"/>
      <c r="AA68" s="1007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I23" sqref="AI23:AI29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10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10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7.100000000000001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2"/>
      <c r="V6" s="926"/>
      <c r="W6" s="926"/>
      <c r="X6" s="13">
        <v>4.1666666666666699E-2</v>
      </c>
      <c r="Y6" s="52">
        <v>3092</v>
      </c>
      <c r="Z6" s="180">
        <v>1582</v>
      </c>
      <c r="AA6" s="15">
        <v>1</v>
      </c>
      <c r="AB6" s="56">
        <f>IF('23'!AA6=1,(('23'!Z6*'23'!$AS$6*'23'!$AT$6)/('23'!Y6*0.0036)),IF('23'!AA6=2,(('23'!Z6*'23'!$AS$7*'23'!$AT$7)/('23'!Y6*0.0036))))</f>
        <v>95.222437832399024</v>
      </c>
      <c r="AC6" s="56"/>
      <c r="AD6" s="18">
        <f>(('23'!AC6*'23'!$Q$10*1000000))/('23'!Y6*3600)</f>
        <v>0</v>
      </c>
      <c r="AE6" s="181"/>
      <c r="AF6" s="182">
        <f>('23'!AE6/24)*0.454</f>
        <v>0</v>
      </c>
      <c r="AG6" s="19"/>
      <c r="AH6" s="182">
        <f>('23'!AG6/24)*0.454</f>
        <v>0</v>
      </c>
      <c r="AI6" s="180">
        <v>5000</v>
      </c>
      <c r="AJ6" s="182">
        <f>('23'!AI6/24)*0.454</f>
        <v>94.583333333333343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129</v>
      </c>
      <c r="C7" s="184">
        <v>13</v>
      </c>
      <c r="D7" s="184">
        <v>10</v>
      </c>
      <c r="E7" s="184">
        <v>4.8</v>
      </c>
      <c r="F7" s="184">
        <v>37</v>
      </c>
      <c r="G7" s="184">
        <v>2.2000000000000002</v>
      </c>
      <c r="H7" s="184">
        <v>1.9</v>
      </c>
      <c r="I7" s="184">
        <v>1</v>
      </c>
      <c r="J7" s="184">
        <v>1.2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/>
      <c r="Q7" s="186"/>
      <c r="R7" s="36">
        <f>'22'!Z29</f>
        <v>1582</v>
      </c>
      <c r="S7" s="185">
        <f>'22'!$AB$29</f>
        <v>95.065242535964728</v>
      </c>
      <c r="T7" s="36">
        <f>'22'!$Y$29</f>
        <v>3074</v>
      </c>
      <c r="U7" s="32" t="str">
        <f>IF('23'!AA6=1,'23'!AR6,'23'!AR7)</f>
        <v>S.A.L</v>
      </c>
      <c r="V7" s="1016">
        <f>ESCALA!$C$24</f>
        <v>0</v>
      </c>
      <c r="W7" s="1016"/>
      <c r="X7" s="13">
        <v>8.3333333333333301E-2</v>
      </c>
      <c r="Y7" s="52">
        <v>3045</v>
      </c>
      <c r="Z7" s="180">
        <v>1582</v>
      </c>
      <c r="AA7" s="15">
        <v>1</v>
      </c>
      <c r="AB7" s="56">
        <f>IF('23'!AA7=1,(('23'!Z7*'23'!$AS$6*'23'!$AT$6)/('23'!Y7*0.0036)),IF('23'!AA7=2,(('23'!Z7*'23'!$AS$7*'23'!$AT$7)/('23'!Y7*0.0036))))</f>
        <v>96.692209450830148</v>
      </c>
      <c r="AC7" s="56"/>
      <c r="AD7" s="18">
        <f>(('23'!AC7*'23'!$Q$10*1000000))/('23'!Y7*3600)</f>
        <v>0</v>
      </c>
      <c r="AE7" s="181"/>
      <c r="AF7" s="182">
        <f>('23'!AE7/24)*0.454</f>
        <v>0</v>
      </c>
      <c r="AG7" s="19"/>
      <c r="AH7" s="182">
        <f>('23'!AG7/24)*0.454</f>
        <v>0</v>
      </c>
      <c r="AI7" s="180">
        <v>5000</v>
      </c>
      <c r="AJ7" s="182">
        <f>('23'!AI7/24)*0.454</f>
        <v>94.583333333333343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132</v>
      </c>
      <c r="C8" s="184">
        <v>12</v>
      </c>
      <c r="D8" s="184">
        <v>10</v>
      </c>
      <c r="E8" s="184">
        <v>5.5</v>
      </c>
      <c r="F8" s="184">
        <v>38</v>
      </c>
      <c r="G8" s="184">
        <v>2.2000000000000002</v>
      </c>
      <c r="H8" s="184">
        <v>1.6</v>
      </c>
      <c r="I8" s="184">
        <v>1</v>
      </c>
      <c r="J8" s="184">
        <v>1.4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/>
      <c r="Q8" s="186"/>
      <c r="R8" s="34">
        <f>'23'!Z7</f>
        <v>1582</v>
      </c>
      <c r="S8" s="35">
        <f>'23'!AB7</f>
        <v>96.692209450830148</v>
      </c>
      <c r="T8" s="36">
        <f>'23'!Y7</f>
        <v>3045</v>
      </c>
      <c r="U8" s="32" t="str">
        <f>IF('23'!AA7=1,'23'!AR6,'23'!AR7)</f>
        <v>S.A.L</v>
      </c>
      <c r="V8" s="1016"/>
      <c r="W8" s="1016"/>
      <c r="X8" s="13">
        <v>0.125</v>
      </c>
      <c r="Y8" s="52">
        <v>3015</v>
      </c>
      <c r="Z8" s="180">
        <v>1582</v>
      </c>
      <c r="AA8" s="15">
        <v>1</v>
      </c>
      <c r="AB8" s="56">
        <f>IF('23'!AA8=1,(('23'!Z8*'23'!$AS$6*'23'!$AT$6)/('23'!Y8*0.0036)),IF('23'!AA8=2,(('23'!Z8*'23'!$AS$7*'23'!$AT$7)/('23'!Y8*0.0036))))</f>
        <v>97.65432098765433</v>
      </c>
      <c r="AC8" s="56"/>
      <c r="AD8" s="18">
        <f>(('23'!AC8*'23'!$Q$10*1000000))/('23'!Y8*3600)</f>
        <v>0</v>
      </c>
      <c r="AE8" s="181"/>
      <c r="AF8" s="182">
        <f>('23'!AE8/24)*0.454</f>
        <v>0</v>
      </c>
      <c r="AG8" s="19"/>
      <c r="AH8" s="182">
        <f>('23'!AG8/24)*0.454</f>
        <v>0</v>
      </c>
      <c r="AI8" s="180">
        <v>5000</v>
      </c>
      <c r="AJ8" s="182">
        <f>('23'!AI8/24)*0.454</f>
        <v>94.583333333333343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132</v>
      </c>
      <c r="C9" s="184">
        <v>12</v>
      </c>
      <c r="D9" s="184">
        <v>11</v>
      </c>
      <c r="E9" s="184">
        <v>5.9</v>
      </c>
      <c r="F9" s="184">
        <v>37</v>
      </c>
      <c r="G9" s="184">
        <v>2.1</v>
      </c>
      <c r="H9" s="184">
        <v>1.7</v>
      </c>
      <c r="I9" s="184">
        <v>1.1000000000000001</v>
      </c>
      <c r="J9" s="184">
        <v>1.3</v>
      </c>
      <c r="K9" s="184">
        <v>7.3</v>
      </c>
      <c r="L9" s="184">
        <v>6.5</v>
      </c>
      <c r="M9" s="184">
        <v>6.5</v>
      </c>
      <c r="N9" s="184">
        <v>6.3</v>
      </c>
      <c r="O9" s="184">
        <v>3.2</v>
      </c>
      <c r="P9" s="184"/>
      <c r="Q9" s="186"/>
      <c r="R9" s="36">
        <f>'23'!Z9</f>
        <v>1582</v>
      </c>
      <c r="S9" s="35">
        <f>'23'!AB9</f>
        <v>98.834433627988517</v>
      </c>
      <c r="T9" s="36">
        <f>'23'!Y9</f>
        <v>2979</v>
      </c>
      <c r="U9" s="32" t="str">
        <f>IF('23'!AA9=1,'23'!AR6,'23'!AR7)</f>
        <v>S.A.L</v>
      </c>
      <c r="V9" s="1016"/>
      <c r="W9" s="1016"/>
      <c r="X9" s="13">
        <v>0.16666666666666699</v>
      </c>
      <c r="Y9" s="52">
        <v>2979</v>
      </c>
      <c r="Z9" s="180">
        <v>1582</v>
      </c>
      <c r="AA9" s="15">
        <v>1</v>
      </c>
      <c r="AB9" s="56">
        <f>IF('23'!AA9=1,(('23'!Z9*'23'!$AS$6*'23'!$AT$6)/('23'!Y9*0.0036)),IF('23'!AA9=2,(('23'!Z9*'23'!$AS$7*'23'!$AT$7)/('23'!Y9*0.0036))))</f>
        <v>98.834433627988517</v>
      </c>
      <c r="AC9" s="56"/>
      <c r="AD9" s="18">
        <f>(('23'!AC9*'23'!$Q$10*1000000))/('23'!Y9*3600)</f>
        <v>0</v>
      </c>
      <c r="AE9" s="181"/>
      <c r="AF9" s="182">
        <f>('23'!AE9/24)*0.454</f>
        <v>0</v>
      </c>
      <c r="AG9" s="19"/>
      <c r="AH9" s="182">
        <f>('23'!AG9/24)*0.454</f>
        <v>0</v>
      </c>
      <c r="AI9" s="180">
        <v>5000</v>
      </c>
      <c r="AJ9" s="182">
        <f>('23'!AI9/24)*0.454</f>
        <v>94.583333333333343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134</v>
      </c>
      <c r="C10" s="184">
        <v>12</v>
      </c>
      <c r="D10" s="184">
        <v>11</v>
      </c>
      <c r="E10" s="184">
        <v>6</v>
      </c>
      <c r="F10" s="184">
        <v>36</v>
      </c>
      <c r="G10" s="184">
        <v>2.2999999999999998</v>
      </c>
      <c r="H10" s="184">
        <v>1.7</v>
      </c>
      <c r="I10" s="184">
        <v>0.8</v>
      </c>
      <c r="J10" s="184">
        <v>1</v>
      </c>
      <c r="K10" s="184">
        <v>7.3</v>
      </c>
      <c r="L10" s="184">
        <v>6.5</v>
      </c>
      <c r="M10" s="184">
        <v>6.5</v>
      </c>
      <c r="N10" s="184">
        <v>6.3</v>
      </c>
      <c r="O10" s="184">
        <v>3.2</v>
      </c>
      <c r="P10" s="184"/>
      <c r="Q10" s="186"/>
      <c r="R10" s="36">
        <f>'23'!Z11</f>
        <v>1582</v>
      </c>
      <c r="S10" s="35">
        <f>'23'!AB11</f>
        <v>98.044548044548051</v>
      </c>
      <c r="T10" s="36">
        <f>'23'!Y11</f>
        <v>3003</v>
      </c>
      <c r="U10" s="32" t="str">
        <f>IF('23'!AA11=1,'23'!AR6,'23'!AR7)</f>
        <v>S.A.L</v>
      </c>
      <c r="V10" s="1016"/>
      <c r="W10" s="1016"/>
      <c r="X10" s="13">
        <v>0.20833333333333301</v>
      </c>
      <c r="Y10" s="52">
        <v>3041</v>
      </c>
      <c r="Z10" s="180">
        <v>1582</v>
      </c>
      <c r="AA10" s="15">
        <v>1</v>
      </c>
      <c r="AB10" s="56">
        <f>IF('23'!AA10=1,(('23'!Z10*'23'!$AS$6*'23'!$AT$6)/('23'!Y10*0.0036)),IF('23'!AA10=2,(('23'!Z10*'23'!$AS$7*'23'!$AT$7)/('23'!Y10*0.0036))))</f>
        <v>96.819394205122592</v>
      </c>
      <c r="AC10" s="56"/>
      <c r="AD10" s="18">
        <f>(('23'!AC10*'23'!$Q$10*1000000))/('23'!Y10*3600)</f>
        <v>0</v>
      </c>
      <c r="AE10" s="181"/>
      <c r="AF10" s="182">
        <f>('23'!AE10/24)*0.454</f>
        <v>0</v>
      </c>
      <c r="AG10" s="19"/>
      <c r="AH10" s="182">
        <f>('23'!AG10/24)*0.454</f>
        <v>0</v>
      </c>
      <c r="AI10" s="180">
        <v>5000</v>
      </c>
      <c r="AJ10" s="182">
        <f>('23'!AI10/24)*0.454</f>
        <v>94.583333333333343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135</v>
      </c>
      <c r="C11" s="184">
        <v>12</v>
      </c>
      <c r="D11" s="184">
        <v>11</v>
      </c>
      <c r="E11" s="184">
        <v>6.4</v>
      </c>
      <c r="F11" s="184">
        <v>38</v>
      </c>
      <c r="G11" s="184">
        <v>1.5</v>
      </c>
      <c r="H11" s="184">
        <v>1.1000000000000001</v>
      </c>
      <c r="I11" s="184">
        <v>0.8</v>
      </c>
      <c r="J11" s="184">
        <v>1.1000000000000001</v>
      </c>
      <c r="K11" s="184">
        <v>7.3</v>
      </c>
      <c r="L11" s="184">
        <v>6.3</v>
      </c>
      <c r="M11" s="184">
        <v>6.3</v>
      </c>
      <c r="N11" s="184">
        <v>6</v>
      </c>
      <c r="O11" s="184">
        <v>2.8</v>
      </c>
      <c r="P11" s="184"/>
      <c r="Q11" s="186"/>
      <c r="R11" s="36">
        <f>'23'!Z13</f>
        <v>1542</v>
      </c>
      <c r="S11" s="35">
        <f>'23'!AB13</f>
        <v>105.35364659814</v>
      </c>
      <c r="T11" s="36">
        <f>'23'!Y13</f>
        <v>2724</v>
      </c>
      <c r="U11" s="32" t="str">
        <f>IF('23'!AA13=1,'23'!AR6,'23'!AR7)</f>
        <v>S.A.L</v>
      </c>
      <c r="V11" s="1016"/>
      <c r="W11" s="1016"/>
      <c r="X11" s="13">
        <v>0.25</v>
      </c>
      <c r="Y11" s="52">
        <v>3003</v>
      </c>
      <c r="Z11" s="180">
        <v>1582</v>
      </c>
      <c r="AA11" s="15">
        <v>1</v>
      </c>
      <c r="AB11" s="56">
        <f>IF('23'!AA11=1,(('23'!Z11*'23'!$AS$6*'23'!$AT$6)/('23'!Y11*0.0036)),IF('23'!AA11=2,(('23'!Z11*'23'!$AS$7*'23'!$AT$7)/('23'!Y11*0.0036))))</f>
        <v>98.044548044548051</v>
      </c>
      <c r="AC11" s="56"/>
      <c r="AD11" s="18">
        <f>(('23'!AC11*'23'!$Q$10*1000000))/('23'!Y11*3600)</f>
        <v>0</v>
      </c>
      <c r="AE11" s="181"/>
      <c r="AF11" s="182">
        <f>('23'!AE11/24)*0.454</f>
        <v>0</v>
      </c>
      <c r="AG11" s="19"/>
      <c r="AH11" s="182">
        <f>('23'!AG11/24)*0.454</f>
        <v>0</v>
      </c>
      <c r="AI11" s="180">
        <v>5000</v>
      </c>
      <c r="AJ11" s="182">
        <f>('23'!AI11/24)*0.454</f>
        <v>94.583333333333343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134</v>
      </c>
      <c r="C12" s="184">
        <v>14</v>
      </c>
      <c r="D12" s="184">
        <v>12</v>
      </c>
      <c r="E12" s="184">
        <v>5.0999999999999996</v>
      </c>
      <c r="F12" s="184">
        <v>36</v>
      </c>
      <c r="G12" s="184">
        <v>1.7</v>
      </c>
      <c r="H12" s="184">
        <v>1.2</v>
      </c>
      <c r="I12" s="184">
        <v>0.7</v>
      </c>
      <c r="J12" s="184">
        <v>1</v>
      </c>
      <c r="K12" s="184">
        <v>7.3</v>
      </c>
      <c r="L12" s="184">
        <v>6.3</v>
      </c>
      <c r="M12" s="184">
        <v>6.3</v>
      </c>
      <c r="N12" s="184">
        <v>6</v>
      </c>
      <c r="O12" s="184">
        <v>2.8</v>
      </c>
      <c r="P12" s="184"/>
      <c r="Q12" s="186"/>
      <c r="R12" s="36">
        <f>'23'!Z15</f>
        <v>1542</v>
      </c>
      <c r="S12" s="35">
        <f>'23'!AB15</f>
        <v>101.91169507575759</v>
      </c>
      <c r="T12" s="36">
        <f>'23'!Y15</f>
        <v>2816</v>
      </c>
      <c r="U12" s="32" t="str">
        <f>IF('23'!AA15=1,'23'!AR6,'23'!AR7)</f>
        <v>S.A.L</v>
      </c>
      <c r="V12" s="938">
        <f>ESCALA!$B$25</f>
        <v>0</v>
      </c>
      <c r="W12" s="938"/>
      <c r="X12" s="13">
        <v>0.29166666666666702</v>
      </c>
      <c r="Y12" s="52">
        <v>2978</v>
      </c>
      <c r="Z12" s="180">
        <v>1582</v>
      </c>
      <c r="AA12" s="15">
        <v>1</v>
      </c>
      <c r="AB12" s="56">
        <f>IF('23'!AA12=1,(('23'!Z12*'23'!$AS$6*'23'!$AT$6)/('23'!Y12*0.0036)),IF('23'!AA12=2,(('23'!Z12*'23'!$AS$7*'23'!$AT$7)/('23'!Y12*0.0036))))</f>
        <v>98.867621819267214</v>
      </c>
      <c r="AC12" s="56"/>
      <c r="AD12" s="18">
        <f>(('23'!AC12*'23'!$Q$10*1000000))/('23'!Y12*3600)</f>
        <v>0</v>
      </c>
      <c r="AE12" s="181"/>
      <c r="AF12" s="182">
        <f>('23'!AE12/24)*0.454</f>
        <v>0</v>
      </c>
      <c r="AG12" s="19"/>
      <c r="AH12" s="182">
        <f>('23'!AG12/24)*0.454</f>
        <v>0</v>
      </c>
      <c r="AI12" s="180">
        <v>5000</v>
      </c>
      <c r="AJ12" s="182">
        <f>('23'!AI12/24)*0.454</f>
        <v>94.583333333333343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136</v>
      </c>
      <c r="C13" s="184">
        <v>16</v>
      </c>
      <c r="D13" s="184">
        <v>12</v>
      </c>
      <c r="E13" s="184">
        <v>5.4</v>
      </c>
      <c r="F13" s="184">
        <v>37</v>
      </c>
      <c r="G13" s="184">
        <v>1.9</v>
      </c>
      <c r="H13" s="184">
        <v>1.1000000000000001</v>
      </c>
      <c r="I13" s="184">
        <v>0.7</v>
      </c>
      <c r="J13" s="184">
        <v>1.1000000000000001</v>
      </c>
      <c r="K13" s="184">
        <v>7.3</v>
      </c>
      <c r="L13" s="184">
        <v>6.3</v>
      </c>
      <c r="M13" s="184">
        <v>6.3</v>
      </c>
      <c r="N13" s="184">
        <v>6</v>
      </c>
      <c r="O13" s="184">
        <v>2.6</v>
      </c>
      <c r="P13" s="184"/>
      <c r="Q13" s="186"/>
      <c r="R13" s="36">
        <f>'23'!Z17</f>
        <v>1542</v>
      </c>
      <c r="S13" s="35">
        <f>'23'!AB17</f>
        <v>104.13038219641994</v>
      </c>
      <c r="T13" s="36">
        <f>'23'!Y17</f>
        <v>2756</v>
      </c>
      <c r="U13" s="32" t="str">
        <f>IF('23'!AA17=1,'23'!AR6,'23'!AR7)</f>
        <v>S.A.L</v>
      </c>
      <c r="V13" s="938"/>
      <c r="W13" s="938"/>
      <c r="X13" s="13">
        <v>0.33333333333333298</v>
      </c>
      <c r="Y13" s="52">
        <v>2724</v>
      </c>
      <c r="Z13" s="180">
        <v>1542</v>
      </c>
      <c r="AA13" s="15">
        <v>1</v>
      </c>
      <c r="AB13" s="56">
        <f>IF('23'!AA13=1,(('23'!Z13*'23'!$AS$6*'23'!$AT$6)/('23'!Y13*0.0036)),IF('23'!AA13=2,(('23'!Z13*'23'!$AS$7*'23'!$AT$7)/('23'!Y13*0.0036))))</f>
        <v>105.35364659814</v>
      </c>
      <c r="AC13" s="56"/>
      <c r="AD13" s="18">
        <f>(('23'!AC13*'23'!$Q$10*1000000))/('23'!Y13*3600)</f>
        <v>0</v>
      </c>
      <c r="AE13" s="181"/>
      <c r="AF13" s="182">
        <f>('23'!AE13/24)*0.454</f>
        <v>0</v>
      </c>
      <c r="AG13" s="19"/>
      <c r="AH13" s="182">
        <f>('23'!AG13/24)*0.454</f>
        <v>0</v>
      </c>
      <c r="AI13" s="180">
        <v>5000</v>
      </c>
      <c r="AJ13" s="182">
        <f>('23'!AI13/24)*0.454</f>
        <v>94.583333333333343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139</v>
      </c>
      <c r="C14" s="184">
        <v>18</v>
      </c>
      <c r="D14" s="184">
        <v>12</v>
      </c>
      <c r="E14" s="184">
        <v>6.5</v>
      </c>
      <c r="F14" s="184">
        <v>39</v>
      </c>
      <c r="G14" s="184">
        <v>2.2000000000000002</v>
      </c>
      <c r="H14" s="184">
        <v>1</v>
      </c>
      <c r="I14" s="184">
        <v>0.8</v>
      </c>
      <c r="J14" s="184">
        <v>1</v>
      </c>
      <c r="K14" s="184">
        <v>7.3</v>
      </c>
      <c r="L14" s="184">
        <v>6.3</v>
      </c>
      <c r="M14" s="184">
        <v>6.3</v>
      </c>
      <c r="N14" s="184">
        <v>6</v>
      </c>
      <c r="O14" s="184">
        <v>2.5</v>
      </c>
      <c r="P14" s="184"/>
      <c r="Q14" s="186"/>
      <c r="R14" s="36">
        <f>'23'!Z19</f>
        <v>1542</v>
      </c>
      <c r="S14" s="35">
        <f>'23'!AB19</f>
        <v>105.43105559637523</v>
      </c>
      <c r="T14" s="36">
        <f>'23'!Y19</f>
        <v>2722</v>
      </c>
      <c r="U14" s="32" t="str">
        <f>IF('23'!AA19=1,'23'!AR6,'23'!AR7)</f>
        <v>S.A.L</v>
      </c>
      <c r="V14" s="938"/>
      <c r="W14" s="938"/>
      <c r="X14" s="13">
        <v>0.375</v>
      </c>
      <c r="Y14" s="52">
        <v>2691</v>
      </c>
      <c r="Z14" s="180">
        <v>1542</v>
      </c>
      <c r="AA14" s="15">
        <v>1</v>
      </c>
      <c r="AB14" s="56">
        <f>IF('23'!AA14=1,(('23'!Z14*'23'!$AS$6*'23'!$AT$6)/('23'!Y14*0.0036)),IF('23'!AA14=2,(('23'!Z14*'23'!$AS$7*'23'!$AT$7)/('23'!Y14*0.0036))))</f>
        <v>106.64560881952188</v>
      </c>
      <c r="AC14" s="56"/>
      <c r="AD14" s="18">
        <f>(('23'!AC14*'23'!$Q$10*1000000))/('23'!Y14*3600)</f>
        <v>0</v>
      </c>
      <c r="AE14" s="181"/>
      <c r="AF14" s="182">
        <f>('23'!AE14/24)*0.454</f>
        <v>0</v>
      </c>
      <c r="AG14" s="19"/>
      <c r="AH14" s="182">
        <f>('23'!AG14/24)*0.454</f>
        <v>0</v>
      </c>
      <c r="AI14" s="180">
        <v>5000</v>
      </c>
      <c r="AJ14" s="182">
        <f>('23'!AI14/24)*0.454</f>
        <v>94.583333333333343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147</v>
      </c>
      <c r="C15" s="184">
        <v>16</v>
      </c>
      <c r="D15" s="184">
        <v>15</v>
      </c>
      <c r="E15" s="184">
        <v>7.1</v>
      </c>
      <c r="F15" s="184">
        <v>42</v>
      </c>
      <c r="G15" s="184">
        <v>2.1</v>
      </c>
      <c r="H15" s="184">
        <v>1.7</v>
      </c>
      <c r="I15" s="184">
        <v>0.8</v>
      </c>
      <c r="J15" s="184">
        <v>1</v>
      </c>
      <c r="K15" s="184">
        <v>7.3</v>
      </c>
      <c r="L15" s="184">
        <v>6.3</v>
      </c>
      <c r="M15" s="184">
        <v>6.3</v>
      </c>
      <c r="N15" s="184">
        <v>6</v>
      </c>
      <c r="O15" s="184">
        <v>2.5</v>
      </c>
      <c r="P15" s="184"/>
      <c r="Q15" s="186"/>
      <c r="R15" s="36">
        <f>'23'!Z21</f>
        <v>1542</v>
      </c>
      <c r="S15" s="35">
        <f>'23'!AB21</f>
        <v>104.09261274332005</v>
      </c>
      <c r="T15" s="36">
        <f>'23'!Y21</f>
        <v>2757</v>
      </c>
      <c r="U15" s="32" t="str">
        <f>IF('23'!AA21=1,'23'!AR6,'23'!AR7)</f>
        <v>S.A.L</v>
      </c>
      <c r="V15" s="938"/>
      <c r="W15" s="938"/>
      <c r="X15" s="13">
        <v>0.41666666666666702</v>
      </c>
      <c r="Y15" s="52">
        <v>2816</v>
      </c>
      <c r="Z15" s="180">
        <v>1542</v>
      </c>
      <c r="AA15" s="15">
        <v>1</v>
      </c>
      <c r="AB15" s="56">
        <f>IF('23'!AA15=1,(('23'!Z15*'23'!$AS$6*'23'!$AT$6)/('23'!Y15*0.0036)),IF('23'!AA15=2,(('23'!Z15*'23'!$AS$7*'23'!$AT$7)/('23'!Y15*0.0036))))</f>
        <v>101.91169507575759</v>
      </c>
      <c r="AC15" s="56"/>
      <c r="AD15" s="18">
        <f>(('23'!AC15*'23'!$Q$10*1000000))/('23'!Y15*3600)</f>
        <v>0</v>
      </c>
      <c r="AE15" s="181"/>
      <c r="AF15" s="182">
        <f>('23'!AE15/24)*0.454</f>
        <v>0</v>
      </c>
      <c r="AG15" s="19"/>
      <c r="AH15" s="182">
        <f>('23'!AG15/24)*0.454</f>
        <v>0</v>
      </c>
      <c r="AI15" s="180">
        <v>5000</v>
      </c>
      <c r="AJ15" s="182">
        <f>('23'!AI15/24)*0.454</f>
        <v>94.583333333333343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149</v>
      </c>
      <c r="C16" s="184">
        <v>15</v>
      </c>
      <c r="D16" s="184">
        <v>13</v>
      </c>
      <c r="E16" s="184">
        <v>7.5</v>
      </c>
      <c r="F16" s="184">
        <v>41</v>
      </c>
      <c r="G16" s="184">
        <v>2</v>
      </c>
      <c r="H16" s="184">
        <v>1.1000000000000001</v>
      </c>
      <c r="I16" s="184">
        <v>0.7</v>
      </c>
      <c r="J16" s="184">
        <v>0.9</v>
      </c>
      <c r="K16" s="184">
        <v>7.3</v>
      </c>
      <c r="L16" s="184">
        <v>6.3</v>
      </c>
      <c r="M16" s="184">
        <v>6.3</v>
      </c>
      <c r="N16" s="184">
        <v>6</v>
      </c>
      <c r="O16" s="184">
        <v>2.8</v>
      </c>
      <c r="P16" s="184"/>
      <c r="Q16" s="186"/>
      <c r="R16" s="36">
        <f>'23'!Z23</f>
        <v>1542</v>
      </c>
      <c r="S16" s="35">
        <f>'23'!AB23</f>
        <v>105.93700012304664</v>
      </c>
      <c r="T16" s="36">
        <f>'23'!Y23</f>
        <v>2709</v>
      </c>
      <c r="U16" s="32" t="str">
        <f>IF('23'!AA23=1,'23'!AR6,'23'!AR7)</f>
        <v>S.A.L</v>
      </c>
      <c r="V16" s="938"/>
      <c r="W16" s="938"/>
      <c r="X16" s="13">
        <v>0.45833333333333298</v>
      </c>
      <c r="Y16" s="52">
        <v>2827</v>
      </c>
      <c r="Z16" s="180">
        <v>1542</v>
      </c>
      <c r="AA16" s="15">
        <v>1</v>
      </c>
      <c r="AB16" s="56">
        <f>IF('23'!AA16=1,(('23'!Z16*'23'!$AS$6*'23'!$AT$6)/('23'!Y16*0.0036)),IF('23'!AA16=2,(('23'!Z16*'23'!$AS$7*'23'!$AT$7)/('23'!Y16*0.0036))))</f>
        <v>101.51515151515153</v>
      </c>
      <c r="AC16" s="56"/>
      <c r="AD16" s="18">
        <f>(('23'!AC16*'23'!$Q$10*1000000))/('23'!Y16*3600)</f>
        <v>0</v>
      </c>
      <c r="AE16" s="181"/>
      <c r="AF16" s="182">
        <f>('23'!AE16/24)*0.454</f>
        <v>0</v>
      </c>
      <c r="AG16" s="19"/>
      <c r="AH16" s="182">
        <f>('23'!AG16/24)*0.454</f>
        <v>0</v>
      </c>
      <c r="AI16" s="180">
        <v>5000</v>
      </c>
      <c r="AJ16" s="182">
        <f>('23'!AI16/24)*0.454</f>
        <v>94.583333333333343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147</v>
      </c>
      <c r="C17" s="184">
        <v>14</v>
      </c>
      <c r="D17" s="184">
        <v>13</v>
      </c>
      <c r="E17" s="184">
        <v>6</v>
      </c>
      <c r="F17" s="184">
        <v>41</v>
      </c>
      <c r="G17" s="184">
        <v>1.8</v>
      </c>
      <c r="H17" s="184">
        <v>1.3</v>
      </c>
      <c r="I17" s="184">
        <v>0.8</v>
      </c>
      <c r="J17" s="184">
        <v>0.9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/>
      <c r="Q17" s="186"/>
      <c r="R17" s="36">
        <f>'23'!Z25</f>
        <v>1542</v>
      </c>
      <c r="S17" s="35">
        <f>'23'!AB25</f>
        <v>103.52934102934104</v>
      </c>
      <c r="T17" s="36">
        <f>'23'!Y25</f>
        <v>2772</v>
      </c>
      <c r="U17" s="32" t="str">
        <f>IF('23'!AA25=1,'23'!AR6,'23'!AR7)</f>
        <v>S.A.L</v>
      </c>
      <c r="V17" s="939">
        <f>ESCALA!$C$25</f>
        <v>0</v>
      </c>
      <c r="W17" s="939"/>
      <c r="X17" s="13">
        <v>0.5</v>
      </c>
      <c r="Y17" s="52">
        <v>2756</v>
      </c>
      <c r="Z17" s="180">
        <v>1542</v>
      </c>
      <c r="AA17" s="15">
        <v>1</v>
      </c>
      <c r="AB17" s="56">
        <f>IF('23'!AA17=1,(('23'!Z17*'23'!$AS$6*'23'!$AT$6)/('23'!Y17*0.0036)),IF('23'!AA17=2,(('23'!Z17*'23'!$AS$7*'23'!$AT$7)/('23'!Y17*0.0036))))</f>
        <v>104.13038219641994</v>
      </c>
      <c r="AC17" s="56"/>
      <c r="AD17" s="18">
        <f>(('23'!AC17*'23'!$Q$10*1000000))/('23'!Y17*3600)</f>
        <v>0</v>
      </c>
      <c r="AE17" s="181"/>
      <c r="AF17" s="182">
        <f>('23'!AE17/24)*0.454</f>
        <v>0</v>
      </c>
      <c r="AG17" s="19"/>
      <c r="AH17" s="182">
        <f>('23'!AG17/24)*0.454</f>
        <v>0</v>
      </c>
      <c r="AI17" s="180">
        <v>5000</v>
      </c>
      <c r="AJ17" s="182">
        <f>('23'!AI17/24)*0.454</f>
        <v>94.583333333333343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145</v>
      </c>
      <c r="C18" s="184">
        <v>14</v>
      </c>
      <c r="D18" s="184">
        <v>13</v>
      </c>
      <c r="E18" s="184">
        <v>6</v>
      </c>
      <c r="F18" s="184">
        <v>39</v>
      </c>
      <c r="G18" s="184">
        <v>1.6</v>
      </c>
      <c r="H18" s="184">
        <v>1.5</v>
      </c>
      <c r="I18" s="184">
        <v>0.9</v>
      </c>
      <c r="J18" s="184">
        <v>1</v>
      </c>
      <c r="K18" s="184">
        <v>7.3</v>
      </c>
      <c r="L18" s="184">
        <v>6.3</v>
      </c>
      <c r="M18" s="184">
        <v>6.3</v>
      </c>
      <c r="N18" s="184">
        <v>6</v>
      </c>
      <c r="O18" s="184">
        <v>3.2</v>
      </c>
      <c r="P18" s="184"/>
      <c r="Q18" s="186"/>
      <c r="R18" s="36">
        <f>'23'!Z27</f>
        <v>1542</v>
      </c>
      <c r="S18" s="35">
        <f>'23'!AB27</f>
        <v>104.5476624165149</v>
      </c>
      <c r="T18" s="36">
        <f>'23'!Y27</f>
        <v>2745</v>
      </c>
      <c r="U18" s="32" t="str">
        <f>IF('23'!AA27=1,'23'!AR6,'23'!AR7)</f>
        <v>S.A.L</v>
      </c>
      <c r="V18" s="939"/>
      <c r="W18" s="939"/>
      <c r="X18" s="13">
        <v>0.54166666666666696</v>
      </c>
      <c r="Y18" s="52">
        <v>2738</v>
      </c>
      <c r="Z18" s="180">
        <v>1542</v>
      </c>
      <c r="AA18" s="15">
        <v>1</v>
      </c>
      <c r="AB18" s="56">
        <f>IF('23'!AA18=1,(('23'!Z18*'23'!$AS$6*'23'!$AT$6)/('23'!Y18*0.0036)),IF('23'!AA18=2,(('23'!Z18*'23'!$AS$7*'23'!$AT$7)/('23'!Y18*0.0036))))</f>
        <v>104.81495008522037</v>
      </c>
      <c r="AC18" s="56"/>
      <c r="AD18" s="18">
        <f>(('23'!AC18*'23'!$Q$10*1000000))/('23'!Y18*3600)</f>
        <v>0</v>
      </c>
      <c r="AE18" s="181"/>
      <c r="AF18" s="182">
        <f>('23'!AE18/24)*0.454</f>
        <v>0</v>
      </c>
      <c r="AG18" s="19"/>
      <c r="AH18" s="182">
        <f>('23'!AG18/24)*0.454</f>
        <v>0</v>
      </c>
      <c r="AI18" s="180">
        <v>5000</v>
      </c>
      <c r="AJ18" s="182">
        <f>('23'!AI18/24)*0.454</f>
        <v>94.583333333333343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138.25</v>
      </c>
      <c r="C19" s="67">
        <f>AVERAGE('23'!C7:C18)</f>
        <v>14</v>
      </c>
      <c r="D19" s="67">
        <f>AVERAGE('23'!D7:D18)</f>
        <v>11.916666666666666</v>
      </c>
      <c r="E19" s="67">
        <f>AVERAGE('23'!E7:E18)</f>
        <v>6.0166666666666666</v>
      </c>
      <c r="F19" s="67">
        <f>AVERAGE('23'!F7:F18)</f>
        <v>38.416666666666664</v>
      </c>
      <c r="G19" s="67">
        <f>AVERAGE('23'!G7:G18)</f>
        <v>1.966666666666667</v>
      </c>
      <c r="H19" s="67">
        <f>AVERAGE('23'!H7:H18)</f>
        <v>1.4083333333333332</v>
      </c>
      <c r="I19" s="67">
        <f>AVERAGE('23'!I7:I18)</f>
        <v>0.84166666666666679</v>
      </c>
      <c r="J19" s="67">
        <f>AVERAGE('23'!J7:J18)</f>
        <v>1.075</v>
      </c>
      <c r="K19" s="67">
        <f>AVERAGE('23'!K7:K18)</f>
        <v>7.299999999999998</v>
      </c>
      <c r="L19" s="67">
        <f>AVERAGE('23'!L7:L18)</f>
        <v>6.3666666666666645</v>
      </c>
      <c r="M19" s="67">
        <f>AVERAGE('23'!M7:M18)</f>
        <v>6.3666666666666645</v>
      </c>
      <c r="N19" s="67">
        <f>AVERAGE('23'!N7:N18)</f>
        <v>6.1000000000000005</v>
      </c>
      <c r="O19" s="67">
        <f>AVERAGE('23'!O7:O18)</f>
        <v>2.933333333333334</v>
      </c>
      <c r="P19" s="188" t="e">
        <f>AVERAGE('23'!P7:P18)</f>
        <v>#DIV/0!</v>
      </c>
      <c r="Q19" s="189" t="e">
        <f>AVERAGE('23'!Q7:Q18)</f>
        <v>#DIV/0!</v>
      </c>
      <c r="R19" s="189">
        <f>AVERAGE('23'!R7:R18)</f>
        <v>1555.3333333333333</v>
      </c>
      <c r="S19" s="189">
        <f>AVERAGE('23'!S7:S18)</f>
        <v>101.96415245318724</v>
      </c>
      <c r="T19" s="940"/>
      <c r="U19" s="940"/>
      <c r="V19" s="47"/>
      <c r="W19" s="48"/>
      <c r="X19" s="13">
        <v>0.58333333333333304</v>
      </c>
      <c r="Y19" s="52">
        <v>2722</v>
      </c>
      <c r="Z19" s="180">
        <v>1542</v>
      </c>
      <c r="AA19" s="15">
        <v>1</v>
      </c>
      <c r="AB19" s="56">
        <f>IF('23'!AA19=1,(('23'!Z19*'23'!$AS$6*'23'!$AT$6)/('23'!Y19*0.0036)),IF('23'!AA19=2,(('23'!Z19*'23'!$AS$7*'23'!$AT$7)/('23'!Y19*0.0036))))</f>
        <v>105.43105559637523</v>
      </c>
      <c r="AC19" s="56"/>
      <c r="AD19" s="18">
        <f>(('23'!AC19*'23'!$Q$10*1000000))/('23'!Y19*3600)</f>
        <v>0</v>
      </c>
      <c r="AE19" s="181"/>
      <c r="AF19" s="182">
        <f>('23'!AE19/24)*0.454</f>
        <v>0</v>
      </c>
      <c r="AG19" s="19"/>
      <c r="AH19" s="182">
        <f>('23'!AG19/24)*0.454</f>
        <v>0</v>
      </c>
      <c r="AI19" s="180">
        <v>5000</v>
      </c>
      <c r="AJ19" s="182">
        <f>('23'!AI19/24)*0.454</f>
        <v>94.583333333333343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149</v>
      </c>
      <c r="C20" s="67">
        <f>MAX('23'!C7:C18)</f>
        <v>18</v>
      </c>
      <c r="D20" s="67">
        <f>MAX('23'!D7:D18)</f>
        <v>15</v>
      </c>
      <c r="E20" s="67">
        <f>MAX('23'!E7:E18)</f>
        <v>7.5</v>
      </c>
      <c r="F20" s="67">
        <f>MAX('23'!F7:F18)</f>
        <v>42</v>
      </c>
      <c r="G20" s="67">
        <f>MAX('23'!G7:G18)</f>
        <v>2.2999999999999998</v>
      </c>
      <c r="H20" s="67">
        <v>0.2</v>
      </c>
      <c r="I20" s="67">
        <f>MAX('23'!I7:I18)</f>
        <v>1.1000000000000001</v>
      </c>
      <c r="J20" s="67">
        <f>MAX('23'!J7:J18)</f>
        <v>1.4</v>
      </c>
      <c r="K20" s="67">
        <f>MAX('23'!K7:K18)</f>
        <v>7.3</v>
      </c>
      <c r="L20" s="67">
        <f>MAX('23'!L7:L18)</f>
        <v>6.5</v>
      </c>
      <c r="M20" s="67">
        <f>MAX('23'!M7:M18)</f>
        <v>6.5</v>
      </c>
      <c r="N20" s="67">
        <f>MAX('23'!N7:N18)</f>
        <v>6.3</v>
      </c>
      <c r="O20" s="68">
        <f>MAX('23'!O7:O18)</f>
        <v>3.2</v>
      </c>
      <c r="P20" s="68">
        <f>MAX('23'!P7:P18)</f>
        <v>0</v>
      </c>
      <c r="Q20" s="68">
        <f>MAX('23'!Q7:Q18)</f>
        <v>0</v>
      </c>
      <c r="R20" s="68">
        <f>MAX('23'!R7:R18)</f>
        <v>1582</v>
      </c>
      <c r="S20" s="68">
        <f>MAX('23'!S7:S18)</f>
        <v>105.93700012304664</v>
      </c>
      <c r="T20" s="940"/>
      <c r="U20" s="940"/>
      <c r="X20" s="13">
        <v>0.625</v>
      </c>
      <c r="Y20" s="52">
        <v>2753</v>
      </c>
      <c r="Z20" s="180">
        <v>1542</v>
      </c>
      <c r="AA20" s="15">
        <v>1</v>
      </c>
      <c r="AB20" s="56">
        <f>IF('23'!AA20=1,(('23'!Z20*'23'!$AS$6*'23'!$AT$6)/('23'!Y20*0.0036)),IF('23'!AA20=2,(('23'!Z20*'23'!$AS$7*'23'!$AT$7)/('23'!Y20*0.0036))))</f>
        <v>104.24385518827947</v>
      </c>
      <c r="AC20" s="56"/>
      <c r="AD20" s="18">
        <f>(('23'!AC20*'23'!$Q$10*1000000))/('23'!Y20*3600)</f>
        <v>0</v>
      </c>
      <c r="AE20" s="181"/>
      <c r="AF20" s="182">
        <f>('23'!AE20/24)*0.454</f>
        <v>0</v>
      </c>
      <c r="AG20" s="19"/>
      <c r="AH20" s="182">
        <f>('23'!AG20/24)*0.454</f>
        <v>0</v>
      </c>
      <c r="AI20" s="180">
        <v>5000</v>
      </c>
      <c r="AJ20" s="182">
        <f>('23'!AI20/24)*0.454</f>
        <v>94.583333333333343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129</v>
      </c>
      <c r="C21" s="67">
        <f>MIN('23'!C7:C18)</f>
        <v>12</v>
      </c>
      <c r="D21" s="67">
        <f>MIN('23'!D7:D18)</f>
        <v>10</v>
      </c>
      <c r="E21" s="67">
        <f>MIN('23'!E7:E18)</f>
        <v>4.8</v>
      </c>
      <c r="F21" s="67">
        <f>MIN('23'!F7:F18)</f>
        <v>36</v>
      </c>
      <c r="G21" s="190">
        <f>MIN('23'!G7:G18)</f>
        <v>1.5</v>
      </c>
      <c r="H21" s="190">
        <f>MIN('23'!H7:H18)</f>
        <v>1</v>
      </c>
      <c r="I21" s="190">
        <f>MIN('23'!I7:I18)</f>
        <v>0.7</v>
      </c>
      <c r="J21" s="190">
        <f>MIN('23'!J7:J18)</f>
        <v>0.9</v>
      </c>
      <c r="K21" s="190">
        <f>MIN('23'!K7:K18)</f>
        <v>7.3</v>
      </c>
      <c r="L21" s="190">
        <f>MIN('23'!L7:L18)</f>
        <v>6.3</v>
      </c>
      <c r="M21" s="190">
        <f>MIN('23'!M7:M18)</f>
        <v>6.3</v>
      </c>
      <c r="N21" s="190">
        <f>MIN('23'!N7:N18)</f>
        <v>6</v>
      </c>
      <c r="O21" s="191">
        <f>MIN('23'!O7:O18)</f>
        <v>2.5</v>
      </c>
      <c r="P21" s="191">
        <f>MIN('23'!P7:P18)</f>
        <v>0</v>
      </c>
      <c r="Q21" s="191">
        <f>MIN('23'!Q7:Q18)</f>
        <v>0</v>
      </c>
      <c r="R21" s="191">
        <f>MIN('23'!R7:R18)</f>
        <v>1542</v>
      </c>
      <c r="S21" s="191">
        <f>MIN('23'!S7:S18)</f>
        <v>95.065242535964728</v>
      </c>
      <c r="T21" s="940"/>
      <c r="U21" s="940"/>
      <c r="X21" s="13">
        <v>0.66666666666666696</v>
      </c>
      <c r="Y21" s="52">
        <v>2757</v>
      </c>
      <c r="Z21" s="180">
        <v>1542</v>
      </c>
      <c r="AA21" s="15">
        <v>1</v>
      </c>
      <c r="AB21" s="56">
        <f>IF('23'!AA21=1,(('23'!Z21*'23'!$AS$6*'23'!$AT$6)/('23'!Y21*0.0036)),IF('23'!AA21=2,(('23'!Z21*'23'!$AS$7*'23'!$AT$7)/('23'!Y21*0.0036))))</f>
        <v>104.09261274332005</v>
      </c>
      <c r="AC21" s="56"/>
      <c r="AD21" s="18">
        <f>(('23'!AC21*'23'!$Q$10*1000000))/('23'!Y21*3600)</f>
        <v>0</v>
      </c>
      <c r="AE21" s="181"/>
      <c r="AF21" s="182">
        <f>('23'!AE21/24)*0.454</f>
        <v>0</v>
      </c>
      <c r="AG21" s="19"/>
      <c r="AH21" s="182">
        <f>('23'!AG21/24)*0.454</f>
        <v>0</v>
      </c>
      <c r="AI21" s="180">
        <v>5000</v>
      </c>
      <c r="AJ21" s="182">
        <f>('23'!AI21/24)*0.454</f>
        <v>94.583333333333343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2749</v>
      </c>
      <c r="Z22" s="180">
        <v>1542</v>
      </c>
      <c r="AA22" s="15">
        <v>1</v>
      </c>
      <c r="AB22" s="56">
        <f>IF('23'!AA22=1,(('23'!Z22*'23'!$AS$6*'23'!$AT$6)/('23'!Y22*0.0036)),IF('23'!AA22=2,(('23'!Z22*'23'!$AS$7*'23'!$AT$7)/('23'!Y22*0.0036))))</f>
        <v>104.39553777131079</v>
      </c>
      <c r="AC22" s="56"/>
      <c r="AD22" s="18">
        <f>(('23'!AC22*'23'!$Q$10*1000000))/('23'!Y22*3600)</f>
        <v>0</v>
      </c>
      <c r="AE22" s="181"/>
      <c r="AF22" s="182">
        <f>('23'!AE22/24)*0.454</f>
        <v>0</v>
      </c>
      <c r="AG22" s="19"/>
      <c r="AH22" s="182">
        <f>('23'!AG22/24)*0.454</f>
        <v>0</v>
      </c>
      <c r="AI22" s="180">
        <v>5200</v>
      </c>
      <c r="AJ22" s="182">
        <f>('23'!AI22/24)*0.454</f>
        <v>98.36666666666666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2709</v>
      </c>
      <c r="Z23" s="180">
        <v>1542</v>
      </c>
      <c r="AA23" s="15">
        <v>1</v>
      </c>
      <c r="AB23" s="56">
        <f>IF('23'!AA23=1,(('23'!Z23*'23'!$AS$6*'23'!$AT$6)/('23'!Y23*0.0036)),IF('23'!AA23=2,(('23'!Z23*'23'!$AS$7*'23'!$AT$7)/('23'!Y23*0.0036))))</f>
        <v>105.93700012304664</v>
      </c>
      <c r="AC23" s="56"/>
      <c r="AD23" s="18">
        <f>(('23'!AC23*'23'!$Q$10*1000000))/('23'!Y23*3600)</f>
        <v>0</v>
      </c>
      <c r="AE23" s="181"/>
      <c r="AF23" s="182">
        <f>('23'!AE23/24)*0.454</f>
        <v>0</v>
      </c>
      <c r="AG23" s="19"/>
      <c r="AH23" s="182">
        <f>('23'!AG23/24)*0.454</f>
        <v>0</v>
      </c>
      <c r="AI23" s="180">
        <v>5200</v>
      </c>
      <c r="AJ23" s="182">
        <f>('23'!AI23/24)*0.454</f>
        <v>98.36666666666666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2756</v>
      </c>
      <c r="Z24" s="180">
        <v>1542</v>
      </c>
      <c r="AA24" s="15">
        <v>1</v>
      </c>
      <c r="AB24" s="16">
        <f>IF('23'!AA24=1,(('23'!Z24*'23'!$AS$6*'23'!$AT$6)/('23'!Y24*0.0036)),IF('23'!AA24=2,(('23'!Z24*'23'!$AS$7*'23'!$AT$7)/('23'!Y24*0.0036))))</f>
        <v>104.13038219641994</v>
      </c>
      <c r="AC24" s="16"/>
      <c r="AD24" s="192">
        <f>(('23'!AC24*'23'!$Q$10*1000000))/('23'!Y24*3600)</f>
        <v>0</v>
      </c>
      <c r="AE24" s="181"/>
      <c r="AF24" s="193">
        <f>('23'!AE24/24)*0.454</f>
        <v>0</v>
      </c>
      <c r="AG24" s="19"/>
      <c r="AH24" s="193">
        <f>('23'!AG24/24)*0.454</f>
        <v>0</v>
      </c>
      <c r="AI24" s="180">
        <v>5200</v>
      </c>
      <c r="AJ24" s="193">
        <f>('23'!AI24/24)*0.454</f>
        <v>98.36666666666666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 t="s">
        <v>441</v>
      </c>
      <c r="C25" s="196">
        <v>0.99</v>
      </c>
      <c r="D25" s="196">
        <v>1.03</v>
      </c>
      <c r="E25" s="197">
        <v>1.1599999999999999</v>
      </c>
      <c r="F25" s="197">
        <v>1.21</v>
      </c>
      <c r="G25" s="197">
        <v>1.01</v>
      </c>
      <c r="H25" s="197">
        <v>0.97</v>
      </c>
      <c r="I25" s="197">
        <v>0.86</v>
      </c>
      <c r="J25" s="197" t="s">
        <v>441</v>
      </c>
      <c r="K25" s="197">
        <v>0.78</v>
      </c>
      <c r="L25" s="197">
        <v>0.97</v>
      </c>
      <c r="M25" s="197">
        <v>1.06</v>
      </c>
      <c r="N25" s="197">
        <v>1.1100000000000001</v>
      </c>
      <c r="O25" s="197">
        <v>1.2</v>
      </c>
      <c r="P25" s="197" t="s">
        <v>441</v>
      </c>
      <c r="Q25" s="197" t="s">
        <v>441</v>
      </c>
      <c r="R25" s="63" t="e">
        <f>#DIV/0!</f>
        <v>#DIV/0!</v>
      </c>
      <c r="S25" s="64"/>
      <c r="T25" s="1094" t="s">
        <v>0</v>
      </c>
      <c r="U25" s="1043">
        <f>ESCALA!$A$25</f>
        <v>44339</v>
      </c>
      <c r="X25" s="13">
        <v>0.83333333333333304</v>
      </c>
      <c r="Y25" s="52">
        <v>2772</v>
      </c>
      <c r="Z25" s="180">
        <v>1542</v>
      </c>
      <c r="AA25" s="15">
        <v>1</v>
      </c>
      <c r="AB25" s="56">
        <f>IF('23'!AA25=1,(('23'!Z25*'23'!$AS$6*'23'!$AT$6)/('23'!Y25*0.0036)),IF('23'!AA25=2,(('23'!Z25*'23'!$AS$7*'23'!$AT$7)/('23'!Y25*0.0036))))</f>
        <v>103.52934102934104</v>
      </c>
      <c r="AC25" s="56"/>
      <c r="AD25" s="18">
        <f>(('23'!AC25*'23'!$Q$10*1000000))/('23'!Y25*3600)</f>
        <v>0</v>
      </c>
      <c r="AE25" s="181"/>
      <c r="AF25" s="182">
        <f>('23'!AE25/24)*0.454</f>
        <v>0</v>
      </c>
      <c r="AG25" s="19"/>
      <c r="AH25" s="182">
        <f>('23'!AG25/24)*0.454</f>
        <v>0</v>
      </c>
      <c r="AI25" s="180">
        <v>5200</v>
      </c>
      <c r="AJ25" s="182">
        <f>('23'!AI25/24)*0.454</f>
        <v>98.36666666666666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/>
      <c r="C26" s="258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94"/>
      <c r="U26" s="1043"/>
      <c r="X26" s="13">
        <v>0.875</v>
      </c>
      <c r="Y26" s="52">
        <v>2779</v>
      </c>
      <c r="Z26" s="180">
        <v>1542</v>
      </c>
      <c r="AA26" s="15">
        <v>1</v>
      </c>
      <c r="AB26" s="16">
        <f>IF('23'!AA26=1,(('23'!Z26*'23'!$AS$6*'23'!$AT$6)/('23'!Y26*0.0036)),IF('23'!AA26=2,(('23'!Z26*'23'!$AS$7*'23'!$AT$7)/('23'!Y26*0.0036))))</f>
        <v>103.26856183279358</v>
      </c>
      <c r="AC26" s="56"/>
      <c r="AD26" s="18">
        <f>(('23'!AC26*'23'!$Q$10*1000000))/('23'!Y26*3600)</f>
        <v>0</v>
      </c>
      <c r="AE26" s="181"/>
      <c r="AF26" s="182">
        <f>('23'!AE26/24)*0.454</f>
        <v>0</v>
      </c>
      <c r="AG26" s="19"/>
      <c r="AH26" s="182">
        <f>('23'!AG26/24)*0.454</f>
        <v>0</v>
      </c>
      <c r="AI26" s="180">
        <v>5200</v>
      </c>
      <c r="AJ26" s="182">
        <f>('23'!AI26/24)*0.454</f>
        <v>98.36666666666666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2745</v>
      </c>
      <c r="Z27" s="180">
        <v>1542</v>
      </c>
      <c r="AA27" s="15">
        <v>1</v>
      </c>
      <c r="AB27" s="56">
        <f>IF('23'!AA27=1,(('23'!Z27*'23'!$AS$6*'23'!$AT$6)/('23'!Y27*0.0036)),IF('23'!AA27=2,(('23'!Z27*'23'!$AS$7*'23'!$AT$7)/('23'!Y27*0.0036))))</f>
        <v>104.5476624165149</v>
      </c>
      <c r="AC27" s="56"/>
      <c r="AD27" s="18">
        <f>(('23'!AC27*'23'!$Q$10*1000000))/('23'!Y27*3600)</f>
        <v>0</v>
      </c>
      <c r="AE27" s="181"/>
      <c r="AF27" s="182">
        <f>('23'!AE27/24)*0.454</f>
        <v>0</v>
      </c>
      <c r="AG27" s="19"/>
      <c r="AH27" s="182">
        <f>('23'!AG27/24)*0.454</f>
        <v>0</v>
      </c>
      <c r="AI27" s="180">
        <v>5200</v>
      </c>
      <c r="AJ27" s="182">
        <f>('23'!AI27/24)*0.454</f>
        <v>98.36666666666666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2789</v>
      </c>
      <c r="Z28" s="180">
        <v>1542</v>
      </c>
      <c r="AA28" s="15">
        <v>1</v>
      </c>
      <c r="AB28" s="56">
        <f>IF('23'!AA28=1,(('23'!Z28*'23'!$AS$6*'23'!$AT$6)/('23'!Y28*0.0036)),IF('23'!AA28=2,(('23'!Z28*'23'!$AS$7*'23'!$AT$7)/('23'!Y28*0.0036))))</f>
        <v>102.89829090474484</v>
      </c>
      <c r="AC28" s="56"/>
      <c r="AD28" s="18">
        <f>(('23'!AC28*'23'!$Q$10*1000000))/('23'!Y28*3600)</f>
        <v>0</v>
      </c>
      <c r="AE28" s="181"/>
      <c r="AF28" s="182">
        <f>('23'!AE28/24)*0.454</f>
        <v>0</v>
      </c>
      <c r="AG28" s="19"/>
      <c r="AH28" s="182">
        <f>('23'!AG28/24)*0.454</f>
        <v>0</v>
      </c>
      <c r="AI28" s="180">
        <v>5200</v>
      </c>
      <c r="AJ28" s="182">
        <f>('23'!AI28/24)*0.454</f>
        <v>98.36666666666666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2782</v>
      </c>
      <c r="Z29" s="180">
        <v>1542</v>
      </c>
      <c r="AA29" s="15">
        <v>1</v>
      </c>
      <c r="AB29" s="56">
        <f>IF('23'!AA29=1,(('23'!Z29*'23'!$AS$6*'23'!$AT$6)/('23'!Y29*0.0036)),IF('23'!AA29=2,(('23'!Z29*'23'!$AS$7*'23'!$AT$7)/('23'!Y29*0.0036))))</f>
        <v>103.15720105439732</v>
      </c>
      <c r="AC29" s="56"/>
      <c r="AD29" s="18">
        <f>(('23'!AC29*'23'!$Q$10*1000000))/('23'!Y29*3600)</f>
        <v>0</v>
      </c>
      <c r="AE29" s="181"/>
      <c r="AF29" s="182">
        <f>('23'!AE29/24)*0.454</f>
        <v>0</v>
      </c>
      <c r="AG29" s="19"/>
      <c r="AH29" s="182">
        <f>('23'!AG29/24)*0.454</f>
        <v>0</v>
      </c>
      <c r="AI29" s="180">
        <v>5200</v>
      </c>
      <c r="AJ29" s="182">
        <f>('23'!AI29/24)*0.454</f>
        <v>98.36666666666666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SUM('23'!Y6:Y29)*3.6</f>
        <v>244864.80000000002</v>
      </c>
      <c r="Z30" s="80">
        <f>SUM('23'!Z6:Z29)</f>
        <v>37288</v>
      </c>
      <c r="AA30" s="76"/>
      <c r="AB30" s="77"/>
      <c r="AC30" s="76"/>
      <c r="AD30" s="77"/>
      <c r="AE30" s="33"/>
      <c r="AF30" s="182">
        <f>SUM('23'!AF6:AF29)</f>
        <v>0</v>
      </c>
      <c r="AG30" s="33"/>
      <c r="AH30" s="182">
        <f>SUM('23'!AH6:AH29)</f>
        <v>0</v>
      </c>
      <c r="AI30" s="33"/>
      <c r="AJ30" s="182">
        <f>SUM('23'!AJ6:AJ29)</f>
        <v>2300.2666666666664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SUMIF('23'!AA6:AA29,"=1",'23'!Z6:Z29)</f>
        <v>37288</v>
      </c>
      <c r="AA32" s="80">
        <f>'23'!Z32*'23'!AS6</f>
        <v>49965.920000000006</v>
      </c>
      <c r="AB32" s="81">
        <f>SUMIF('23'!$AA$6:$AA$29,"=1",'23'!$AB$6:$AB$29)/COUNTIF('23'!$AA$6:$AA$29,"=1")</f>
        <v>102.17241254644021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AVERAGE('23'!Y6:Y29)</f>
        <v>2834.0833333333335</v>
      </c>
      <c r="Z34" s="94">
        <f>AVERAGE('23'!Z6:Z29)</f>
        <v>1553.6666666666667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0</v>
      </c>
      <c r="AG34" s="96"/>
      <c r="AH34" s="96">
        <f>AVERAGE('23'!AH6:AH29)</f>
        <v>0</v>
      </c>
      <c r="AI34" s="96"/>
      <c r="AJ34" s="96">
        <f>'23'!AJ30/24</f>
        <v>95.844444444444434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67.7</v>
      </c>
      <c r="D37" s="184">
        <v>25.9</v>
      </c>
      <c r="E37" s="184">
        <v>19.899999999999999</v>
      </c>
      <c r="F37" s="184">
        <v>1.4</v>
      </c>
      <c r="G37" s="184">
        <v>0.2</v>
      </c>
      <c r="H37" s="184">
        <v>0.2</v>
      </c>
      <c r="I37" s="181">
        <v>0.2</v>
      </c>
      <c r="J37" s="181">
        <v>0.06</v>
      </c>
      <c r="K37" s="181">
        <v>0.06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33">
        <f>'23'!V12</f>
        <v>0</v>
      </c>
      <c r="X37" s="1056" t="s">
        <v>75</v>
      </c>
      <c r="Y37" s="1056"/>
      <c r="Z37" s="108">
        <f>COUNTA('23'!Z6:Z29)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0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2300.2666666666664</v>
      </c>
      <c r="AQ38" s="208" t="s">
        <v>78</v>
      </c>
      <c r="AR38" s="210">
        <f>'23'!AP30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0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9.3940275068799846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SUM('23'!AK38,'23'!AM38)</f>
        <v>0</v>
      </c>
      <c r="AM40" s="969"/>
      <c r="AO40" s="970" t="s">
        <v>90</v>
      </c>
      <c r="AP40" s="970"/>
      <c r="AQ40" s="971">
        <f>SUM('23'!AP38,'23'!AR38)</f>
        <v>2300.2666666666664</v>
      </c>
      <c r="AR40" s="971"/>
    </row>
    <row r="41" spans="1:44" ht="16.5" customHeight="1">
      <c r="A41" s="131">
        <f>COUNTA('23'!E7:E18)</f>
        <v>12</v>
      </c>
      <c r="B41" s="132">
        <f>COUNTA('23'!I7:I18)</f>
        <v>12</v>
      </c>
      <c r="C41" s="972">
        <f>COUNTA('23'!J7:J18)</f>
        <v>12</v>
      </c>
      <c r="D41" s="972">
        <f>COUNTA('23'!K7:K18)</f>
        <v>12</v>
      </c>
      <c r="E41" s="972">
        <f>COUNTIF('23'!E7:E18,"&gt;15")</f>
        <v>0</v>
      </c>
      <c r="F41" s="972"/>
      <c r="G41" s="972">
        <f>COUNTIF('23'!J7:J18,"&gt;1")</f>
        <v>5</v>
      </c>
      <c r="H41" s="972"/>
      <c r="I41" s="133"/>
      <c r="J41" s="972">
        <f>'23'!A41-'23'!E41</f>
        <v>12</v>
      </c>
      <c r="K41" s="972"/>
      <c r="L41" s="972">
        <f>'23'!C41-'23'!G41</f>
        <v>7</v>
      </c>
      <c r="M41" s="972"/>
      <c r="N41" s="133"/>
      <c r="O41" s="973">
        <f>COUNTIF('23'!J7:J18,"&lt;=0,5")</f>
        <v>0</v>
      </c>
      <c r="P41" s="973"/>
      <c r="Q41" s="973"/>
      <c r="R41" s="963"/>
      <c r="S41" s="974">
        <f>COUNTIF('23'!J7:J18,"&lt;=1,0")</f>
        <v>7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SUM(('23'!AK38+'23'!AM38)/'23'!Y30)*1000</f>
        <v>0</v>
      </c>
      <c r="AM41" s="975"/>
      <c r="AO41" s="970" t="s">
        <v>91</v>
      </c>
      <c r="AP41" s="970"/>
      <c r="AQ41" s="975">
        <f>SUM(('23'!AP38+'23'!AR38)/'23'!Y30)*1000</f>
        <v>9.3940275068799846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156</v>
      </c>
      <c r="Z44" s="142" t="s">
        <v>101</v>
      </c>
      <c r="AA44" s="143">
        <v>0</v>
      </c>
      <c r="AB44" s="142" t="s">
        <v>101</v>
      </c>
      <c r="AC44" s="143">
        <v>31</v>
      </c>
      <c r="AD44" s="982"/>
      <c r="AE44" s="982"/>
      <c r="AF44" s="983" t="s">
        <v>102</v>
      </c>
      <c r="AG44" s="996">
        <f>SUM('23'!Y45,'23'!AA45,'23'!AC45,'23'!AE45)</f>
        <v>262055.5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COUNTIF('23'!I7:I18,"&lt;=5,0")</f>
        <v>12</v>
      </c>
      <c r="I45" s="986"/>
      <c r="J45" s="986"/>
      <c r="K45" s="133"/>
      <c r="L45" s="968">
        <f>COUNTA('23'!L37)</f>
        <v>1</v>
      </c>
      <c r="M45" s="968"/>
      <c r="O45" s="144"/>
      <c r="P45" s="145"/>
      <c r="Q45" s="987">
        <f>'23'!S41-'23'!O41</f>
        <v>7</v>
      </c>
      <c r="R45" s="987"/>
      <c r="S45" s="987"/>
      <c r="T45" s="146"/>
      <c r="X45" s="147" t="s">
        <v>104</v>
      </c>
      <c r="Y45" s="148">
        <f>'23'!Y44*275.3</f>
        <v>42946.8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8608.6999999999989</v>
      </c>
      <c r="AD45" s="147" t="s">
        <v>104</v>
      </c>
      <c r="AE45" s="149">
        <v>210500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89" t="s">
        <v>106</v>
      </c>
      <c r="AG46" s="990">
        <f>SUM('23'!Y47,'23'!AA47,'23'!AC47,'23'!AE47)</f>
        <v>351154.37</v>
      </c>
      <c r="AI46" s="309" t="s">
        <v>101</v>
      </c>
      <c r="AJ46" s="310"/>
      <c r="AK46" s="309" t="s">
        <v>101</v>
      </c>
      <c r="AL46" s="310"/>
      <c r="AM46" s="309" t="s">
        <v>101</v>
      </c>
      <c r="AN46" s="310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'23'!Y45*'23'!Y46</f>
        <v>57548.712000000007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11535.657999999999</v>
      </c>
      <c r="AD47" s="147" t="s">
        <v>108</v>
      </c>
      <c r="AE47" s="148">
        <f>'23'!AE45*'23'!AE46</f>
        <v>282070</v>
      </c>
      <c r="AF47" s="989"/>
      <c r="AG47" s="990"/>
      <c r="AI47" s="311" t="s">
        <v>104</v>
      </c>
      <c r="AJ47" s="312">
        <f>'10'!AJ46*275.3</f>
        <v>0</v>
      </c>
      <c r="AK47" s="311" t="s">
        <v>104</v>
      </c>
      <c r="AL47" s="312">
        <f>262.4*'10'!AL46</f>
        <v>0</v>
      </c>
      <c r="AM47" s="311" t="s">
        <v>104</v>
      </c>
      <c r="AN47" s="312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3" t="s">
        <v>105</v>
      </c>
      <c r="AJ48" s="314">
        <f>'10'!Y46</f>
        <v>1.33</v>
      </c>
      <c r="AK48" s="315" t="s">
        <v>105</v>
      </c>
      <c r="AL48" s="314">
        <f>'10'!AJ48</f>
        <v>1.33</v>
      </c>
      <c r="AM48" s="315" t="s">
        <v>105</v>
      </c>
      <c r="AN48" s="314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311" t="s">
        <v>108</v>
      </c>
      <c r="AJ49" s="312">
        <f>'10'!AJ47*'10'!AJ48</f>
        <v>0</v>
      </c>
      <c r="AK49" s="311" t="s">
        <v>108</v>
      </c>
      <c r="AL49" s="312">
        <f>'10'!AL47*'10'!AL48</f>
        <v>0</v>
      </c>
      <c r="AM49" s="311" t="s">
        <v>108</v>
      </c>
      <c r="AN49" s="312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68">
        <f>COUNTA('23'!O7:O18)</f>
        <v>12</v>
      </c>
      <c r="P51" s="968">
        <f>COUNTA('23'!W17:W28)</f>
        <v>0</v>
      </c>
      <c r="R51" s="986">
        <f>COUNTIF('23'!O7:O18,"&gt;=0,5")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SUM('23'!Y53,'23'!AA53,'23'!AC53,'23'!AE53)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83"/>
      <c r="AG53" s="996"/>
      <c r="AI53" s="309" t="s">
        <v>101</v>
      </c>
      <c r="AJ53" s="316">
        <v>0</v>
      </c>
      <c r="AK53" s="309" t="s">
        <v>101</v>
      </c>
      <c r="AL53" s="317"/>
      <c r="AM53" s="309" t="s">
        <v>101</v>
      </c>
      <c r="AN53" s="317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'23'!AS7</f>
        <v>1.262</v>
      </c>
      <c r="Z54" s="151" t="s">
        <v>105</v>
      </c>
      <c r="AA54" s="153">
        <f>'23'!Y54</f>
        <v>1.262</v>
      </c>
      <c r="AB54" s="151" t="s">
        <v>105</v>
      </c>
      <c r="AC54" s="153">
        <f>'23'!Y54</f>
        <v>1.262</v>
      </c>
      <c r="AD54" s="151" t="s">
        <v>105</v>
      </c>
      <c r="AE54" s="154">
        <f>'23'!Y54</f>
        <v>1.262</v>
      </c>
      <c r="AF54" s="989" t="s">
        <v>106</v>
      </c>
      <c r="AG54" s="990">
        <f>SUM('23'!Y55,'23'!AA55,'23'!AC55,'23'!AE55)</f>
        <v>0</v>
      </c>
      <c r="AI54" s="311" t="s">
        <v>104</v>
      </c>
      <c r="AJ54" s="312">
        <f>AJ53*275.3</f>
        <v>0</v>
      </c>
      <c r="AK54" s="311" t="s">
        <v>104</v>
      </c>
      <c r="AL54" s="312">
        <f>262.4*'10'!AL53</f>
        <v>0</v>
      </c>
      <c r="AM54" s="311" t="s">
        <v>104</v>
      </c>
      <c r="AN54" s="318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89"/>
      <c r="AG55" s="990"/>
      <c r="AI55" s="313" t="s">
        <v>105</v>
      </c>
      <c r="AJ55" s="314">
        <f>Y54</f>
        <v>1.262</v>
      </c>
      <c r="AK55" s="313" t="s">
        <v>105</v>
      </c>
      <c r="AL55" s="314">
        <f>'10'!AJ55</f>
        <v>1.262</v>
      </c>
      <c r="AM55" s="313" t="s">
        <v>105</v>
      </c>
      <c r="AN55" s="314">
        <f>AJ55</f>
        <v>1.262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311" t="s">
        <v>108</v>
      </c>
      <c r="AJ56" s="312">
        <f>AJ54*AJ55</f>
        <v>0</v>
      </c>
      <c r="AK56" s="311" t="s">
        <v>108</v>
      </c>
      <c r="AL56" s="312">
        <f>'10'!AL54*'10'!AL55</f>
        <v>0</v>
      </c>
      <c r="AM56" s="311" t="s">
        <v>108</v>
      </c>
      <c r="AN56" s="312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COUNTA('23'!N7:N18)</f>
        <v>12</v>
      </c>
      <c r="P57" s="997"/>
      <c r="R57" s="998">
        <f>COUNTIF('23'!N7:N18,"&gt;=6")</f>
        <v>12</v>
      </c>
      <c r="S57" s="998"/>
      <c r="T57" s="998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999" t="s">
        <v>116</v>
      </c>
      <c r="Y58" s="999"/>
      <c r="Z58" s="999"/>
      <c r="AA58" s="999"/>
      <c r="AB58" s="999"/>
      <c r="AC58" s="999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103" t="s">
        <v>121</v>
      </c>
      <c r="AJ61" s="1103"/>
      <c r="AK61" s="1103"/>
      <c r="AL61" s="1104">
        <f>AJ56+AL56+AN56</f>
        <v>0</v>
      </c>
      <c r="AM61" s="1104"/>
      <c r="AN61" s="1103" t="s">
        <v>121</v>
      </c>
      <c r="AO61" s="1103"/>
      <c r="AP61" s="1103"/>
      <c r="AQ61" s="1104">
        <f>AJ49+AL49+AN49</f>
        <v>0</v>
      </c>
      <c r="AR61" s="1104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103" t="s">
        <v>123</v>
      </c>
      <c r="AJ62" s="1103"/>
      <c r="AK62" s="1103"/>
      <c r="AL62" s="1105">
        <f>AA33</f>
        <v>0</v>
      </c>
      <c r="AM62" s="1105"/>
      <c r="AN62" s="1103" t="s">
        <v>123</v>
      </c>
      <c r="AO62" s="1103"/>
      <c r="AP62" s="1103"/>
      <c r="AQ62" s="1106">
        <f>'10'!AA32</f>
        <v>51610.65</v>
      </c>
      <c r="AR62" s="1106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E63" s="47"/>
      <c r="AI63" s="1103" t="s">
        <v>125</v>
      </c>
      <c r="AJ63" s="1103"/>
      <c r="AK63" s="1103"/>
      <c r="AL63" s="1104">
        <f>AL61-AL62</f>
        <v>0</v>
      </c>
      <c r="AM63" s="1104"/>
      <c r="AN63" s="1103" t="s">
        <v>125</v>
      </c>
      <c r="AO63" s="1103"/>
      <c r="AP63" s="1103"/>
      <c r="AQ63" s="1104">
        <f>'10'!AQ61-'10'!AQ62</f>
        <v>-51610.65</v>
      </c>
      <c r="AR63" s="1104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'22'!$Y$68</f>
        <v>-6662.4499999999989</v>
      </c>
      <c r="Z65" s="1007"/>
      <c r="AA65" s="1007"/>
      <c r="AB65" s="174" t="s">
        <v>126</v>
      </c>
      <c r="AC65" s="238">
        <f>'22'!$AC$68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SUM('23'!AK38,'23'!AP38)</f>
        <v>2300.2666666666664</v>
      </c>
      <c r="Z67" s="1007"/>
      <c r="AA67" s="1007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-8962.7166666666653</v>
      </c>
      <c r="Z68" s="1007"/>
      <c r="AA68" s="1007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Z6" sqref="Z6:Z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918" t="s">
        <v>5</v>
      </c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918"/>
      <c r="E3" s="918"/>
      <c r="F3" s="918"/>
      <c r="G3" s="918"/>
      <c r="H3" s="918"/>
      <c r="I3" s="918"/>
      <c r="J3" s="918"/>
      <c r="K3" s="918"/>
      <c r="L3" s="918"/>
      <c r="M3" s="918"/>
      <c r="N3" s="918"/>
      <c r="O3" s="918"/>
      <c r="P3" s="918"/>
      <c r="Q3" s="918"/>
      <c r="R3" s="918"/>
      <c r="S3" s="918"/>
      <c r="T3" s="918"/>
      <c r="U3" s="918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7" t="s">
        <v>13</v>
      </c>
      <c r="U4" s="103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22</v>
      </c>
      <c r="AF4" s="931" t="s">
        <v>23</v>
      </c>
      <c r="AG4" s="931" t="s">
        <v>24</v>
      </c>
      <c r="AH4" s="931" t="s">
        <v>25</v>
      </c>
      <c r="AI4" s="931" t="s">
        <v>26</v>
      </c>
      <c r="AJ4" s="931" t="s">
        <v>27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7"/>
      <c r="U5" s="103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7.100000000000001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5"/>
      <c r="V6" s="926"/>
      <c r="W6" s="926"/>
      <c r="X6" s="13">
        <v>4.1666666666666699E-2</v>
      </c>
      <c r="Y6" s="52">
        <v>2770</v>
      </c>
      <c r="Z6" s="180">
        <v>1582</v>
      </c>
      <c r="AA6" s="15">
        <v>1</v>
      </c>
      <c r="AB6" s="56">
        <f>IF('24'!AA6=1,(('24'!Z6*'24'!$AS$6*'24'!$AT$6)/('24'!Y6*0.0036)),IF('24'!AA6=2,(('24'!Z6*'24'!$AS$7*'24'!$AT$7)/('24'!Y6*0.0036))))</f>
        <v>105.49839550742078</v>
      </c>
      <c r="AC6" s="56"/>
      <c r="AD6" s="18">
        <f>(('24'!AC6*'24'!$Q$10*1000000))/('24'!Y6*3600)</f>
        <v>0</v>
      </c>
      <c r="AE6" s="181"/>
      <c r="AF6" s="182">
        <f>('24'!AE6/24)*0.454</f>
        <v>0</v>
      </c>
      <c r="AG6" s="19"/>
      <c r="AH6" s="182">
        <f>('24'!AG6/24)*0.454</f>
        <v>0</v>
      </c>
      <c r="AI6" s="180">
        <v>5200</v>
      </c>
      <c r="AJ6" s="182">
        <f>('24'!AI6/24)*0.454</f>
        <v>98.36666666666666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19" t="s">
        <v>48</v>
      </c>
      <c r="AS6" s="26">
        <v>1.33</v>
      </c>
      <c r="AT6" s="319">
        <v>0.5</v>
      </c>
      <c r="AU6" s="27">
        <v>0</v>
      </c>
    </row>
    <row r="7" spans="1:47" ht="18.75" customHeight="1">
      <c r="A7" s="28">
        <v>0</v>
      </c>
      <c r="B7" s="184">
        <v>142</v>
      </c>
      <c r="C7" s="184">
        <v>14</v>
      </c>
      <c r="D7" s="184">
        <v>12</v>
      </c>
      <c r="E7" s="184">
        <v>4.5999999999999996</v>
      </c>
      <c r="F7" s="184">
        <v>38</v>
      </c>
      <c r="G7" s="184">
        <v>1.6</v>
      </c>
      <c r="H7" s="184">
        <v>1.3</v>
      </c>
      <c r="I7" s="184">
        <v>0.8</v>
      </c>
      <c r="J7" s="184">
        <v>0.9</v>
      </c>
      <c r="K7" s="184">
        <v>7.3</v>
      </c>
      <c r="L7" s="184">
        <v>6.3</v>
      </c>
      <c r="M7" s="184">
        <v>6.3</v>
      </c>
      <c r="N7" s="184">
        <v>6</v>
      </c>
      <c r="O7" s="184">
        <v>3</v>
      </c>
      <c r="P7" s="184"/>
      <c r="Q7" s="186"/>
      <c r="R7" s="36">
        <f>'23'!$Z$29</f>
        <v>1542</v>
      </c>
      <c r="S7" s="185">
        <f>'23'!$AB$29</f>
        <v>103.15720105439732</v>
      </c>
      <c r="T7" s="36">
        <f>'23'!$Y$29</f>
        <v>2782</v>
      </c>
      <c r="U7" s="32" t="str">
        <f>IF('24'!AA6=1,'24'!AR6,'24'!AR7)</f>
        <v>S.A.L</v>
      </c>
      <c r="V7" s="1016">
        <f>ESCALA!$C$25</f>
        <v>0</v>
      </c>
      <c r="W7" s="1016"/>
      <c r="X7" s="13">
        <v>8.3333333333333301E-2</v>
      </c>
      <c r="Y7" s="52">
        <v>2746</v>
      </c>
      <c r="Z7" s="180">
        <v>1582</v>
      </c>
      <c r="AA7" s="15">
        <v>1</v>
      </c>
      <c r="AB7" s="56">
        <f>IF('24'!AA7=1,(('24'!Z7*'24'!$AS$6*'24'!$AT$6)/('24'!Y7*0.0036)),IF('24'!AA7=2,(('24'!Z7*'24'!$AS$7*'24'!$AT$7)/('24'!Y7*0.0036))))</f>
        <v>106.42044994739823</v>
      </c>
      <c r="AC7" s="56"/>
      <c r="AD7" s="18">
        <f>(('24'!AC7*'24'!$Q$10*1000000))/('24'!Y7*3600)</f>
        <v>0</v>
      </c>
      <c r="AE7" s="181"/>
      <c r="AF7" s="182">
        <f>('24'!AE7/24)*0.454</f>
        <v>0</v>
      </c>
      <c r="AG7" s="19"/>
      <c r="AH7" s="182">
        <f>('24'!AG7/24)*0.454</f>
        <v>0</v>
      </c>
      <c r="AI7" s="180">
        <v>5200</v>
      </c>
      <c r="AJ7" s="182">
        <f>('24'!AI7/24)*0.454</f>
        <v>98.36666666666666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19" t="s">
        <v>49</v>
      </c>
      <c r="AS7" s="26">
        <v>1.345</v>
      </c>
      <c r="AT7" s="319">
        <v>1</v>
      </c>
      <c r="AU7" s="33">
        <v>24</v>
      </c>
    </row>
    <row r="8" spans="1:47" ht="18.75" customHeight="1">
      <c r="A8" s="28">
        <v>8.3333333333333301E-2</v>
      </c>
      <c r="B8" s="184">
        <v>138</v>
      </c>
      <c r="C8" s="184">
        <v>14</v>
      </c>
      <c r="D8" s="184">
        <v>12</v>
      </c>
      <c r="E8" s="184">
        <v>4.5</v>
      </c>
      <c r="F8" s="184">
        <v>36</v>
      </c>
      <c r="G8" s="184">
        <v>1.5</v>
      </c>
      <c r="H8" s="184">
        <v>1.2</v>
      </c>
      <c r="I8" s="184">
        <v>0.8</v>
      </c>
      <c r="J8" s="184">
        <v>1</v>
      </c>
      <c r="K8" s="184">
        <v>7.3</v>
      </c>
      <c r="L8" s="184">
        <v>6.3</v>
      </c>
      <c r="M8" s="184">
        <v>6.3</v>
      </c>
      <c r="N8" s="184">
        <v>6</v>
      </c>
      <c r="O8" s="184">
        <v>3</v>
      </c>
      <c r="P8" s="184"/>
      <c r="Q8" s="186"/>
      <c r="R8" s="34">
        <f>'24'!Z7</f>
        <v>1582</v>
      </c>
      <c r="S8" s="35">
        <f>'24'!AB7</f>
        <v>106.42044994739823</v>
      </c>
      <c r="T8" s="36">
        <f>'24'!Y7</f>
        <v>2746</v>
      </c>
      <c r="U8" s="32" t="str">
        <f>IF('24'!AA7=1,'24'!AR6,'24'!AR7)</f>
        <v>S.A.L</v>
      </c>
      <c r="V8" s="1016"/>
      <c r="W8" s="1016"/>
      <c r="X8" s="13">
        <v>0.125</v>
      </c>
      <c r="Y8" s="52">
        <v>2680</v>
      </c>
      <c r="Z8" s="180">
        <v>1582</v>
      </c>
      <c r="AA8" s="15">
        <v>1</v>
      </c>
      <c r="AB8" s="56">
        <f>IF('24'!AA8=1,(('24'!Z8*'24'!$AS$6*'24'!$AT$6)/('24'!Y8*0.0036)),IF('24'!AA8=2,(('24'!Z8*'24'!$AS$7*'24'!$AT$7)/('24'!Y8*0.0036))))</f>
        <v>109.04125207296849</v>
      </c>
      <c r="AC8" s="56"/>
      <c r="AD8" s="18">
        <f>(('24'!AC8*'24'!$Q$10*1000000))/('24'!Y8*3600)</f>
        <v>0</v>
      </c>
      <c r="AE8" s="181"/>
      <c r="AF8" s="182">
        <f>('24'!AE8/24)*0.454</f>
        <v>0</v>
      </c>
      <c r="AG8" s="19"/>
      <c r="AH8" s="182">
        <f>('24'!AG8/24)*0.454</f>
        <v>0</v>
      </c>
      <c r="AI8" s="180">
        <v>5200</v>
      </c>
      <c r="AJ8" s="182">
        <f>('24'!AI8/24)*0.454</f>
        <v>98.36666666666666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134</v>
      </c>
      <c r="C9" s="184">
        <v>13</v>
      </c>
      <c r="D9" s="184">
        <v>12</v>
      </c>
      <c r="E9" s="184">
        <v>4.2</v>
      </c>
      <c r="F9" s="184">
        <v>34</v>
      </c>
      <c r="G9" s="184">
        <v>1.5</v>
      </c>
      <c r="H9" s="184">
        <v>1.2</v>
      </c>
      <c r="I9" s="184">
        <v>0.7</v>
      </c>
      <c r="J9" s="184">
        <v>1</v>
      </c>
      <c r="K9" s="184">
        <v>7.3</v>
      </c>
      <c r="L9" s="184">
        <v>6.3</v>
      </c>
      <c r="M9" s="184">
        <v>6.3</v>
      </c>
      <c r="N9" s="184">
        <v>6</v>
      </c>
      <c r="O9" s="184">
        <v>3</v>
      </c>
      <c r="P9" s="184"/>
      <c r="Q9" s="186"/>
      <c r="R9" s="36">
        <f>'24'!Z9</f>
        <v>1582</v>
      </c>
      <c r="S9" s="35">
        <f>'24'!AB9</f>
        <v>107.99355342038268</v>
      </c>
      <c r="T9" s="36">
        <f>'24'!Y9</f>
        <v>2706</v>
      </c>
      <c r="U9" s="32" t="str">
        <f>IF('24'!AA9=1,'24'!AR6,'24'!AR7)</f>
        <v>S.A.L</v>
      </c>
      <c r="V9" s="1016"/>
      <c r="W9" s="1016"/>
      <c r="X9" s="13">
        <v>0.16666666666666699</v>
      </c>
      <c r="Y9" s="52">
        <v>2706</v>
      </c>
      <c r="Z9" s="180">
        <v>1582</v>
      </c>
      <c r="AA9" s="15">
        <v>1</v>
      </c>
      <c r="AB9" s="56">
        <f>IF('24'!AA9=1,(('24'!Z9*'24'!$AS$6*'24'!$AT$6)/('24'!Y9*0.0036)),IF('24'!AA9=2,(('24'!Z9*'24'!$AS$7*'24'!$AT$7)/('24'!Y9*0.0036))))</f>
        <v>107.99355342038268</v>
      </c>
      <c r="AC9" s="56"/>
      <c r="AD9" s="18">
        <f>(('24'!AC9*'24'!$Q$10*1000000))/('24'!Y9*3600)</f>
        <v>0</v>
      </c>
      <c r="AE9" s="181"/>
      <c r="AF9" s="182">
        <f>('24'!AE9/24)*0.454</f>
        <v>0</v>
      </c>
      <c r="AG9" s="19"/>
      <c r="AH9" s="182">
        <f>('24'!AG9/24)*0.454</f>
        <v>0</v>
      </c>
      <c r="AI9" s="180">
        <v>5200</v>
      </c>
      <c r="AJ9" s="182">
        <f>('24'!AI9/24)*0.454</f>
        <v>98.36666666666666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130</v>
      </c>
      <c r="C10" s="184">
        <v>13</v>
      </c>
      <c r="D10" s="184">
        <v>11</v>
      </c>
      <c r="E10" s="184">
        <v>4.3</v>
      </c>
      <c r="F10" s="184">
        <v>33</v>
      </c>
      <c r="G10" s="184">
        <v>1.4</v>
      </c>
      <c r="H10" s="184">
        <v>1.1000000000000001</v>
      </c>
      <c r="I10" s="184">
        <v>0.7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</v>
      </c>
      <c r="P10" s="184"/>
      <c r="Q10" s="186"/>
      <c r="R10" s="36">
        <f>'24'!Z11</f>
        <v>1582</v>
      </c>
      <c r="S10" s="35">
        <f>'24'!AB11</f>
        <v>105.65096007069977</v>
      </c>
      <c r="T10" s="36">
        <f>'24'!Y11</f>
        <v>2766</v>
      </c>
      <c r="U10" s="32" t="str">
        <f>IF('24'!AA11=1,'24'!AR6,'24'!AR7)</f>
        <v>S.A.L</v>
      </c>
      <c r="V10" s="1016"/>
      <c r="W10" s="1016"/>
      <c r="X10" s="13">
        <v>0.20833333333333301</v>
      </c>
      <c r="Y10" s="52">
        <v>2742</v>
      </c>
      <c r="Z10" s="180">
        <v>1582</v>
      </c>
      <c r="AA10" s="15">
        <v>1</v>
      </c>
      <c r="AB10" s="56">
        <f>IF('24'!AA10=1,(('24'!Z10*'24'!$AS$6*'24'!$AT$6)/('24'!Y10*0.0036)),IF('24'!AA10=2,(('24'!Z10*'24'!$AS$7*'24'!$AT$7)/('24'!Y10*0.0036))))</f>
        <v>106.57569495096847</v>
      </c>
      <c r="AC10" s="56"/>
      <c r="AD10" s="18">
        <f>(('24'!AC10*'24'!$Q$10*1000000))/('24'!Y10*3600)</f>
        <v>0</v>
      </c>
      <c r="AE10" s="181"/>
      <c r="AF10" s="182">
        <f>('24'!AE10/24)*0.454</f>
        <v>0</v>
      </c>
      <c r="AG10" s="19"/>
      <c r="AH10" s="182">
        <f>('24'!AG10/24)*0.454</f>
        <v>0</v>
      </c>
      <c r="AI10" s="180">
        <v>5200</v>
      </c>
      <c r="AJ10" s="182">
        <f>('24'!AI10/24)*0.454</f>
        <v>98.36666666666666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133</v>
      </c>
      <c r="C11" s="184">
        <v>13</v>
      </c>
      <c r="D11" s="184">
        <v>11</v>
      </c>
      <c r="E11" s="184">
        <v>5</v>
      </c>
      <c r="F11" s="184">
        <v>35</v>
      </c>
      <c r="G11" s="184">
        <v>1.4</v>
      </c>
      <c r="H11" s="184">
        <v>1.2</v>
      </c>
      <c r="I11" s="184">
        <v>0.7</v>
      </c>
      <c r="J11" s="184">
        <v>0.8</v>
      </c>
      <c r="K11" s="184">
        <v>7.3</v>
      </c>
      <c r="L11" s="184">
        <v>6.3</v>
      </c>
      <c r="M11" s="184">
        <v>6.3</v>
      </c>
      <c r="N11" s="184">
        <v>6</v>
      </c>
      <c r="O11" s="184">
        <v>3.2</v>
      </c>
      <c r="P11" s="184"/>
      <c r="Q11" s="186"/>
      <c r="R11" s="36">
        <f>'24'!Z13</f>
        <v>1582</v>
      </c>
      <c r="S11" s="35">
        <f>'24'!AB13</f>
        <v>106.45921878162315</v>
      </c>
      <c r="T11" s="36">
        <f>'24'!Y13</f>
        <v>2745</v>
      </c>
      <c r="U11" s="32" t="str">
        <f>IF('24'!AA13=1,'24'!AR6,'24'!AR7)</f>
        <v>S.A.L</v>
      </c>
      <c r="V11" s="1016"/>
      <c r="W11" s="1016"/>
      <c r="X11" s="13">
        <v>0.25</v>
      </c>
      <c r="Y11" s="52">
        <v>2766</v>
      </c>
      <c r="Z11" s="180">
        <v>1582</v>
      </c>
      <c r="AA11" s="15">
        <v>1</v>
      </c>
      <c r="AB11" s="56">
        <f>IF('24'!AA11=1,(('24'!Z11*'24'!$AS$6*'24'!$AT$6)/('24'!Y11*0.0036)),IF('24'!AA11=2,(('24'!Z11*'24'!$AS$7*'24'!$AT$7)/('24'!Y11*0.0036))))</f>
        <v>105.65096007069977</v>
      </c>
      <c r="AC11" s="56"/>
      <c r="AD11" s="18">
        <f>(('24'!AC11*'24'!$Q$10*1000000))/('24'!Y11*3600)</f>
        <v>0</v>
      </c>
      <c r="AE11" s="181"/>
      <c r="AF11" s="182">
        <f>('24'!AE11/24)*0.454</f>
        <v>0</v>
      </c>
      <c r="AG11" s="19"/>
      <c r="AH11" s="182">
        <f>('24'!AG11/24)*0.454</f>
        <v>0</v>
      </c>
      <c r="AI11" s="180">
        <v>5200</v>
      </c>
      <c r="AJ11" s="182">
        <f>('24'!AI11/24)*0.454</f>
        <v>98.36666666666666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135</v>
      </c>
      <c r="C12" s="184">
        <v>13</v>
      </c>
      <c r="D12" s="184">
        <v>11</v>
      </c>
      <c r="E12" s="184">
        <v>5</v>
      </c>
      <c r="F12" s="184">
        <v>37</v>
      </c>
      <c r="G12" s="184">
        <v>1.4</v>
      </c>
      <c r="H12" s="184">
        <v>1.3</v>
      </c>
      <c r="I12" s="184">
        <v>0.7</v>
      </c>
      <c r="J12" s="184">
        <v>0.8</v>
      </c>
      <c r="K12" s="184">
        <v>7.3</v>
      </c>
      <c r="L12" s="184">
        <v>6.3</v>
      </c>
      <c r="M12" s="184">
        <v>6.3</v>
      </c>
      <c r="N12" s="184">
        <v>6</v>
      </c>
      <c r="O12" s="184">
        <v>3.2</v>
      </c>
      <c r="P12" s="184"/>
      <c r="Q12" s="186"/>
      <c r="R12" s="36">
        <f>'24'!Z15</f>
        <v>1582</v>
      </c>
      <c r="S12" s="35">
        <f>'24'!AB15</f>
        <v>107.27993963126121</v>
      </c>
      <c r="T12" s="36">
        <f>'24'!Y15</f>
        <v>2724</v>
      </c>
      <c r="U12" s="32" t="str">
        <f>IF('24'!AA15=1,'24'!AR6,'24'!AR7)</f>
        <v>S.A.L</v>
      </c>
      <c r="V12" s="938">
        <f>ESCALA!$B$26</f>
        <v>0</v>
      </c>
      <c r="W12" s="938"/>
      <c r="X12" s="13">
        <v>0.29166666666666702</v>
      </c>
      <c r="Y12" s="52">
        <v>2775</v>
      </c>
      <c r="Z12" s="180">
        <v>1582</v>
      </c>
      <c r="AA12" s="15">
        <v>1</v>
      </c>
      <c r="AB12" s="56">
        <f>IF('24'!AA12=1,(('24'!Z12*'24'!$AS$6*'24'!$AT$6)/('24'!Y12*0.0036)),IF('24'!AA12=2,(('24'!Z12*'24'!$AS$7*'24'!$AT$7)/('24'!Y12*0.0036))))</f>
        <v>105.3083083083083</v>
      </c>
      <c r="AC12" s="56"/>
      <c r="AD12" s="18">
        <f>(('24'!AC12*'24'!$Q$10*1000000))/('24'!Y12*3600)</f>
        <v>0</v>
      </c>
      <c r="AE12" s="181"/>
      <c r="AF12" s="182">
        <f>('24'!AE12/24)*0.454</f>
        <v>0</v>
      </c>
      <c r="AG12" s="19"/>
      <c r="AH12" s="182">
        <f>('24'!AG12/24)*0.454</f>
        <v>0</v>
      </c>
      <c r="AI12" s="180">
        <v>5200</v>
      </c>
      <c r="AJ12" s="182">
        <f>('24'!AI12/24)*0.454</f>
        <v>98.36666666666666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137</v>
      </c>
      <c r="C13" s="184">
        <v>12</v>
      </c>
      <c r="D13" s="184">
        <v>10</v>
      </c>
      <c r="E13" s="184">
        <v>5</v>
      </c>
      <c r="F13" s="184">
        <v>37</v>
      </c>
      <c r="G13" s="184">
        <v>1.5</v>
      </c>
      <c r="H13" s="184">
        <v>1.4</v>
      </c>
      <c r="I13" s="184">
        <v>0.7</v>
      </c>
      <c r="J13" s="184">
        <v>0.8</v>
      </c>
      <c r="K13" s="184">
        <v>7.3</v>
      </c>
      <c r="L13" s="184">
        <v>6.3</v>
      </c>
      <c r="M13" s="184">
        <v>6.3</v>
      </c>
      <c r="N13" s="184">
        <v>6</v>
      </c>
      <c r="O13" s="184">
        <v>3.2</v>
      </c>
      <c r="P13" s="184"/>
      <c r="Q13" s="186"/>
      <c r="R13" s="36">
        <f>'24'!Z17</f>
        <v>1582</v>
      </c>
      <c r="S13" s="35">
        <f>'24'!AB17</f>
        <v>107.51676069004986</v>
      </c>
      <c r="T13" s="36">
        <f>'24'!Y17</f>
        <v>2718</v>
      </c>
      <c r="U13" s="32" t="str">
        <f>IF('24'!AA17=1,'24'!AR6,'24'!AR7)</f>
        <v>S.A.L</v>
      </c>
      <c r="V13" s="938"/>
      <c r="W13" s="938"/>
      <c r="X13" s="13">
        <v>0.33333333333333298</v>
      </c>
      <c r="Y13" s="52">
        <v>2745</v>
      </c>
      <c r="Z13" s="180">
        <v>1582</v>
      </c>
      <c r="AA13" s="15">
        <v>1</v>
      </c>
      <c r="AB13" s="56">
        <f>IF('24'!AA13=1,(('24'!Z13*'24'!$AS$6*'24'!$AT$6)/('24'!Y13*0.0036)),IF('24'!AA13=2,(('24'!Z13*'24'!$AS$7*'24'!$AT$7)/('24'!Y13*0.0036))))</f>
        <v>106.45921878162315</v>
      </c>
      <c r="AC13" s="56"/>
      <c r="AD13" s="18">
        <f>(('24'!AC13*'24'!$Q$10*1000000))/('24'!Y13*3600)</f>
        <v>0</v>
      </c>
      <c r="AE13" s="181"/>
      <c r="AF13" s="182">
        <f>('24'!AE13/24)*0.454</f>
        <v>0</v>
      </c>
      <c r="AG13" s="19"/>
      <c r="AH13" s="182">
        <f>('24'!AG13/24)*0.454</f>
        <v>0</v>
      </c>
      <c r="AI13" s="180">
        <v>5200</v>
      </c>
      <c r="AJ13" s="182">
        <f>('24'!AI13/24)*0.454</f>
        <v>98.36666666666666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140</v>
      </c>
      <c r="C14" s="184">
        <v>12</v>
      </c>
      <c r="D14" s="184">
        <v>10</v>
      </c>
      <c r="E14" s="184">
        <v>5</v>
      </c>
      <c r="F14" s="184">
        <v>38</v>
      </c>
      <c r="G14" s="184">
        <v>1.5</v>
      </c>
      <c r="H14" s="184">
        <v>1.4</v>
      </c>
      <c r="I14" s="184">
        <v>0.7</v>
      </c>
      <c r="J14" s="184">
        <v>0.8</v>
      </c>
      <c r="K14" s="184">
        <v>7.3</v>
      </c>
      <c r="L14" s="184">
        <v>6.3</v>
      </c>
      <c r="M14" s="184">
        <v>6.3</v>
      </c>
      <c r="N14" s="184">
        <v>6</v>
      </c>
      <c r="O14" s="184">
        <v>3.2</v>
      </c>
      <c r="P14" s="184"/>
      <c r="Q14" s="186"/>
      <c r="R14" s="36">
        <f>'24'!Z19</f>
        <v>1582</v>
      </c>
      <c r="S14" s="35">
        <f>'24'!AB19</f>
        <v>107.3193373321908</v>
      </c>
      <c r="T14" s="36">
        <f>'24'!Y19</f>
        <v>2723</v>
      </c>
      <c r="U14" s="32" t="str">
        <f>IF('24'!AA19=1,'24'!AR6,'24'!AR7)</f>
        <v>S.A.L</v>
      </c>
      <c r="V14" s="938"/>
      <c r="W14" s="938"/>
      <c r="X14" s="13">
        <v>0.375</v>
      </c>
      <c r="Y14" s="52">
        <v>2757</v>
      </c>
      <c r="Z14" s="180">
        <v>1582</v>
      </c>
      <c r="AA14" s="15">
        <v>1</v>
      </c>
      <c r="AB14" s="56">
        <f>IF('24'!AA14=1,(('24'!Z14*'24'!$AS$6*'24'!$AT$6)/('24'!Y14*0.0036)),IF('24'!AA14=2,(('24'!Z14*'24'!$AS$7*'24'!$AT$7)/('24'!Y14*0.0036))))</f>
        <v>105.99584895014709</v>
      </c>
      <c r="AC14" s="56"/>
      <c r="AD14" s="18">
        <f>(('24'!AC14*'24'!$Q$10*1000000))/('24'!Y14*3600)</f>
        <v>0</v>
      </c>
      <c r="AE14" s="181"/>
      <c r="AF14" s="182">
        <f>('24'!AE14/24)*0.454</f>
        <v>0</v>
      </c>
      <c r="AG14" s="19"/>
      <c r="AH14" s="182">
        <f>('24'!AG14/24)*0.454</f>
        <v>0</v>
      </c>
      <c r="AI14" s="180">
        <v>5200</v>
      </c>
      <c r="AJ14" s="182">
        <f>('24'!AI14/24)*0.454</f>
        <v>98.36666666666666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145</v>
      </c>
      <c r="C15" s="184">
        <v>11</v>
      </c>
      <c r="D15" s="184">
        <v>10</v>
      </c>
      <c r="E15" s="184">
        <v>5</v>
      </c>
      <c r="F15" s="184">
        <v>40</v>
      </c>
      <c r="G15" s="184">
        <v>1.5</v>
      </c>
      <c r="H15" s="184">
        <v>1.4</v>
      </c>
      <c r="I15" s="184">
        <v>0.7</v>
      </c>
      <c r="J15" s="184">
        <v>0.8</v>
      </c>
      <c r="K15" s="184">
        <v>7.3</v>
      </c>
      <c r="L15" s="184">
        <v>6.3</v>
      </c>
      <c r="M15" s="184">
        <v>6.3</v>
      </c>
      <c r="N15" s="184">
        <v>6</v>
      </c>
      <c r="O15" s="184">
        <v>3.2</v>
      </c>
      <c r="P15" s="184"/>
      <c r="Q15" s="186"/>
      <c r="R15" s="36">
        <f>'24'!Z21</f>
        <v>1582</v>
      </c>
      <c r="S15" s="35">
        <f>'24'!AB21</f>
        <v>104.51736607852487</v>
      </c>
      <c r="T15" s="36">
        <f>'24'!Y21</f>
        <v>2796</v>
      </c>
      <c r="U15" s="32" t="str">
        <f>IF('24'!AA21=1,'24'!AR6,'24'!AR7)</f>
        <v>S.A.L</v>
      </c>
      <c r="V15" s="938"/>
      <c r="W15" s="938"/>
      <c r="X15" s="13">
        <v>0.41666666666666702</v>
      </c>
      <c r="Y15" s="52">
        <v>2724</v>
      </c>
      <c r="Z15" s="180">
        <v>1582</v>
      </c>
      <c r="AA15" s="15">
        <v>1</v>
      </c>
      <c r="AB15" s="56">
        <f>IF('24'!AA15=1,(('24'!Z15*'24'!$AS$6*'24'!$AT$6)/('24'!Y15*0.0036)),IF('24'!AA15=2,(('24'!Z15*'24'!$AS$7*'24'!$AT$7)/('24'!Y15*0.0036))))</f>
        <v>107.27993963126121</v>
      </c>
      <c r="AC15" s="56"/>
      <c r="AD15" s="18">
        <f>(('24'!AC15*'24'!$Q$10*1000000))/('24'!Y15*3600)</f>
        <v>0</v>
      </c>
      <c r="AE15" s="181"/>
      <c r="AF15" s="182">
        <f>('24'!AE15/24)*0.454</f>
        <v>0</v>
      </c>
      <c r="AG15" s="19"/>
      <c r="AH15" s="182">
        <f>('24'!AG15/24)*0.454</f>
        <v>0</v>
      </c>
      <c r="AI15" s="180">
        <v>5200</v>
      </c>
      <c r="AJ15" s="182">
        <f>('24'!AI15/24)*0.454</f>
        <v>98.36666666666666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147</v>
      </c>
      <c r="C16" s="184">
        <v>10</v>
      </c>
      <c r="D16" s="184">
        <v>9</v>
      </c>
      <c r="E16" s="184">
        <v>5</v>
      </c>
      <c r="F16" s="184">
        <v>42</v>
      </c>
      <c r="G16" s="184">
        <v>1.5</v>
      </c>
      <c r="H16" s="184">
        <v>1.4</v>
      </c>
      <c r="I16" s="184">
        <v>0.6</v>
      </c>
      <c r="J16" s="184">
        <v>0.7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/>
      <c r="Q16" s="186"/>
      <c r="R16" s="36">
        <f>'24'!Z23</f>
        <v>1582</v>
      </c>
      <c r="S16" s="35">
        <f>'24'!AB23</f>
        <v>110.40066322461487</v>
      </c>
      <c r="T16" s="36">
        <f>'24'!Y23</f>
        <v>2647</v>
      </c>
      <c r="U16" s="32" t="str">
        <f>IF('24'!AA23=1,'24'!AR6,'24'!AR7)</f>
        <v>S.A.L</v>
      </c>
      <c r="V16" s="938"/>
      <c r="W16" s="938"/>
      <c r="X16" s="13">
        <v>0.45833333333333298</v>
      </c>
      <c r="Y16" s="52">
        <v>2704</v>
      </c>
      <c r="Z16" s="180">
        <v>1582</v>
      </c>
      <c r="AA16" s="15">
        <v>1</v>
      </c>
      <c r="AB16" s="56">
        <f>IF('24'!AA16=1,(('24'!Z16*'24'!$AS$6*'24'!$AT$6)/('24'!Y16*0.0036)),IF('24'!AA16=2,(('24'!Z16*'24'!$AS$7*'24'!$AT$7)/('24'!Y16*0.0036))))</f>
        <v>108.07343030900724</v>
      </c>
      <c r="AC16" s="56"/>
      <c r="AD16" s="18">
        <f>(('24'!AC16*'24'!$Q$10*1000000))/('24'!Y16*3600)</f>
        <v>0</v>
      </c>
      <c r="AE16" s="181"/>
      <c r="AF16" s="182">
        <f>('24'!AE16/24)*0.454</f>
        <v>0</v>
      </c>
      <c r="AG16" s="19"/>
      <c r="AH16" s="182">
        <f>('24'!AG16/24)*0.454</f>
        <v>0</v>
      </c>
      <c r="AI16" s="180">
        <v>5200</v>
      </c>
      <c r="AJ16" s="182">
        <f>('24'!AI16/24)*0.454</f>
        <v>98.36666666666666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150</v>
      </c>
      <c r="C17" s="184">
        <v>9</v>
      </c>
      <c r="D17" s="184">
        <v>9</v>
      </c>
      <c r="E17" s="184">
        <v>5</v>
      </c>
      <c r="F17" s="184">
        <v>43</v>
      </c>
      <c r="G17" s="184">
        <v>1.6</v>
      </c>
      <c r="H17" s="184">
        <v>1.4</v>
      </c>
      <c r="I17" s="184">
        <v>0.6</v>
      </c>
      <c r="J17" s="184">
        <v>0.7</v>
      </c>
      <c r="K17" s="184">
        <v>7.3</v>
      </c>
      <c r="L17" s="184">
        <v>6.3</v>
      </c>
      <c r="M17" s="184">
        <v>6.3</v>
      </c>
      <c r="N17" s="184">
        <v>6</v>
      </c>
      <c r="O17" s="184">
        <v>3.4</v>
      </c>
      <c r="P17" s="184"/>
      <c r="Q17" s="186"/>
      <c r="R17" s="36">
        <f>'24'!Z25</f>
        <v>1582</v>
      </c>
      <c r="S17" s="35">
        <f>'24'!AB25</f>
        <v>100.18188397516475</v>
      </c>
      <c r="T17" s="36">
        <f>'24'!Y25</f>
        <v>2917</v>
      </c>
      <c r="U17" s="32" t="str">
        <f>IF('24'!AA25=1,'24'!AR6,'24'!AR7)</f>
        <v>S.A.L</v>
      </c>
      <c r="V17" s="939">
        <f>ESCALA!$C$26</f>
        <v>0</v>
      </c>
      <c r="W17" s="939"/>
      <c r="X17" s="13">
        <v>0.5</v>
      </c>
      <c r="Y17" s="52">
        <v>2718</v>
      </c>
      <c r="Z17" s="180">
        <v>1582</v>
      </c>
      <c r="AA17" s="15">
        <v>1</v>
      </c>
      <c r="AB17" s="56">
        <f>IF('24'!AA17=1,(('24'!Z17*'24'!$AS$6*'24'!$AT$6)/('24'!Y17*0.0036)),IF('24'!AA17=2,(('24'!Z17*'24'!$AS$7*'24'!$AT$7)/('24'!Y17*0.0036))))</f>
        <v>107.51676069004986</v>
      </c>
      <c r="AC17" s="56"/>
      <c r="AD17" s="18">
        <f>(('24'!AC17*'24'!$Q$10*1000000))/('24'!Y17*3600)</f>
        <v>0</v>
      </c>
      <c r="AE17" s="181"/>
      <c r="AF17" s="182">
        <f>('24'!AE17/24)*0.454</f>
        <v>0</v>
      </c>
      <c r="AG17" s="19"/>
      <c r="AH17" s="182">
        <f>('24'!AG17/24)*0.454</f>
        <v>0</v>
      </c>
      <c r="AI17" s="180">
        <v>5200</v>
      </c>
      <c r="AJ17" s="182">
        <f>('24'!AI17/24)*0.454</f>
        <v>98.36666666666666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150</v>
      </c>
      <c r="C18" s="184">
        <v>8</v>
      </c>
      <c r="D18" s="184">
        <v>8</v>
      </c>
      <c r="E18" s="184">
        <v>5</v>
      </c>
      <c r="F18" s="184">
        <v>43</v>
      </c>
      <c r="G18" s="184">
        <v>1.6</v>
      </c>
      <c r="H18" s="184">
        <v>1.4</v>
      </c>
      <c r="I18" s="184">
        <v>0.6</v>
      </c>
      <c r="J18" s="184">
        <v>0.7</v>
      </c>
      <c r="K18" s="184">
        <v>7.3</v>
      </c>
      <c r="L18" s="184">
        <v>6.3</v>
      </c>
      <c r="M18" s="184">
        <v>6.3</v>
      </c>
      <c r="N18" s="184">
        <v>6</v>
      </c>
      <c r="O18" s="184">
        <v>3.4</v>
      </c>
      <c r="P18" s="184"/>
      <c r="Q18" s="186"/>
      <c r="R18" s="36">
        <f>'24'!Z27</f>
        <v>1582</v>
      </c>
      <c r="S18" s="35">
        <f>'24'!AB27</f>
        <v>100.52650689905592</v>
      </c>
      <c r="T18" s="36">
        <f>'24'!Y27</f>
        <v>2907</v>
      </c>
      <c r="U18" s="32" t="str">
        <f>IF('24'!AA27=1,'24'!AR6,'24'!AR7)</f>
        <v>S.A.L</v>
      </c>
      <c r="V18" s="939"/>
      <c r="W18" s="939"/>
      <c r="X18" s="13">
        <v>0.54166666666666696</v>
      </c>
      <c r="Y18" s="52">
        <v>2720</v>
      </c>
      <c r="Z18" s="180">
        <v>1582</v>
      </c>
      <c r="AA18" s="15">
        <v>1</v>
      </c>
      <c r="AB18" s="56">
        <f>IF('24'!AA18=1,(('24'!Z18*'24'!$AS$6*'24'!$AT$6)/('24'!Y18*0.0036)),IF('24'!AA18=2,(('24'!Z18*'24'!$AS$7*'24'!$AT$7)/('24'!Y18*0.0036))))</f>
        <v>107.43770424836602</v>
      </c>
      <c r="AC18" s="56"/>
      <c r="AD18" s="18">
        <f>(('24'!AC18*'24'!$Q$10*1000000))/('24'!Y18*3600)</f>
        <v>0</v>
      </c>
      <c r="AE18" s="181"/>
      <c r="AF18" s="182">
        <f>('24'!AE18/24)*0.454</f>
        <v>0</v>
      </c>
      <c r="AG18" s="19"/>
      <c r="AH18" s="182">
        <f>('24'!AG18/24)*0.454</f>
        <v>0</v>
      </c>
      <c r="AI18" s="180">
        <v>5200</v>
      </c>
      <c r="AJ18" s="182">
        <f>('24'!AI18/24)*0.454</f>
        <v>98.36666666666666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140.08333333333334</v>
      </c>
      <c r="C19" s="67">
        <f>AVERAGE('24'!C7:C18)</f>
        <v>11.833333333333334</v>
      </c>
      <c r="D19" s="67">
        <f>AVERAGE('24'!D7:D18)</f>
        <v>10.416666666666666</v>
      </c>
      <c r="E19" s="67">
        <f>AVERAGE('24'!E7:E18)</f>
        <v>4.8</v>
      </c>
      <c r="F19" s="67">
        <f>AVERAGE('24'!F7:F18)</f>
        <v>38</v>
      </c>
      <c r="G19" s="67">
        <f>AVERAGE('24'!G7:G18)</f>
        <v>1.5000000000000002</v>
      </c>
      <c r="H19" s="67">
        <f>AVERAGE('24'!H7:H18)</f>
        <v>1.3083333333333336</v>
      </c>
      <c r="I19" s="67">
        <f>AVERAGE('24'!I7:I18)</f>
        <v>0.69166666666666676</v>
      </c>
      <c r="J19" s="67">
        <f>AVERAGE('24'!J7:J18)</f>
        <v>0.81666666666666643</v>
      </c>
      <c r="K19" s="67">
        <f>AVERAGE('24'!K7:K18)</f>
        <v>7.299999999999998</v>
      </c>
      <c r="L19" s="67">
        <f>AVERAGE('24'!L7:L18)</f>
        <v>6.299999999999998</v>
      </c>
      <c r="M19" s="67">
        <f>AVERAGE('24'!M7:M18)</f>
        <v>6.299999999999998</v>
      </c>
      <c r="N19" s="67">
        <f>AVERAGE('24'!N7:N18)</f>
        <v>6</v>
      </c>
      <c r="O19" s="67">
        <f>AVERAGE('24'!O7:O18)</f>
        <v>3.1666666666666661</v>
      </c>
      <c r="P19" s="188" t="e">
        <f>AVERAGE('24'!P7:P18)</f>
        <v>#DIV/0!</v>
      </c>
      <c r="Q19" s="189" t="e">
        <f>AVERAGE('24'!Q7:Q18)</f>
        <v>#DIV/0!</v>
      </c>
      <c r="R19" s="189">
        <f>AVERAGE('24'!R7:R18)</f>
        <v>1578.6666666666667</v>
      </c>
      <c r="S19" s="189">
        <f>AVERAGE('24'!S7:S18)</f>
        <v>105.61865342544695</v>
      </c>
      <c r="T19" s="940"/>
      <c r="U19" s="940"/>
      <c r="V19" s="47"/>
      <c r="W19" s="48"/>
      <c r="X19" s="13">
        <v>0.58333333333333304</v>
      </c>
      <c r="Y19" s="52">
        <v>2723</v>
      </c>
      <c r="Z19" s="180">
        <v>1582</v>
      </c>
      <c r="AA19" s="15">
        <v>1</v>
      </c>
      <c r="AB19" s="56">
        <f>IF('24'!AA19=1,(('24'!Z19*'24'!$AS$6*'24'!$AT$6)/('24'!Y19*0.0036)),IF('24'!AA19=2,(('24'!Z19*'24'!$AS$7*'24'!$AT$7)/('24'!Y19*0.0036))))</f>
        <v>107.3193373321908</v>
      </c>
      <c r="AC19" s="56"/>
      <c r="AD19" s="18">
        <f>(('24'!AC19*'24'!$Q$10*1000000))/('24'!Y19*3600)</f>
        <v>0</v>
      </c>
      <c r="AE19" s="181"/>
      <c r="AF19" s="182">
        <f>('24'!AE19/24)*0.454</f>
        <v>0</v>
      </c>
      <c r="AG19" s="19"/>
      <c r="AH19" s="182">
        <f>('24'!AG19/24)*0.454</f>
        <v>0</v>
      </c>
      <c r="AI19" s="180">
        <v>5200</v>
      </c>
      <c r="AJ19" s="182">
        <f>('24'!AI19/24)*0.454</f>
        <v>98.36666666666666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150</v>
      </c>
      <c r="C20" s="187">
        <f>MAX('24'!C7:C18)</f>
        <v>14</v>
      </c>
      <c r="D20" s="67">
        <f>MAX('24'!D7:D18)</f>
        <v>12</v>
      </c>
      <c r="E20" s="67">
        <f>MAX('24'!E7:E18)</f>
        <v>5</v>
      </c>
      <c r="F20" s="67">
        <f>MAX('24'!F7:F18)</f>
        <v>43</v>
      </c>
      <c r="G20" s="67">
        <f>MAX('24'!G7:G18)</f>
        <v>1.6</v>
      </c>
      <c r="H20" s="67">
        <f>MAX('24'!H7:H18)</f>
        <v>1.4</v>
      </c>
      <c r="I20" s="67">
        <f>MAX('24'!I7:I18)</f>
        <v>0.8</v>
      </c>
      <c r="J20" s="67">
        <f>MAX('24'!J7:J18)</f>
        <v>1</v>
      </c>
      <c r="K20" s="67">
        <f>MAX('24'!K7:K18)</f>
        <v>7.3</v>
      </c>
      <c r="L20" s="67">
        <f>MAX('24'!L7:L18)</f>
        <v>6.3</v>
      </c>
      <c r="M20" s="67">
        <f>MAX('24'!M7:M18)</f>
        <v>6.3</v>
      </c>
      <c r="N20" s="67">
        <f>MAX('24'!N7:N18)</f>
        <v>6</v>
      </c>
      <c r="O20" s="68">
        <f>MAX('24'!O7:O18)</f>
        <v>3.4</v>
      </c>
      <c r="P20" s="68">
        <f>MAX('24'!P7:P18)</f>
        <v>0</v>
      </c>
      <c r="Q20" s="68">
        <f>MAX('24'!Q7:Q18)</f>
        <v>0</v>
      </c>
      <c r="R20" s="68">
        <f>MAX('24'!R7:R18)</f>
        <v>1582</v>
      </c>
      <c r="S20" s="68">
        <f>MAX('24'!S7:S18)</f>
        <v>110.40066322461487</v>
      </c>
      <c r="T20" s="940"/>
      <c r="U20" s="940"/>
      <c r="X20" s="13">
        <v>0.625</v>
      </c>
      <c r="Y20" s="52">
        <v>2760</v>
      </c>
      <c r="Z20" s="180">
        <v>1582</v>
      </c>
      <c r="AA20" s="15">
        <v>1</v>
      </c>
      <c r="AB20" s="56">
        <f>IF('24'!AA20=1,(('24'!Z20*'24'!$AS$6*'24'!$AT$6)/('24'!Y20*0.0036)),IF('24'!AA20=2,(('24'!Z20*'24'!$AS$7*'24'!$AT$7)/('24'!Y20*0.0036))))</f>
        <v>105.88063607085346</v>
      </c>
      <c r="AC20" s="56"/>
      <c r="AD20" s="18">
        <f>(('24'!AC20*'24'!$Q$10*1000000))/('24'!Y20*3600)</f>
        <v>0</v>
      </c>
      <c r="AE20" s="181"/>
      <c r="AF20" s="182">
        <f>('24'!AE20/24)*0.454</f>
        <v>0</v>
      </c>
      <c r="AG20" s="19"/>
      <c r="AH20" s="182">
        <f>('24'!AG20/24)*0.454</f>
        <v>0</v>
      </c>
      <c r="AI20" s="180">
        <v>5200</v>
      </c>
      <c r="AJ20" s="182">
        <f>('24'!AI20/24)*0.454</f>
        <v>98.36666666666666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130</v>
      </c>
      <c r="C21" s="67">
        <f>MIN('24'!C7:C18)</f>
        <v>8</v>
      </c>
      <c r="D21" s="67">
        <f>MIN('24'!D7:D18)</f>
        <v>8</v>
      </c>
      <c r="E21" s="67">
        <f>MIN('24'!E7:E18)</f>
        <v>4.2</v>
      </c>
      <c r="F21" s="67">
        <f>MIN('24'!F7:F18)</f>
        <v>33</v>
      </c>
      <c r="G21" s="190">
        <f>MIN('24'!G7:G18)</f>
        <v>1.4</v>
      </c>
      <c r="H21" s="190">
        <f>MIN('24'!H7:H18)</f>
        <v>1.1000000000000001</v>
      </c>
      <c r="I21" s="190">
        <f>MIN('24'!I7:I18)</f>
        <v>0.6</v>
      </c>
      <c r="J21" s="190">
        <f>MIN('24'!J7:J18)</f>
        <v>0.7</v>
      </c>
      <c r="K21" s="190">
        <f>MIN('24'!K7:K18)</f>
        <v>7.3</v>
      </c>
      <c r="L21" s="190">
        <f>MIN('24'!L7:L18)</f>
        <v>6.3</v>
      </c>
      <c r="M21" s="190">
        <f>MIN('24'!M7:M18)</f>
        <v>6.3</v>
      </c>
      <c r="N21" s="190">
        <f>MIN('24'!N7:N18)</f>
        <v>6</v>
      </c>
      <c r="O21" s="191">
        <f>MIN('24'!O7:O18)</f>
        <v>3</v>
      </c>
      <c r="P21" s="191">
        <f>MIN('24'!P7:P18)</f>
        <v>0</v>
      </c>
      <c r="Q21" s="191">
        <f>MIN('24'!Q7:Q18)</f>
        <v>0</v>
      </c>
      <c r="R21" s="191">
        <f>MIN('24'!R7:R18)</f>
        <v>1542</v>
      </c>
      <c r="S21" s="191">
        <f>MIN('24'!S7:S18)</f>
        <v>100.18188397516475</v>
      </c>
      <c r="T21" s="940"/>
      <c r="U21" s="940"/>
      <c r="X21" s="13">
        <v>0.66666666666666696</v>
      </c>
      <c r="Y21" s="52">
        <v>2796</v>
      </c>
      <c r="Z21" s="180">
        <v>1582</v>
      </c>
      <c r="AA21" s="15">
        <v>1</v>
      </c>
      <c r="AB21" s="56">
        <f>IF('24'!AA21=1,(('24'!Z21*'24'!$AS$6*'24'!$AT$6)/('24'!Y21*0.0036)),IF('24'!AA21=2,(('24'!Z21*'24'!$AS$7*'24'!$AT$7)/('24'!Y21*0.0036))))</f>
        <v>104.51736607852487</v>
      </c>
      <c r="AC21" s="56"/>
      <c r="AD21" s="18">
        <f>(('24'!AC21*'24'!$Q$10*1000000))/('24'!Y21*3600)</f>
        <v>0</v>
      </c>
      <c r="AE21" s="181"/>
      <c r="AF21" s="182">
        <f>('24'!AE21/24)*0.454</f>
        <v>0</v>
      </c>
      <c r="AG21" s="19"/>
      <c r="AH21" s="182">
        <f>('24'!AG21/24)*0.454</f>
        <v>0</v>
      </c>
      <c r="AI21" s="180">
        <v>5200</v>
      </c>
      <c r="AJ21" s="182">
        <f>('24'!AI21/24)*0.454</f>
        <v>98.36666666666666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2781</v>
      </c>
      <c r="Z22" s="180">
        <v>1582</v>
      </c>
      <c r="AA22" s="15">
        <v>1</v>
      </c>
      <c r="AB22" s="56">
        <f>IF('24'!AA22=1,(('24'!Z22*'24'!$AS$6*'24'!$AT$6)/('24'!Y22*0.0036)),IF('24'!AA22=2,(('24'!Z22*'24'!$AS$7*'24'!$AT$7)/('24'!Y22*0.0036))))</f>
        <v>105.08110591713613</v>
      </c>
      <c r="AC22" s="56"/>
      <c r="AD22" s="18">
        <f>(('24'!AC22*'24'!$Q$10*1000000))/('24'!Y22*3600)</f>
        <v>0</v>
      </c>
      <c r="AE22" s="181"/>
      <c r="AF22" s="182">
        <f>('24'!AE22/24)*0.454</f>
        <v>0</v>
      </c>
      <c r="AG22" s="19"/>
      <c r="AH22" s="182">
        <f>('24'!AG22/24)*0.454</f>
        <v>0</v>
      </c>
      <c r="AI22" s="180">
        <v>5200</v>
      </c>
      <c r="AJ22" s="182">
        <f>('24'!AI22/24)*0.454</f>
        <v>98.36666666666666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2647</v>
      </c>
      <c r="Z23" s="180">
        <v>1582</v>
      </c>
      <c r="AA23" s="15">
        <v>1</v>
      </c>
      <c r="AB23" s="56">
        <f>IF('24'!AA23=1,(('24'!Z23*'24'!$AS$6*'24'!$AT$6)/('24'!Y23*0.0036)),IF('24'!AA23=2,(('24'!Z23*'24'!$AS$7*'24'!$AT$7)/('24'!Y23*0.0036))))</f>
        <v>110.40066322461487</v>
      </c>
      <c r="AC23" s="56"/>
      <c r="AD23" s="18">
        <f>(('24'!AC23*'24'!$Q$10*1000000))/('24'!Y23*3600)</f>
        <v>0</v>
      </c>
      <c r="AE23" s="181"/>
      <c r="AF23" s="182">
        <f>('24'!AE23/24)*0.454</f>
        <v>0</v>
      </c>
      <c r="AG23" s="19"/>
      <c r="AH23" s="182">
        <f>('24'!AG23/24)*0.454</f>
        <v>0</v>
      </c>
      <c r="AI23" s="180">
        <v>5200</v>
      </c>
      <c r="AJ23" s="182">
        <f>('24'!AI23/24)*0.454</f>
        <v>98.36666666666666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2826</v>
      </c>
      <c r="Z24" s="180">
        <v>1582</v>
      </c>
      <c r="AA24" s="15">
        <v>1</v>
      </c>
      <c r="AB24" s="16">
        <f>IF('24'!AA24=1,(('24'!Z24*'24'!$AS$6*'24'!$AT$6)/('24'!Y24*0.0036)),IF('24'!AA24=2,(('24'!Z24*'24'!$AS$7*'24'!$AT$7)/('24'!Y24*0.0036))))</f>
        <v>103.40783989934732</v>
      </c>
      <c r="AC24" s="16"/>
      <c r="AD24" s="192">
        <f>(('24'!AC24*'24'!$Q$10*1000000))/('24'!Y24*3600)</f>
        <v>0</v>
      </c>
      <c r="AE24" s="181"/>
      <c r="AF24" s="193">
        <f>('24'!AE24/24)*0.454</f>
        <v>0</v>
      </c>
      <c r="AG24" s="19"/>
      <c r="AH24" s="193">
        <f>('24'!AG24/24)*0.454</f>
        <v>0</v>
      </c>
      <c r="AI24" s="180">
        <v>5200</v>
      </c>
      <c r="AJ24" s="193">
        <f>('24'!AI24/24)*0.454</f>
        <v>98.36666666666666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17" t="s">
        <v>0</v>
      </c>
      <c r="U25" s="1108">
        <f>ESCALA!$A$26</f>
        <v>44340</v>
      </c>
      <c r="X25" s="13">
        <v>0.83333333333333304</v>
      </c>
      <c r="Y25" s="52">
        <v>2917</v>
      </c>
      <c r="Z25" s="180">
        <v>1582</v>
      </c>
      <c r="AA25" s="15">
        <v>1</v>
      </c>
      <c r="AB25" s="56">
        <f>IF('24'!AA25=1,(('24'!Z25*'24'!$AS$6*'24'!$AT$6)/('24'!Y25*0.0036)),IF('24'!AA25=2,(('24'!Z25*'24'!$AS$7*'24'!$AT$7)/('24'!Y25*0.0036))))</f>
        <v>100.18188397516475</v>
      </c>
      <c r="AC25" s="56"/>
      <c r="AD25" s="18">
        <f>(('24'!AC25*'24'!$Q$10*1000000))/('24'!Y25*3600)</f>
        <v>0</v>
      </c>
      <c r="AE25" s="181"/>
      <c r="AF25" s="182">
        <f>('24'!AE25/24)*0.454</f>
        <v>0</v>
      </c>
      <c r="AG25" s="19"/>
      <c r="AH25" s="182">
        <f>('24'!AG25/24)*0.454</f>
        <v>0</v>
      </c>
      <c r="AI25" s="180">
        <v>5200</v>
      </c>
      <c r="AJ25" s="182">
        <f>('24'!AI25/24)*0.454</f>
        <v>98.36666666666666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/>
      <c r="C26" s="258">
        <v>0.65</v>
      </c>
      <c r="D26" s="258">
        <v>0.73</v>
      </c>
      <c r="E26" s="259">
        <v>0.76</v>
      </c>
      <c r="F26" s="259">
        <v>0.64</v>
      </c>
      <c r="G26" s="259">
        <v>0.67</v>
      </c>
      <c r="H26" s="259">
        <v>0.63</v>
      </c>
      <c r="I26" s="259">
        <v>0.68</v>
      </c>
      <c r="J26" s="259"/>
      <c r="K26" s="259">
        <v>0.62</v>
      </c>
      <c r="L26" s="259">
        <v>0.57999999999999996</v>
      </c>
      <c r="M26" s="259">
        <v>0.56000000000000005</v>
      </c>
      <c r="N26" s="259">
        <v>0.59</v>
      </c>
      <c r="O26" s="259">
        <v>0.54</v>
      </c>
      <c r="P26" s="259"/>
      <c r="Q26" s="259"/>
      <c r="R26" s="63" t="e">
        <f>#DIV/0!</f>
        <v>#DIV/0!</v>
      </c>
      <c r="S26" s="65"/>
      <c r="T26" s="1017"/>
      <c r="U26" s="1108"/>
      <c r="X26" s="13">
        <v>0.875</v>
      </c>
      <c r="Y26" s="52">
        <v>2899</v>
      </c>
      <c r="Z26" s="180">
        <v>1582</v>
      </c>
      <c r="AA26" s="15">
        <v>1</v>
      </c>
      <c r="AB26" s="56">
        <f>IF('24'!AA26=1,(('24'!Z26*'24'!$AS$6*'24'!$AT$6)/('24'!Y26*0.0036)),IF('24'!AA26=2,(('24'!Z26*'24'!$AS$7*'24'!$AT$7)/('24'!Y26*0.0036))))</f>
        <v>100.80391705952245</v>
      </c>
      <c r="AC26" s="56"/>
      <c r="AD26" s="18">
        <f>(('24'!AC26*'24'!$Q$10*1000000))/('24'!Y26*3600)</f>
        <v>0</v>
      </c>
      <c r="AE26" s="181"/>
      <c r="AF26" s="182">
        <f>('24'!AE26/24)*0.454</f>
        <v>0</v>
      </c>
      <c r="AG26" s="19"/>
      <c r="AH26" s="182">
        <f>('24'!AG26/24)*0.454</f>
        <v>0</v>
      </c>
      <c r="AI26" s="180">
        <v>5200</v>
      </c>
      <c r="AJ26" s="182">
        <f>('24'!AI26/24)*0.454</f>
        <v>98.36666666666666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2907</v>
      </c>
      <c r="Z27" s="180">
        <v>1582</v>
      </c>
      <c r="AA27" s="15">
        <v>1</v>
      </c>
      <c r="AB27" s="56">
        <f>IF('24'!AA27=1,(('24'!Z27*'24'!$AS$6*'24'!$AT$6)/('24'!Y27*0.0036)),IF('24'!AA27=2,(('24'!Z27*'24'!$AS$7*'24'!$AT$7)/('24'!Y27*0.0036))))</f>
        <v>100.52650689905592</v>
      </c>
      <c r="AC27" s="56"/>
      <c r="AD27" s="18">
        <f>(('24'!AC27*'24'!$Q$10*1000000))/('24'!Y27*3600)</f>
        <v>0</v>
      </c>
      <c r="AE27" s="181"/>
      <c r="AF27" s="182">
        <f>('24'!AE27/24)*0.454</f>
        <v>0</v>
      </c>
      <c r="AG27" s="19"/>
      <c r="AH27" s="182">
        <f>('24'!AG27/24)*0.454</f>
        <v>0</v>
      </c>
      <c r="AI27" s="180">
        <v>5200</v>
      </c>
      <c r="AJ27" s="182">
        <f>('24'!AI27/24)*0.454</f>
        <v>98.36666666666666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2912</v>
      </c>
      <c r="Z28" s="180">
        <v>1582</v>
      </c>
      <c r="AA28" s="15">
        <v>1</v>
      </c>
      <c r="AB28" s="56">
        <f>IF('24'!AA28=1,(('24'!Z28*'24'!$AS$6*'24'!$AT$6)/('24'!Y28*0.0036)),IF('24'!AA28=2,(('24'!Z28*'24'!$AS$7*'24'!$AT$7)/('24'!Y28*0.0036))))</f>
        <v>100.35389957264957</v>
      </c>
      <c r="AC28" s="56"/>
      <c r="AD28" s="18">
        <f>(('24'!AC28*'24'!$Q$10*1000000))/('24'!Y28*3600)</f>
        <v>0</v>
      </c>
      <c r="AE28" s="181"/>
      <c r="AF28" s="182">
        <f>('24'!AE28/24)*0.454</f>
        <v>0</v>
      </c>
      <c r="AG28" s="19"/>
      <c r="AH28" s="182">
        <f>('24'!AG28/24)*0.454</f>
        <v>0</v>
      </c>
      <c r="AI28" s="180">
        <v>5200</v>
      </c>
      <c r="AJ28" s="182">
        <f>('24'!AI28/24)*0.454</f>
        <v>98.36666666666666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2905</v>
      </c>
      <c r="Z29" s="180">
        <v>1582</v>
      </c>
      <c r="AA29" s="15">
        <v>1</v>
      </c>
      <c r="AB29" s="56">
        <f>IF('24'!AA29=1,(('24'!Z29*'24'!$AS$6*'24'!$AT$6)/('24'!Y29*0.0036)),IF('24'!AA29=2,(('24'!Z29*'24'!$AS$7*'24'!$AT$7)/('24'!Y29*0.0036))))</f>
        <v>100.59571619812583</v>
      </c>
      <c r="AC29" s="56"/>
      <c r="AD29" s="18">
        <f>(('24'!AC29*'24'!$Q$10*1000000))/('24'!Y29*3600)</f>
        <v>0</v>
      </c>
      <c r="AE29" s="181"/>
      <c r="AF29" s="182">
        <f>('24'!AE29/24)*0.454</f>
        <v>0</v>
      </c>
      <c r="AG29" s="19"/>
      <c r="AH29" s="182">
        <f>('24'!AG29/24)*0.454</f>
        <v>0</v>
      </c>
      <c r="AI29" s="180">
        <v>5200</v>
      </c>
      <c r="AJ29" s="182">
        <f>('24'!AI29/24)*0.454</f>
        <v>98.36666666666666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SUM('24'!Y6:Y29)*3.6</f>
        <v>239853.6</v>
      </c>
      <c r="Z30" s="80">
        <f>SUM('24'!Z6:Z29)</f>
        <v>37968</v>
      </c>
      <c r="AA30" s="76"/>
      <c r="AB30" s="77"/>
      <c r="AC30" s="76"/>
      <c r="AD30" s="77"/>
      <c r="AE30" s="33"/>
      <c r="AF30" s="182">
        <f>SUM('24'!AF6:AF29)</f>
        <v>0</v>
      </c>
      <c r="AG30" s="33"/>
      <c r="AH30" s="182">
        <f>SUM('24'!AH6:AH29)</f>
        <v>0</v>
      </c>
      <c r="AI30" s="33"/>
      <c r="AJ30" s="182">
        <f>SUM('24'!AJ6:AJ29)</f>
        <v>2360.7999999999993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SUMIF('24'!AA6:AA29,"=1",'24'!Z6:Z29)</f>
        <v>37968</v>
      </c>
      <c r="AA32" s="80">
        <f>'24'!Z32*'24'!AS6</f>
        <v>50497.440000000002</v>
      </c>
      <c r="AB32" s="81">
        <f>SUMIF('24'!$AA$6:$AA$29,"=1",'24'!$AB$6:$AB$29)/COUNTIF('24'!$AA$6:$AA$29,"=1")</f>
        <v>105.34668287982448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AVERAGE('24'!Y6:Y29)</f>
        <v>2776.0833333333335</v>
      </c>
      <c r="Z34" s="94">
        <f>AVERAGE('24'!Z6:Z29)</f>
        <v>1582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0</v>
      </c>
      <c r="AG34" s="96"/>
      <c r="AH34" s="96">
        <f>AVERAGE('24'!AH6:AH29)</f>
        <v>0</v>
      </c>
      <c r="AI34" s="96"/>
      <c r="AJ34" s="96">
        <f>'24'!AJ30/24</f>
        <v>98.366666666666632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6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60"/>
      <c r="X36" s="103" t="s">
        <v>73</v>
      </c>
      <c r="Y36" s="104">
        <v>1</v>
      </c>
      <c r="Z36" s="105"/>
      <c r="AA36" s="106" t="s">
        <v>74</v>
      </c>
      <c r="AB36" s="104">
        <v>3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68.7</v>
      </c>
      <c r="D37" s="184">
        <v>33.9</v>
      </c>
      <c r="E37" s="184">
        <v>22.9</v>
      </c>
      <c r="F37" s="184">
        <v>1.6</v>
      </c>
      <c r="G37" s="181">
        <v>0.2</v>
      </c>
      <c r="H37" s="181">
        <v>0.1</v>
      </c>
      <c r="I37" s="181">
        <v>0.2</v>
      </c>
      <c r="J37" s="181">
        <v>0.06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85">
        <f>'24'!V12</f>
        <v>0</v>
      </c>
      <c r="X37" s="956" t="s">
        <v>75</v>
      </c>
      <c r="Y37" s="956"/>
      <c r="Z37" s="108">
        <f>COUNTA('24'!Z6:Z29)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0" t="s">
        <v>78</v>
      </c>
      <c r="AK38" s="209">
        <f>SUM('24'!AF30+'24'!AH30)</f>
        <v>0</v>
      </c>
      <c r="AL38" s="320" t="s">
        <v>78</v>
      </c>
      <c r="AM38" s="210">
        <f>SUM('24'!AL30+'24'!AN30)</f>
        <v>0</v>
      </c>
      <c r="AO38" s="208" t="s">
        <v>78</v>
      </c>
      <c r="AP38" s="209">
        <f>'24'!AJ30</f>
        <v>2360.7999999999993</v>
      </c>
      <c r="AQ38" s="320" t="s">
        <v>78</v>
      </c>
      <c r="AR38" s="210">
        <f>'24'!AP30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321" t="s">
        <v>86</v>
      </c>
      <c r="AK39" s="212">
        <f>('24'!AK38/'24'!Y30)*1000</f>
        <v>0</v>
      </c>
      <c r="AL39" s="322" t="s">
        <v>86</v>
      </c>
      <c r="AM39" s="214">
        <f>('24'!AM38/'24'!Y30)*1000</f>
        <v>0</v>
      </c>
      <c r="AO39" s="321" t="s">
        <v>86</v>
      </c>
      <c r="AP39" s="212">
        <f>('24'!AP38/'24'!Y30)*1000</f>
        <v>9.8426706957910959</v>
      </c>
      <c r="AQ39" s="322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SUM('24'!AK38,'24'!AM38)</f>
        <v>0</v>
      </c>
      <c r="AM40" s="969"/>
      <c r="AO40" s="970" t="s">
        <v>90</v>
      </c>
      <c r="AP40" s="970"/>
      <c r="AQ40" s="971">
        <f>SUM('24'!AP38,'24'!AR38)</f>
        <v>2360.7999999999993</v>
      </c>
      <c r="AR40" s="971"/>
    </row>
    <row r="41" spans="1:44" ht="16.5" customHeight="1">
      <c r="A41" s="131">
        <f>COUNTA('24'!E7:E18)</f>
        <v>12</v>
      </c>
      <c r="B41" s="132">
        <f>COUNTA('24'!I7:I18)</f>
        <v>12</v>
      </c>
      <c r="C41" s="972">
        <f>COUNTA('24'!J7:J18)</f>
        <v>12</v>
      </c>
      <c r="D41" s="972">
        <f>COUNTA('24'!K7:K18)</f>
        <v>12</v>
      </c>
      <c r="E41" s="972">
        <f>COUNTIF('24'!E7:E18,"&gt;15")</f>
        <v>0</v>
      </c>
      <c r="F41" s="972"/>
      <c r="G41" s="972">
        <f>COUNTIF('24'!J7:J18,"&gt;1")</f>
        <v>0</v>
      </c>
      <c r="H41" s="972"/>
      <c r="I41" s="133"/>
      <c r="J41" s="972">
        <f>'24'!A41-'24'!E41</f>
        <v>12</v>
      </c>
      <c r="K41" s="972"/>
      <c r="L41" s="972">
        <f>'24'!C41-'24'!G41</f>
        <v>12</v>
      </c>
      <c r="M41" s="972"/>
      <c r="N41" s="133"/>
      <c r="O41" s="973">
        <f>COUNTIF('24'!J7:J18,"&lt;=0,5")</f>
        <v>0</v>
      </c>
      <c r="P41" s="973"/>
      <c r="Q41" s="973"/>
      <c r="R41" s="963"/>
      <c r="S41" s="974">
        <f>COUNTIF('24'!J7:J18,"&lt;=1,0")</f>
        <v>12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SUM(('24'!AK38+'24'!AM38)/'24'!Y30)*1000</f>
        <v>0</v>
      </c>
      <c r="AM41" s="975"/>
      <c r="AO41" s="970" t="s">
        <v>91</v>
      </c>
      <c r="AP41" s="970"/>
      <c r="AQ41" s="975">
        <f>SUM(('24'!AP38+'24'!AR38)/'24'!Y30)*1000</f>
        <v>9.8426706957910959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145</v>
      </c>
      <c r="Z44" s="142" t="s">
        <v>101</v>
      </c>
      <c r="AA44" s="143"/>
      <c r="AB44" s="142" t="s">
        <v>101</v>
      </c>
      <c r="AC44" s="143">
        <v>29</v>
      </c>
      <c r="AD44" s="1109"/>
      <c r="AE44" s="1109"/>
      <c r="AF44" s="983" t="s">
        <v>102</v>
      </c>
      <c r="AG44" s="996">
        <f>SUM('24'!Y45,'24'!AA45,'24'!AC45,'24'!AE45)</f>
        <v>137971.79999999999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COUNTIF('24'!I7:I18,"&lt;=5,0")</f>
        <v>12</v>
      </c>
      <c r="I45" s="986"/>
      <c r="J45" s="986"/>
      <c r="K45" s="133"/>
      <c r="L45" s="968">
        <f>COUNTA('24'!L37)</f>
        <v>0</v>
      </c>
      <c r="M45" s="968"/>
      <c r="O45" s="144"/>
      <c r="P45" s="145"/>
      <c r="Q45" s="987">
        <f>'24'!S41-'24'!O41</f>
        <v>12</v>
      </c>
      <c r="R45" s="987"/>
      <c r="S45" s="987"/>
      <c r="T45" s="146"/>
      <c r="X45" s="147" t="s">
        <v>104</v>
      </c>
      <c r="Y45" s="148">
        <f>'24'!Y44*275.3</f>
        <v>39918.5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8053.2999999999993</v>
      </c>
      <c r="AD45" s="147" t="s">
        <v>104</v>
      </c>
      <c r="AE45" s="149">
        <v>90000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988"/>
      <c r="AP45" s="988"/>
      <c r="AQ45" s="988"/>
      <c r="AR45" s="988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89" t="s">
        <v>106</v>
      </c>
      <c r="AG46" s="990">
        <f>SUM('24'!Y47,'24'!AA47,'24'!AC47,'24'!AE47)</f>
        <v>183502.49400000001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88"/>
      <c r="AP46" s="988"/>
      <c r="AQ46" s="988"/>
      <c r="AR46" s="988"/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'24'!Y45*'24'!Y46</f>
        <v>53091.605000000003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10710.888999999999</v>
      </c>
      <c r="AD47" s="147" t="s">
        <v>108</v>
      </c>
      <c r="AE47" s="148">
        <f>'24'!AE45*'24'!AE46</f>
        <v>119700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88"/>
      <c r="AP47" s="988"/>
      <c r="AQ47" s="988"/>
      <c r="AR47" s="988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88"/>
      <c r="AP48" s="988"/>
      <c r="AQ48" s="988"/>
      <c r="AR48" s="988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88"/>
      <c r="AP49" s="988"/>
      <c r="AQ49" s="988"/>
      <c r="AR49" s="988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COUNTA('24'!O7:O18)</f>
        <v>12</v>
      </c>
      <c r="P51" s="968">
        <f>COUNTA('24'!W17:W28)</f>
        <v>0</v>
      </c>
      <c r="R51" s="986">
        <f>COUNTIF('24'!O7:O18,"&gt;=0,5")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SUM('24'!Y53,'24'!AA53,'24'!AC53,'24'!AE53)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988"/>
      <c r="AP52" s="988"/>
      <c r="AQ52" s="988"/>
      <c r="AR52" s="98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88"/>
      <c r="AP53" s="988"/>
      <c r="AQ53" s="988"/>
      <c r="AR53" s="98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89" t="s">
        <v>106</v>
      </c>
      <c r="AG54" s="990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88"/>
      <c r="AP54" s="988"/>
      <c r="AQ54" s="988"/>
      <c r="AR54" s="988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89"/>
      <c r="AG55" s="990"/>
      <c r="AI55" s="151" t="s">
        <v>105</v>
      </c>
      <c r="AJ55" s="152">
        <f>Y54</f>
        <v>1.345</v>
      </c>
      <c r="AK55" s="151" t="s">
        <v>105</v>
      </c>
      <c r="AL55" s="152">
        <f>'10'!AJ55</f>
        <v>1.262</v>
      </c>
      <c r="AM55" s="151" t="s">
        <v>105</v>
      </c>
      <c r="AN55" s="152">
        <f>AJ55</f>
        <v>1.345</v>
      </c>
      <c r="AO55" s="988"/>
      <c r="AP55" s="988"/>
      <c r="AQ55" s="988"/>
      <c r="AR55" s="988"/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88"/>
      <c r="AP56" s="988"/>
      <c r="AQ56" s="988"/>
      <c r="AR56" s="988"/>
    </row>
    <row r="57" spans="15:44" ht="15.75" customHeight="1">
      <c r="O57" s="997">
        <f>COUNTA('24'!N7:N18)</f>
        <v>12</v>
      </c>
      <c r="P57" s="997"/>
      <c r="R57" s="998">
        <f>COUNTIF('24'!N7:N18,"&gt;=6")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'23'!$Y$68</f>
        <v>-8962.7166666666653</v>
      </c>
      <c r="Z65" s="1007"/>
      <c r="AA65" s="1007"/>
      <c r="AB65" s="174" t="s">
        <v>126</v>
      </c>
      <c r="AC65" s="238">
        <f>'23'!$AC$68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SUM('24'!AK38,'24'!AP38)</f>
        <v>2360.7999999999993</v>
      </c>
      <c r="Z67" s="1007"/>
      <c r="AA67" s="1007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-11323.516666666665</v>
      </c>
      <c r="Z68" s="1007"/>
      <c r="AA68" s="1007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4" zoomScaleNormal="100" workbookViewId="0">
      <selection activeCell="Z13" sqref="Z13:Z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2796</v>
      </c>
      <c r="Z6" s="180">
        <v>1582</v>
      </c>
      <c r="AA6" s="15">
        <v>1</v>
      </c>
      <c r="AB6" s="56">
        <f>IF('25'!AA6=1,(('25'!Z6*'25'!$AS$6*'25'!$AT$6)/('25'!Y6*0.0036)),IF('25'!AA6=2,(('25'!Z6*'25'!$AS$7*'25'!$AT$7)/('25'!Y6*0.0036))))</f>
        <v>104.51736607852487</v>
      </c>
      <c r="AC6" s="56"/>
      <c r="AD6" s="18">
        <f>(('25'!AC6*'25'!$Q$10*1000000))/('25'!Y6*3600)</f>
        <v>0</v>
      </c>
      <c r="AE6" s="181"/>
      <c r="AF6" s="182">
        <f>('25'!AE6/24)*0.454</f>
        <v>0</v>
      </c>
      <c r="AG6" s="19"/>
      <c r="AH6" s="182">
        <f>('25'!AG6/24)*0.454</f>
        <v>0</v>
      </c>
      <c r="AI6" s="180">
        <v>5200</v>
      </c>
      <c r="AJ6" s="182">
        <f>('25'!AI6/24)*0.454</f>
        <v>98.36666666666666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1580</v>
      </c>
      <c r="C7" s="184">
        <v>10</v>
      </c>
      <c r="D7" s="184">
        <v>9</v>
      </c>
      <c r="E7" s="184">
        <v>5</v>
      </c>
      <c r="F7" s="184">
        <v>45</v>
      </c>
      <c r="G7" s="184">
        <v>1.6</v>
      </c>
      <c r="H7" s="184">
        <v>1.4</v>
      </c>
      <c r="I7" s="184">
        <v>0.6</v>
      </c>
      <c r="J7" s="184">
        <v>0.7</v>
      </c>
      <c r="K7" s="184">
        <v>7.3</v>
      </c>
      <c r="L7" s="184">
        <v>6.3</v>
      </c>
      <c r="M7" s="184">
        <v>6.3</v>
      </c>
      <c r="N7" s="184">
        <v>6</v>
      </c>
      <c r="O7" s="184">
        <v>3.4</v>
      </c>
      <c r="P7" s="184"/>
      <c r="Q7" s="186"/>
      <c r="R7" s="36">
        <f>'24'!$Z$29</f>
        <v>1582</v>
      </c>
      <c r="S7" s="185">
        <f>'24'!$AB$29</f>
        <v>100.59571619812583</v>
      </c>
      <c r="T7" s="36">
        <f>'24'!$Y$29</f>
        <v>2905</v>
      </c>
      <c r="U7" s="32" t="str">
        <f>IF('25'!AA6=1,'25'!AR6,'25'!AR7)</f>
        <v>S.A.L</v>
      </c>
      <c r="V7" s="1016">
        <f>ESCALA!$C$26</f>
        <v>0</v>
      </c>
      <c r="W7" s="1016"/>
      <c r="X7" s="13">
        <v>8.3333333333333301E-2</v>
      </c>
      <c r="Y7" s="52">
        <v>2898</v>
      </c>
      <c r="Z7" s="180">
        <v>1582</v>
      </c>
      <c r="AA7" s="15">
        <v>1</v>
      </c>
      <c r="AB7" s="56">
        <f>IF('25'!AA7=1,(('25'!Z7*'25'!$AS$6*'25'!$AT$6)/('25'!Y7*0.0036)),IF('25'!AA7=2,(('25'!Z7*'25'!$AS$7*'25'!$AT$7)/('25'!Y7*0.0036))))</f>
        <v>100.83870101986044</v>
      </c>
      <c r="AC7" s="56"/>
      <c r="AD7" s="18">
        <f>(('25'!AC7*'25'!$Q$10*1000000))/('25'!Y7*3600)</f>
        <v>0</v>
      </c>
      <c r="AE7" s="181"/>
      <c r="AF7" s="182">
        <f>('25'!AE7/24)*0.454</f>
        <v>0</v>
      </c>
      <c r="AG7" s="19"/>
      <c r="AH7" s="182">
        <f>('25'!AG7/24)*0.454</f>
        <v>0</v>
      </c>
      <c r="AI7" s="180">
        <v>5200</v>
      </c>
      <c r="AJ7" s="182">
        <f>('25'!AI7/24)*0.454</f>
        <v>98.36666666666666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152</v>
      </c>
      <c r="C8" s="184">
        <v>11</v>
      </c>
      <c r="D8" s="184">
        <v>10</v>
      </c>
      <c r="E8" s="184">
        <v>5</v>
      </c>
      <c r="F8" s="184">
        <v>47</v>
      </c>
      <c r="G8" s="184">
        <v>1.7</v>
      </c>
      <c r="H8" s="184">
        <v>1.4</v>
      </c>
      <c r="I8" s="184">
        <v>0.6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3.4</v>
      </c>
      <c r="P8" s="184"/>
      <c r="Q8" s="186"/>
      <c r="R8" s="34">
        <f>'25'!Z7</f>
        <v>1582</v>
      </c>
      <c r="S8" s="35">
        <f>'25'!AB7</f>
        <v>100.83870101986044</v>
      </c>
      <c r="T8" s="36">
        <f>'25'!Y7</f>
        <v>2898</v>
      </c>
      <c r="U8" s="32" t="str">
        <f>IF('25'!AA7=1,'25'!AR6,'25'!AR7)</f>
        <v>S.A.L</v>
      </c>
      <c r="V8" s="1016"/>
      <c r="W8" s="1016"/>
      <c r="X8" s="13">
        <v>0.125</v>
      </c>
      <c r="Y8" s="52">
        <v>2854</v>
      </c>
      <c r="Z8" s="180">
        <v>1582</v>
      </c>
      <c r="AA8" s="15">
        <v>1</v>
      </c>
      <c r="AB8" s="56">
        <f>IF('25'!AA8=1,(('25'!Z8*'25'!$AS$6*'25'!$AT$6)/('25'!Y8*0.0036)),IF('25'!AA8=2,(('25'!Z8*'25'!$AS$7*'25'!$AT$7)/('25'!Y8*0.0036))))</f>
        <v>102.39332710425913</v>
      </c>
      <c r="AC8" s="56"/>
      <c r="AD8" s="18">
        <f>(('25'!AC8*'25'!$Q$10*1000000))/('25'!Y8*3600)</f>
        <v>0</v>
      </c>
      <c r="AE8" s="181"/>
      <c r="AF8" s="182">
        <f>('25'!AE8/24)*0.454</f>
        <v>0</v>
      </c>
      <c r="AG8" s="19"/>
      <c r="AH8" s="182">
        <f>('25'!AG8/24)*0.454</f>
        <v>0</v>
      </c>
      <c r="AI8" s="180">
        <v>5200</v>
      </c>
      <c r="AJ8" s="182">
        <f>('25'!AI8/24)*0.454</f>
        <v>98.36666666666666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153</v>
      </c>
      <c r="C9" s="184">
        <v>12</v>
      </c>
      <c r="D9" s="184">
        <v>10</v>
      </c>
      <c r="E9" s="184">
        <v>4</v>
      </c>
      <c r="F9" s="184">
        <v>48</v>
      </c>
      <c r="G9" s="184">
        <v>1.7</v>
      </c>
      <c r="H9" s="184">
        <v>1.5</v>
      </c>
      <c r="I9" s="184">
        <v>0.7</v>
      </c>
      <c r="J9" s="184">
        <v>0.8</v>
      </c>
      <c r="K9" s="184">
        <v>7.3</v>
      </c>
      <c r="L9" s="184">
        <v>6.3</v>
      </c>
      <c r="M9" s="184">
        <v>6.3</v>
      </c>
      <c r="N9" s="184">
        <v>6</v>
      </c>
      <c r="O9" s="184">
        <v>3.6</v>
      </c>
      <c r="P9" s="184"/>
      <c r="Q9" s="186"/>
      <c r="R9" s="36">
        <f>'25'!Z9</f>
        <v>1582</v>
      </c>
      <c r="S9" s="35">
        <f>'25'!AB9</f>
        <v>102.39332710425913</v>
      </c>
      <c r="T9" s="36">
        <f>'25'!Y9</f>
        <v>2854</v>
      </c>
      <c r="U9" s="32" t="str">
        <f>IF('25'!AA9=1,'25'!AR6,'25'!AR7)</f>
        <v>S.A.L</v>
      </c>
      <c r="V9" s="1016"/>
      <c r="W9" s="1016"/>
      <c r="X9" s="13">
        <v>0.16666666666666699</v>
      </c>
      <c r="Y9" s="52">
        <v>2854</v>
      </c>
      <c r="Z9" s="180">
        <v>1582</v>
      </c>
      <c r="AA9" s="15">
        <v>1</v>
      </c>
      <c r="AB9" s="56">
        <f>IF('25'!AA9=1,(('25'!Z9*'25'!$AS$6*'25'!$AT$6)/('25'!Y9*0.0036)),IF('25'!AA9=2,(('25'!Z9*'25'!$AS$7*'25'!$AT$7)/('25'!Y9*0.0036))))</f>
        <v>102.39332710425913</v>
      </c>
      <c r="AC9" s="56"/>
      <c r="AD9" s="18">
        <f>(('25'!AC9*'25'!$Q$10*1000000))/('25'!Y9*3600)</f>
        <v>0</v>
      </c>
      <c r="AE9" s="181"/>
      <c r="AF9" s="182">
        <f>('25'!AE9/24)*0.454</f>
        <v>0</v>
      </c>
      <c r="AG9" s="19"/>
      <c r="AH9" s="182">
        <f>('25'!AG9/24)*0.454</f>
        <v>0</v>
      </c>
      <c r="AI9" s="180">
        <v>5200</v>
      </c>
      <c r="AJ9" s="182">
        <f>('25'!AI9/24)*0.454</f>
        <v>98.36666666666666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153</v>
      </c>
      <c r="C10" s="184">
        <v>12</v>
      </c>
      <c r="D10" s="184">
        <v>10</v>
      </c>
      <c r="E10" s="184">
        <v>4</v>
      </c>
      <c r="F10" s="184">
        <v>51</v>
      </c>
      <c r="G10" s="184">
        <v>1.8</v>
      </c>
      <c r="H10" s="184">
        <v>1.5</v>
      </c>
      <c r="I10" s="184">
        <v>0.7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3.6</v>
      </c>
      <c r="P10" s="184"/>
      <c r="Q10" s="186"/>
      <c r="R10" s="36">
        <f>'25'!Z11</f>
        <v>1582</v>
      </c>
      <c r="S10" s="35">
        <f>'25'!AB11</f>
        <v>101.29308684767958</v>
      </c>
      <c r="T10" s="36">
        <f>'25'!Y11</f>
        <v>2885</v>
      </c>
      <c r="U10" s="32" t="str">
        <f>IF('25'!AA11=1,'25'!AR6,'25'!AR7)</f>
        <v>S.A.L</v>
      </c>
      <c r="V10" s="1016"/>
      <c r="W10" s="1016"/>
      <c r="X10" s="13">
        <v>0.20833333333333301</v>
      </c>
      <c r="Y10" s="52">
        <v>2836</v>
      </c>
      <c r="Z10" s="180">
        <v>1582</v>
      </c>
      <c r="AA10" s="15">
        <v>1</v>
      </c>
      <c r="AB10" s="56">
        <f>IF('25'!AA10=1,(('25'!Z10*'25'!$AS$6*'25'!$AT$6)/('25'!Y10*0.0036)),IF('25'!AA10=2,(('25'!Z10*'25'!$AS$7*'25'!$AT$7)/('25'!Y10*0.0036))))</f>
        <v>103.04321422974455</v>
      </c>
      <c r="AC10" s="56"/>
      <c r="AD10" s="18">
        <f>(('25'!AC10*'25'!$Q$10*1000000))/('25'!Y10*3600)</f>
        <v>0</v>
      </c>
      <c r="AE10" s="181"/>
      <c r="AF10" s="182">
        <f>('25'!AE10/24)*0.454</f>
        <v>0</v>
      </c>
      <c r="AG10" s="19"/>
      <c r="AH10" s="182">
        <f>('25'!AG10/24)*0.454</f>
        <v>0</v>
      </c>
      <c r="AI10" s="180">
        <v>5200</v>
      </c>
      <c r="AJ10" s="182">
        <f>('25'!AI10/24)*0.454</f>
        <v>98.36666666666666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37">
        <v>4600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174</v>
      </c>
      <c r="C11" s="184">
        <v>12</v>
      </c>
      <c r="D11" s="184">
        <v>9</v>
      </c>
      <c r="E11" s="184">
        <v>7</v>
      </c>
      <c r="F11" s="184">
        <v>70</v>
      </c>
      <c r="G11" s="184">
        <v>2</v>
      </c>
      <c r="H11" s="184">
        <v>1.3</v>
      </c>
      <c r="I11" s="184">
        <v>0.7</v>
      </c>
      <c r="J11" s="184">
        <v>0.9</v>
      </c>
      <c r="K11" s="184">
        <v>7.3</v>
      </c>
      <c r="L11" s="184">
        <v>6.3</v>
      </c>
      <c r="M11" s="184">
        <v>6.3</v>
      </c>
      <c r="N11" s="184">
        <v>6</v>
      </c>
      <c r="O11" s="184">
        <v>3.4</v>
      </c>
      <c r="P11" s="184"/>
      <c r="Q11" s="186"/>
      <c r="R11" s="36">
        <f>'25'!Z13</f>
        <v>1503</v>
      </c>
      <c r="S11" s="35">
        <f>'25'!AB13</f>
        <v>95.57228915662651</v>
      </c>
      <c r="T11" s="36">
        <f>'25'!Y13</f>
        <v>2905</v>
      </c>
      <c r="U11" s="32" t="str">
        <f>IF('25'!AA13=1,'25'!AR6,'25'!AR7)</f>
        <v>S.A.L</v>
      </c>
      <c r="V11" s="1016"/>
      <c r="W11" s="1016"/>
      <c r="X11" s="13">
        <v>0.25</v>
      </c>
      <c r="Y11" s="52">
        <v>2885</v>
      </c>
      <c r="Z11" s="180">
        <v>1582</v>
      </c>
      <c r="AA11" s="15">
        <v>1</v>
      </c>
      <c r="AB11" s="56">
        <f>IF('25'!AA11=1,(('25'!Z11*'25'!$AS$6*'25'!$AT$6)/('25'!Y11*0.0036)),IF('25'!AA11=2,(('25'!Z11*'25'!$AS$7*'25'!$AT$7)/('25'!Y11*0.0036))))</f>
        <v>101.29308684767958</v>
      </c>
      <c r="AC11" s="56"/>
      <c r="AD11" s="18">
        <f>(('25'!AC11*'25'!$Q$10*1000000))/('25'!Y11*3600)</f>
        <v>0</v>
      </c>
      <c r="AE11" s="181"/>
      <c r="AF11" s="182">
        <f>('25'!AE11/24)*0.454</f>
        <v>0</v>
      </c>
      <c r="AG11" s="19"/>
      <c r="AH11" s="182">
        <f>('25'!AG11/24)*0.454</f>
        <v>0</v>
      </c>
      <c r="AI11" s="180">
        <v>5200</v>
      </c>
      <c r="AJ11" s="182">
        <f>('25'!AI11/24)*0.454</f>
        <v>98.36666666666666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172</v>
      </c>
      <c r="C12" s="184">
        <v>12</v>
      </c>
      <c r="D12" s="184">
        <v>9</v>
      </c>
      <c r="E12" s="184">
        <v>7</v>
      </c>
      <c r="F12" s="184">
        <v>72</v>
      </c>
      <c r="G12" s="184">
        <v>2</v>
      </c>
      <c r="H12" s="184">
        <v>1.3</v>
      </c>
      <c r="I12" s="184">
        <v>0.7</v>
      </c>
      <c r="J12" s="184">
        <v>0.9</v>
      </c>
      <c r="K12" s="184">
        <v>7.3</v>
      </c>
      <c r="L12" s="184">
        <v>6.3</v>
      </c>
      <c r="M12" s="184">
        <v>6.3</v>
      </c>
      <c r="N12" s="184">
        <v>6</v>
      </c>
      <c r="O12" s="184">
        <v>3.4</v>
      </c>
      <c r="P12" s="184"/>
      <c r="Q12" s="186"/>
      <c r="R12" s="36">
        <f>'25'!Z14</f>
        <v>1503</v>
      </c>
      <c r="S12" s="35">
        <f>'25'!AB15</f>
        <v>96.906631762652708</v>
      </c>
      <c r="T12" s="36">
        <f>'25'!Y15</f>
        <v>2865</v>
      </c>
      <c r="U12" s="32" t="str">
        <f>IF('25'!AA15=1,'25'!AR6,'25'!AR7)</f>
        <v>S.A.L</v>
      </c>
      <c r="V12" s="938">
        <f>ESCALA!$B$27</f>
        <v>0</v>
      </c>
      <c r="W12" s="938"/>
      <c r="X12" s="13">
        <v>0.29166666666666702</v>
      </c>
      <c r="Y12" s="52">
        <v>2882</v>
      </c>
      <c r="Z12" s="180">
        <v>1503</v>
      </c>
      <c r="AA12" s="15">
        <v>1</v>
      </c>
      <c r="AB12" s="56">
        <f>IF('25'!AA12=1,(('25'!Z12*'25'!$AS$6*'25'!$AT$6)/('25'!Y12*0.0036)),IF('25'!AA12=2,(('25'!Z12*'25'!$AS$7*'25'!$AT$7)/('25'!Y12*0.0036))))</f>
        <v>96.335010409437899</v>
      </c>
      <c r="AC12" s="56"/>
      <c r="AD12" s="18">
        <f>(('25'!AC12*'25'!$Q$10*1000000))/('25'!Y12*3600)</f>
        <v>0</v>
      </c>
      <c r="AE12" s="181"/>
      <c r="AF12" s="182">
        <f>('25'!AE12/24)*0.454</f>
        <v>0</v>
      </c>
      <c r="AG12" s="19"/>
      <c r="AH12" s="182">
        <f>('25'!AG12/24)*0.454</f>
        <v>0</v>
      </c>
      <c r="AI12" s="180">
        <v>5200</v>
      </c>
      <c r="AJ12" s="182">
        <f>('25'!AI12/24)*0.454</f>
        <v>98.36666666666666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178</v>
      </c>
      <c r="C13" s="184">
        <v>12</v>
      </c>
      <c r="D13" s="184">
        <v>13</v>
      </c>
      <c r="E13" s="184">
        <v>7.5</v>
      </c>
      <c r="F13" s="184">
        <v>104</v>
      </c>
      <c r="G13" s="184">
        <v>2.5</v>
      </c>
      <c r="H13" s="184">
        <v>1.6</v>
      </c>
      <c r="I13" s="184">
        <v>0.5</v>
      </c>
      <c r="J13" s="184">
        <v>0.8</v>
      </c>
      <c r="K13" s="184">
        <v>7.3</v>
      </c>
      <c r="L13" s="184">
        <v>6.3</v>
      </c>
      <c r="M13" s="184">
        <v>6.3</v>
      </c>
      <c r="N13" s="184">
        <v>6</v>
      </c>
      <c r="O13" s="184">
        <v>3.4</v>
      </c>
      <c r="P13" s="184"/>
      <c r="Q13" s="186"/>
      <c r="R13" s="36">
        <f>'25'!Z15</f>
        <v>1503</v>
      </c>
      <c r="S13" s="35">
        <f>'25'!AB17</f>
        <v>96.771523178807939</v>
      </c>
      <c r="T13" s="36">
        <f>'25'!Y17</f>
        <v>2869</v>
      </c>
      <c r="U13" s="32" t="str">
        <f>IF('25'!AA17=1,'25'!AR6,'25'!AR7)</f>
        <v>S.A.L</v>
      </c>
      <c r="V13" s="938"/>
      <c r="W13" s="938"/>
      <c r="X13" s="13">
        <v>0.33333333333333298</v>
      </c>
      <c r="Y13" s="52">
        <v>2905</v>
      </c>
      <c r="Z13" s="180">
        <v>1503</v>
      </c>
      <c r="AA13" s="15">
        <v>1</v>
      </c>
      <c r="AB13" s="56">
        <f>IF('25'!AA13=1,(('25'!Z13*'25'!$AS$6*'25'!$AT$6)/('25'!Y13*0.0036)),IF('25'!AA13=2,(('25'!Z13*'25'!$AS$7*'25'!$AT$7)/('25'!Y13*0.0036))))</f>
        <v>95.57228915662651</v>
      </c>
      <c r="AC13" s="56"/>
      <c r="AD13" s="18">
        <f>(('25'!AC13*'25'!$Q$10*1000000))/('25'!Y13*3600)</f>
        <v>0</v>
      </c>
      <c r="AE13" s="181"/>
      <c r="AF13" s="182">
        <f>('25'!AE13/24)*0.454</f>
        <v>0</v>
      </c>
      <c r="AG13" s="19"/>
      <c r="AH13" s="182">
        <f>('25'!AG13/24)*0.454</f>
        <v>0</v>
      </c>
      <c r="AI13" s="180">
        <v>5200</v>
      </c>
      <c r="AJ13" s="182">
        <f>('25'!AI13/24)*0.454</f>
        <v>98.36666666666666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176</v>
      </c>
      <c r="C14" s="184">
        <v>17</v>
      </c>
      <c r="D14" s="184">
        <v>13</v>
      </c>
      <c r="E14" s="184">
        <v>7.5</v>
      </c>
      <c r="F14" s="184">
        <v>101</v>
      </c>
      <c r="G14" s="184">
        <v>3</v>
      </c>
      <c r="H14" s="184">
        <v>1.5</v>
      </c>
      <c r="I14" s="184">
        <v>0.5</v>
      </c>
      <c r="J14" s="184">
        <v>0.8</v>
      </c>
      <c r="K14" s="184">
        <v>7.3</v>
      </c>
      <c r="L14" s="184">
        <v>6.3</v>
      </c>
      <c r="M14" s="184">
        <v>6.3</v>
      </c>
      <c r="N14" s="184">
        <v>6</v>
      </c>
      <c r="O14" s="184">
        <v>3.4</v>
      </c>
      <c r="P14" s="184"/>
      <c r="Q14" s="186"/>
      <c r="R14" s="36">
        <f>'25'!Z16</f>
        <v>1503</v>
      </c>
      <c r="S14" s="35">
        <f>'25'!AB19</f>
        <v>96.771523178807939</v>
      </c>
      <c r="T14" s="36">
        <f>'25'!Y19</f>
        <v>2869</v>
      </c>
      <c r="U14" s="32" t="str">
        <f>IF('25'!AA19=1,'25'!AR6,'25'!AR7)</f>
        <v>S.A.L</v>
      </c>
      <c r="V14" s="938"/>
      <c r="W14" s="938"/>
      <c r="X14" s="13">
        <v>0.375</v>
      </c>
      <c r="Y14" s="52">
        <v>2854</v>
      </c>
      <c r="Z14" s="180">
        <v>1503</v>
      </c>
      <c r="AA14" s="15">
        <v>1</v>
      </c>
      <c r="AB14" s="56">
        <f>IF('25'!AA14=1,(('25'!Z14*'25'!$AS$6*'25'!$AT$6)/('25'!Y14*0.0036)),IF('25'!AA14=2,(('25'!Z14*'25'!$AS$7*'25'!$AT$7)/('25'!Y14*0.0036))))</f>
        <v>97.280133146461111</v>
      </c>
      <c r="AC14" s="56"/>
      <c r="AD14" s="18">
        <f>(('25'!AC14*'25'!$Q$10*1000000))/('25'!Y14*3600)</f>
        <v>0</v>
      </c>
      <c r="AE14" s="181"/>
      <c r="AF14" s="182">
        <f>('25'!AE14/24)*0.454</f>
        <v>0</v>
      </c>
      <c r="AG14" s="19"/>
      <c r="AH14" s="182">
        <f>('25'!AG14/24)*0.454</f>
        <v>0</v>
      </c>
      <c r="AI14" s="180">
        <v>5200</v>
      </c>
      <c r="AJ14" s="182">
        <f>('25'!AI14/24)*0.454</f>
        <v>98.36666666666666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180</v>
      </c>
      <c r="C15" s="184">
        <v>12</v>
      </c>
      <c r="D15" s="184">
        <v>9</v>
      </c>
      <c r="E15" s="184">
        <v>5</v>
      </c>
      <c r="F15" s="184">
        <v>121</v>
      </c>
      <c r="G15" s="184">
        <v>3.1</v>
      </c>
      <c r="H15" s="184">
        <v>1.5</v>
      </c>
      <c r="I15" s="184">
        <v>0.6</v>
      </c>
      <c r="J15" s="184">
        <v>1</v>
      </c>
      <c r="K15" s="184">
        <v>7.3</v>
      </c>
      <c r="L15" s="184">
        <v>6.3</v>
      </c>
      <c r="M15" s="184">
        <v>6.3</v>
      </c>
      <c r="N15" s="184">
        <v>6</v>
      </c>
      <c r="O15" s="184">
        <v>3.4</v>
      </c>
      <c r="P15" s="184"/>
      <c r="Q15" s="186"/>
      <c r="R15" s="36">
        <f>'25'!Z17</f>
        <v>1503</v>
      </c>
      <c r="S15" s="35">
        <f>'25'!AB21</f>
        <v>98.174504950495049</v>
      </c>
      <c r="T15" s="36">
        <f>'25'!Y21</f>
        <v>2828</v>
      </c>
      <c r="U15" s="32" t="str">
        <f>IF('25'!AA21=1,'25'!AR6,'25'!AR7)</f>
        <v>S.A.L</v>
      </c>
      <c r="V15" s="938"/>
      <c r="W15" s="938"/>
      <c r="X15" s="13">
        <v>0.41666666666666702</v>
      </c>
      <c r="Y15" s="52">
        <v>2865</v>
      </c>
      <c r="Z15" s="180">
        <v>1503</v>
      </c>
      <c r="AA15" s="15">
        <v>1</v>
      </c>
      <c r="AB15" s="56">
        <f>IF('25'!AA15=1,(('25'!Z15*'25'!$AS$6*'25'!$AT$6)/('25'!Y15*0.0036)),IF('25'!AA15=2,(('25'!Z15*'25'!$AS$7*'25'!$AT$7)/('25'!Y15*0.0036))))</f>
        <v>96.906631762652708</v>
      </c>
      <c r="AC15" s="56"/>
      <c r="AD15" s="18">
        <f>(('25'!AC15*'25'!$Q$10*1000000))/('25'!Y15*3600)</f>
        <v>0</v>
      </c>
      <c r="AE15" s="181"/>
      <c r="AF15" s="182">
        <f>('25'!AE15/24)*0.454</f>
        <v>0</v>
      </c>
      <c r="AG15" s="19"/>
      <c r="AH15" s="182">
        <f>('25'!AG15/24)*0.454</f>
        <v>0</v>
      </c>
      <c r="AI15" s="180">
        <v>5200</v>
      </c>
      <c r="AJ15" s="182">
        <f>('25'!AI15/24)*0.454</f>
        <v>98.36666666666666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182</v>
      </c>
      <c r="C16" s="184">
        <v>12</v>
      </c>
      <c r="D16" s="184">
        <v>9</v>
      </c>
      <c r="E16" s="184">
        <v>6</v>
      </c>
      <c r="F16" s="184">
        <v>132</v>
      </c>
      <c r="G16" s="184">
        <v>3.2</v>
      </c>
      <c r="H16" s="184">
        <v>1.6</v>
      </c>
      <c r="I16" s="184">
        <v>0.6</v>
      </c>
      <c r="J16" s="184">
        <v>1.1000000000000001</v>
      </c>
      <c r="K16" s="184">
        <v>7.3</v>
      </c>
      <c r="L16" s="184">
        <v>6.3</v>
      </c>
      <c r="M16" s="184">
        <v>6.3</v>
      </c>
      <c r="N16" s="184">
        <v>6</v>
      </c>
      <c r="O16" s="184">
        <v>3.4</v>
      </c>
      <c r="P16" s="184"/>
      <c r="Q16" s="186"/>
      <c r="R16" s="36">
        <f>'25'!Z18</f>
        <v>1503</v>
      </c>
      <c r="S16" s="35">
        <f>'25'!AB23</f>
        <v>94.75682593856655</v>
      </c>
      <c r="T16" s="36">
        <f>'25'!Y23</f>
        <v>2930</v>
      </c>
      <c r="U16" s="32" t="str">
        <f>IF('25'!AA23=1,'25'!AR6,'25'!AR7)</f>
        <v>S.A.L</v>
      </c>
      <c r="V16" s="938"/>
      <c r="W16" s="938"/>
      <c r="X16" s="13">
        <v>0.45833333333333298</v>
      </c>
      <c r="Y16" s="52">
        <v>2879</v>
      </c>
      <c r="Z16" s="180">
        <v>1503</v>
      </c>
      <c r="AA16" s="15">
        <v>1</v>
      </c>
      <c r="AB16" s="56">
        <f>IF('25'!AA16=1,(('25'!Z16*'25'!$AS$6*'25'!$AT$6)/('25'!Y16*0.0036)),IF('25'!AA16=2,(('25'!Z16*'25'!$AS$7*'25'!$AT$7)/('25'!Y16*0.0036))))</f>
        <v>96.435394234109069</v>
      </c>
      <c r="AC16" s="56"/>
      <c r="AD16" s="18">
        <f>(('25'!AC16*'25'!$Q$10*1000000))/('25'!Y16*3600)</f>
        <v>0</v>
      </c>
      <c r="AE16" s="181"/>
      <c r="AF16" s="182">
        <f>('25'!AE16/24)*0.454</f>
        <v>0</v>
      </c>
      <c r="AG16" s="19"/>
      <c r="AH16" s="182">
        <f>('25'!AG16/24)*0.454</f>
        <v>0</v>
      </c>
      <c r="AI16" s="180">
        <v>5200</v>
      </c>
      <c r="AJ16" s="182">
        <f>('25'!AI16/24)*0.454</f>
        <v>98.36666666666666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182</v>
      </c>
      <c r="C17" s="184">
        <v>11</v>
      </c>
      <c r="D17" s="184">
        <v>9</v>
      </c>
      <c r="E17" s="184">
        <v>6</v>
      </c>
      <c r="F17" s="184">
        <v>131</v>
      </c>
      <c r="G17" s="184">
        <v>2.7</v>
      </c>
      <c r="H17" s="184">
        <v>1.5</v>
      </c>
      <c r="I17" s="184">
        <v>0.6</v>
      </c>
      <c r="J17" s="184">
        <v>0.9</v>
      </c>
      <c r="K17" s="184">
        <v>7.3</v>
      </c>
      <c r="L17" s="184">
        <v>6.3</v>
      </c>
      <c r="M17" s="184">
        <v>6.3</v>
      </c>
      <c r="N17" s="184">
        <v>6</v>
      </c>
      <c r="O17" s="184">
        <v>3.6</v>
      </c>
      <c r="P17" s="184"/>
      <c r="Q17" s="186"/>
      <c r="R17" s="36">
        <f>'25'!Z25</f>
        <v>1503</v>
      </c>
      <c r="S17" s="35">
        <f>'25'!AB25</f>
        <v>95.081335616438352</v>
      </c>
      <c r="T17" s="36">
        <f>'25'!Y25</f>
        <v>2920</v>
      </c>
      <c r="U17" s="32" t="str">
        <f>IF('25'!AA25=1,'25'!AR6,'25'!AR7)</f>
        <v>S.A.L</v>
      </c>
      <c r="V17" s="939">
        <f>ESCALA!$C$27</f>
        <v>0</v>
      </c>
      <c r="W17" s="939"/>
      <c r="X17" s="13">
        <v>0.5</v>
      </c>
      <c r="Y17" s="52">
        <v>2869</v>
      </c>
      <c r="Z17" s="180">
        <v>1503</v>
      </c>
      <c r="AA17" s="15">
        <v>1</v>
      </c>
      <c r="AB17" s="56">
        <f>IF('25'!AA17=1,(('25'!Z17*'25'!$AS$6*'25'!$AT$6)/('25'!Y17*0.0036)),IF('25'!AA17=2,(('25'!Z17*'25'!$AS$7*'25'!$AT$7)/('25'!Y17*0.0036))))</f>
        <v>96.771523178807939</v>
      </c>
      <c r="AC17" s="56"/>
      <c r="AD17" s="18">
        <f>(('25'!AC17*'25'!$Q$10*1000000))/('25'!Y17*3600)</f>
        <v>0</v>
      </c>
      <c r="AE17" s="181"/>
      <c r="AF17" s="182">
        <f>('25'!AE17/24)*0.454</f>
        <v>0</v>
      </c>
      <c r="AG17" s="19"/>
      <c r="AH17" s="182">
        <f>('25'!AG17/24)*0.454</f>
        <v>0</v>
      </c>
      <c r="AI17" s="180">
        <v>5200</v>
      </c>
      <c r="AJ17" s="182">
        <f>('25'!AI17/24)*0.454</f>
        <v>98.36666666666666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181</v>
      </c>
      <c r="C18" s="184">
        <v>10</v>
      </c>
      <c r="D18" s="184">
        <v>8</v>
      </c>
      <c r="E18" s="184">
        <v>7</v>
      </c>
      <c r="F18" s="184">
        <v>129</v>
      </c>
      <c r="G18" s="184">
        <v>2.2000000000000002</v>
      </c>
      <c r="H18" s="184">
        <v>1.5</v>
      </c>
      <c r="I18" s="184">
        <v>0.6</v>
      </c>
      <c r="J18" s="184">
        <v>0.7</v>
      </c>
      <c r="K18" s="184">
        <v>7.3</v>
      </c>
      <c r="L18" s="184">
        <v>6.3</v>
      </c>
      <c r="M18" s="184">
        <v>6.3</v>
      </c>
      <c r="N18" s="184">
        <v>6</v>
      </c>
      <c r="O18" s="184">
        <v>3.6</v>
      </c>
      <c r="P18" s="184"/>
      <c r="Q18" s="186"/>
      <c r="R18" s="36">
        <f>'25'!Z27</f>
        <v>1503</v>
      </c>
      <c r="S18" s="35">
        <f>'25'!AB27</f>
        <v>96.737804878048792</v>
      </c>
      <c r="T18" s="36">
        <f>'25'!Y27</f>
        <v>2870</v>
      </c>
      <c r="U18" s="32" t="str">
        <f>IF('25'!AA27=1,'25'!AR6,'25'!AR7)</f>
        <v>S.A.L</v>
      </c>
      <c r="V18" s="939"/>
      <c r="W18" s="939"/>
      <c r="X18" s="13">
        <v>0.54166666666666696</v>
      </c>
      <c r="Y18" s="52">
        <v>2915</v>
      </c>
      <c r="Z18" s="180">
        <v>1503</v>
      </c>
      <c r="AA18" s="15">
        <v>1</v>
      </c>
      <c r="AB18" s="56">
        <f>IF('25'!AA18=1,(('25'!Z18*'25'!$AS$6*'25'!$AT$6)/('25'!Y18*0.0036)),IF('25'!AA18=2,(('25'!Z18*'25'!$AS$7*'25'!$AT$7)/('25'!Y18*0.0036))))</f>
        <v>95.244425385934818</v>
      </c>
      <c r="AC18" s="56"/>
      <c r="AD18" s="18">
        <f>(('25'!AC18*'25'!$Q$10*1000000))/('25'!Y18*3600)</f>
        <v>0</v>
      </c>
      <c r="AE18" s="181"/>
      <c r="AF18" s="182">
        <f>('25'!AE18/24)*0.454</f>
        <v>0</v>
      </c>
      <c r="AG18" s="19"/>
      <c r="AH18" s="182">
        <f>('25'!AG18/24)*0.454</f>
        <v>0</v>
      </c>
      <c r="AI18" s="180">
        <v>5200</v>
      </c>
      <c r="AJ18" s="182">
        <f>('25'!AI18/24)*0.454</f>
        <v>98.36666666666666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288.58333333333331</v>
      </c>
      <c r="C19" s="67">
        <f>AVERAGE('25'!C7:C18)</f>
        <v>11.916666666666666</v>
      </c>
      <c r="D19" s="67">
        <f>AVERAGE('25'!D7:D18)</f>
        <v>9.8333333333333339</v>
      </c>
      <c r="E19" s="67">
        <f>AVERAGE('25'!E7:E18)</f>
        <v>5.916666666666667</v>
      </c>
      <c r="F19" s="67">
        <f>AVERAGE('25'!F7:F18)</f>
        <v>87.583333333333329</v>
      </c>
      <c r="G19" s="67">
        <f>AVERAGE('25'!G7:G18)</f>
        <v>2.2916666666666665</v>
      </c>
      <c r="H19" s="67">
        <f>AVERAGE('25'!H7:H18)</f>
        <v>1.4666666666666668</v>
      </c>
      <c r="I19" s="67">
        <f>AVERAGE('25'!I7:I18)</f>
        <v>0.61666666666666659</v>
      </c>
      <c r="J19" s="67">
        <f>AVERAGE('25'!J7:J18)</f>
        <v>0.84166666666666667</v>
      </c>
      <c r="K19" s="67">
        <f>AVERAGE('25'!K7:K18)</f>
        <v>7.299999999999998</v>
      </c>
      <c r="L19" s="67">
        <f>AVERAGE('25'!L7:L18)</f>
        <v>6.299999999999998</v>
      </c>
      <c r="M19" s="67">
        <f>AVERAGE('25'!M7:M18)</f>
        <v>6.299999999999998</v>
      </c>
      <c r="N19" s="67">
        <f>AVERAGE('25'!N7:N18)</f>
        <v>6</v>
      </c>
      <c r="O19" s="67">
        <f>AVERAGE('25'!O7:O18)</f>
        <v>3.4666666666666663</v>
      </c>
      <c r="P19" s="188" t="e">
        <f>AVERAGE('25'!P7:P18)</f>
        <v>#DIV/0!</v>
      </c>
      <c r="Q19" s="189" t="e">
        <f>AVERAGE('25'!Q7:Q18)</f>
        <v>#DIV/0!</v>
      </c>
      <c r="R19" s="189">
        <f>AVERAGE('25'!R7:R18)</f>
        <v>1529.3333333333333</v>
      </c>
      <c r="S19" s="189">
        <f>AVERAGE('25'!S7:S18)</f>
        <v>97.991105819197401</v>
      </c>
      <c r="T19" s="940"/>
      <c r="U19" s="940"/>
      <c r="V19" s="47"/>
      <c r="W19" s="48"/>
      <c r="X19" s="13">
        <v>0.58333333333333304</v>
      </c>
      <c r="Y19" s="52">
        <v>2869</v>
      </c>
      <c r="Z19" s="180">
        <v>1503</v>
      </c>
      <c r="AA19" s="15">
        <v>1</v>
      </c>
      <c r="AB19" s="56">
        <f>IF('25'!AA19=1,(('25'!Z19*'25'!$AS$6*'25'!$AT$6)/('25'!Y19*0.0036)),IF('25'!AA19=2,(('25'!Z19*'25'!$AS$7*'25'!$AT$7)/('25'!Y19*0.0036))))</f>
        <v>96.771523178807939</v>
      </c>
      <c r="AC19" s="56"/>
      <c r="AD19" s="18">
        <f>(('25'!AC19*'25'!$Q$10*1000000))/('25'!Y19*3600)</f>
        <v>0</v>
      </c>
      <c r="AE19" s="181"/>
      <c r="AF19" s="182">
        <f>('25'!AE19/24)*0.454</f>
        <v>0</v>
      </c>
      <c r="AG19" s="19"/>
      <c r="AH19" s="182">
        <f>('25'!AG19/24)*0.454</f>
        <v>0</v>
      </c>
      <c r="AI19" s="180">
        <v>5200</v>
      </c>
      <c r="AJ19" s="182">
        <f>('25'!AI19/24)*0.454</f>
        <v>98.36666666666666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1580</v>
      </c>
      <c r="C20" s="187">
        <f>MAX('25'!C7:C18)</f>
        <v>17</v>
      </c>
      <c r="D20" s="67">
        <f>MAX('25'!D7:D18)</f>
        <v>13</v>
      </c>
      <c r="E20" s="67">
        <f>MAX('25'!E7:E18)</f>
        <v>7.5</v>
      </c>
      <c r="F20" s="67">
        <f>MAX('25'!F7:F18)</f>
        <v>132</v>
      </c>
      <c r="G20" s="67">
        <f>MAX('25'!G7:G18)</f>
        <v>3.2</v>
      </c>
      <c r="H20" s="67">
        <f>MAX('25'!H7:H18)</f>
        <v>1.6</v>
      </c>
      <c r="I20" s="67">
        <f>MAX('25'!I7:I18)</f>
        <v>0.7</v>
      </c>
      <c r="J20" s="67">
        <f>MAX('25'!J7:J18)</f>
        <v>1.1000000000000001</v>
      </c>
      <c r="K20" s="67">
        <f>MAX('25'!K7:K18)</f>
        <v>7.3</v>
      </c>
      <c r="L20" s="67">
        <f>MAX('25'!L7:L18)</f>
        <v>6.3</v>
      </c>
      <c r="M20" s="67">
        <f>MAX('25'!M7:M18)</f>
        <v>6.3</v>
      </c>
      <c r="N20" s="67">
        <f>MAX('25'!N7:N18)</f>
        <v>6</v>
      </c>
      <c r="O20" s="68">
        <f>MAX('25'!O7:O18)</f>
        <v>3.6</v>
      </c>
      <c r="P20" s="68">
        <f>MAX('25'!P7:P18)</f>
        <v>0</v>
      </c>
      <c r="Q20" s="68">
        <f>MAX('25'!Q7:Q18)</f>
        <v>0</v>
      </c>
      <c r="R20" s="68">
        <f>MAX('25'!R7:R18)</f>
        <v>1582</v>
      </c>
      <c r="S20" s="68">
        <f>MAX('25'!S7:S18)</f>
        <v>102.39332710425913</v>
      </c>
      <c r="T20" s="940"/>
      <c r="U20" s="940"/>
      <c r="X20" s="13">
        <v>0.625</v>
      </c>
      <c r="Y20" s="52">
        <v>2864</v>
      </c>
      <c r="Z20" s="180">
        <v>1503</v>
      </c>
      <c r="AA20" s="15">
        <v>1</v>
      </c>
      <c r="AB20" s="56">
        <f>IF('25'!AA20=1,(('25'!Z20*'25'!$AS$6*'25'!$AT$6)/('25'!Y20*0.0036)),IF('25'!AA20=2,(('25'!Z20*'25'!$AS$7*'25'!$AT$7)/('25'!Y20*0.0036))))</f>
        <v>96.940467877094974</v>
      </c>
      <c r="AC20" s="56"/>
      <c r="AD20" s="18">
        <f>(('25'!AC20*'25'!$Q$10*1000000))/('25'!Y20*3600)</f>
        <v>0</v>
      </c>
      <c r="AE20" s="181"/>
      <c r="AF20" s="182">
        <f>('25'!AE20/24)*0.454</f>
        <v>0</v>
      </c>
      <c r="AG20" s="19"/>
      <c r="AH20" s="182">
        <f>('25'!AG20/24)*0.454</f>
        <v>0</v>
      </c>
      <c r="AI20" s="180">
        <v>5200</v>
      </c>
      <c r="AJ20" s="182">
        <f>('25'!AI20/24)*0.454</f>
        <v>98.36666666666666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152</v>
      </c>
      <c r="C21" s="67">
        <f>MIN('25'!C7:C18)</f>
        <v>10</v>
      </c>
      <c r="D21" s="67">
        <f>MIN('25'!D7:D18)</f>
        <v>8</v>
      </c>
      <c r="E21" s="67">
        <f>MIN('25'!E7:E18)</f>
        <v>4</v>
      </c>
      <c r="F21" s="67">
        <f>MIN('25'!F7:F18)</f>
        <v>45</v>
      </c>
      <c r="G21" s="190">
        <f>MIN('25'!G7:G18)</f>
        <v>1.6</v>
      </c>
      <c r="H21" s="190">
        <f>MIN('25'!H7:H18)</f>
        <v>1.3</v>
      </c>
      <c r="I21" s="190">
        <f>MIN('25'!I7:I18)</f>
        <v>0.5</v>
      </c>
      <c r="J21" s="190">
        <f>MIN('25'!J7:J18)</f>
        <v>0.7</v>
      </c>
      <c r="K21" s="190">
        <f>MIN('25'!K7:K18)</f>
        <v>7.3</v>
      </c>
      <c r="L21" s="190">
        <f>MIN('25'!L7:L18)</f>
        <v>6.3</v>
      </c>
      <c r="M21" s="190">
        <f>MIN('25'!M7:M18)</f>
        <v>6.3</v>
      </c>
      <c r="N21" s="190">
        <f>MIN('25'!N7:N18)</f>
        <v>6</v>
      </c>
      <c r="O21" s="191">
        <f>MIN('25'!O7:O18)</f>
        <v>3.4</v>
      </c>
      <c r="P21" s="191">
        <f>MIN('25'!P7:P18)</f>
        <v>0</v>
      </c>
      <c r="Q21" s="191">
        <f>MIN('25'!Q7:Q18)</f>
        <v>0</v>
      </c>
      <c r="R21" s="191">
        <f>MIN('25'!R7:R18)</f>
        <v>1503</v>
      </c>
      <c r="S21" s="191">
        <f>MIN('25'!S7:S18)</f>
        <v>94.75682593856655</v>
      </c>
      <c r="T21" s="940"/>
      <c r="U21" s="940"/>
      <c r="X21" s="13">
        <v>0.66666666666666696</v>
      </c>
      <c r="Y21" s="52">
        <v>2828</v>
      </c>
      <c r="Z21" s="180">
        <v>1503</v>
      </c>
      <c r="AA21" s="15">
        <v>1</v>
      </c>
      <c r="AB21" s="56">
        <f>IF('25'!AA21=1,(('25'!Z21*'25'!$AS$6*'25'!$AT$6)/('25'!Y21*0.0036)),IF('25'!AA21=2,(('25'!Z21*'25'!$AS$7*'25'!$AT$7)/('25'!Y21*0.0036))))</f>
        <v>98.174504950495049</v>
      </c>
      <c r="AC21" s="56"/>
      <c r="AD21" s="18">
        <f>(('25'!AC21*'25'!$Q$10*1000000))/('25'!Y21*3600)</f>
        <v>0</v>
      </c>
      <c r="AE21" s="181"/>
      <c r="AF21" s="182">
        <f>('25'!AE21/24)*0.454</f>
        <v>0</v>
      </c>
      <c r="AG21" s="19"/>
      <c r="AH21" s="182">
        <f>('25'!AG21/24)*0.454</f>
        <v>0</v>
      </c>
      <c r="AI21" s="180">
        <v>5200</v>
      </c>
      <c r="AJ21" s="182">
        <f>('25'!AI21/24)*0.454</f>
        <v>98.36666666666666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2848</v>
      </c>
      <c r="Z22" s="180">
        <v>1503</v>
      </c>
      <c r="AA22" s="15">
        <v>1</v>
      </c>
      <c r="AB22" s="56">
        <f>IF('25'!AA22=1,(('25'!Z22*'25'!$AS$6*'25'!$AT$6)/('25'!Y22*0.0036)),IF('25'!AA22=2,(('25'!Z22*'25'!$AS$7*'25'!$AT$7)/('25'!Y22*0.0036))))</f>
        <v>97.485077247191001</v>
      </c>
      <c r="AC22" s="56"/>
      <c r="AD22" s="18">
        <f>(('25'!AC22*'25'!$Q$10*1000000))/('25'!Y22*3600)</f>
        <v>0</v>
      </c>
      <c r="AE22" s="181"/>
      <c r="AF22" s="182">
        <f>('25'!AE22/24)*0.454</f>
        <v>0</v>
      </c>
      <c r="AG22" s="19"/>
      <c r="AH22" s="182">
        <f>('25'!AG22/24)*0.454</f>
        <v>0</v>
      </c>
      <c r="AI22" s="180">
        <v>5200</v>
      </c>
      <c r="AJ22" s="182">
        <f>('25'!AI22/24)*0.454</f>
        <v>98.36666666666666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/>
      <c r="S23" s="58" t="s">
        <v>57</v>
      </c>
      <c r="T23" s="940"/>
      <c r="U23" s="940"/>
      <c r="X23" s="13">
        <v>0.75</v>
      </c>
      <c r="Y23" s="52">
        <v>2930</v>
      </c>
      <c r="Z23" s="180">
        <v>1503</v>
      </c>
      <c r="AA23" s="15">
        <v>1</v>
      </c>
      <c r="AB23" s="56">
        <f>IF('25'!AA23=1,(('25'!Z23*'25'!$AS$6*'25'!$AT$6)/('25'!Y23*0.0036)),IF('25'!AA23=2,(('25'!Z23*'25'!$AS$7*'25'!$AT$7)/('25'!Y23*0.0036))))</f>
        <v>94.75682593856655</v>
      </c>
      <c r="AC23" s="56"/>
      <c r="AD23" s="18">
        <f>(('25'!AC23*'25'!$Q$10*1000000))/('25'!Y23*3600)</f>
        <v>0</v>
      </c>
      <c r="AE23" s="181"/>
      <c r="AF23" s="182">
        <f>('25'!AE23/24)*0.454</f>
        <v>0</v>
      </c>
      <c r="AG23" s="19"/>
      <c r="AH23" s="182">
        <f>('25'!AG23/24)*0.454</f>
        <v>0</v>
      </c>
      <c r="AI23" s="180">
        <v>5200</v>
      </c>
      <c r="AJ23" s="182">
        <f>('25'!AI23/24)*0.454</f>
        <v>98.36666666666666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2979</v>
      </c>
      <c r="Z24" s="180">
        <v>1503</v>
      </c>
      <c r="AA24" s="15">
        <v>1</v>
      </c>
      <c r="AB24" s="16">
        <f>IF('25'!AA24=1,(('25'!Z24*'25'!$AS$6*'25'!$AT$6)/('25'!Y24*0.0036)),IF('25'!AA24=2,(('25'!Z24*'25'!$AS$7*'25'!$AT$7)/('25'!Y24*0.0036))))</f>
        <v>93.198220879489767</v>
      </c>
      <c r="AC24" s="56"/>
      <c r="AD24" s="18">
        <f>(('25'!AC24*'25'!$Q$10*1000000))/('25'!Y24*3600)</f>
        <v>0</v>
      </c>
      <c r="AE24" s="181"/>
      <c r="AF24" s="193">
        <f>('25'!AE24/24)*0.454</f>
        <v>0</v>
      </c>
      <c r="AG24" s="19"/>
      <c r="AH24" s="193">
        <f>('25'!AG24/24)*0.454</f>
        <v>0</v>
      </c>
      <c r="AI24" s="180">
        <v>5200</v>
      </c>
      <c r="AJ24" s="193">
        <f>('25'!AI24/24)*0.454</f>
        <v>98.36666666666666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/>
      <c r="C25" s="256">
        <v>0.74</v>
      </c>
      <c r="D25" s="256">
        <v>0.54</v>
      </c>
      <c r="E25" s="257">
        <v>0.95</v>
      </c>
      <c r="F25" s="257">
        <v>0.49</v>
      </c>
      <c r="G25" s="257"/>
      <c r="H25" s="257">
        <v>0.63</v>
      </c>
      <c r="I25" s="257">
        <v>0.74</v>
      </c>
      <c r="J25" s="257"/>
      <c r="K25" s="257">
        <v>0.9</v>
      </c>
      <c r="L25" s="257">
        <v>0.53</v>
      </c>
      <c r="M25" s="257">
        <v>0.98</v>
      </c>
      <c r="N25" s="257">
        <v>0.6</v>
      </c>
      <c r="O25" s="257">
        <v>0.48</v>
      </c>
      <c r="P25" s="257"/>
      <c r="Q25" s="257"/>
      <c r="R25" s="63" t="e">
        <f>#DIV/0!</f>
        <v>#DIV/0!</v>
      </c>
      <c r="S25" s="64"/>
      <c r="T25" s="1017" t="s">
        <v>0</v>
      </c>
      <c r="U25" s="1110">
        <f>ESCALA!$A$27</f>
        <v>44341</v>
      </c>
      <c r="X25" s="13">
        <v>0.83333333333333304</v>
      </c>
      <c r="Y25" s="52">
        <v>2920</v>
      </c>
      <c r="Z25" s="180">
        <v>1503</v>
      </c>
      <c r="AA25" s="15">
        <v>1</v>
      </c>
      <c r="AB25" s="56">
        <f>IF('25'!AA25=1,(('25'!Z25*'25'!$AS$6*'25'!$AT$6)/('25'!Y25*0.0036)),IF('25'!AA25=2,(('25'!Z25*'25'!$AS$7*'25'!$AT$7)/('25'!Y25*0.0036))))</f>
        <v>95.081335616438352</v>
      </c>
      <c r="AC25" s="56"/>
      <c r="AD25" s="18">
        <f>(('25'!AC25*'25'!$Q$10*1000000))/('25'!Y25*3600)</f>
        <v>0</v>
      </c>
      <c r="AE25" s="181"/>
      <c r="AF25" s="182">
        <f>('25'!AE25/24)*0.454</f>
        <v>0</v>
      </c>
      <c r="AG25" s="19"/>
      <c r="AH25" s="182">
        <f>('25'!AG25/24)*0.454</f>
        <v>0</v>
      </c>
      <c r="AI25" s="180">
        <v>5200</v>
      </c>
      <c r="AJ25" s="182">
        <f>('25'!AI25/24)*0.454</f>
        <v>98.36666666666666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17"/>
      <c r="U26" s="1110"/>
      <c r="X26" s="13">
        <v>0.875</v>
      </c>
      <c r="Y26" s="52">
        <v>2872</v>
      </c>
      <c r="Z26" s="180">
        <v>1503</v>
      </c>
      <c r="AA26" s="15">
        <v>1</v>
      </c>
      <c r="AB26" s="56">
        <f>IF('25'!AA26=1,(('25'!Z26*'25'!$AS$6*'25'!$AT$6)/('25'!Y26*0.0036)),IF('25'!AA26=2,(('25'!Z26*'25'!$AS$7*'25'!$AT$7)/('25'!Y26*0.0036))))</f>
        <v>96.67043871866295</v>
      </c>
      <c r="AC26" s="56"/>
      <c r="AD26" s="18">
        <f>(('25'!AC26*'25'!$Q$10*1000000))/('25'!Y26*3600)</f>
        <v>0</v>
      </c>
      <c r="AE26" s="181"/>
      <c r="AF26" s="182">
        <f>('25'!AE26/24)*0.454</f>
        <v>0</v>
      </c>
      <c r="AG26" s="19"/>
      <c r="AH26" s="182">
        <f>('25'!AG26/24)*0.454</f>
        <v>0</v>
      </c>
      <c r="AI26" s="180">
        <v>5200</v>
      </c>
      <c r="AJ26" s="182">
        <f>('25'!AI26/24)*0.454</f>
        <v>98.36666666666666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2870</v>
      </c>
      <c r="Z27" s="180">
        <v>1503</v>
      </c>
      <c r="AA27" s="15">
        <v>1</v>
      </c>
      <c r="AB27" s="56">
        <f>IF('25'!AA27=1,(('25'!Z27*'25'!$AS$6*'25'!$AT$6)/('25'!Y27*0.0036)),IF('25'!AA27=2,(('25'!Z27*'25'!$AS$7*'25'!$AT$7)/('25'!Y27*0.0036))))</f>
        <v>96.737804878048792</v>
      </c>
      <c r="AC27" s="56"/>
      <c r="AD27" s="18">
        <f>(('25'!AC27*'25'!$Q$10*1000000))/('25'!Y27*3600)</f>
        <v>0</v>
      </c>
      <c r="AE27" s="181"/>
      <c r="AF27" s="182">
        <f>('25'!AE27/24)*0.454</f>
        <v>0</v>
      </c>
      <c r="AG27" s="19"/>
      <c r="AH27" s="182">
        <f>('25'!AG27/24)*0.454</f>
        <v>0</v>
      </c>
      <c r="AI27" s="180">
        <v>5200</v>
      </c>
      <c r="AJ27" s="182">
        <f>('25'!AI27/24)*0.454</f>
        <v>98.36666666666666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2865</v>
      </c>
      <c r="Z28" s="180">
        <v>1503</v>
      </c>
      <c r="AA28" s="15">
        <v>1</v>
      </c>
      <c r="AB28" s="56">
        <f>IF('25'!AA28=1,(('25'!Z28*'25'!$AS$6*'25'!$AT$6)/('25'!Y28*0.0036)),IF('25'!AA28=2,(('25'!Z28*'25'!$AS$7*'25'!$AT$7)/('25'!Y28*0.0036))))</f>
        <v>96.906631762652708</v>
      </c>
      <c r="AC28" s="56"/>
      <c r="AD28" s="18">
        <f>(('25'!AC28*'25'!$Q$10*1000000))/('25'!Y28*3600)</f>
        <v>0</v>
      </c>
      <c r="AE28" s="181"/>
      <c r="AF28" s="182">
        <f>('25'!AE28/24)*0.454</f>
        <v>0</v>
      </c>
      <c r="AG28" s="19"/>
      <c r="AH28" s="182">
        <f>('25'!AG28/24)*0.454</f>
        <v>0</v>
      </c>
      <c r="AI28" s="180">
        <v>5200</v>
      </c>
      <c r="AJ28" s="182">
        <f>('25'!AI28/24)*0.454</f>
        <v>98.36666666666666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2878</v>
      </c>
      <c r="Z29" s="180">
        <v>1503</v>
      </c>
      <c r="AA29" s="15">
        <v>1</v>
      </c>
      <c r="AB29" s="56">
        <f>IF('25'!AA29=1,(('25'!Z29*'25'!$AS$6*'25'!$AT$6)/('25'!Y29*0.0036)),IF('25'!AA29=2,(('25'!Z29*'25'!$AS$7*'25'!$AT$7)/('25'!Y29*0.0036))))</f>
        <v>96.468902015288407</v>
      </c>
      <c r="AC29" s="56"/>
      <c r="AD29" s="18">
        <f>(('25'!AC29*'25'!$Q$10*1000000))/('25'!Y29*3600)</f>
        <v>0</v>
      </c>
      <c r="AE29" s="181"/>
      <c r="AF29" s="182">
        <f>('25'!AE29/24)*0.454</f>
        <v>0</v>
      </c>
      <c r="AG29" s="19"/>
      <c r="AH29" s="182">
        <f>('25'!AG29/24)*0.454</f>
        <v>0</v>
      </c>
      <c r="AI29" s="180">
        <v>5200</v>
      </c>
      <c r="AJ29" s="182">
        <f>('25'!AI29/24)*0.454</f>
        <v>98.36666666666666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SUM('25'!Y6:Y29)*3.6</f>
        <v>248454</v>
      </c>
      <c r="Z30" s="80">
        <f>SUM('25'!Z6:Z29)</f>
        <v>36546</v>
      </c>
      <c r="AA30" s="76"/>
      <c r="AB30" s="77"/>
      <c r="AC30" s="76"/>
      <c r="AD30" s="77"/>
      <c r="AE30" s="33"/>
      <c r="AF30" s="182">
        <f>SUM('25'!AF6:AF29)</f>
        <v>0</v>
      </c>
      <c r="AG30" s="33"/>
      <c r="AH30" s="182">
        <f>SUM('25'!AH6:AH29)</f>
        <v>0</v>
      </c>
      <c r="AI30" s="33"/>
      <c r="AJ30" s="182">
        <f>SUM('25'!AJ6:AJ29)</f>
        <v>2360.7999999999993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SUMIF('25'!AA6:AA29,"=1",'25'!Z6:Z29)</f>
        <v>36546</v>
      </c>
      <c r="AA32" s="80">
        <f>'25'!Z32*'25'!AS6</f>
        <v>48606.18</v>
      </c>
      <c r="AB32" s="81">
        <f>SUMIF('25'!$AA$6:$AA$29,"=1",'25'!$AB$6:$AB$29)/COUNTIF('25'!$AA$6:$AA$29,"=1")</f>
        <v>97.84234011337891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AVERAGE('25'!Y6:Y29)</f>
        <v>2875.625</v>
      </c>
      <c r="Z34" s="94">
        <f>AVERAGE('25'!Z6:Z29)</f>
        <v>1522.75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0</v>
      </c>
      <c r="AG34" s="96"/>
      <c r="AH34" s="96">
        <f>AVERAGE('25'!AH6:AH29)</f>
        <v>0</v>
      </c>
      <c r="AI34" s="96"/>
      <c r="AJ34" s="96">
        <f>'25'!AJ30/24</f>
        <v>98.366666666666632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323" t="s">
        <v>73</v>
      </c>
      <c r="Y36" s="104">
        <v>0</v>
      </c>
      <c r="Z36" s="105"/>
      <c r="AA36" s="106" t="s">
        <v>74</v>
      </c>
      <c r="AB36" s="104">
        <v>5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59.7</v>
      </c>
      <c r="D37" s="184">
        <v>25.9</v>
      </c>
      <c r="E37" s="184">
        <v>19.899999999999999</v>
      </c>
      <c r="F37" s="184">
        <v>2.8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'25'!V12</f>
        <v>0</v>
      </c>
      <c r="X37" s="1025" t="s">
        <v>75</v>
      </c>
      <c r="Y37" s="1025"/>
      <c r="Z37" s="108">
        <f>COUNTA('25'!Z6:Z29)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4" t="s">
        <v>78</v>
      </c>
      <c r="AK38" s="209">
        <f>SUM('25'!AF30+'25'!AH30)</f>
        <v>0</v>
      </c>
      <c r="AL38" s="324" t="s">
        <v>78</v>
      </c>
      <c r="AM38" s="210">
        <f>SUM('25'!AL30+'25'!AN30)</f>
        <v>0</v>
      </c>
      <c r="AO38" s="324" t="s">
        <v>78</v>
      </c>
      <c r="AP38" s="209">
        <f>'25'!AJ30</f>
        <v>2360.7999999999993</v>
      </c>
      <c r="AQ38" s="324" t="s">
        <v>78</v>
      </c>
      <c r="AR38" s="210">
        <f>'25'!AP30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325" t="s">
        <v>86</v>
      </c>
      <c r="AK39" s="212">
        <f>('25'!AK38/'25'!Y30)*1000</f>
        <v>0</v>
      </c>
      <c r="AL39" s="326" t="s">
        <v>86</v>
      </c>
      <c r="AM39" s="214">
        <f>('25'!AM38/'25'!Y30)*1000</f>
        <v>0</v>
      </c>
      <c r="AO39" s="325" t="s">
        <v>86</v>
      </c>
      <c r="AP39" s="212">
        <f>('25'!AP38/'25'!Y30)*1000</f>
        <v>9.5019601213906775</v>
      </c>
      <c r="AQ39" s="326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86" t="s">
        <v>90</v>
      </c>
      <c r="AK40" s="986"/>
      <c r="AL40" s="969">
        <f>SUM('25'!AK38,'25'!AM38)</f>
        <v>0</v>
      </c>
      <c r="AM40" s="969"/>
      <c r="AO40" s="970" t="s">
        <v>90</v>
      </c>
      <c r="AP40" s="970"/>
      <c r="AQ40" s="971">
        <f>SUM('25'!AP38,'25'!AR38)</f>
        <v>2360.7999999999993</v>
      </c>
      <c r="AR40" s="971"/>
    </row>
    <row r="41" spans="1:44" ht="16.5" customHeight="1">
      <c r="A41" s="131">
        <f>COUNTA('25'!E7:E18)</f>
        <v>12</v>
      </c>
      <c r="B41" s="132">
        <f>COUNTA('25'!I7:I18)</f>
        <v>12</v>
      </c>
      <c r="C41" s="972">
        <f>COUNTA('25'!J7:J18)</f>
        <v>12</v>
      </c>
      <c r="D41" s="972">
        <f>COUNTA('25'!K7:K18)</f>
        <v>12</v>
      </c>
      <c r="E41" s="972">
        <f>COUNTIF('25'!E7:E18,"&gt;15")</f>
        <v>0</v>
      </c>
      <c r="F41" s="972"/>
      <c r="G41" s="972">
        <f>COUNTIF('25'!J7:J18,"&gt;1")</f>
        <v>1</v>
      </c>
      <c r="H41" s="972"/>
      <c r="I41" s="133"/>
      <c r="J41" s="972">
        <f>'25'!A41-'25'!E41</f>
        <v>12</v>
      </c>
      <c r="K41" s="972"/>
      <c r="L41" s="972">
        <f>'25'!C41-'25'!G41</f>
        <v>11</v>
      </c>
      <c r="M41" s="972"/>
      <c r="N41" s="133"/>
      <c r="O41" s="973">
        <f>COUNTIF('25'!J7:J18,"&lt;=0,5")</f>
        <v>0</v>
      </c>
      <c r="P41" s="973"/>
      <c r="Q41" s="973"/>
      <c r="R41" s="963"/>
      <c r="S41" s="974">
        <f>COUNTIF('25'!J7:J18,"&lt;=1,0")</f>
        <v>11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86" t="s">
        <v>91</v>
      </c>
      <c r="AK41" s="986"/>
      <c r="AL41" s="975">
        <f>SUM(('25'!AK38+'25'!AM38)/'25'!Y30)*1000</f>
        <v>0</v>
      </c>
      <c r="AM41" s="975"/>
      <c r="AO41" s="970" t="s">
        <v>91</v>
      </c>
      <c r="AP41" s="970"/>
      <c r="AQ41" s="975">
        <f>SUM(('25'!AP38+'25'!AR38)/'25'!Y30)*1000</f>
        <v>9.5019601213906775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159</v>
      </c>
      <c r="Z44" s="142" t="s">
        <v>101</v>
      </c>
      <c r="AA44" s="143"/>
      <c r="AB44" s="142" t="s">
        <v>101</v>
      </c>
      <c r="AC44" s="143">
        <v>38</v>
      </c>
      <c r="AD44" s="982"/>
      <c r="AE44" s="982"/>
      <c r="AF44" s="983" t="s">
        <v>102</v>
      </c>
      <c r="AG44" s="996">
        <f>SUM('25'!Y45,'25'!AA45,'25'!AC45,'25'!AE45)</f>
        <v>178325.3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COUNTIF('25'!I7:I18,"&lt;=5,0")</f>
        <v>12</v>
      </c>
      <c r="I45" s="986"/>
      <c r="J45" s="986"/>
      <c r="K45" s="133"/>
      <c r="L45" s="968">
        <f>COUNTA('25'!L37)</f>
        <v>0</v>
      </c>
      <c r="M45" s="968"/>
      <c r="O45" s="144"/>
      <c r="P45" s="145"/>
      <c r="Q45" s="987">
        <f>'25'!S41-'25'!O41</f>
        <v>11</v>
      </c>
      <c r="R45" s="987"/>
      <c r="S45" s="987"/>
      <c r="T45" s="146"/>
      <c r="X45" s="147" t="s">
        <v>104</v>
      </c>
      <c r="Y45" s="148">
        <f>'25'!Y44*275.3</f>
        <v>43772.700000000004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10552.6</v>
      </c>
      <c r="AD45" s="147" t="s">
        <v>104</v>
      </c>
      <c r="AE45" s="149">
        <v>124000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89" t="s">
        <v>106</v>
      </c>
      <c r="AG46" s="990">
        <f>SUM('25'!Y47,'25'!AA47,'25'!AC47,'25'!AE47)</f>
        <v>237172.649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'25'!Y45*'25'!Y46</f>
        <v>58217.691000000006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14034.958000000001</v>
      </c>
      <c r="AD47" s="147" t="s">
        <v>108</v>
      </c>
      <c r="AE47" s="148">
        <f>'25'!AE45*'25'!AE46</f>
        <v>164920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COUNTA('25'!O7:O18)</f>
        <v>12</v>
      </c>
      <c r="P51" s="968">
        <f>COUNTA('25'!W17:W28)</f>
        <v>0</v>
      </c>
      <c r="R51" s="986">
        <f>COUNTIF('25'!O7:O18,"&gt;=0,5")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 t="e">
        <f>#NAME?</f>
        <v>#NAME?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89" t="s">
        <v>106</v>
      </c>
      <c r="AG54" s="990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89"/>
      <c r="AG55" s="990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COUNTA('25'!N7:N18)</f>
        <v>12</v>
      </c>
      <c r="P57" s="997"/>
      <c r="R57" s="998">
        <f>COUNTIF('25'!N7:N18,"&gt;=6")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48606.18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111">
        <f>AQ61-AQ62</f>
        <v>-48606.18</v>
      </c>
      <c r="AR63" s="1111"/>
    </row>
    <row r="64" spans="15:44" ht="15" customHeight="1">
      <c r="X64" s="168"/>
      <c r="Y64" s="169"/>
      <c r="Z64" s="1007"/>
      <c r="AA64" s="1007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-11323.516666666665</v>
      </c>
      <c r="Z65" s="1007"/>
      <c r="AA65" s="1007"/>
      <c r="AB65" s="174" t="s">
        <v>126</v>
      </c>
      <c r="AC65" s="238">
        <f>'24'!$AC$68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SUM('25'!AK38,'25'!AP38)</f>
        <v>2360.7999999999993</v>
      </c>
      <c r="Z67" s="1007"/>
      <c r="AA67" s="1007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-13684.316666666664</v>
      </c>
      <c r="Z68" s="1007"/>
      <c r="AA68" s="1007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5" zoomScaleNormal="100" workbookViewId="0">
      <selection activeCell="Y29" sqref="Y29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71">
        <v>2801</v>
      </c>
      <c r="Z6" s="181">
        <v>1503</v>
      </c>
      <c r="AA6" s="15">
        <v>1</v>
      </c>
      <c r="AB6" s="56">
        <f>IF('26'!AA6=1,(('26'!Z6*'26'!$AS$6*'26'!$AT$6)/('26'!Y6*0.0036)),IF('26'!AA6=2,(('26'!Z6*'26'!$AS$7*'26'!$AT$7)/('26'!Y6*0.0036))))</f>
        <v>99.120849696536951</v>
      </c>
      <c r="AC6" s="56"/>
      <c r="AD6" s="18">
        <f>(('26'!AC6*'26'!$Q$10*1000000))/('26'!Y6*3600)</f>
        <v>0</v>
      </c>
      <c r="AE6" s="181"/>
      <c r="AF6" s="182">
        <f>('26'!AE6/24)*0.454</f>
        <v>0</v>
      </c>
      <c r="AG6" s="19"/>
      <c r="AH6" s="182">
        <f>('26'!AG6/24)*0.454</f>
        <v>0</v>
      </c>
      <c r="AI6" s="327">
        <v>5200</v>
      </c>
      <c r="AJ6" s="182">
        <f>('26'!AI6/24)*0.454</f>
        <v>98.36666666666666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181</v>
      </c>
      <c r="C7" s="184">
        <v>10</v>
      </c>
      <c r="D7" s="184">
        <v>8</v>
      </c>
      <c r="E7" s="184">
        <v>7</v>
      </c>
      <c r="F7" s="184">
        <v>123</v>
      </c>
      <c r="G7" s="184">
        <v>2.1</v>
      </c>
      <c r="H7" s="184">
        <v>1.4</v>
      </c>
      <c r="I7" s="184">
        <v>0.7</v>
      </c>
      <c r="J7" s="184">
        <v>0.7</v>
      </c>
      <c r="K7" s="184">
        <v>7.3</v>
      </c>
      <c r="L7" s="184">
        <v>6.3</v>
      </c>
      <c r="M7" s="184">
        <v>6.3</v>
      </c>
      <c r="N7" s="184">
        <v>6</v>
      </c>
      <c r="O7" s="184">
        <v>3.6</v>
      </c>
      <c r="P7" s="184"/>
      <c r="Q7" s="186"/>
      <c r="R7" s="36">
        <f>'25'!$Z$29</f>
        <v>1503</v>
      </c>
      <c r="S7" s="185">
        <f>'25'!$AB$29</f>
        <v>96.468902015288407</v>
      </c>
      <c r="T7" s="36">
        <f>'25'!$Y$29</f>
        <v>2878</v>
      </c>
      <c r="U7" s="32" t="str">
        <f>IF('26'!AA6=1,'26'!AR6,'26'!AR7)</f>
        <v>S.A.L</v>
      </c>
      <c r="V7" s="1016">
        <f>ESCALA!$B$27</f>
        <v>0</v>
      </c>
      <c r="W7" s="1016"/>
      <c r="X7" s="13">
        <v>8.3333333333333301E-2</v>
      </c>
      <c r="Y7" s="171">
        <v>2754</v>
      </c>
      <c r="Z7" s="181">
        <v>1503</v>
      </c>
      <c r="AA7" s="15">
        <v>1</v>
      </c>
      <c r="AB7" s="56">
        <f>IF('26'!AA7=1,(('26'!Z7*'26'!$AS$6*'26'!$AT$6)/('26'!Y7*0.0036)),IF('26'!AA7=2,(('26'!Z7*'26'!$AS$7*'26'!$AT$7)/('26'!Y7*0.0036))))</f>
        <v>100.81245461147421</v>
      </c>
      <c r="AC7" s="56"/>
      <c r="AD7" s="18">
        <f>(('26'!AC7*'26'!$Q$10*1000000))/('26'!Y7*3600)</f>
        <v>0</v>
      </c>
      <c r="AE7" s="181"/>
      <c r="AF7" s="182">
        <f>('26'!AE7/24)*0.454</f>
        <v>0</v>
      </c>
      <c r="AG7" s="19"/>
      <c r="AH7" s="182">
        <f>('26'!AG7/24)*0.454</f>
        <v>0</v>
      </c>
      <c r="AI7" s="327">
        <v>5200</v>
      </c>
      <c r="AJ7" s="182">
        <f>('26'!AI7/24)*0.454</f>
        <v>98.36666666666666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181</v>
      </c>
      <c r="C8" s="184">
        <v>10</v>
      </c>
      <c r="D8" s="184">
        <v>7</v>
      </c>
      <c r="E8" s="184">
        <v>7</v>
      </c>
      <c r="F8" s="184">
        <v>117</v>
      </c>
      <c r="G8" s="184">
        <v>2</v>
      </c>
      <c r="H8" s="184">
        <v>1.3</v>
      </c>
      <c r="I8" s="184">
        <v>0.7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3.6</v>
      </c>
      <c r="P8" s="184"/>
      <c r="Q8" s="186"/>
      <c r="R8" s="34">
        <f>'26'!Z7</f>
        <v>1503</v>
      </c>
      <c r="S8" s="35">
        <f>'26'!AB7</f>
        <v>100.81245461147421</v>
      </c>
      <c r="T8" s="36">
        <f>'26'!Y7</f>
        <v>2754</v>
      </c>
      <c r="U8" s="32" t="str">
        <f>IF('26'!AA7=1,'26'!AR6,'26'!AR7)</f>
        <v>S.A.L</v>
      </c>
      <c r="V8" s="1016"/>
      <c r="W8" s="1016"/>
      <c r="X8" s="13">
        <v>0.125</v>
      </c>
      <c r="Y8" s="171">
        <v>2757</v>
      </c>
      <c r="Z8" s="181">
        <v>1503</v>
      </c>
      <c r="AA8" s="15">
        <v>1</v>
      </c>
      <c r="AB8" s="56">
        <f>IF('26'!AA8=1,(('26'!Z8*'26'!$AS$6*'26'!$AT$6)/('26'!Y8*0.0036)),IF('26'!AA8=2,(('26'!Z8*'26'!$AS$7*'26'!$AT$7)/('26'!Y8*0.0036))))</f>
        <v>100.70275661951396</v>
      </c>
      <c r="AC8" s="56"/>
      <c r="AD8" s="18">
        <f>(('26'!AC8*'26'!$Q$10*1000000))/('26'!Y8*3600)</f>
        <v>0</v>
      </c>
      <c r="AE8" s="181"/>
      <c r="AF8" s="182">
        <f>('26'!AE8/24)*0.454</f>
        <v>0</v>
      </c>
      <c r="AG8" s="19"/>
      <c r="AH8" s="182">
        <f>('26'!AG8/24)*0.454</f>
        <v>0</v>
      </c>
      <c r="AI8" s="327">
        <v>5200</v>
      </c>
      <c r="AJ8" s="182">
        <f>('26'!AI8/24)*0.454</f>
        <v>98.36666666666666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180</v>
      </c>
      <c r="C9" s="184">
        <v>11</v>
      </c>
      <c r="D9" s="184">
        <v>7</v>
      </c>
      <c r="E9" s="184">
        <v>7</v>
      </c>
      <c r="F9" s="184">
        <v>105</v>
      </c>
      <c r="G9" s="184">
        <v>1.9</v>
      </c>
      <c r="H9" s="184">
        <v>1.3</v>
      </c>
      <c r="I9" s="184">
        <v>0.7</v>
      </c>
      <c r="J9" s="184">
        <v>0.7</v>
      </c>
      <c r="K9" s="184">
        <v>7.3</v>
      </c>
      <c r="L9" s="184">
        <v>6.3</v>
      </c>
      <c r="M9" s="184">
        <v>6.3</v>
      </c>
      <c r="N9" s="184">
        <v>6</v>
      </c>
      <c r="O9" s="184">
        <v>3.6</v>
      </c>
      <c r="P9" s="184"/>
      <c r="Q9" s="186"/>
      <c r="R9" s="36">
        <f>'26'!Z9</f>
        <v>1503</v>
      </c>
      <c r="S9" s="35">
        <f>'26'!AB9</f>
        <v>101.0325691411936</v>
      </c>
      <c r="T9" s="36">
        <f>'26'!Y9</f>
        <v>2748</v>
      </c>
      <c r="U9" s="32" t="str">
        <f>IF('26'!AA9=1,'26'!AR6,'26'!AR7)</f>
        <v>S.A.L</v>
      </c>
      <c r="V9" s="1016"/>
      <c r="W9" s="1016"/>
      <c r="X9" s="13">
        <v>0.16666666666666699</v>
      </c>
      <c r="Y9" s="171">
        <v>2748</v>
      </c>
      <c r="Z9" s="181">
        <v>1503</v>
      </c>
      <c r="AA9" s="15">
        <v>1</v>
      </c>
      <c r="AB9" s="56">
        <f>IF('26'!AA9=1,(('26'!Z9*'26'!$AS$6*'26'!$AT$6)/('26'!Y9*0.0036)),IF('26'!AA9=2,(('26'!Z9*'26'!$AS$7*'26'!$AT$7)/('26'!Y9*0.0036))))</f>
        <v>101.0325691411936</v>
      </c>
      <c r="AC9" s="56"/>
      <c r="AD9" s="18">
        <f>(('26'!AC9*'26'!$Q$10*1000000))/('26'!Y9*3600)</f>
        <v>0</v>
      </c>
      <c r="AE9" s="181"/>
      <c r="AF9" s="182">
        <f>('26'!AE9/24)*0.454</f>
        <v>0</v>
      </c>
      <c r="AG9" s="19"/>
      <c r="AH9" s="182">
        <f>('26'!AG9/24)*0.454</f>
        <v>0</v>
      </c>
      <c r="AI9" s="327">
        <v>5200</v>
      </c>
      <c r="AJ9" s="182">
        <f>('26'!AI9/24)*0.454</f>
        <v>98.36666666666666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180</v>
      </c>
      <c r="C10" s="184">
        <v>11</v>
      </c>
      <c r="D10" s="184">
        <v>7</v>
      </c>
      <c r="E10" s="184">
        <v>7</v>
      </c>
      <c r="F10" s="184">
        <v>90</v>
      </c>
      <c r="G10" s="184">
        <v>1.9</v>
      </c>
      <c r="H10" s="184">
        <v>1.2</v>
      </c>
      <c r="I10" s="184">
        <v>0.7</v>
      </c>
      <c r="J10" s="184">
        <v>0.7</v>
      </c>
      <c r="K10" s="184">
        <v>7.3</v>
      </c>
      <c r="L10" s="184">
        <v>6.3</v>
      </c>
      <c r="M10" s="184">
        <v>6.3</v>
      </c>
      <c r="N10" s="184">
        <v>6</v>
      </c>
      <c r="O10" s="184">
        <v>3.6</v>
      </c>
      <c r="P10" s="184"/>
      <c r="Q10" s="186"/>
      <c r="R10" s="36">
        <f>'26'!Z11</f>
        <v>1503</v>
      </c>
      <c r="S10" s="35">
        <f>'26'!AB11</f>
        <v>115.44178794178795</v>
      </c>
      <c r="T10" s="36">
        <f>'26'!Y11</f>
        <v>2405</v>
      </c>
      <c r="U10" s="32" t="str">
        <f>IF('26'!AA11=1,'26'!AR6,'26'!AR7)</f>
        <v>S.A.L</v>
      </c>
      <c r="V10" s="1016"/>
      <c r="W10" s="1016"/>
      <c r="X10" s="13">
        <v>0.20833333333333301</v>
      </c>
      <c r="Y10" s="171">
        <v>2770</v>
      </c>
      <c r="Z10" s="181">
        <v>1503</v>
      </c>
      <c r="AA10" s="15">
        <v>1</v>
      </c>
      <c r="AB10" s="56">
        <f>IF('26'!AA10=1,(('26'!Z10*'26'!$AS$6*'26'!$AT$6)/('26'!Y10*0.0036)),IF('26'!AA10=2,(('26'!Z10*'26'!$AS$7*'26'!$AT$7)/('26'!Y10*0.0036))))</f>
        <v>100.23014440433214</v>
      </c>
      <c r="AC10" s="56"/>
      <c r="AD10" s="18">
        <f>(('26'!AC10*'26'!$Q$10*1000000))/('26'!Y10*3600)</f>
        <v>0</v>
      </c>
      <c r="AE10" s="181"/>
      <c r="AF10" s="182">
        <f>('26'!AE10/24)*0.454</f>
        <v>0</v>
      </c>
      <c r="AG10" s="19"/>
      <c r="AH10" s="182">
        <f>('26'!AG10/24)*0.454</f>
        <v>0</v>
      </c>
      <c r="AI10" s="327">
        <v>5200</v>
      </c>
      <c r="AJ10" s="182">
        <f>('26'!AI10/24)*0.454</f>
        <v>98.36666666666666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173</v>
      </c>
      <c r="C11" s="184">
        <v>13</v>
      </c>
      <c r="D11" s="184">
        <v>8</v>
      </c>
      <c r="E11" s="184">
        <v>4.8</v>
      </c>
      <c r="F11" s="184">
        <v>80</v>
      </c>
      <c r="G11" s="184">
        <v>2</v>
      </c>
      <c r="H11" s="184">
        <v>1.2</v>
      </c>
      <c r="I11" s="184">
        <v>0.7</v>
      </c>
      <c r="J11" s="184">
        <v>0.8</v>
      </c>
      <c r="K11" s="184">
        <v>7.3</v>
      </c>
      <c r="L11" s="184">
        <v>6.3</v>
      </c>
      <c r="M11" s="184">
        <v>6.3</v>
      </c>
      <c r="N11" s="184">
        <v>6</v>
      </c>
      <c r="O11" s="184">
        <v>3.6</v>
      </c>
      <c r="P11" s="184"/>
      <c r="Q11" s="186"/>
      <c r="R11" s="36">
        <f>'26'!Z13</f>
        <v>1503</v>
      </c>
      <c r="S11" s="35">
        <f>'26'!AB13</f>
        <v>99.690305206463194</v>
      </c>
      <c r="T11" s="36">
        <f>'26'!Y13</f>
        <v>2785</v>
      </c>
      <c r="U11" s="32" t="str">
        <f>IF('26'!AA13=1,'26'!AR6,'26'!AR7)</f>
        <v>S.A.L</v>
      </c>
      <c r="V11" s="1016"/>
      <c r="W11" s="1016"/>
      <c r="X11" s="13">
        <v>0.25</v>
      </c>
      <c r="Y11" s="171">
        <v>2405</v>
      </c>
      <c r="Z11" s="181">
        <v>1503</v>
      </c>
      <c r="AA11" s="15">
        <v>1</v>
      </c>
      <c r="AB11" s="56">
        <f>IF('26'!AA11=1,(('26'!Z11*'26'!$AS$6*'26'!$AT$6)/('26'!Y11*0.0036)),IF('26'!AA11=2,(('26'!Z11*'26'!$AS$7*'26'!$AT$7)/('26'!Y11*0.0036))))</f>
        <v>115.44178794178795</v>
      </c>
      <c r="AC11" s="56"/>
      <c r="AD11" s="18">
        <f>(('26'!AC11*'26'!$Q$10*1000000))/('26'!Y11*3600)</f>
        <v>0</v>
      </c>
      <c r="AE11" s="181"/>
      <c r="AF11" s="182">
        <f>('26'!AE11/24)*0.454</f>
        <v>0</v>
      </c>
      <c r="AG11" s="19"/>
      <c r="AH11" s="182">
        <f>('26'!AG11/24)*0.454</f>
        <v>0</v>
      </c>
      <c r="AI11" s="327">
        <v>5200</v>
      </c>
      <c r="AJ11" s="182">
        <f>('26'!AI11/24)*0.454</f>
        <v>98.36666666666666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171</v>
      </c>
      <c r="C12" s="184">
        <v>14</v>
      </c>
      <c r="D12" s="184">
        <v>9.5</v>
      </c>
      <c r="E12" s="184">
        <v>4.7</v>
      </c>
      <c r="F12" s="184">
        <v>78</v>
      </c>
      <c r="G12" s="184">
        <v>2.1</v>
      </c>
      <c r="H12" s="184">
        <v>1.2</v>
      </c>
      <c r="I12" s="184">
        <v>0.7</v>
      </c>
      <c r="J12" s="184">
        <v>0.8</v>
      </c>
      <c r="K12" s="184">
        <v>7.3</v>
      </c>
      <c r="L12" s="184">
        <v>6.3</v>
      </c>
      <c r="M12" s="184">
        <v>6.3</v>
      </c>
      <c r="N12" s="184">
        <v>6</v>
      </c>
      <c r="O12" s="184">
        <v>3.6</v>
      </c>
      <c r="P12" s="184"/>
      <c r="Q12" s="186"/>
      <c r="R12" s="36">
        <f>'26'!Z15</f>
        <v>1503</v>
      </c>
      <c r="S12" s="35">
        <f>'26'!AB15</f>
        <v>98.209232401839415</v>
      </c>
      <c r="T12" s="36">
        <f>'26'!Y15</f>
        <v>2827</v>
      </c>
      <c r="U12" s="32" t="str">
        <f>IF('26'!AA15=1,'26'!AR6,'26'!AR7)</f>
        <v>S.A.L</v>
      </c>
      <c r="V12" s="938">
        <f>ESCALA!$B$28</f>
        <v>0</v>
      </c>
      <c r="W12" s="938"/>
      <c r="X12" s="13">
        <v>0.29166666666666702</v>
      </c>
      <c r="Y12" s="171">
        <v>2670</v>
      </c>
      <c r="Z12" s="181">
        <v>1503</v>
      </c>
      <c r="AA12" s="15">
        <v>1</v>
      </c>
      <c r="AB12" s="56">
        <f>IF('26'!AA12=1,(('26'!Z12*'26'!$AS$6*'26'!$AT$6)/('26'!Y12*0.0036)),IF('26'!AA12=2,(('26'!Z12*'26'!$AS$7*'26'!$AT$7)/('26'!Y12*0.0036))))</f>
        <v>103.98408239700375</v>
      </c>
      <c r="AC12" s="56"/>
      <c r="AD12" s="18">
        <f>(('26'!AC12*'26'!$Q$10*1000000))/('26'!Y12*3600)</f>
        <v>0</v>
      </c>
      <c r="AE12" s="181"/>
      <c r="AF12" s="182">
        <f>('26'!AE12/24)*0.454</f>
        <v>0</v>
      </c>
      <c r="AG12" s="19"/>
      <c r="AH12" s="182">
        <f>('26'!AG12/24)*0.454</f>
        <v>0</v>
      </c>
      <c r="AI12" s="327">
        <v>5200</v>
      </c>
      <c r="AJ12" s="182">
        <f>('26'!AI12/24)*0.454</f>
        <v>98.36666666666666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173</v>
      </c>
      <c r="C13" s="184">
        <v>14</v>
      </c>
      <c r="D13" s="184">
        <v>9.6</v>
      </c>
      <c r="E13" s="184">
        <v>4.0999999999999996</v>
      </c>
      <c r="F13" s="184">
        <v>82</v>
      </c>
      <c r="G13" s="184">
        <v>2.2000000000000002</v>
      </c>
      <c r="H13" s="184">
        <v>1.1000000000000001</v>
      </c>
      <c r="I13" s="184">
        <v>0.7</v>
      </c>
      <c r="J13" s="184">
        <v>0.8</v>
      </c>
      <c r="K13" s="184">
        <v>7.3</v>
      </c>
      <c r="L13" s="184">
        <v>6.3</v>
      </c>
      <c r="M13" s="184">
        <v>6.3</v>
      </c>
      <c r="N13" s="184">
        <v>6</v>
      </c>
      <c r="O13" s="184">
        <v>3.6</v>
      </c>
      <c r="P13" s="184"/>
      <c r="Q13" s="186"/>
      <c r="R13" s="36">
        <f>'26'!Z17</f>
        <v>1503</v>
      </c>
      <c r="S13" s="35">
        <f>'26'!AB17</f>
        <v>99.4403653295129</v>
      </c>
      <c r="T13" s="36">
        <f>'26'!Y17</f>
        <v>2792</v>
      </c>
      <c r="U13" s="32" t="str">
        <f>IF('26'!AA17=1,'26'!AR6,'26'!AR7)</f>
        <v>S.A.L</v>
      </c>
      <c r="V13" s="938"/>
      <c r="W13" s="938"/>
      <c r="X13" s="13">
        <v>0.33333333333333298</v>
      </c>
      <c r="Y13" s="171">
        <v>2785</v>
      </c>
      <c r="Z13" s="181">
        <v>1503</v>
      </c>
      <c r="AA13" s="15">
        <v>1</v>
      </c>
      <c r="AB13" s="56">
        <f>IF('26'!AA13=1,(('26'!Z13*'26'!$AS$6*'26'!$AT$6)/('26'!Y13*0.0036)),IF('26'!AA13=2,(('26'!Z13*'26'!$AS$7*'26'!$AT$7)/('26'!Y13*0.0036))))</f>
        <v>99.690305206463194</v>
      </c>
      <c r="AC13" s="56"/>
      <c r="AD13" s="18">
        <f>(('26'!AC13*'26'!$Q$10*1000000))/('26'!Y13*3600)</f>
        <v>0</v>
      </c>
      <c r="AE13" s="181"/>
      <c r="AF13" s="182">
        <f>('26'!AE13/24)*0.454</f>
        <v>0</v>
      </c>
      <c r="AG13" s="19"/>
      <c r="AH13" s="182">
        <f>('26'!AG13/24)*0.454</f>
        <v>0</v>
      </c>
      <c r="AI13" s="327">
        <v>5200</v>
      </c>
      <c r="AJ13" s="182">
        <f>('26'!AI13/24)*0.454</f>
        <v>98.36666666666666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175</v>
      </c>
      <c r="C14" s="184">
        <v>14</v>
      </c>
      <c r="D14" s="184">
        <v>9.9</v>
      </c>
      <c r="E14" s="184">
        <v>3.8</v>
      </c>
      <c r="F14" s="184">
        <v>84</v>
      </c>
      <c r="G14" s="184">
        <v>2.4</v>
      </c>
      <c r="H14" s="184">
        <v>1.1000000000000001</v>
      </c>
      <c r="I14" s="184">
        <v>0.6</v>
      </c>
      <c r="J14" s="184">
        <v>0.8</v>
      </c>
      <c r="K14" s="184">
        <v>7.3</v>
      </c>
      <c r="L14" s="184">
        <v>6.3</v>
      </c>
      <c r="M14" s="184">
        <v>6.3</v>
      </c>
      <c r="N14" s="184">
        <v>6</v>
      </c>
      <c r="O14" s="184">
        <v>3.6</v>
      </c>
      <c r="P14" s="184"/>
      <c r="Q14" s="186"/>
      <c r="R14" s="36">
        <f>'26'!Z19</f>
        <v>1503</v>
      </c>
      <c r="S14" s="35">
        <f>'26'!AB19</f>
        <v>99.014800285306706</v>
      </c>
      <c r="T14" s="36">
        <f>'26'!Y19</f>
        <v>2804</v>
      </c>
      <c r="U14" s="32" t="str">
        <f>IF('26'!AA19=1,'26'!AR6,'26'!AR7)</f>
        <v>S.A.L</v>
      </c>
      <c r="V14" s="938"/>
      <c r="W14" s="938"/>
      <c r="X14" s="13">
        <v>0.375</v>
      </c>
      <c r="Y14" s="171">
        <v>2814</v>
      </c>
      <c r="Z14" s="181">
        <v>1503</v>
      </c>
      <c r="AA14" s="15">
        <v>1</v>
      </c>
      <c r="AB14" s="56">
        <f>IF('26'!AA14=1,(('26'!Z14*'26'!$AS$6*'26'!$AT$6)/('26'!Y14*0.0036)),IF('26'!AA14=2,(('26'!Z14*'26'!$AS$7*'26'!$AT$7)/('26'!Y14*0.0036))))</f>
        <v>98.662935323383081</v>
      </c>
      <c r="AC14" s="56"/>
      <c r="AD14" s="18">
        <f>(('26'!AC14*'26'!$Q$10*1000000))/('26'!Y14*3600)</f>
        <v>0</v>
      </c>
      <c r="AE14" s="181"/>
      <c r="AF14" s="182">
        <f>('26'!AE14/24)*0.454</f>
        <v>0</v>
      </c>
      <c r="AG14" s="19"/>
      <c r="AH14" s="182">
        <f>('26'!AG14/24)*0.454</f>
        <v>0</v>
      </c>
      <c r="AI14" s="327">
        <v>5200</v>
      </c>
      <c r="AJ14" s="182">
        <f>('26'!AI14/24)*0.454</f>
        <v>98.36666666666666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180</v>
      </c>
      <c r="C15" s="184">
        <v>16</v>
      </c>
      <c r="D15" s="184">
        <v>11</v>
      </c>
      <c r="E15" s="184">
        <v>5.3</v>
      </c>
      <c r="F15" s="184">
        <v>94</v>
      </c>
      <c r="G15" s="184">
        <v>2.6</v>
      </c>
      <c r="H15" s="184">
        <v>1.3</v>
      </c>
      <c r="I15" s="184">
        <v>0.6</v>
      </c>
      <c r="J15" s="184">
        <v>0.8</v>
      </c>
      <c r="K15" s="184">
        <v>7.3</v>
      </c>
      <c r="L15" s="184">
        <v>6.3</v>
      </c>
      <c r="M15" s="184">
        <v>6.3</v>
      </c>
      <c r="N15" s="184">
        <v>6</v>
      </c>
      <c r="O15" s="184">
        <v>3.3</v>
      </c>
      <c r="P15" s="184"/>
      <c r="Q15" s="186"/>
      <c r="R15" s="36">
        <f>'26'!Z21</f>
        <v>1503</v>
      </c>
      <c r="S15" s="35">
        <f>'26'!AB21</f>
        <v>94.530983997276138</v>
      </c>
      <c r="T15" s="36">
        <f>'26'!Y21</f>
        <v>2937</v>
      </c>
      <c r="U15" s="32" t="str">
        <f>IF('26'!AA21=1,'26'!AR6,'26'!AR7)</f>
        <v>S.A.L</v>
      </c>
      <c r="V15" s="938"/>
      <c r="W15" s="938"/>
      <c r="X15" s="13">
        <v>0.41666666666666702</v>
      </c>
      <c r="Y15" s="171">
        <v>2827</v>
      </c>
      <c r="Z15" s="181">
        <v>1503</v>
      </c>
      <c r="AA15" s="15">
        <v>1</v>
      </c>
      <c r="AB15" s="56">
        <f>IF('26'!AA15=1,(('26'!Z15*'26'!$AS$6*'26'!$AT$6)/('26'!Y15*0.0036)),IF('26'!AA15=2,(('26'!Z15*'26'!$AS$7*'26'!$AT$7)/('26'!Y15*0.0036))))</f>
        <v>98.209232401839415</v>
      </c>
      <c r="AC15" s="56"/>
      <c r="AD15" s="18">
        <f>(('26'!AC15*'26'!$Q$10*1000000))/('26'!Y15*3600)</f>
        <v>0</v>
      </c>
      <c r="AE15" s="181"/>
      <c r="AF15" s="182">
        <f>('26'!AE15/24)*0.454</f>
        <v>0</v>
      </c>
      <c r="AG15" s="19"/>
      <c r="AH15" s="182">
        <f>('26'!AG15/24)*0.454</f>
        <v>0</v>
      </c>
      <c r="AI15" s="327">
        <v>5200</v>
      </c>
      <c r="AJ15" s="182">
        <f>('26'!AI15/24)*0.454</f>
        <v>98.36666666666666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180</v>
      </c>
      <c r="C16" s="184">
        <v>13</v>
      </c>
      <c r="D16" s="184">
        <v>11</v>
      </c>
      <c r="E16" s="184">
        <v>4.9000000000000004</v>
      </c>
      <c r="F16" s="184">
        <v>91</v>
      </c>
      <c r="G16" s="184">
        <v>2.6</v>
      </c>
      <c r="H16" s="184">
        <v>1.3</v>
      </c>
      <c r="I16" s="184">
        <v>0.7</v>
      </c>
      <c r="J16" s="184">
        <v>0.8</v>
      </c>
      <c r="K16" s="184">
        <v>7.3</v>
      </c>
      <c r="L16" s="184">
        <v>6.3</v>
      </c>
      <c r="M16" s="184">
        <v>6.3</v>
      </c>
      <c r="N16" s="184">
        <v>6</v>
      </c>
      <c r="O16" s="184">
        <v>3.3</v>
      </c>
      <c r="P16" s="184"/>
      <c r="Q16" s="186"/>
      <c r="R16" s="36">
        <f>'26'!Z23</f>
        <v>1503</v>
      </c>
      <c r="S16" s="35">
        <f>'26'!AB23</f>
        <v>97.143981805458367</v>
      </c>
      <c r="T16" s="36">
        <f>'26'!Y23</f>
        <v>2858</v>
      </c>
      <c r="U16" s="32" t="str">
        <f>IF('26'!AA23=1,'26'!AR6,'26'!AR7)</f>
        <v>S.A.L</v>
      </c>
      <c r="V16" s="938"/>
      <c r="W16" s="938"/>
      <c r="X16" s="13">
        <v>0.45833333333333298</v>
      </c>
      <c r="Y16" s="171">
        <v>2782</v>
      </c>
      <c r="Z16" s="181">
        <v>1503</v>
      </c>
      <c r="AA16" s="15">
        <v>1</v>
      </c>
      <c r="AB16" s="56">
        <f>IF('26'!AA16=1,(('26'!Z16*'26'!$AS$6*'26'!$AT$6)/('26'!Y16*0.0036)),IF('26'!AA16=2,(('26'!Z16*'26'!$AS$7*'26'!$AT$7)/('26'!Y16*0.0036))))</f>
        <v>99.797807332854063</v>
      </c>
      <c r="AC16" s="56"/>
      <c r="AD16" s="18">
        <f>(('26'!AC16*'26'!$Q$10*1000000))/('26'!Y16*3600)</f>
        <v>0</v>
      </c>
      <c r="AE16" s="181"/>
      <c r="AF16" s="182">
        <f>('26'!AE16/24)*0.454</f>
        <v>0</v>
      </c>
      <c r="AG16" s="19"/>
      <c r="AH16" s="182">
        <f>('26'!AG16/24)*0.454</f>
        <v>0</v>
      </c>
      <c r="AI16" s="327">
        <v>5200</v>
      </c>
      <c r="AJ16" s="182">
        <f>('26'!AI16/24)*0.454</f>
        <v>98.36666666666666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179</v>
      </c>
      <c r="C17" s="184">
        <v>13</v>
      </c>
      <c r="D17" s="184">
        <v>13</v>
      </c>
      <c r="E17" s="184">
        <v>5.4</v>
      </c>
      <c r="F17" s="184">
        <v>91</v>
      </c>
      <c r="G17" s="184">
        <v>2.2000000000000002</v>
      </c>
      <c r="H17" s="184">
        <v>1.5</v>
      </c>
      <c r="I17" s="184">
        <v>0.8</v>
      </c>
      <c r="J17" s="184">
        <v>0.9</v>
      </c>
      <c r="K17" s="184">
        <v>7.3</v>
      </c>
      <c r="L17" s="184">
        <v>6.3</v>
      </c>
      <c r="M17" s="184">
        <v>6.3</v>
      </c>
      <c r="N17" s="184">
        <v>6</v>
      </c>
      <c r="O17" s="184">
        <v>3.3</v>
      </c>
      <c r="P17" s="184"/>
      <c r="Q17" s="186"/>
      <c r="R17" s="36">
        <f>'26'!Z25</f>
        <v>1503</v>
      </c>
      <c r="S17" s="35">
        <f>'26'!AB25</f>
        <v>98.487938985455827</v>
      </c>
      <c r="T17" s="36">
        <f>'26'!Y25</f>
        <v>2819</v>
      </c>
      <c r="U17" s="32" t="str">
        <f>IF('26'!AA25=1,'26'!AR6,'26'!AR7)</f>
        <v>S.A.L</v>
      </c>
      <c r="V17" s="938"/>
      <c r="W17" s="938"/>
      <c r="X17" s="13">
        <v>0.5</v>
      </c>
      <c r="Y17" s="171">
        <v>2792</v>
      </c>
      <c r="Z17" s="181">
        <v>1503</v>
      </c>
      <c r="AA17" s="15">
        <v>1</v>
      </c>
      <c r="AB17" s="56">
        <f>IF('26'!AA17=1,(('26'!Z17*'26'!$AS$6*'26'!$AT$6)/('26'!Y17*0.0036)),IF('26'!AA17=2,(('26'!Z17*'26'!$AS$7*'26'!$AT$7)/('26'!Y17*0.0036))))</f>
        <v>99.4403653295129</v>
      </c>
      <c r="AC17" s="56"/>
      <c r="AD17" s="18">
        <f>(('26'!AC17*'26'!$Q$10*1000000))/('26'!Y17*3600)</f>
        <v>0</v>
      </c>
      <c r="AE17" s="181"/>
      <c r="AF17" s="182">
        <f>('26'!AE17/24)*0.454</f>
        <v>0</v>
      </c>
      <c r="AG17" s="19"/>
      <c r="AH17" s="182">
        <f>('26'!AG17/24)*0.454</f>
        <v>0</v>
      </c>
      <c r="AI17" s="327">
        <v>5200</v>
      </c>
      <c r="AJ17" s="182">
        <f>('26'!AI17/24)*0.454</f>
        <v>98.36666666666666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180</v>
      </c>
      <c r="C18" s="184">
        <v>14</v>
      </c>
      <c r="D18" s="184">
        <v>13</v>
      </c>
      <c r="E18" s="184">
        <v>8.3000000000000007</v>
      </c>
      <c r="F18" s="184">
        <v>89</v>
      </c>
      <c r="G18" s="184">
        <v>2.2000000000000002</v>
      </c>
      <c r="H18" s="184">
        <v>1.5</v>
      </c>
      <c r="I18" s="184">
        <v>0.8</v>
      </c>
      <c r="J18" s="184">
        <v>0.9</v>
      </c>
      <c r="K18" s="184">
        <v>7.3</v>
      </c>
      <c r="L18" s="184">
        <v>6.3</v>
      </c>
      <c r="M18" s="184">
        <v>6.3</v>
      </c>
      <c r="N18" s="184">
        <v>6</v>
      </c>
      <c r="O18" s="184">
        <v>3.3</v>
      </c>
      <c r="P18" s="184"/>
      <c r="Q18" s="186"/>
      <c r="R18" s="36">
        <f>'26'!Z27</f>
        <v>1503</v>
      </c>
      <c r="S18" s="35">
        <f>'26'!AB27</f>
        <v>98.139802050194419</v>
      </c>
      <c r="T18" s="36">
        <f>'26'!Y27</f>
        <v>2829</v>
      </c>
      <c r="U18" s="32" t="str">
        <f>IF('26'!AA27=1,'26'!AR6,'26'!AR7)</f>
        <v>S.A.L</v>
      </c>
      <c r="V18" s="938"/>
      <c r="W18" s="938"/>
      <c r="X18" s="13">
        <v>0.54166666666666696</v>
      </c>
      <c r="Y18" s="171">
        <v>2819</v>
      </c>
      <c r="Z18" s="181">
        <v>1503</v>
      </c>
      <c r="AA18" s="15">
        <v>1</v>
      </c>
      <c r="AB18" s="56">
        <f>IF('26'!AA18=1,(('26'!Z18*'26'!$AS$6*'26'!$AT$6)/('26'!Y18*0.0036)),IF('26'!AA18=2,(('26'!Z18*'26'!$AS$7*'26'!$AT$7)/('26'!Y18*0.0036))))</f>
        <v>98.487938985455827</v>
      </c>
      <c r="AC18" s="56"/>
      <c r="AD18" s="18">
        <f>(('26'!AC18*'26'!$Q$10*1000000))/('26'!Y18*3600)</f>
        <v>0</v>
      </c>
      <c r="AE18" s="181"/>
      <c r="AF18" s="182">
        <f>('26'!AE18/24)*0.454</f>
        <v>0</v>
      </c>
      <c r="AG18" s="19"/>
      <c r="AH18" s="182">
        <f>('26'!AG18/24)*0.454</f>
        <v>0</v>
      </c>
      <c r="AI18" s="327">
        <v>5200</v>
      </c>
      <c r="AJ18" s="182">
        <f>('26'!AI18/24)*0.454</f>
        <v>98.36666666666666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177.75</v>
      </c>
      <c r="C19" s="67">
        <f>AVERAGE('26'!C7:C18)</f>
        <v>12.75</v>
      </c>
      <c r="D19" s="67">
        <f>AVERAGE('26'!D7:D18)</f>
        <v>9.5</v>
      </c>
      <c r="E19" s="67">
        <f>AVERAGE('26'!E7:E18)</f>
        <v>5.7749999999999995</v>
      </c>
      <c r="F19" s="67">
        <f>AVERAGE('26'!F7:F18)</f>
        <v>93.666666666666671</v>
      </c>
      <c r="G19" s="67">
        <f>AVERAGE('26'!G7:G18)</f>
        <v>2.1833333333333331</v>
      </c>
      <c r="H19" s="67">
        <f>AVERAGE('26'!H7:H18)</f>
        <v>1.2833333333333334</v>
      </c>
      <c r="I19" s="67">
        <f>AVERAGE('26'!I8:I18)</f>
        <v>0.7</v>
      </c>
      <c r="J19" s="67">
        <f>AVERAGE('26'!J8:J18)</f>
        <v>0.79090909090909089</v>
      </c>
      <c r="K19" s="67">
        <f>AVERAGE('26'!K7:K18)</f>
        <v>7.299999999999998</v>
      </c>
      <c r="L19" s="67">
        <f>AVERAGE('26'!L7:L18)</f>
        <v>6.299999999999998</v>
      </c>
      <c r="M19" s="67">
        <f>AVERAGE('26'!M7:M18)</f>
        <v>6.299999999999998</v>
      </c>
      <c r="N19" s="67">
        <f>AVERAGE('26'!N7:N18)</f>
        <v>6</v>
      </c>
      <c r="O19" s="67">
        <f>AVERAGE('26'!O7:O18)</f>
        <v>3.4999999999999996</v>
      </c>
      <c r="P19" s="188" t="e">
        <f>AVERAGE('26'!P7:P18)</f>
        <v>#DIV/0!</v>
      </c>
      <c r="Q19" s="189" t="e">
        <f>AVERAGE('26'!Q7:Q18)</f>
        <v>#DIV/0!</v>
      </c>
      <c r="R19" s="189">
        <f>AVERAGE('26'!R7:R18)</f>
        <v>1503</v>
      </c>
      <c r="S19" s="189">
        <f>AVERAGE('26'!S7:S18)</f>
        <v>99.867760314270939</v>
      </c>
      <c r="T19" s="940"/>
      <c r="U19" s="940"/>
      <c r="V19" s="47"/>
      <c r="W19" s="48"/>
      <c r="X19" s="13">
        <v>0.58333333333333304</v>
      </c>
      <c r="Y19" s="171">
        <v>2804</v>
      </c>
      <c r="Z19" s="181">
        <v>1503</v>
      </c>
      <c r="AA19" s="15">
        <v>1</v>
      </c>
      <c r="AB19" s="56">
        <f>IF('26'!AA19=1,(('26'!Z19*'26'!$AS$6*'26'!$AT$6)/('26'!Y19*0.0036)),IF('26'!AA19=2,(('26'!Z19*'26'!$AS$7*'26'!$AT$7)/('26'!Y19*0.0036))))</f>
        <v>99.014800285306706</v>
      </c>
      <c r="AC19" s="56"/>
      <c r="AD19" s="18">
        <f>(('26'!AC19*'26'!$Q$10*1000000))/('26'!Y19*3600)</f>
        <v>0</v>
      </c>
      <c r="AE19" s="181"/>
      <c r="AF19" s="182">
        <f>('26'!AE19/24)*0.454</f>
        <v>0</v>
      </c>
      <c r="AG19" s="19"/>
      <c r="AH19" s="182">
        <f>('26'!AG19/24)*0.454</f>
        <v>0</v>
      </c>
      <c r="AI19" s="327">
        <v>5200</v>
      </c>
      <c r="AJ19" s="182">
        <f>('26'!AI19/24)*0.454</f>
        <v>98.36666666666666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181</v>
      </c>
      <c r="C20" s="218">
        <f>MAX('26'!C7:C18)</f>
        <v>16</v>
      </c>
      <c r="D20" s="67">
        <f>MAX('26'!D7:D18)</f>
        <v>13</v>
      </c>
      <c r="E20" s="67">
        <f>MAX('26'!E7:E18)</f>
        <v>8.3000000000000007</v>
      </c>
      <c r="F20" s="67">
        <f>MAX('26'!F7:F18)</f>
        <v>123</v>
      </c>
      <c r="G20" s="67">
        <f>MAX('26'!G7:G18)</f>
        <v>2.6</v>
      </c>
      <c r="H20" s="67">
        <f>MAX('26'!H7:H18)</f>
        <v>1.5</v>
      </c>
      <c r="I20" s="67">
        <f>MAX('26'!I8:I18)</f>
        <v>0.8</v>
      </c>
      <c r="J20" s="67">
        <f>MAX('26'!J8:J18)</f>
        <v>0.9</v>
      </c>
      <c r="K20" s="67">
        <f>MAX('26'!K7:K18)</f>
        <v>7.3</v>
      </c>
      <c r="L20" s="67">
        <f>MAX('26'!L7:L18)</f>
        <v>6.3</v>
      </c>
      <c r="M20" s="67">
        <f>MAX('26'!M7:M18)</f>
        <v>6.3</v>
      </c>
      <c r="N20" s="67">
        <f>MAX('26'!N7:N18)</f>
        <v>6</v>
      </c>
      <c r="O20" s="68">
        <f>MAX('26'!O7:O18)</f>
        <v>3.6</v>
      </c>
      <c r="P20" s="68">
        <f>MAX('26'!P7:P18)</f>
        <v>0</v>
      </c>
      <c r="Q20" s="68">
        <f>MAX('26'!Q7:Q18)</f>
        <v>0</v>
      </c>
      <c r="R20" s="68">
        <f>MAX('26'!R7:R18)</f>
        <v>1503</v>
      </c>
      <c r="S20" s="68">
        <f>MAX('26'!S7:S18)</f>
        <v>115.44178794178795</v>
      </c>
      <c r="T20" s="940"/>
      <c r="U20" s="940"/>
      <c r="X20" s="13">
        <v>0.625</v>
      </c>
      <c r="Y20" s="171">
        <v>2836</v>
      </c>
      <c r="Z20" s="181">
        <v>1503</v>
      </c>
      <c r="AA20" s="15">
        <v>1</v>
      </c>
      <c r="AB20" s="56">
        <f>IF('26'!AA20=1,(('26'!Z20*'26'!$AS$6*'26'!$AT$6)/('26'!Y20*0.0036)),IF('26'!AA20=2,(('26'!Z20*'26'!$AS$7*'26'!$AT$7)/('26'!Y20*0.0036))))</f>
        <v>97.897566995768685</v>
      </c>
      <c r="AC20" s="56"/>
      <c r="AD20" s="18">
        <f>(('26'!AC20*'26'!$Q$10*1000000))/('26'!Y20*3600)</f>
        <v>0</v>
      </c>
      <c r="AE20" s="181"/>
      <c r="AF20" s="182">
        <f>('26'!AE20/24)*0.454</f>
        <v>0</v>
      </c>
      <c r="AG20" s="19"/>
      <c r="AH20" s="182">
        <f>('26'!AG20/24)*0.454</f>
        <v>0</v>
      </c>
      <c r="AI20" s="327">
        <v>5200</v>
      </c>
      <c r="AJ20" s="182">
        <f>('26'!AI20/24)*0.454</f>
        <v>98.36666666666666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171</v>
      </c>
      <c r="C21" s="218">
        <f>MIN('26'!C7:C18)</f>
        <v>10</v>
      </c>
      <c r="D21" s="67">
        <f>MIN('26'!D7:D18)</f>
        <v>7</v>
      </c>
      <c r="E21" s="67">
        <f>MIN('26'!E7:E18)</f>
        <v>3.8</v>
      </c>
      <c r="F21" s="67">
        <f>MIN('26'!F7:F18)</f>
        <v>78</v>
      </c>
      <c r="G21" s="190">
        <f>MIN('26'!G7:G18)</f>
        <v>1.9</v>
      </c>
      <c r="H21" s="190">
        <f>MIN('26'!H7:H18)</f>
        <v>1.1000000000000001</v>
      </c>
      <c r="I21" s="190">
        <f>MIN('26'!I8:I18)</f>
        <v>0.6</v>
      </c>
      <c r="J21" s="190">
        <f>MIN('26'!J8:J18)</f>
        <v>0.7</v>
      </c>
      <c r="K21" s="190">
        <f>MIN('26'!K7:K18)</f>
        <v>7.3</v>
      </c>
      <c r="L21" s="190">
        <f>MIN('26'!L7:L18)</f>
        <v>6.3</v>
      </c>
      <c r="M21" s="190">
        <f>MIN('26'!M7:M18)</f>
        <v>6.3</v>
      </c>
      <c r="N21" s="190">
        <f>MIN('26'!N7:N18)</f>
        <v>6</v>
      </c>
      <c r="O21" s="191">
        <f>MIN('26'!O7:O18)</f>
        <v>3.3</v>
      </c>
      <c r="P21" s="191">
        <f>MIN('26'!P7:P18)</f>
        <v>0</v>
      </c>
      <c r="Q21" s="191">
        <f>MIN('26'!Q7:Q18)</f>
        <v>0</v>
      </c>
      <c r="R21" s="191">
        <f>MIN('26'!R7:R18)</f>
        <v>1503</v>
      </c>
      <c r="S21" s="191">
        <f>MIN('26'!S7:S18)</f>
        <v>94.530983997276138</v>
      </c>
      <c r="T21" s="940"/>
      <c r="U21" s="940"/>
      <c r="X21" s="13">
        <v>0.66666666666666696</v>
      </c>
      <c r="Y21" s="171">
        <v>2937</v>
      </c>
      <c r="Z21" s="181">
        <v>1503</v>
      </c>
      <c r="AA21" s="15">
        <v>1</v>
      </c>
      <c r="AB21" s="56">
        <f>IF('26'!AA21=1,(('26'!Z21*'26'!$AS$6*'26'!$AT$6)/('26'!Y21*0.0036)),IF('26'!AA21=2,(('26'!Z21*'26'!$AS$7*'26'!$AT$7)/('26'!Y21*0.0036))))</f>
        <v>94.530983997276138</v>
      </c>
      <c r="AC21" s="56"/>
      <c r="AD21" s="18">
        <f>(('26'!AC21*'26'!$Q$10*1000000))/('26'!Y21*3600)</f>
        <v>0</v>
      </c>
      <c r="AE21" s="181"/>
      <c r="AF21" s="182">
        <f>('26'!AE21/24)*0.454</f>
        <v>0</v>
      </c>
      <c r="AG21" s="19"/>
      <c r="AH21" s="182">
        <f>('26'!AG21/24)*0.454</f>
        <v>0</v>
      </c>
      <c r="AI21" s="327">
        <v>5200</v>
      </c>
      <c r="AJ21" s="182">
        <f>('26'!AI21/24)*0.454</f>
        <v>98.36666666666666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2837</v>
      </c>
      <c r="Z22" s="181">
        <v>1503</v>
      </c>
      <c r="AA22" s="15">
        <v>1</v>
      </c>
      <c r="AB22" s="56">
        <f>IF('26'!AA22=1,(('26'!Z22*'26'!$AS$6*'26'!$AT$6)/('26'!Y22*0.0036)),IF('26'!AA22=2,(('26'!Z22*'26'!$AS$7*'26'!$AT$7)/('26'!Y22*0.0036))))</f>
        <v>97.863059569968271</v>
      </c>
      <c r="AC22" s="56"/>
      <c r="AD22" s="18">
        <f>(('26'!AC22*'26'!$Q$10*1000000))/('26'!Y22*3600)</f>
        <v>0</v>
      </c>
      <c r="AE22" s="181"/>
      <c r="AF22" s="182">
        <f>('26'!AE22/24)*0.454</f>
        <v>0</v>
      </c>
      <c r="AG22" s="19"/>
      <c r="AH22" s="182">
        <f>('26'!AG22/24)*0.454</f>
        <v>0</v>
      </c>
      <c r="AI22" s="327">
        <v>5200</v>
      </c>
      <c r="AJ22" s="182">
        <f>('26'!AI22/24)*0.454</f>
        <v>98.36666666666666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2858</v>
      </c>
      <c r="Z23" s="181">
        <v>1503</v>
      </c>
      <c r="AA23" s="15">
        <v>1</v>
      </c>
      <c r="AB23" s="56">
        <f>IF('26'!AA23=1,(('26'!Z23*'26'!$AS$6*'26'!$AT$6)/('26'!Y23*0.0036)),IF('26'!AA23=2,(('26'!Z23*'26'!$AS$7*'26'!$AT$7)/('26'!Y23*0.0036))))</f>
        <v>97.143981805458367</v>
      </c>
      <c r="AC23" s="56"/>
      <c r="AD23" s="18">
        <f>(('26'!AC23*'26'!$Q$10*1000000))/('26'!Y23*3600)</f>
        <v>0</v>
      </c>
      <c r="AE23" s="181"/>
      <c r="AF23" s="182">
        <f>('26'!AE23/24)*0.454</f>
        <v>0</v>
      </c>
      <c r="AG23" s="19"/>
      <c r="AH23" s="182">
        <f>('26'!AG23/24)*0.454</f>
        <v>0</v>
      </c>
      <c r="AI23" s="327">
        <v>5200</v>
      </c>
      <c r="AJ23" s="182">
        <f>('26'!AI23/24)*0.454</f>
        <v>98.36666666666666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2816</v>
      </c>
      <c r="Z24" s="181">
        <v>1503</v>
      </c>
      <c r="AA24" s="15">
        <v>1</v>
      </c>
      <c r="AB24" s="16">
        <f>IF('26'!AA24=1,(('26'!Z24*'26'!$AS$6*'26'!$AT$6)/('26'!Y24*0.0036)),IF('26'!AA24=2,(('26'!Z24*'26'!$AS$7*'26'!$AT$7)/('26'!Y24*0.0036))))</f>
        <v>98.592862215909093</v>
      </c>
      <c r="AC24" s="56"/>
      <c r="AD24" s="18">
        <f>(('26'!AC24*'26'!$Q$10*1000000))/('26'!Y24*3600)</f>
        <v>0</v>
      </c>
      <c r="AE24" s="181"/>
      <c r="AF24" s="193">
        <f>('26'!AE24/24)*0.454</f>
        <v>0</v>
      </c>
      <c r="AG24" s="19"/>
      <c r="AH24" s="193">
        <f>('26'!AG24/24)*0.454</f>
        <v>0</v>
      </c>
      <c r="AI24" s="327">
        <v>5200</v>
      </c>
      <c r="AJ24" s="193">
        <f>('26'!AI24/24)*0.454</f>
        <v>98.36666666666666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 t="s">
        <v>441</v>
      </c>
      <c r="C25" s="258">
        <v>0.85</v>
      </c>
      <c r="D25" s="258">
        <v>0.82</v>
      </c>
      <c r="E25" s="197">
        <v>0.75</v>
      </c>
      <c r="F25" s="197">
        <v>0.79</v>
      </c>
      <c r="G25" s="197">
        <v>0.91</v>
      </c>
      <c r="H25" s="197">
        <v>0.79</v>
      </c>
      <c r="I25" s="197">
        <v>0.8</v>
      </c>
      <c r="J25" s="197" t="s">
        <v>441</v>
      </c>
      <c r="K25" s="197">
        <v>0.75</v>
      </c>
      <c r="L25" s="197">
        <v>0.74</v>
      </c>
      <c r="M25" s="197">
        <v>0.85</v>
      </c>
      <c r="N25" s="197">
        <v>0.86</v>
      </c>
      <c r="O25" s="197">
        <v>0.72</v>
      </c>
      <c r="P25" s="197" t="s">
        <v>441</v>
      </c>
      <c r="Q25" s="197" t="s">
        <v>441</v>
      </c>
      <c r="R25" s="63" t="e">
        <f>#DIV/0!</f>
        <v>#DIV/0!</v>
      </c>
      <c r="S25" s="64"/>
      <c r="T25" s="1036" t="s">
        <v>0</v>
      </c>
      <c r="U25" s="1047">
        <f>ESCALA!$A$28</f>
        <v>44342</v>
      </c>
      <c r="X25" s="13">
        <v>0.83333333333333304</v>
      </c>
      <c r="Y25" s="171">
        <v>2819</v>
      </c>
      <c r="Z25" s="181">
        <v>1503</v>
      </c>
      <c r="AA25" s="15">
        <v>1</v>
      </c>
      <c r="AB25" s="56">
        <f>IF('26'!AA25=1,(('26'!Z25*'26'!$AS$6*'26'!$AT$6)/('26'!Y25*0.0036)),IF('26'!AA25=2,(('26'!Z25*'26'!$AS$7*'26'!$AT$7)/('26'!Y25*0.0036))))</f>
        <v>98.487938985455827</v>
      </c>
      <c r="AC25" s="56"/>
      <c r="AD25" s="18">
        <f>(('26'!AC25*'26'!$Q$10*1000000))/('26'!Y25*3600)</f>
        <v>0</v>
      </c>
      <c r="AE25" s="181"/>
      <c r="AF25" s="182">
        <f>('26'!AE25/24)*0.454</f>
        <v>0</v>
      </c>
      <c r="AG25" s="19"/>
      <c r="AH25" s="182">
        <f>('26'!AG25/24)*0.454</f>
        <v>0</v>
      </c>
      <c r="AI25" s="327">
        <v>5200</v>
      </c>
      <c r="AJ25" s="182">
        <f>('26'!AI25/24)*0.454</f>
        <v>98.36666666666666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6"/>
      <c r="U26" s="1047"/>
      <c r="X26" s="13">
        <v>0.875</v>
      </c>
      <c r="Y26" s="171">
        <v>2799</v>
      </c>
      <c r="Z26" s="181">
        <v>1503</v>
      </c>
      <c r="AA26" s="15">
        <v>1</v>
      </c>
      <c r="AB26" s="56">
        <f>IF('26'!AA26=1,(('26'!Z26*'26'!$AS$6*'26'!$AT$6)/('26'!Y26*0.0036)),IF('26'!AA26=2,(('26'!Z26*'26'!$AS$7*'26'!$AT$7)/('26'!Y26*0.0036))))</f>
        <v>99.19167559842802</v>
      </c>
      <c r="AC26" s="56"/>
      <c r="AD26" s="18">
        <f>(('26'!AC26*'26'!$Q$10*1000000))/('26'!Y26*3600)</f>
        <v>0</v>
      </c>
      <c r="AE26" s="181"/>
      <c r="AF26" s="182">
        <f>('26'!AE26/24)*0.454</f>
        <v>0</v>
      </c>
      <c r="AG26" s="19"/>
      <c r="AH26" s="182">
        <f>('26'!AG26/24)*0.454</f>
        <v>0</v>
      </c>
      <c r="AI26" s="327">
        <v>5200</v>
      </c>
      <c r="AJ26" s="182">
        <f>('26'!AI26/24)*0.454</f>
        <v>98.36666666666666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2829</v>
      </c>
      <c r="Z27" s="181">
        <v>1503</v>
      </c>
      <c r="AA27" s="15">
        <v>1</v>
      </c>
      <c r="AB27" s="56">
        <f>IF('26'!AA27=1,(('26'!Z27*'26'!$AS$6*'26'!$AT$6)/('26'!Y27*0.0036)),IF('26'!AA27=2,(('26'!Z27*'26'!$AS$7*'26'!$AT$7)/('26'!Y27*0.0036))))</f>
        <v>98.139802050194419</v>
      </c>
      <c r="AC27" s="56"/>
      <c r="AD27" s="18">
        <f>(('26'!AC27*'26'!$Q$10*1000000))/('26'!Y27*3600)</f>
        <v>0</v>
      </c>
      <c r="AE27" s="181"/>
      <c r="AF27" s="182">
        <f>('26'!AE27/24)*0.454</f>
        <v>0</v>
      </c>
      <c r="AG27" s="19"/>
      <c r="AH27" s="182">
        <f>('26'!AG27/24)*0.454</f>
        <v>0</v>
      </c>
      <c r="AI27" s="327">
        <v>5200</v>
      </c>
      <c r="AJ27" s="182">
        <f>('26'!AI27/24)*0.454</f>
        <v>98.36666666666666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2842</v>
      </c>
      <c r="Z28" s="181">
        <v>1503</v>
      </c>
      <c r="AA28" s="15">
        <v>1</v>
      </c>
      <c r="AB28" s="56">
        <f>IF('26'!AA28=1,(('26'!Z28*'26'!$AS$6*'26'!$AT$6)/('26'!Y28*0.0036)),IF('26'!AA28=2,(('26'!Z28*'26'!$AS$7*'26'!$AT$7)/('26'!Y28*0.0036))))</f>
        <v>97.690886699507402</v>
      </c>
      <c r="AC28" s="56"/>
      <c r="AD28" s="18">
        <f>(('26'!AC28*'26'!$Q$10*1000000))/('26'!Y28*3600)</f>
        <v>0</v>
      </c>
      <c r="AE28" s="181"/>
      <c r="AF28" s="182">
        <f>('26'!AE28/24)*0.454</f>
        <v>0</v>
      </c>
      <c r="AG28" s="19"/>
      <c r="AH28" s="182">
        <f>('26'!AG28/24)*0.454</f>
        <v>0</v>
      </c>
      <c r="AI28" s="327">
        <v>5200</v>
      </c>
      <c r="AJ28" s="182">
        <f>('26'!AI28/24)*0.454</f>
        <v>98.36666666666666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2806</v>
      </c>
      <c r="Z29" s="181">
        <v>1503</v>
      </c>
      <c r="AA29" s="15">
        <v>1</v>
      </c>
      <c r="AB29" s="56">
        <f>IF('26'!AA29=1,(('26'!Z29*'26'!$AS$6*'26'!$AT$6)/('26'!Y29*0.0036)),IF('26'!AA29=2,(('26'!Z29*'26'!$AS$7*'26'!$AT$7)/('26'!Y29*0.0036))))</f>
        <v>98.944226657163227</v>
      </c>
      <c r="AC29" s="56"/>
      <c r="AD29" s="18">
        <f>(('26'!AC29*'26'!$Q$10*1000000))/('26'!Y29*3600)</f>
        <v>0</v>
      </c>
      <c r="AE29" s="181"/>
      <c r="AF29" s="182">
        <f>('26'!AE29/24)*0.454</f>
        <v>0</v>
      </c>
      <c r="AG29" s="19"/>
      <c r="AH29" s="182">
        <f>('26'!AG29/24)*0.454</f>
        <v>0</v>
      </c>
      <c r="AI29" s="327">
        <v>5200</v>
      </c>
      <c r="AJ29" s="182">
        <f>('26'!AI29/24)*0.454</f>
        <v>98.36666666666666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SUM('26'!Y6:Y29)*3.6</f>
        <v>240865.2</v>
      </c>
      <c r="Z30" s="80">
        <f>SUM('26'!Z6:Z29)</f>
        <v>36072</v>
      </c>
      <c r="AA30" s="76"/>
      <c r="AB30" s="77"/>
      <c r="AC30" s="76"/>
      <c r="AD30" s="77"/>
      <c r="AE30" s="33"/>
      <c r="AF30" s="182">
        <f>SUM('26'!AF6:AF29)</f>
        <v>0</v>
      </c>
      <c r="AG30" s="33"/>
      <c r="AH30" s="182">
        <f>SUM('26'!AH6:AH29)</f>
        <v>0</v>
      </c>
      <c r="AI30" s="33"/>
      <c r="AJ30" s="182">
        <f>SUM('26'!AJ6:AJ29)</f>
        <v>2360.7999999999993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SUMIF('26'!AA6:AA29,"=1",'26'!Z6:Z29)</f>
        <v>36072</v>
      </c>
      <c r="AA32" s="80">
        <f>'26'!Z32*'26'!AS6</f>
        <v>47975.76</v>
      </c>
      <c r="AB32" s="81">
        <f>SUMIF('26'!$AA$6:$AA$29,"=1",'26'!$AB$6:$AB$29)/COUNTIF('26'!$AA$6:$AA$29,"=1")</f>
        <v>99.712958927157786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AVERAGE('26'!Y6:Y29)</f>
        <v>2787.7916666666665</v>
      </c>
      <c r="Z34" s="94">
        <f>AVERAGE('26'!Z6:Z29)</f>
        <v>1503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0</v>
      </c>
      <c r="AG34" s="96"/>
      <c r="AH34" s="96">
        <f>AVERAGE('26'!AH6:AH29)</f>
        <v>0</v>
      </c>
      <c r="AI34" s="96"/>
      <c r="AJ34" s="96">
        <f>'26'!AJ30/24</f>
        <v>98.366666666666632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9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90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58.8</v>
      </c>
      <c r="D37" s="184">
        <v>15.9</v>
      </c>
      <c r="E37" s="184">
        <v>11</v>
      </c>
      <c r="F37" s="184">
        <v>2.4</v>
      </c>
      <c r="G37" s="184">
        <v>0.2</v>
      </c>
      <c r="H37" s="184">
        <v>0.2</v>
      </c>
      <c r="I37" s="181">
        <v>0.2</v>
      </c>
      <c r="J37" s="181">
        <v>0.06</v>
      </c>
      <c r="K37" s="181">
        <v>0.03</v>
      </c>
      <c r="L37" s="1020" t="s">
        <v>441</v>
      </c>
      <c r="M37" s="1020"/>
      <c r="N37" s="1020"/>
      <c r="O37" s="10"/>
      <c r="P37" s="10"/>
      <c r="Q37" s="10"/>
      <c r="R37" s="10"/>
      <c r="S37" s="10"/>
      <c r="T37" s="10"/>
      <c r="U37" s="233">
        <f>'26'!V12</f>
        <v>0</v>
      </c>
      <c r="X37" s="1056" t="s">
        <v>75</v>
      </c>
      <c r="Y37" s="1056"/>
      <c r="Z37" s="108">
        <f>COUNTA('26'!Z6:Z29)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0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2360.7999999999993</v>
      </c>
      <c r="AQ38" s="208" t="s">
        <v>78</v>
      </c>
      <c r="AR38" s="210">
        <f>'26'!AP30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/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0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9.8013328617002333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SUM('26'!AK38,'26'!AM38)</f>
        <v>0</v>
      </c>
      <c r="AM40" s="969"/>
      <c r="AO40" s="970" t="s">
        <v>90</v>
      </c>
      <c r="AP40" s="970"/>
      <c r="AQ40" s="971">
        <f>SUM('26'!AP38,'26'!AR38)</f>
        <v>2360.7999999999993</v>
      </c>
      <c r="AR40" s="971"/>
    </row>
    <row r="41" spans="1:44" ht="16.5" customHeight="1">
      <c r="A41" s="131">
        <f>COUNTA('26'!E7:E18)</f>
        <v>12</v>
      </c>
      <c r="B41" s="132">
        <f>COUNTA('26'!I7:I18)</f>
        <v>12</v>
      </c>
      <c r="C41" s="972">
        <f>COUNTA('26'!J7:J18)</f>
        <v>12</v>
      </c>
      <c r="D41" s="972">
        <f>COUNTA('26'!K7:K18)</f>
        <v>12</v>
      </c>
      <c r="E41" s="972">
        <f>COUNTIF('26'!E7:E18,"&gt;15")</f>
        <v>0</v>
      </c>
      <c r="F41" s="972"/>
      <c r="G41" s="972">
        <f>COUNTIF('26'!J8:J18,"&gt;1")</f>
        <v>0</v>
      </c>
      <c r="H41" s="972"/>
      <c r="I41" s="133"/>
      <c r="J41" s="972">
        <f>'26'!A41-'26'!E41</f>
        <v>12</v>
      </c>
      <c r="K41" s="972"/>
      <c r="L41" s="972">
        <f>'26'!C41-'26'!G41</f>
        <v>12</v>
      </c>
      <c r="M41" s="972"/>
      <c r="N41" s="133"/>
      <c r="O41" s="973">
        <f>COUNTIF('26'!J7:J18,"&lt;=0,5")</f>
        <v>0</v>
      </c>
      <c r="P41" s="973"/>
      <c r="Q41" s="973"/>
      <c r="R41" s="963"/>
      <c r="S41" s="974">
        <f>COUNTIF('26'!J7:J18,"&lt;=1,0")</f>
        <v>12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SUM(('26'!AK38+'26'!AM38)/'26'!Y30)*1000</f>
        <v>0</v>
      </c>
      <c r="AM41" s="975"/>
      <c r="AO41" s="970" t="s">
        <v>91</v>
      </c>
      <c r="AP41" s="970"/>
      <c r="AQ41" s="975">
        <f>SUM(('26'!AP38+'26'!AR38)/'26'!Y30)*1000</f>
        <v>9.8013328617002333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>
        <v>89</v>
      </c>
      <c r="AD44" s="982"/>
      <c r="AE44" s="982"/>
      <c r="AF44" s="983" t="s">
        <v>102</v>
      </c>
      <c r="AG44" s="996">
        <f>SUM('26'!Y45,'26'!AA45,'26'!AC45,'26'!AE45)</f>
        <v>127715.3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COUNTIF('26'!I7:I18,"&lt;=5,0")</f>
        <v>12</v>
      </c>
      <c r="I45" s="986"/>
      <c r="J45" s="986"/>
      <c r="K45" s="133"/>
      <c r="L45" s="968">
        <f>COUNTA('26'!L37)</f>
        <v>1</v>
      </c>
      <c r="M45" s="968"/>
      <c r="O45" s="144"/>
      <c r="P45" s="145"/>
      <c r="Q45" s="987">
        <f>'26'!S41-'26'!O41</f>
        <v>12</v>
      </c>
      <c r="R45" s="987"/>
      <c r="S45" s="987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24715.3</v>
      </c>
      <c r="AD45" s="147" t="s">
        <v>104</v>
      </c>
      <c r="AE45" s="149">
        <v>103000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89" t="s">
        <v>106</v>
      </c>
      <c r="AG46" s="990">
        <f>SUM('26'!Y47,'26'!AA47,'26'!AC47,'26'!AE47)</f>
        <v>169861.34899999999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32871.349000000002</v>
      </c>
      <c r="AD47" s="147" t="s">
        <v>108</v>
      </c>
      <c r="AE47" s="148">
        <f>'26'!AE45*'26'!AE46</f>
        <v>136990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COUNTA('26'!O7:O18)</f>
        <v>12</v>
      </c>
      <c r="P51" s="968">
        <f>COUNTA('26'!W17:W28)</f>
        <v>0</v>
      </c>
      <c r="R51" s="986">
        <f>COUNTIF('26'!O7:O18,"&gt;=0,5")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>
        <v>27</v>
      </c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SUM('26'!Y53,'26'!AA53,'26'!AC53,'26'!AE53)</f>
        <v>7433.1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'26'!Y52*275.3</f>
        <v>7433.1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'26'!AS7</f>
        <v>1.262</v>
      </c>
      <c r="Z54" s="151" t="s">
        <v>105</v>
      </c>
      <c r="AA54" s="153">
        <f>'26'!Y54</f>
        <v>1.262</v>
      </c>
      <c r="AB54" s="151" t="s">
        <v>105</v>
      </c>
      <c r="AC54" s="153">
        <f>'26'!Y54</f>
        <v>1.262</v>
      </c>
      <c r="AD54" s="151" t="s">
        <v>105</v>
      </c>
      <c r="AE54" s="154">
        <f>'26'!Y54</f>
        <v>1.262</v>
      </c>
      <c r="AF54" s="989" t="s">
        <v>106</v>
      </c>
      <c r="AG54" s="990">
        <f>SUM('26'!Y55,'26'!AA55,'26'!AC55,'26'!AE55)</f>
        <v>9380.5722000000005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'26'!Y53*'26'!Y54</f>
        <v>9380.5722000000005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COUNTA('26'!N7:N18)</f>
        <v>12</v>
      </c>
      <c r="P57" s="997"/>
      <c r="R57" s="998">
        <f>COUNTIF('26'!N7:N18,"&gt;=6")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47975.76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-47975.76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'25'!$Y$68</f>
        <v>-13684.316666666664</v>
      </c>
      <c r="Z65" s="1007"/>
      <c r="AA65" s="1007"/>
      <c r="AB65" s="174" t="s">
        <v>126</v>
      </c>
      <c r="AC65" s="238">
        <f>'25'!$AC$68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SUM('26'!AK38,'26'!AP38)</f>
        <v>2360.7999999999993</v>
      </c>
      <c r="Z67" s="1007"/>
      <c r="AA67" s="1007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-16045.116666666663</v>
      </c>
      <c r="Z68" s="1007"/>
      <c r="AA68" s="1007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4" zoomScaleNormal="100" workbookViewId="0">
      <selection activeCell="AA23" sqref="AA23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34" t="s">
        <v>13</v>
      </c>
      <c r="U4" s="1082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34"/>
      <c r="U5" s="1082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2"/>
      <c r="V6" s="926"/>
      <c r="W6" s="926"/>
      <c r="X6" s="13">
        <v>4.1666666666666699E-2</v>
      </c>
      <c r="Y6" s="52">
        <v>2790</v>
      </c>
      <c r="Z6" s="52">
        <v>1503</v>
      </c>
      <c r="AA6" s="15">
        <v>1</v>
      </c>
      <c r="AB6" s="56">
        <f>IF('27'!AA6=1,(('27'!Z6*'27'!$AS$6*'27'!$AT$6)/('27'!Y6*0.0036)),IF('27'!AA6=2,(('27'!Z6*'27'!$AS$7*'27'!$AT$7)/('27'!Y6*0.0036))))</f>
        <v>99.511648745519707</v>
      </c>
      <c r="AC6" s="56"/>
      <c r="AD6" s="18">
        <f>(('27'!AC6*'27'!$Q$10*1000000))/('27'!Y6*3600)</f>
        <v>0</v>
      </c>
      <c r="AE6" s="181"/>
      <c r="AF6" s="182">
        <f>('27'!AE6/24)*0.454</f>
        <v>0</v>
      </c>
      <c r="AG6" s="19"/>
      <c r="AH6" s="182">
        <f>('27'!AG6/24)*0.454</f>
        <v>0</v>
      </c>
      <c r="AI6" s="181">
        <v>5200</v>
      </c>
      <c r="AJ6" s="182">
        <f>('27'!AI6/24)*0.454</f>
        <v>98.36666666666666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177</v>
      </c>
      <c r="C7" s="184">
        <v>13</v>
      </c>
      <c r="D7" s="184">
        <v>13</v>
      </c>
      <c r="E7" s="184">
        <v>6.3</v>
      </c>
      <c r="F7" s="184">
        <v>83</v>
      </c>
      <c r="G7" s="184">
        <v>2.2000000000000002</v>
      </c>
      <c r="H7" s="184">
        <v>1.5</v>
      </c>
      <c r="I7" s="184">
        <v>0.8</v>
      </c>
      <c r="J7" s="184">
        <v>0.9</v>
      </c>
      <c r="K7" s="184">
        <v>7.3</v>
      </c>
      <c r="L7" s="184">
        <v>6</v>
      </c>
      <c r="M7" s="184">
        <v>6</v>
      </c>
      <c r="N7" s="184">
        <v>5.8</v>
      </c>
      <c r="O7" s="184">
        <v>3.5</v>
      </c>
      <c r="P7" s="184"/>
      <c r="Q7" s="186"/>
      <c r="R7" s="36">
        <f>'26'!$Z$29</f>
        <v>1503</v>
      </c>
      <c r="S7" s="185">
        <f>'26'!$AB$29</f>
        <v>98.944226657163227</v>
      </c>
      <c r="T7" s="36">
        <f>'26'!$Y$29</f>
        <v>2806</v>
      </c>
      <c r="U7" s="32" t="str">
        <f>IF('27'!AA6=1,'27'!AR6,'27'!AR7)</f>
        <v>S.A.L</v>
      </c>
      <c r="V7" s="1016">
        <f>ESCALA!$C$28</f>
        <v>0</v>
      </c>
      <c r="W7" s="1016"/>
      <c r="X7" s="13">
        <v>8.3333333333333301E-2</v>
      </c>
      <c r="Y7" s="52">
        <v>2810</v>
      </c>
      <c r="Z7" s="52">
        <v>1503</v>
      </c>
      <c r="AA7" s="15">
        <v>1</v>
      </c>
      <c r="AB7" s="56">
        <f>IF('27'!AA7=1,(('27'!Z7*'27'!$AS$6*'27'!$AT$6)/('27'!Y7*0.0036)),IF('27'!AA7=2,(('27'!Z7*'27'!$AS$7*'27'!$AT$7)/('27'!Y7*0.0036))))</f>
        <v>98.803380782918154</v>
      </c>
      <c r="AC7" s="56"/>
      <c r="AD7" s="18">
        <f>(('27'!AC7*'27'!$Q$10*1000000))/('27'!Y7*3600)</f>
        <v>0</v>
      </c>
      <c r="AE7" s="181"/>
      <c r="AF7" s="182">
        <f>('27'!AE7/24)*0.454</f>
        <v>0</v>
      </c>
      <c r="AG7" s="19"/>
      <c r="AH7" s="182">
        <f>('27'!AG7/24)*0.454</f>
        <v>0</v>
      </c>
      <c r="AI7" s="181">
        <v>5200</v>
      </c>
      <c r="AJ7" s="182">
        <f>('27'!AI7/24)*0.454</f>
        <v>98.36666666666666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173</v>
      </c>
      <c r="C8" s="184">
        <v>14</v>
      </c>
      <c r="D8" s="184">
        <v>12</v>
      </c>
      <c r="E8" s="184">
        <v>5.8</v>
      </c>
      <c r="F8" s="184">
        <v>75</v>
      </c>
      <c r="G8" s="184">
        <v>2.2000000000000002</v>
      </c>
      <c r="H8" s="184">
        <v>1.6</v>
      </c>
      <c r="I8" s="184">
        <v>0.8</v>
      </c>
      <c r="J8" s="184">
        <v>1</v>
      </c>
      <c r="K8" s="184">
        <v>7.3</v>
      </c>
      <c r="L8" s="184">
        <v>6</v>
      </c>
      <c r="M8" s="184">
        <v>6</v>
      </c>
      <c r="N8" s="184">
        <v>5.8</v>
      </c>
      <c r="O8" s="184">
        <v>3.5</v>
      </c>
      <c r="P8" s="184"/>
      <c r="Q8" s="186"/>
      <c r="R8" s="34">
        <f>'27'!Z7</f>
        <v>1503</v>
      </c>
      <c r="S8" s="35">
        <f>'27'!AB7</f>
        <v>98.803380782918154</v>
      </c>
      <c r="T8" s="36">
        <f>'27'!Y7</f>
        <v>2810</v>
      </c>
      <c r="U8" s="32" t="str">
        <f>IF('27'!AA7=1,'27'!AR6,'27'!AR7)</f>
        <v>S.A.L</v>
      </c>
      <c r="V8" s="1016"/>
      <c r="W8" s="1016"/>
      <c r="X8" s="13">
        <v>0.125</v>
      </c>
      <c r="Y8" s="52">
        <v>2833</v>
      </c>
      <c r="Z8" s="52">
        <v>1503</v>
      </c>
      <c r="AA8" s="15">
        <v>1</v>
      </c>
      <c r="AB8" s="56">
        <f>IF('27'!AA8=1,(('27'!Z8*'27'!$AS$6*'27'!$AT$6)/('27'!Y8*0.0036)),IF('27'!AA8=2,(('27'!Z8*'27'!$AS$7*'27'!$AT$7)/('27'!Y8*0.0036))))</f>
        <v>98.001235439463457</v>
      </c>
      <c r="AC8" s="56"/>
      <c r="AD8" s="18">
        <f>(('27'!AC8*'27'!$Q$10*1000000))/('27'!Y8*3600)</f>
        <v>0</v>
      </c>
      <c r="AE8" s="181"/>
      <c r="AF8" s="182">
        <f>('27'!AE8/24)*0.454</f>
        <v>0</v>
      </c>
      <c r="AG8" s="19"/>
      <c r="AH8" s="182">
        <f>('27'!AG8/24)*0.454</f>
        <v>0</v>
      </c>
      <c r="AI8" s="181">
        <v>5200</v>
      </c>
      <c r="AJ8" s="182">
        <f>('27'!AI8/24)*0.454</f>
        <v>98.36666666666666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171</v>
      </c>
      <c r="C9" s="184">
        <v>14</v>
      </c>
      <c r="D9" s="184">
        <v>12</v>
      </c>
      <c r="E9" s="184">
        <v>5.5</v>
      </c>
      <c r="F9" s="184">
        <v>69</v>
      </c>
      <c r="G9" s="184">
        <v>2.2000000000000002</v>
      </c>
      <c r="H9" s="184">
        <v>1.7</v>
      </c>
      <c r="I9" s="184">
        <v>0.8</v>
      </c>
      <c r="J9" s="184">
        <v>1</v>
      </c>
      <c r="K9" s="184">
        <v>7.3</v>
      </c>
      <c r="L9" s="184">
        <v>6</v>
      </c>
      <c r="M9" s="184">
        <v>6</v>
      </c>
      <c r="N9" s="184">
        <v>5.8</v>
      </c>
      <c r="O9" s="184">
        <v>3.5</v>
      </c>
      <c r="P9" s="184"/>
      <c r="Q9" s="186"/>
      <c r="R9" s="36">
        <f>'27'!Z9</f>
        <v>1503</v>
      </c>
      <c r="S9" s="35">
        <f>'27'!AB9</f>
        <v>98.557862974795881</v>
      </c>
      <c r="T9" s="36">
        <f>'27'!Y9</f>
        <v>2817</v>
      </c>
      <c r="U9" s="32" t="str">
        <f>IF('27'!AA9=1,'27'!AR6,'27'!AR7)</f>
        <v>S.A.L</v>
      </c>
      <c r="V9" s="1016"/>
      <c r="W9" s="1016"/>
      <c r="X9" s="13">
        <v>0.16666666666666699</v>
      </c>
      <c r="Y9" s="52">
        <v>2817</v>
      </c>
      <c r="Z9" s="52">
        <v>1503</v>
      </c>
      <c r="AA9" s="15">
        <v>1</v>
      </c>
      <c r="AB9" s="56">
        <f>IF('27'!AA9=1,(('27'!Z9*'27'!$AS$6*'27'!$AT$6)/('27'!Y9*0.0036)),IF('27'!AA9=2,(('27'!Z9*'27'!$AS$7*'27'!$AT$7)/('27'!Y9*0.0036))))</f>
        <v>98.557862974795881</v>
      </c>
      <c r="AC9" s="56"/>
      <c r="AD9" s="18">
        <f>(('27'!AC9*'27'!$Q$10*1000000))/('27'!Y9*3600)</f>
        <v>0</v>
      </c>
      <c r="AE9" s="181"/>
      <c r="AF9" s="182">
        <f>('27'!AE9/24)*0.454</f>
        <v>0</v>
      </c>
      <c r="AG9" s="19"/>
      <c r="AH9" s="182">
        <f>('27'!AG9/24)*0.454</f>
        <v>0</v>
      </c>
      <c r="AI9" s="181">
        <v>5200</v>
      </c>
      <c r="AJ9" s="182">
        <f>('27'!AI9/24)*0.454</f>
        <v>98.36666666666666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168</v>
      </c>
      <c r="C10" s="184">
        <v>13</v>
      </c>
      <c r="D10" s="184">
        <v>12</v>
      </c>
      <c r="E10" s="184">
        <v>5.2</v>
      </c>
      <c r="F10" s="184">
        <v>67</v>
      </c>
      <c r="G10" s="184">
        <v>2.1</v>
      </c>
      <c r="H10" s="184">
        <v>1.7</v>
      </c>
      <c r="I10" s="184">
        <v>0.8</v>
      </c>
      <c r="J10" s="184">
        <v>0.9</v>
      </c>
      <c r="K10" s="184">
        <v>7.3</v>
      </c>
      <c r="L10" s="184">
        <v>6</v>
      </c>
      <c r="M10" s="184">
        <v>6</v>
      </c>
      <c r="N10" s="184">
        <v>5.8</v>
      </c>
      <c r="O10" s="184">
        <v>3.5</v>
      </c>
      <c r="P10" s="184"/>
      <c r="Q10" s="186"/>
      <c r="R10" s="36">
        <f>'27'!Z11</f>
        <v>1503</v>
      </c>
      <c r="S10" s="35">
        <f>'27'!AB11</f>
        <v>97.759683098591552</v>
      </c>
      <c r="T10" s="36">
        <f>'27'!Y11</f>
        <v>2840</v>
      </c>
      <c r="U10" s="32" t="str">
        <f>IF('27'!AA11=1,'27'!AR6,'27'!AR7)</f>
        <v>S.A.L</v>
      </c>
      <c r="V10" s="1016"/>
      <c r="W10" s="1016"/>
      <c r="X10" s="13">
        <v>0.20833333333333301</v>
      </c>
      <c r="Y10" s="52">
        <v>2794</v>
      </c>
      <c r="Z10" s="52">
        <v>1503</v>
      </c>
      <c r="AA10" s="15">
        <v>1</v>
      </c>
      <c r="AB10" s="56">
        <f>IF('27'!AA10=1,(('27'!Z10*'27'!$AS$6*'27'!$AT$6)/('27'!Y10*0.0036)),IF('27'!AA10=2,(('27'!Z10*'27'!$AS$7*'27'!$AT$7)/('27'!Y10*0.0036))))</f>
        <v>99.369183965640673</v>
      </c>
      <c r="AC10" s="56"/>
      <c r="AD10" s="18">
        <f>(('27'!AC10*'27'!$Q$10*1000000))/('27'!Y10*3600)</f>
        <v>0</v>
      </c>
      <c r="AE10" s="181"/>
      <c r="AF10" s="182">
        <f>('27'!AE10/24)*0.454</f>
        <v>0</v>
      </c>
      <c r="AG10" s="19"/>
      <c r="AH10" s="182">
        <f>('27'!AG10/24)*0.454</f>
        <v>0</v>
      </c>
      <c r="AI10" s="181">
        <v>5200</v>
      </c>
      <c r="AJ10" s="182">
        <f>('27'!AI10/24)*0.454</f>
        <v>98.36666666666666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166</v>
      </c>
      <c r="C11" s="184">
        <v>8.6</v>
      </c>
      <c r="D11" s="184">
        <v>7.5</v>
      </c>
      <c r="E11" s="184">
        <v>1.7</v>
      </c>
      <c r="F11" s="184">
        <v>65</v>
      </c>
      <c r="G11" s="184">
        <v>2.2999999999999998</v>
      </c>
      <c r="H11" s="184">
        <v>1.9</v>
      </c>
      <c r="I11" s="184">
        <v>0.8</v>
      </c>
      <c r="J11" s="184">
        <v>1.1000000000000001</v>
      </c>
      <c r="K11" s="184">
        <v>7.3</v>
      </c>
      <c r="L11" s="184">
        <v>6</v>
      </c>
      <c r="M11" s="184">
        <v>6</v>
      </c>
      <c r="N11" s="184">
        <v>5.8</v>
      </c>
      <c r="O11" s="184">
        <v>3.5</v>
      </c>
      <c r="P11" s="184"/>
      <c r="Q11" s="186"/>
      <c r="R11" s="36">
        <f>'27'!Z13</f>
        <v>1582</v>
      </c>
      <c r="S11" s="35">
        <f>'27'!AB13</f>
        <v>104.62962962962962</v>
      </c>
      <c r="T11" s="36">
        <f>'27'!Y13</f>
        <v>2793</v>
      </c>
      <c r="U11" s="32" t="str">
        <f>IF('27'!AA13=1,'27'!AR6,'27'!AR7)</f>
        <v>S.A.L</v>
      </c>
      <c r="V11" s="1016"/>
      <c r="W11" s="1016"/>
      <c r="X11" s="13">
        <v>0.25</v>
      </c>
      <c r="Y11" s="52">
        <v>2840</v>
      </c>
      <c r="Z11" s="52">
        <v>1503</v>
      </c>
      <c r="AA11" s="15">
        <v>1</v>
      </c>
      <c r="AB11" s="56">
        <f>IF('27'!AA11=1,(('27'!Z11*'27'!$AS$6*'27'!$AT$6)/('27'!Y11*0.0036)),IF('27'!AA11=2,(('27'!Z11*'27'!$AS$7*'27'!$AT$7)/('27'!Y11*0.0036))))</f>
        <v>97.759683098591552</v>
      </c>
      <c r="AC11" s="56"/>
      <c r="AD11" s="18">
        <f>(('27'!AC11*'27'!$Q$10*1000000))/('27'!Y11*3600)</f>
        <v>0</v>
      </c>
      <c r="AE11" s="181"/>
      <c r="AF11" s="182">
        <f>('27'!AE11/24)*0.454</f>
        <v>0</v>
      </c>
      <c r="AG11" s="19"/>
      <c r="AH11" s="182">
        <f>('27'!AG11/24)*0.454</f>
        <v>0</v>
      </c>
      <c r="AI11" s="181">
        <v>5200</v>
      </c>
      <c r="AJ11" s="182">
        <f>('27'!AI11/24)*0.454</f>
        <v>98.36666666666666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169</v>
      </c>
      <c r="C12" s="184">
        <v>9.1999999999999993</v>
      </c>
      <c r="D12" s="184">
        <v>8.1</v>
      </c>
      <c r="E12" s="184">
        <v>2.1</v>
      </c>
      <c r="F12" s="184">
        <v>68</v>
      </c>
      <c r="G12" s="184">
        <v>2.8</v>
      </c>
      <c r="H12" s="184">
        <v>2</v>
      </c>
      <c r="I12" s="184">
        <v>0.8</v>
      </c>
      <c r="J12" s="184">
        <v>1.4</v>
      </c>
      <c r="K12" s="184">
        <v>7.3</v>
      </c>
      <c r="L12" s="184">
        <v>6</v>
      </c>
      <c r="M12" s="184">
        <v>6</v>
      </c>
      <c r="N12" s="184">
        <v>5.8</v>
      </c>
      <c r="O12" s="184">
        <v>3.5</v>
      </c>
      <c r="P12" s="184"/>
      <c r="Q12" s="186"/>
      <c r="R12" s="36">
        <f>'27'!Z15</f>
        <v>1582</v>
      </c>
      <c r="S12" s="35">
        <f>'27'!AB15</f>
        <v>105.15673103834312</v>
      </c>
      <c r="T12" s="36">
        <f>'27'!Y15</f>
        <v>2779</v>
      </c>
      <c r="U12" s="32" t="str">
        <f>IF('27'!AA15=1,'27'!AR6,'27'!AR7)</f>
        <v>S.A.L</v>
      </c>
      <c r="V12" s="938">
        <f>ESCALA!$B$29</f>
        <v>0</v>
      </c>
      <c r="W12" s="938"/>
      <c r="X12" s="13">
        <v>0.29166666666666702</v>
      </c>
      <c r="Y12" s="52">
        <v>2812</v>
      </c>
      <c r="Z12" s="52">
        <v>1503</v>
      </c>
      <c r="AA12" s="15">
        <v>1</v>
      </c>
      <c r="AB12" s="56">
        <f>IF('27'!AA12=1,(('27'!Z12*'27'!$AS$6*'27'!$AT$6)/('27'!Y12*0.0036)),IF('27'!AA12=2,(('27'!Z12*'27'!$AS$7*'27'!$AT$7)/('27'!Y12*0.0036))))</f>
        <v>98.733108108108127</v>
      </c>
      <c r="AC12" s="56"/>
      <c r="AD12" s="18">
        <f>(('27'!AC12*'27'!$Q$10*1000000))/('27'!Y12*3600)</f>
        <v>0</v>
      </c>
      <c r="AE12" s="181"/>
      <c r="AF12" s="182">
        <f>('27'!AE12/24)*0.454</f>
        <v>0</v>
      </c>
      <c r="AG12" s="19"/>
      <c r="AH12" s="182">
        <f>('27'!AG12/24)*0.454</f>
        <v>0</v>
      </c>
      <c r="AI12" s="181">
        <v>5200</v>
      </c>
      <c r="AJ12" s="182">
        <f>('27'!AI12/24)*0.454</f>
        <v>98.36666666666666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171</v>
      </c>
      <c r="C13" s="184">
        <v>10</v>
      </c>
      <c r="D13" s="184">
        <v>8.4</v>
      </c>
      <c r="E13" s="184">
        <v>2</v>
      </c>
      <c r="F13" s="184">
        <v>68</v>
      </c>
      <c r="G13" s="184">
        <v>2.7</v>
      </c>
      <c r="H13" s="184">
        <v>2.1</v>
      </c>
      <c r="I13" s="184">
        <v>0.8</v>
      </c>
      <c r="J13" s="184">
        <v>1.3</v>
      </c>
      <c r="K13" s="184">
        <v>7.3</v>
      </c>
      <c r="L13" s="184">
        <v>6</v>
      </c>
      <c r="M13" s="184">
        <v>6</v>
      </c>
      <c r="N13" s="184">
        <v>5.8</v>
      </c>
      <c r="O13" s="184">
        <v>3.5</v>
      </c>
      <c r="P13" s="184"/>
      <c r="Q13" s="186"/>
      <c r="R13" s="36">
        <f>'27'!Z17</f>
        <v>1582</v>
      </c>
      <c r="S13" s="35">
        <f>'27'!AB17</f>
        <v>104.18201624083977</v>
      </c>
      <c r="T13" s="36">
        <f>'27'!Y17</f>
        <v>2805</v>
      </c>
      <c r="U13" s="32" t="str">
        <f>IF('27'!AA17=1,'27'!AR6,'27'!AR7)</f>
        <v>S.A.L</v>
      </c>
      <c r="V13" s="938"/>
      <c r="W13" s="938"/>
      <c r="X13" s="13">
        <v>0.33333333333333298</v>
      </c>
      <c r="Y13" s="52">
        <v>2793</v>
      </c>
      <c r="Z13" s="52">
        <v>1582</v>
      </c>
      <c r="AA13" s="15">
        <v>1</v>
      </c>
      <c r="AB13" s="56">
        <f>IF('27'!AA13=1,(('27'!Z13*'27'!$AS$6*'27'!$AT$6)/('27'!Y13*0.0036)),IF('27'!AA13=2,(('27'!Z13*'27'!$AS$7*'27'!$AT$7)/('27'!Y13*0.0036))))</f>
        <v>104.62962962962962</v>
      </c>
      <c r="AC13" s="56"/>
      <c r="AD13" s="18">
        <f>(('27'!AC13*'27'!$Q$10*1000000))/('27'!Y13*3600)</f>
        <v>0</v>
      </c>
      <c r="AE13" s="181"/>
      <c r="AF13" s="182">
        <f>('27'!AE13/24)*0.454</f>
        <v>0</v>
      </c>
      <c r="AG13" s="19"/>
      <c r="AH13" s="182">
        <f>('27'!AG13/24)*0.454</f>
        <v>0</v>
      </c>
      <c r="AI13" s="181">
        <v>5200</v>
      </c>
      <c r="AJ13" s="182">
        <f>('27'!AI13/24)*0.454</f>
        <v>98.36666666666666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168</v>
      </c>
      <c r="C14" s="184">
        <v>13</v>
      </c>
      <c r="D14" s="184">
        <v>8.8000000000000007</v>
      </c>
      <c r="E14" s="184">
        <v>3.9</v>
      </c>
      <c r="F14" s="184">
        <v>70</v>
      </c>
      <c r="G14" s="184">
        <v>2.8</v>
      </c>
      <c r="H14" s="184">
        <v>2</v>
      </c>
      <c r="I14" s="184">
        <v>0.9</v>
      </c>
      <c r="J14" s="184">
        <v>1.3</v>
      </c>
      <c r="K14" s="184">
        <v>7.3</v>
      </c>
      <c r="L14" s="184">
        <v>6</v>
      </c>
      <c r="M14" s="184">
        <v>6</v>
      </c>
      <c r="N14" s="184">
        <v>5.8</v>
      </c>
      <c r="O14" s="184">
        <v>3.5</v>
      </c>
      <c r="P14" s="184"/>
      <c r="Q14" s="186"/>
      <c r="R14" s="36">
        <f>'27'!Z19</f>
        <v>1582</v>
      </c>
      <c r="S14" s="35">
        <f>'27'!AB19</f>
        <v>103.04321422974455</v>
      </c>
      <c r="T14" s="36">
        <f>'27'!Y19</f>
        <v>2836</v>
      </c>
      <c r="U14" s="32" t="str">
        <f>IF('27'!AA19=1,'27'!AR6,'27'!AR7)</f>
        <v>S.A.L</v>
      </c>
      <c r="V14" s="938"/>
      <c r="W14" s="938"/>
      <c r="X14" s="13">
        <v>0.375</v>
      </c>
      <c r="Y14" s="52">
        <v>2770</v>
      </c>
      <c r="Z14" s="52">
        <v>1582</v>
      </c>
      <c r="AA14" s="15">
        <v>1</v>
      </c>
      <c r="AB14" s="56">
        <f>IF('27'!AA14=1,(('27'!Z14*'27'!$AS$6*'27'!$AT$6)/('27'!Y14*0.0036)),IF('27'!AA14=2,(('27'!Z14*'27'!$AS$7*'27'!$AT$7)/('27'!Y14*0.0036))))</f>
        <v>105.49839550742078</v>
      </c>
      <c r="AC14" s="56"/>
      <c r="AD14" s="18">
        <f>(('27'!AC14*'27'!$Q$10*1000000))/('27'!Y14*3600)</f>
        <v>0</v>
      </c>
      <c r="AE14" s="181"/>
      <c r="AF14" s="182">
        <f>('27'!AE14/24)*0.454</f>
        <v>0</v>
      </c>
      <c r="AG14" s="19"/>
      <c r="AH14" s="182">
        <f>('27'!AG14/24)*0.454</f>
        <v>0</v>
      </c>
      <c r="AI14" s="181">
        <v>5200</v>
      </c>
      <c r="AJ14" s="182">
        <f>('27'!AI14/24)*0.454</f>
        <v>98.36666666666666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170</v>
      </c>
      <c r="C15" s="184">
        <v>15</v>
      </c>
      <c r="D15" s="184">
        <v>9.8000000000000007</v>
      </c>
      <c r="E15" s="184">
        <v>4.5999999999999996</v>
      </c>
      <c r="F15" s="184">
        <v>74</v>
      </c>
      <c r="G15" s="184">
        <v>2.8</v>
      </c>
      <c r="H15" s="184">
        <v>1.9</v>
      </c>
      <c r="I15" s="184">
        <v>1</v>
      </c>
      <c r="J15" s="184">
        <v>1.3</v>
      </c>
      <c r="K15" s="184">
        <v>7.3</v>
      </c>
      <c r="L15" s="184">
        <v>6</v>
      </c>
      <c r="M15" s="184">
        <v>6</v>
      </c>
      <c r="N15" s="184">
        <v>5.8</v>
      </c>
      <c r="O15" s="184">
        <v>3.5</v>
      </c>
      <c r="P15" s="184"/>
      <c r="Q15" s="186"/>
      <c r="R15" s="36">
        <f>'27'!Z21</f>
        <v>1582</v>
      </c>
      <c r="S15" s="35">
        <f>'27'!AB21</f>
        <v>104.4799984109959</v>
      </c>
      <c r="T15" s="36">
        <f>'27'!Y21</f>
        <v>2797</v>
      </c>
      <c r="U15" s="32" t="str">
        <f>IF('27'!AA21=1,'27'!AR6,'27'!AR7)</f>
        <v>S.A.L</v>
      </c>
      <c r="V15" s="938"/>
      <c r="W15" s="938"/>
      <c r="X15" s="13">
        <v>0.41666666666666702</v>
      </c>
      <c r="Y15" s="52">
        <v>2779</v>
      </c>
      <c r="Z15" s="52">
        <v>1582</v>
      </c>
      <c r="AA15" s="15">
        <v>1</v>
      </c>
      <c r="AB15" s="56">
        <f>IF('27'!AA15=1,(('27'!Z15*'27'!$AS$6*'27'!$AT$6)/('27'!Y15*0.0036)),IF('27'!AA15=2,(('27'!Z15*'27'!$AS$7*'27'!$AT$7)/('27'!Y15*0.0036))))</f>
        <v>105.15673103834312</v>
      </c>
      <c r="AC15" s="56"/>
      <c r="AD15" s="18">
        <f>(('27'!AC15*'27'!$Q$10*1000000))/('27'!Y15*3600)</f>
        <v>0</v>
      </c>
      <c r="AE15" s="181"/>
      <c r="AF15" s="182">
        <f>('27'!AE15/24)*0.454</f>
        <v>0</v>
      </c>
      <c r="AG15" s="19"/>
      <c r="AH15" s="182">
        <f>('27'!AG15/24)*0.454</f>
        <v>0</v>
      </c>
      <c r="AI15" s="181">
        <v>5200</v>
      </c>
      <c r="AJ15" s="182">
        <f>('27'!AI15/24)*0.454</f>
        <v>98.36666666666666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172</v>
      </c>
      <c r="C16" s="184">
        <v>17</v>
      </c>
      <c r="D16" s="184">
        <v>10</v>
      </c>
      <c r="E16" s="184">
        <v>5.8</v>
      </c>
      <c r="F16" s="184">
        <v>78</v>
      </c>
      <c r="G16" s="184">
        <v>3</v>
      </c>
      <c r="H16" s="184">
        <v>1.8</v>
      </c>
      <c r="I16" s="184">
        <v>1</v>
      </c>
      <c r="J16" s="184">
        <v>1.2</v>
      </c>
      <c r="K16" s="184">
        <v>7.3</v>
      </c>
      <c r="L16" s="184">
        <v>6</v>
      </c>
      <c r="M16" s="184">
        <v>6</v>
      </c>
      <c r="N16" s="184">
        <v>5.8</v>
      </c>
      <c r="O16" s="184">
        <v>3.5</v>
      </c>
      <c r="P16" s="184"/>
      <c r="Q16" s="186"/>
      <c r="R16" s="36">
        <f>'27'!Z23</f>
        <v>1582</v>
      </c>
      <c r="S16" s="35">
        <f>'27'!AB23</f>
        <v>103.22520507084266</v>
      </c>
      <c r="T16" s="36">
        <f>'27'!Y23</f>
        <v>2831</v>
      </c>
      <c r="U16" s="32" t="str">
        <f>IF('27'!AA23=1,'27'!AR6,'27'!AR7)</f>
        <v>S.A.L</v>
      </c>
      <c r="V16" s="938"/>
      <c r="W16" s="938"/>
      <c r="X16" s="13">
        <v>0.45833333333333298</v>
      </c>
      <c r="Y16" s="52">
        <v>2817</v>
      </c>
      <c r="Z16" s="52">
        <v>1582</v>
      </c>
      <c r="AA16" s="15">
        <v>1</v>
      </c>
      <c r="AB16" s="56">
        <f>IF('27'!AA16=1,(('27'!Z16*'27'!$AS$6*'27'!$AT$6)/('27'!Y16*0.0036)),IF('27'!AA16=2,(('27'!Z16*'27'!$AS$7*'27'!$AT$7)/('27'!Y16*0.0036))))</f>
        <v>103.73821638464877</v>
      </c>
      <c r="AC16" s="56"/>
      <c r="AD16" s="18">
        <f>(('27'!AC16*'27'!$Q$10*1000000))/('27'!Y16*3600)</f>
        <v>0</v>
      </c>
      <c r="AE16" s="181"/>
      <c r="AF16" s="182">
        <f>('27'!AE16/24)*0.454</f>
        <v>0</v>
      </c>
      <c r="AG16" s="19"/>
      <c r="AH16" s="182">
        <f>('27'!AG16/24)*0.454</f>
        <v>0</v>
      </c>
      <c r="AI16" s="181">
        <v>5200</v>
      </c>
      <c r="AJ16" s="182">
        <f>('27'!AI16/24)*0.454</f>
        <v>98.36666666666666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176</v>
      </c>
      <c r="C17" s="184">
        <v>15</v>
      </c>
      <c r="D17" s="184">
        <v>9.1999999999999993</v>
      </c>
      <c r="E17" s="184">
        <v>4.9000000000000004</v>
      </c>
      <c r="F17" s="184">
        <v>82</v>
      </c>
      <c r="G17" s="184">
        <v>2.6</v>
      </c>
      <c r="H17" s="184">
        <v>1.6</v>
      </c>
      <c r="I17" s="184">
        <v>1</v>
      </c>
      <c r="J17" s="184">
        <v>1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/>
      <c r="Q17" s="186"/>
      <c r="R17" s="36">
        <f>'27'!Z25</f>
        <v>1582</v>
      </c>
      <c r="S17" s="35">
        <f>'27'!AB25</f>
        <v>102.25001943861285</v>
      </c>
      <c r="T17" s="36">
        <f>'27'!Y25</f>
        <v>2858</v>
      </c>
      <c r="U17" s="32" t="str">
        <f>IF('27'!AA25=1,'27'!AR6,'27'!AR7)</f>
        <v>S.A.L</v>
      </c>
      <c r="V17" s="938"/>
      <c r="W17" s="938"/>
      <c r="X17" s="13">
        <v>0.5</v>
      </c>
      <c r="Y17" s="52">
        <v>2805</v>
      </c>
      <c r="Z17" s="52">
        <v>1582</v>
      </c>
      <c r="AA17" s="15">
        <v>1</v>
      </c>
      <c r="AB17" s="56">
        <f>IF('27'!AA17=1,(('27'!Z17*'27'!$AS$6*'27'!$AT$6)/('27'!Y17*0.0036)),IF('27'!AA17=2,(('27'!Z17*'27'!$AS$7*'27'!$AT$7)/('27'!Y17*0.0036))))</f>
        <v>104.18201624083977</v>
      </c>
      <c r="AC17" s="56"/>
      <c r="AD17" s="18">
        <f>(('27'!AC17*'27'!$Q$10*1000000))/('27'!Y17*3600)</f>
        <v>0</v>
      </c>
      <c r="AE17" s="181"/>
      <c r="AF17" s="182">
        <f>('27'!AE17/24)*0.454</f>
        <v>0</v>
      </c>
      <c r="AG17" s="19"/>
      <c r="AH17" s="182">
        <f>('27'!AG17/24)*0.454</f>
        <v>0</v>
      </c>
      <c r="AI17" s="181">
        <v>5200</v>
      </c>
      <c r="AJ17" s="182">
        <f>('27'!AI17/24)*0.454</f>
        <v>98.36666666666666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173</v>
      </c>
      <c r="C18" s="184">
        <v>15</v>
      </c>
      <c r="D18" s="184">
        <v>9</v>
      </c>
      <c r="E18" s="184">
        <v>5.3</v>
      </c>
      <c r="F18" s="184">
        <v>77</v>
      </c>
      <c r="G18" s="184">
        <v>2.4</v>
      </c>
      <c r="H18" s="184">
        <v>1.5</v>
      </c>
      <c r="I18" s="184">
        <v>0.9</v>
      </c>
      <c r="J18" s="184">
        <v>1.2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/>
      <c r="Q18" s="186"/>
      <c r="R18" s="36">
        <f>'27'!Z27</f>
        <v>1582</v>
      </c>
      <c r="S18" s="35">
        <f>'27'!AB27</f>
        <v>104.85488179244908</v>
      </c>
      <c r="T18" s="36">
        <f>'27'!Y27</f>
        <v>2787</v>
      </c>
      <c r="U18" s="32" t="str">
        <f>IF('27'!AA27=1,'27'!AR6,'27'!AR7)</f>
        <v>S.A.L</v>
      </c>
      <c r="V18" s="938"/>
      <c r="W18" s="938"/>
      <c r="X18" s="13">
        <v>0.54166666666666696</v>
      </c>
      <c r="Y18" s="52">
        <v>2827</v>
      </c>
      <c r="Z18" s="52">
        <v>1582</v>
      </c>
      <c r="AA18" s="15">
        <v>1</v>
      </c>
      <c r="AB18" s="56">
        <f>IF('27'!AA18=1,(('27'!Z18*'27'!$AS$6*'27'!$AT$6)/('27'!Y18*0.0036)),IF('27'!AA18=2,(('27'!Z18*'27'!$AS$7*'27'!$AT$7)/('27'!Y18*0.0036))))</f>
        <v>103.37126125063868</v>
      </c>
      <c r="AC18" s="56"/>
      <c r="AD18" s="18">
        <f>(('27'!AC18*'27'!$Q$10*1000000))/('27'!Y18*3600)</f>
        <v>0</v>
      </c>
      <c r="AE18" s="181"/>
      <c r="AF18" s="182">
        <f>('27'!AE18/24)*0.454</f>
        <v>0</v>
      </c>
      <c r="AG18" s="19"/>
      <c r="AH18" s="182">
        <f>('27'!AG18/24)*0.454</f>
        <v>0</v>
      </c>
      <c r="AI18" s="181">
        <v>5200</v>
      </c>
      <c r="AJ18" s="182">
        <f>('27'!AI18/24)*0.454</f>
        <v>98.36666666666666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171.16666666666666</v>
      </c>
      <c r="C19" s="187">
        <f>AVERAGE('27'!C7:C18)</f>
        <v>13.066666666666668</v>
      </c>
      <c r="D19" s="67">
        <f>AVERAGE('27'!D7:D18)</f>
        <v>9.9833333333333325</v>
      </c>
      <c r="E19" s="67">
        <f>AVERAGE('27'!E7:E18)</f>
        <v>4.4249999999999998</v>
      </c>
      <c r="F19" s="67">
        <f>AVERAGE('27'!F7:F18)</f>
        <v>73</v>
      </c>
      <c r="G19" s="67">
        <f>AVERAGE('27'!G7:G18)</f>
        <v>2.5083333333333333</v>
      </c>
      <c r="H19" s="67">
        <f>AVERAGE('27'!H7:H18)</f>
        <v>1.7750000000000001</v>
      </c>
      <c r="I19" s="67">
        <f>AVERAGE('27'!I7:I18)</f>
        <v>0.8666666666666667</v>
      </c>
      <c r="J19" s="67">
        <f>AVERAGE('27'!J7:J18)</f>
        <v>1.1333333333333333</v>
      </c>
      <c r="K19" s="67">
        <f>AVERAGE('27'!K8:K18)</f>
        <v>7.299999999999998</v>
      </c>
      <c r="L19" s="67">
        <f>AVERAGE('27'!L8:L18)</f>
        <v>6.0545454545454538</v>
      </c>
      <c r="M19" s="67">
        <f>AVERAGE('27'!M8:M18)</f>
        <v>6.0545454545454538</v>
      </c>
      <c r="N19" s="67">
        <f>AVERAGE('27'!N8:N18)</f>
        <v>5.8363636363636351</v>
      </c>
      <c r="O19" s="67">
        <f>AVERAGE('27'!O8:O18)</f>
        <v>3.5</v>
      </c>
      <c r="P19" s="188" t="e">
        <f>AVERAGE('27'!P7:P18)</f>
        <v>#DIV/0!</v>
      </c>
      <c r="Q19" s="189" t="e">
        <f>AVERAGE('27'!Q7:Q18)</f>
        <v>#DIV/0!</v>
      </c>
      <c r="R19" s="189">
        <f>AVERAGE('27'!R7:R18)</f>
        <v>1555.6666666666667</v>
      </c>
      <c r="S19" s="189">
        <f>AVERAGE('27'!S7:S18)</f>
        <v>102.15723744707719</v>
      </c>
      <c r="T19" s="940"/>
      <c r="U19" s="940"/>
      <c r="V19" s="47"/>
      <c r="W19" s="48"/>
      <c r="X19" s="13">
        <v>0.58333333333333304</v>
      </c>
      <c r="Y19" s="52">
        <v>2836</v>
      </c>
      <c r="Z19" s="52">
        <v>1582</v>
      </c>
      <c r="AA19" s="15">
        <v>1</v>
      </c>
      <c r="AB19" s="56">
        <f>IF('27'!AA19=1,(('27'!Z19*'27'!$AS$6*'27'!$AT$6)/('27'!Y19*0.0036)),IF('27'!AA19=2,(('27'!Z19*'27'!$AS$7*'27'!$AT$7)/('27'!Y19*0.0036))))</f>
        <v>103.04321422974455</v>
      </c>
      <c r="AC19" s="56"/>
      <c r="AD19" s="18">
        <f>(('27'!AC19*'27'!$Q$10*1000000))/('27'!Y19*3600)</f>
        <v>0</v>
      </c>
      <c r="AE19" s="181"/>
      <c r="AF19" s="182">
        <f>('27'!AE19/24)*0.454</f>
        <v>0</v>
      </c>
      <c r="AG19" s="19"/>
      <c r="AH19" s="182">
        <f>('27'!AG19/24)*0.454</f>
        <v>0</v>
      </c>
      <c r="AI19" s="181">
        <v>5200</v>
      </c>
      <c r="AJ19" s="182">
        <f>('27'!AI19/24)*0.454</f>
        <v>98.36666666666666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177</v>
      </c>
      <c r="C20" s="67">
        <f>MAX('27'!C7:C18)</f>
        <v>17</v>
      </c>
      <c r="D20" s="67">
        <f>MAX('27'!D7:D18)</f>
        <v>13</v>
      </c>
      <c r="E20" s="67">
        <f>MAX('27'!E7:E18)</f>
        <v>6.3</v>
      </c>
      <c r="F20" s="67">
        <f>MAX('27'!F7:F18)</f>
        <v>83</v>
      </c>
      <c r="G20" s="67">
        <f>MAX('27'!G7:G18)</f>
        <v>3</v>
      </c>
      <c r="H20" s="67">
        <f>MAX('27'!H7:H18)</f>
        <v>2.1</v>
      </c>
      <c r="I20" s="67">
        <f>MAX('27'!I7:I18)</f>
        <v>1</v>
      </c>
      <c r="J20" s="67">
        <f>MAX('27'!J7:J18)</f>
        <v>1.4</v>
      </c>
      <c r="K20" s="67">
        <f>MAX('27'!K8:K18)</f>
        <v>7.3</v>
      </c>
      <c r="L20" s="67">
        <f>MAX('27'!L8:L18)</f>
        <v>6.3</v>
      </c>
      <c r="M20" s="67">
        <f>MAX('27'!M8:M18)</f>
        <v>6.3</v>
      </c>
      <c r="N20" s="67">
        <f>MAX('27'!N8:N18)</f>
        <v>6</v>
      </c>
      <c r="O20" s="68">
        <f>MAX('27'!O8:O18)</f>
        <v>3.5</v>
      </c>
      <c r="P20" s="68">
        <f>MAX('27'!P7:P18)</f>
        <v>0</v>
      </c>
      <c r="Q20" s="68">
        <f>MAX('27'!Q7:Q18)</f>
        <v>0</v>
      </c>
      <c r="R20" s="68">
        <f>MAX('27'!R7:R18)</f>
        <v>1582</v>
      </c>
      <c r="S20" s="68">
        <f>MAX('27'!S7:S18)</f>
        <v>105.15673103834312</v>
      </c>
      <c r="T20" s="940"/>
      <c r="U20" s="940"/>
      <c r="X20" s="13">
        <v>0.625</v>
      </c>
      <c r="Y20" s="52">
        <v>2826</v>
      </c>
      <c r="Z20" s="52">
        <v>1582</v>
      </c>
      <c r="AA20" s="15">
        <v>1</v>
      </c>
      <c r="AB20" s="56">
        <f>IF('27'!AA20=1,(('27'!Z20*'27'!$AS$6*'27'!$AT$6)/('27'!Y20*0.0036)),IF('27'!AA20=2,(('27'!Z20*'27'!$AS$7*'27'!$AT$7)/('27'!Y20*0.0036))))</f>
        <v>103.40783989934732</v>
      </c>
      <c r="AC20" s="56"/>
      <c r="AD20" s="18">
        <f>(('27'!AC20*'27'!$Q$10*1000000))/('27'!Y20*3600)</f>
        <v>0</v>
      </c>
      <c r="AE20" s="181"/>
      <c r="AF20" s="182">
        <f>('27'!AE20/24)*0.454</f>
        <v>0</v>
      </c>
      <c r="AG20" s="19"/>
      <c r="AH20" s="182">
        <f>('27'!AG20/24)*0.454</f>
        <v>0</v>
      </c>
      <c r="AI20" s="181">
        <v>5200</v>
      </c>
      <c r="AJ20" s="182">
        <f>('27'!AI20/24)*0.454</f>
        <v>98.36666666666666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166</v>
      </c>
      <c r="C21" s="67">
        <f>MIN('27'!C7:C18)</f>
        <v>8.6</v>
      </c>
      <c r="D21" s="67">
        <f>MIN('27'!D7:D18)</f>
        <v>7.5</v>
      </c>
      <c r="E21" s="67">
        <f>MIN('27'!E7:E18)</f>
        <v>1.7</v>
      </c>
      <c r="F21" s="67">
        <f>MIN('27'!F7:F18)</f>
        <v>65</v>
      </c>
      <c r="G21" s="67">
        <f>MIN('27'!G7:G18)</f>
        <v>2.1</v>
      </c>
      <c r="H21" s="190">
        <f>MIN('27'!H7:H18)</f>
        <v>1.5</v>
      </c>
      <c r="I21" s="190">
        <f>MIN('27'!I7:I18)</f>
        <v>0.8</v>
      </c>
      <c r="J21" s="190">
        <f>MIN('27'!J7:J18)</f>
        <v>0.9</v>
      </c>
      <c r="K21" s="190">
        <f>MIN('27'!K8:K18)</f>
        <v>7.3</v>
      </c>
      <c r="L21" s="190">
        <f>MIN('27'!L8:L18)</f>
        <v>6</v>
      </c>
      <c r="M21" s="190">
        <f>MIN('27'!M8:M18)</f>
        <v>6</v>
      </c>
      <c r="N21" s="190">
        <f>MIN('27'!N8:N18)</f>
        <v>5.8</v>
      </c>
      <c r="O21" s="191">
        <f>MIN('27'!O8:O18)</f>
        <v>3.5</v>
      </c>
      <c r="P21" s="191">
        <f>MIN('27'!P7:P18)</f>
        <v>0</v>
      </c>
      <c r="Q21" s="191">
        <f>MIN('27'!Q7:Q18)</f>
        <v>0</v>
      </c>
      <c r="R21" s="191">
        <f>MIN('27'!R7:R18)</f>
        <v>1503</v>
      </c>
      <c r="S21" s="191">
        <f>MIN('27'!S7:S18)</f>
        <v>97.759683098591552</v>
      </c>
      <c r="T21" s="940"/>
      <c r="U21" s="940"/>
      <c r="X21" s="13">
        <v>0.66666666666666696</v>
      </c>
      <c r="Y21" s="52">
        <v>2797</v>
      </c>
      <c r="Z21" s="52">
        <v>1582</v>
      </c>
      <c r="AA21" s="15">
        <v>1</v>
      </c>
      <c r="AB21" s="56">
        <f>IF('27'!AA21=1,(('27'!Z21*'27'!$AS$6*'27'!$AT$6)/('27'!Y21*0.0036)),IF('27'!AA21=2,(('27'!Z21*'27'!$AS$7*'27'!$AT$7)/('27'!Y21*0.0036))))</f>
        <v>104.4799984109959</v>
      </c>
      <c r="AC21" s="56"/>
      <c r="AD21" s="18">
        <f>(('27'!AC21*'27'!$Q$10*1000000))/('27'!Y21*3600)</f>
        <v>0</v>
      </c>
      <c r="AE21" s="181"/>
      <c r="AF21" s="182">
        <f>('27'!AE21/24)*0.454</f>
        <v>0</v>
      </c>
      <c r="AG21" s="19"/>
      <c r="AH21" s="182">
        <f>('27'!AG21/24)*0.454</f>
        <v>0</v>
      </c>
      <c r="AI21" s="181">
        <v>5200</v>
      </c>
      <c r="AJ21" s="182">
        <f>('27'!AI21/24)*0.454</f>
        <v>98.36666666666666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2801</v>
      </c>
      <c r="Z22" s="52">
        <v>1582</v>
      </c>
      <c r="AA22" s="15">
        <v>1</v>
      </c>
      <c r="AB22" s="56">
        <f>IF('27'!AA22=1,(('27'!Z22*'27'!$AS$6*'27'!$AT$6)/('27'!Y22*0.0036)),IF('27'!AA22=2,(('27'!Z22*'27'!$AS$7*'27'!$AT$7)/('27'!Y22*0.0036))))</f>
        <v>104.3307945574993</v>
      </c>
      <c r="AC22" s="56"/>
      <c r="AD22" s="18">
        <f>(('27'!AC22*'27'!$Q$10*1000000))/('27'!Y22*3600)</f>
        <v>0</v>
      </c>
      <c r="AE22" s="181"/>
      <c r="AF22" s="182">
        <f>('27'!AE22/24)*0.454</f>
        <v>0</v>
      </c>
      <c r="AG22" s="19"/>
      <c r="AH22" s="182">
        <f>('27'!AG22/24)*0.454</f>
        <v>0</v>
      </c>
      <c r="AI22" s="181">
        <v>5200</v>
      </c>
      <c r="AJ22" s="182">
        <f>('27'!AI22/24)*0.454</f>
        <v>98.36666666666666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2831</v>
      </c>
      <c r="Z23" s="52">
        <v>1582</v>
      </c>
      <c r="AA23" s="15">
        <v>1</v>
      </c>
      <c r="AB23" s="56">
        <f>IF('27'!AA23=1,(('27'!Z23*'27'!$AS$6*'27'!$AT$6)/('27'!Y23*0.0036)),IF('27'!AA23=2,(('27'!Z23*'27'!$AS$7*'27'!$AT$7)/('27'!Y23*0.0036))))</f>
        <v>103.22520507084266</v>
      </c>
      <c r="AC23" s="56"/>
      <c r="AD23" s="18">
        <f>(('27'!AC23*'27'!$Q$10*1000000))/('27'!Y23*3600)</f>
        <v>0</v>
      </c>
      <c r="AE23" s="181"/>
      <c r="AF23" s="182">
        <f>('27'!AE23/24)*0.454</f>
        <v>0</v>
      </c>
      <c r="AG23" s="19"/>
      <c r="AH23" s="182">
        <f>('27'!AG23/24)*0.454</f>
        <v>0</v>
      </c>
      <c r="AI23" s="181">
        <v>5200</v>
      </c>
      <c r="AJ23" s="182">
        <f>('27'!AI23/24)*0.454</f>
        <v>98.36666666666666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2789</v>
      </c>
      <c r="Z24" s="52">
        <v>1582</v>
      </c>
      <c r="AA24" s="15">
        <v>1</v>
      </c>
      <c r="AB24" s="16">
        <f>IF('27'!AA24=1,(('27'!Z24*'27'!$AS$6*'27'!$AT$6)/('27'!Y24*0.0036)),IF('27'!AA24=2,(('27'!Z24*'27'!$AS$7*'27'!$AT$7)/('27'!Y24*0.0036))))</f>
        <v>104.77969005218915</v>
      </c>
      <c r="AC24" s="56"/>
      <c r="AD24" s="18">
        <f>(('27'!AC24*'27'!$Q$10*1000000))/('27'!Y24*3600)</f>
        <v>0</v>
      </c>
      <c r="AE24" s="181"/>
      <c r="AF24" s="193">
        <f>('27'!AE24/24)*0.454</f>
        <v>0</v>
      </c>
      <c r="AG24" s="19"/>
      <c r="AH24" s="193">
        <f>('27'!AG24/24)*0.454</f>
        <v>0</v>
      </c>
      <c r="AI24" s="181">
        <v>5200</v>
      </c>
      <c r="AJ24" s="193">
        <f>('27'!AI24/24)*0.454</f>
        <v>98.36666666666666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 t="s">
        <v>441</v>
      </c>
      <c r="C25" s="196">
        <v>0.92</v>
      </c>
      <c r="D25" s="196">
        <v>0.86</v>
      </c>
      <c r="E25" s="197">
        <v>0.94</v>
      </c>
      <c r="F25" s="197">
        <v>0.88</v>
      </c>
      <c r="G25" s="197" t="s">
        <v>441</v>
      </c>
      <c r="H25" s="197">
        <v>0.9</v>
      </c>
      <c r="I25" s="197">
        <v>0.92</v>
      </c>
      <c r="J25" s="197" t="s">
        <v>441</v>
      </c>
      <c r="K25" s="197">
        <v>0.65</v>
      </c>
      <c r="L25" s="197">
        <v>0.59</v>
      </c>
      <c r="M25" s="197">
        <v>0.73</v>
      </c>
      <c r="N25" s="197">
        <v>0.75</v>
      </c>
      <c r="O25" s="197">
        <v>0.92</v>
      </c>
      <c r="P25" s="197" t="s">
        <v>441</v>
      </c>
      <c r="Q25" s="197" t="s">
        <v>441</v>
      </c>
      <c r="R25" s="63" t="e">
        <f>#DIV/0!</f>
        <v>#DIV/0!</v>
      </c>
      <c r="S25" s="64"/>
      <c r="T25" s="1112" t="s">
        <v>0</v>
      </c>
      <c r="U25" s="1043">
        <f>ESCALA!$A$29</f>
        <v>44343</v>
      </c>
      <c r="X25" s="13">
        <v>0.83333333333333304</v>
      </c>
      <c r="Y25" s="52">
        <v>2858</v>
      </c>
      <c r="Z25" s="52">
        <v>1582</v>
      </c>
      <c r="AA25" s="15">
        <v>1</v>
      </c>
      <c r="AB25" s="56">
        <f>IF('27'!AA25=1,(('27'!Z25*'27'!$AS$6*'27'!$AT$6)/('27'!Y25*0.0036)),IF('27'!AA25=2,(('27'!Z25*'27'!$AS$7*'27'!$AT$7)/('27'!Y25*0.0036))))</f>
        <v>102.25001943861285</v>
      </c>
      <c r="AC25" s="56"/>
      <c r="AD25" s="18">
        <f>(('27'!AC25*'27'!$Q$10*1000000))/('27'!Y25*3600)</f>
        <v>0</v>
      </c>
      <c r="AE25" s="181"/>
      <c r="AF25" s="182">
        <f>('27'!AE25/24)*0.454</f>
        <v>0</v>
      </c>
      <c r="AG25" s="19"/>
      <c r="AH25" s="182">
        <f>('27'!AG25/24)*0.454</f>
        <v>0</v>
      </c>
      <c r="AI25" s="181">
        <v>5200</v>
      </c>
      <c r="AJ25" s="182">
        <f>('27'!AI25/24)*0.454</f>
        <v>98.36666666666666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2"/>
      <c r="U26" s="1043"/>
      <c r="X26" s="13">
        <v>0.875</v>
      </c>
      <c r="Y26" s="52">
        <v>2735</v>
      </c>
      <c r="Z26" s="52">
        <v>1582</v>
      </c>
      <c r="AA26" s="15">
        <v>1</v>
      </c>
      <c r="AB26" s="56">
        <f>IF('27'!AA26=1,(('27'!Z26*'27'!$AS$6*'27'!$AT$6)/('27'!Y26*0.0036)),IF('27'!AA26=2,(('27'!Z26*'27'!$AS$7*'27'!$AT$7)/('27'!Y26*0.0036))))</f>
        <v>106.84846638228721</v>
      </c>
      <c r="AC26" s="56"/>
      <c r="AD26" s="18">
        <f>(('27'!AC26*'27'!$Q$10*1000000))/('27'!Y26*3600)</f>
        <v>0</v>
      </c>
      <c r="AE26" s="181"/>
      <c r="AF26" s="182">
        <f>('27'!AE26/24)*0.454</f>
        <v>0</v>
      </c>
      <c r="AG26" s="19"/>
      <c r="AH26" s="182">
        <f>('27'!AG26/24)*0.454</f>
        <v>0</v>
      </c>
      <c r="AI26" s="181">
        <v>5200</v>
      </c>
      <c r="AJ26" s="182">
        <f>('27'!AI26/24)*0.454</f>
        <v>98.36666666666666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2787</v>
      </c>
      <c r="Z27" s="52">
        <v>1582</v>
      </c>
      <c r="AA27" s="15">
        <v>1</v>
      </c>
      <c r="AB27" s="56">
        <f>IF('27'!AA27=1,(('27'!Z27*'27'!$AS$6*'27'!$AT$6)/('27'!Y27*0.0036)),IF('27'!AA27=2,(('27'!Z27*'27'!$AS$7*'27'!$AT$7)/('27'!Y27*0.0036))))</f>
        <v>104.85488179244908</v>
      </c>
      <c r="AC27" s="56"/>
      <c r="AD27" s="18">
        <f>(('27'!AC27*'27'!$Q$10*1000000))/('27'!Y27*3600)</f>
        <v>0</v>
      </c>
      <c r="AE27" s="181"/>
      <c r="AF27" s="182">
        <f>('27'!AE27/24)*0.454</f>
        <v>0</v>
      </c>
      <c r="AG27" s="19"/>
      <c r="AH27" s="182">
        <f>('27'!AG27/24)*0.454</f>
        <v>0</v>
      </c>
      <c r="AI27" s="181">
        <v>5200</v>
      </c>
      <c r="AJ27" s="182">
        <f>('27'!AI27/24)*0.454</f>
        <v>98.36666666666666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2802</v>
      </c>
      <c r="Z28" s="52">
        <v>1582</v>
      </c>
      <c r="AA28" s="15">
        <v>1</v>
      </c>
      <c r="AB28" s="56">
        <f>IF('27'!AA28=1,(('27'!Z28*'27'!$AS$6*'27'!$AT$6)/('27'!Y28*0.0036)),IF('27'!AA28=2,(('27'!Z28*'27'!$AS$7*'27'!$AT$7)/('27'!Y28*0.0036))))</f>
        <v>104.29356015544452</v>
      </c>
      <c r="AC28" s="56"/>
      <c r="AD28" s="18">
        <f>(('27'!AC28*'27'!$Q$10*1000000))/('27'!Y28*3600)</f>
        <v>0</v>
      </c>
      <c r="AE28" s="181"/>
      <c r="AF28" s="182">
        <f>('27'!AE28/24)*0.454</f>
        <v>0</v>
      </c>
      <c r="AG28" s="19"/>
      <c r="AH28" s="182">
        <f>('27'!AG28/24)*0.454</f>
        <v>0</v>
      </c>
      <c r="AI28" s="181">
        <v>5200</v>
      </c>
      <c r="AJ28" s="182">
        <f>('27'!AI28/24)*0.454</f>
        <v>98.36666666666666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2798</v>
      </c>
      <c r="Z29" s="52">
        <v>1582</v>
      </c>
      <c r="AA29" s="15">
        <v>1</v>
      </c>
      <c r="AB29" s="56">
        <f>IF('27'!AA29=1,(('27'!Z29*'27'!$AS$6*'27'!$AT$6)/('27'!Y29*0.0036)),IF('27'!AA29=2,(('27'!Z29*'27'!$AS$7*'27'!$AT$7)/('27'!Y29*0.0036))))</f>
        <v>104.4426574537368</v>
      </c>
      <c r="AC29" s="56"/>
      <c r="AD29" s="18">
        <f>(('27'!AC29*'27'!$Q$10*1000000))/('27'!Y29*3600)</f>
        <v>0</v>
      </c>
      <c r="AE29" s="181"/>
      <c r="AF29" s="182">
        <f>('27'!AE29/24)*0.454</f>
        <v>0</v>
      </c>
      <c r="AG29" s="19"/>
      <c r="AH29" s="182">
        <f>('27'!AG29/24)*0.454</f>
        <v>0</v>
      </c>
      <c r="AI29" s="181">
        <v>5200</v>
      </c>
      <c r="AJ29" s="182">
        <f>('27'!AI29/24)*0.454</f>
        <v>98.36666666666666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SUM('27'!Y6:Y29)*3.6</f>
        <v>242449.2</v>
      </c>
      <c r="Z30" s="328">
        <f>SUM('27'!Z6:Z29)</f>
        <v>37415</v>
      </c>
      <c r="AA30" s="76"/>
      <c r="AB30" s="77"/>
      <c r="AC30" s="76"/>
      <c r="AD30" s="77"/>
      <c r="AE30" s="33"/>
      <c r="AF30" s="182">
        <f>SUM('27'!AF6:AF29)</f>
        <v>0</v>
      </c>
      <c r="AG30" s="33"/>
      <c r="AH30" s="182">
        <f>SUM('27'!AH6:AH29)</f>
        <v>0</v>
      </c>
      <c r="AI30" s="33"/>
      <c r="AJ30" s="182">
        <f>SUM('27'!AJ6:AJ29)</f>
        <v>2360.7999999999993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SUMIF('28'!AA6:AA29,"=1",'28'!Z6:Z29)</f>
        <v>37968</v>
      </c>
      <c r="AA32" s="80">
        <f>'28'!Z32*'28'!AS6</f>
        <v>50497.440000000002</v>
      </c>
      <c r="AB32" s="81">
        <f>SUMIF('28'!$AA$6:$AA$29,"=1",'28'!$AB$6:$AB$29)/COUNTIF('28'!$AA$6:$AA$29,"=1")</f>
        <v>107.3081515163487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328">
        <f>SUMIF('27'!AA6:AA29,"=2",'27'!Z6:Z29)</f>
        <v>0</v>
      </c>
      <c r="AA33" s="328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AVERAGE('27'!Y6:Y29)</f>
        <v>2806.125</v>
      </c>
      <c r="Z34" s="94">
        <f>AVERAGE('27'!Z6:Z29)</f>
        <v>1558.9583333333333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0</v>
      </c>
      <c r="AG34" s="96"/>
      <c r="AH34" s="96">
        <f>AVERAGE('27'!AH6:AH29)</f>
        <v>0</v>
      </c>
      <c r="AI34" s="96"/>
      <c r="AJ34" s="96">
        <f>'27'!AJ30/24</f>
        <v>98.366666666666632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61.7</v>
      </c>
      <c r="D37" s="202">
        <v>21.9</v>
      </c>
      <c r="E37" s="329">
        <v>17.899999999999999</v>
      </c>
      <c r="F37" s="184">
        <v>1.8</v>
      </c>
      <c r="G37" s="181">
        <v>0.2</v>
      </c>
      <c r="H37" s="181">
        <v>0.1</v>
      </c>
      <c r="I37" s="181">
        <v>0.2</v>
      </c>
      <c r="J37" s="181">
        <v>0.06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'27'!V12</f>
        <v>0</v>
      </c>
      <c r="X37" s="956" t="s">
        <v>75</v>
      </c>
      <c r="Y37" s="956"/>
      <c r="Z37" s="108">
        <f>COUNTA('27'!Z6:Z29)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0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2360.7999999999993</v>
      </c>
      <c r="AQ38" s="208" t="s">
        <v>78</v>
      </c>
      <c r="AR38" s="210">
        <f>'27'!AP30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0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9.737297545217718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SUM('27'!AK38,'27'!AM38)</f>
        <v>0</v>
      </c>
      <c r="AM40" s="969"/>
      <c r="AO40" s="970" t="s">
        <v>90</v>
      </c>
      <c r="AP40" s="970"/>
      <c r="AQ40" s="971">
        <f>SUM('27'!AP38,'27'!AR38)</f>
        <v>2360.7999999999993</v>
      </c>
      <c r="AR40" s="971"/>
    </row>
    <row r="41" spans="1:44" ht="16.5" customHeight="1">
      <c r="A41" s="131">
        <f>COUNTA('27'!E7:E18)</f>
        <v>12</v>
      </c>
      <c r="B41" s="132">
        <f>COUNTA('27'!I7:I18)</f>
        <v>12</v>
      </c>
      <c r="C41" s="972">
        <f>COUNTA('27'!J7:J18)</f>
        <v>12</v>
      </c>
      <c r="D41" s="972">
        <f>COUNTA('27'!K8:K18)</f>
        <v>11</v>
      </c>
      <c r="E41" s="972">
        <f>COUNTIF('27'!E7:E18,"&gt;15")</f>
        <v>0</v>
      </c>
      <c r="F41" s="972"/>
      <c r="G41" s="972">
        <f>COUNTIF('27'!J7:J18,"&gt;1")</f>
        <v>7</v>
      </c>
      <c r="H41" s="972"/>
      <c r="I41" s="133"/>
      <c r="J41" s="972">
        <f>'27'!A41-'27'!E41</f>
        <v>12</v>
      </c>
      <c r="K41" s="972"/>
      <c r="L41" s="972">
        <f>'27'!C41-'27'!G41</f>
        <v>5</v>
      </c>
      <c r="M41" s="972"/>
      <c r="N41" s="133"/>
      <c r="O41" s="973">
        <f>COUNTIF('27'!J7:J18,"&lt;=0,5")</f>
        <v>0</v>
      </c>
      <c r="P41" s="973"/>
      <c r="Q41" s="973"/>
      <c r="R41" s="963"/>
      <c r="S41" s="974">
        <f>COUNTIF('27'!J7:J18,"&lt;=1,0")</f>
        <v>5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SUM(('27'!AK38+'27'!AM38)/'27'!Y30)*1000</f>
        <v>0</v>
      </c>
      <c r="AM41" s="975"/>
      <c r="AO41" s="970" t="s">
        <v>91</v>
      </c>
      <c r="AP41" s="970"/>
      <c r="AQ41" s="975">
        <f>SUM(('27'!AP38+'27'!AR38)/'27'!Y30)*1000</f>
        <v>9.737297545217718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96">
        <f>SUM('27'!Y45,'27'!AA45,'27'!AC45,'27'!AE45)</f>
        <v>0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COUNTIF('27'!I7:I18,"&lt;=5,0")</f>
        <v>12</v>
      </c>
      <c r="I45" s="986"/>
      <c r="J45" s="986"/>
      <c r="K45" s="133"/>
      <c r="L45" s="968">
        <f>COUNTA('27'!L37)</f>
        <v>0</v>
      </c>
      <c r="M45" s="968"/>
      <c r="O45" s="144"/>
      <c r="P45" s="145"/>
      <c r="Q45" s="987">
        <f>'27'!S41-'27'!O41</f>
        <v>5</v>
      </c>
      <c r="R45" s="987"/>
      <c r="S45" s="987"/>
      <c r="T45" s="146"/>
      <c r="X45" s="147" t="s">
        <v>104</v>
      </c>
      <c r="Y45" s="148">
        <f>'27'!Y44*275.3</f>
        <v>0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0</v>
      </c>
      <c r="AD45" s="147" t="s">
        <v>104</v>
      </c>
      <c r="AE45" s="149"/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89" t="s">
        <v>106</v>
      </c>
      <c r="AG46" s="990">
        <f>SUM('27'!Y47,'27'!AA47,'27'!AC47,'27'!AE47)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'27'!Y45*'27'!Y46</f>
        <v>0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0</v>
      </c>
      <c r="AD47" s="147" t="s">
        <v>108</v>
      </c>
      <c r="AE47" s="148">
        <f>'27'!AE45*'27'!AE46</f>
        <v>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COUNTA('27'!O7:O18)</f>
        <v>12</v>
      </c>
      <c r="P51" s="968">
        <f>COUNTA('27'!W17:W28)</f>
        <v>0</v>
      </c>
      <c r="R51" s="986">
        <f>COUNTIF('27'!O7:O18,"&gt;=0,5")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SUM('27'!Y53,'27'!AA53,'27'!AC53,'27'!AE53)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83"/>
      <c r="AG53" s="996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'27'!AS7</f>
        <v>1.262</v>
      </c>
      <c r="Z54" s="151" t="s">
        <v>105</v>
      </c>
      <c r="AA54" s="153">
        <f>'27'!Y54</f>
        <v>1.262</v>
      </c>
      <c r="AB54" s="151" t="s">
        <v>105</v>
      </c>
      <c r="AC54" s="153">
        <f>'27'!Y54</f>
        <v>1.262</v>
      </c>
      <c r="AD54" s="151" t="s">
        <v>105</v>
      </c>
      <c r="AE54" s="154">
        <v>1.377</v>
      </c>
      <c r="AF54" s="989" t="s">
        <v>106</v>
      </c>
      <c r="AG54" s="990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89"/>
      <c r="AG55" s="990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COUNTA('27'!N7:N18)</f>
        <v>12</v>
      </c>
      <c r="P57" s="997"/>
      <c r="R57" s="998">
        <f>COUNTIF('27'!N7:N18,"&gt;=6")</f>
        <v>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>
        <v>0</v>
      </c>
      <c r="AE63" s="330" t="s">
        <v>153</v>
      </c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'26'!$Y$68</f>
        <v>-16045.116666666663</v>
      </c>
      <c r="Z65" s="1007"/>
      <c r="AA65" s="1007"/>
      <c r="AB65" s="174" t="s">
        <v>126</v>
      </c>
      <c r="AC65" s="238">
        <f>'26'!$AC$68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SUM('27'!AK38,'27'!AP38)</f>
        <v>2360.7999999999993</v>
      </c>
      <c r="Z67" s="1007"/>
      <c r="AA67" s="1007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-18405.916666666664</v>
      </c>
      <c r="Z68" s="1007"/>
      <c r="AA68" s="1007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V28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014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014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2771</v>
      </c>
      <c r="Z6" s="52">
        <v>1582</v>
      </c>
      <c r="AA6" s="15">
        <v>1</v>
      </c>
      <c r="AB6" s="56">
        <f>IF('28'!AA6=1,(('28'!Z6*'28'!$AS$6*'28'!$AT$6)/('28'!Y6*0.0036)),IF('28'!AA6=2,(('28'!Z6*'28'!$AS$7*'28'!$AT$7)/('28'!Y6*0.0036))))</f>
        <v>105.46032318858013</v>
      </c>
      <c r="AC6" s="56"/>
      <c r="AD6" s="18">
        <f>(('28'!AC6*'28'!$Q$10*1000000))/('28'!Y6*3600)</f>
        <v>0</v>
      </c>
      <c r="AE6" s="181"/>
      <c r="AF6" s="182">
        <f>('28'!AE6/24)*0.454</f>
        <v>0</v>
      </c>
      <c r="AG6" s="19"/>
      <c r="AH6" s="182">
        <f>('28'!AG6/24)*0.454</f>
        <v>0</v>
      </c>
      <c r="AI6" s="180">
        <v>5200</v>
      </c>
      <c r="AJ6" s="182">
        <f>('28'!AI6/24)*0.454</f>
        <v>98.36666666666666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1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250</v>
      </c>
      <c r="C7" s="184">
        <v>5</v>
      </c>
      <c r="D7" s="184">
        <v>5</v>
      </c>
      <c r="E7" s="184">
        <v>2.5</v>
      </c>
      <c r="F7" s="184">
        <v>72</v>
      </c>
      <c r="G7" s="184">
        <v>2.4</v>
      </c>
      <c r="H7" s="184">
        <v>1.7</v>
      </c>
      <c r="I7" s="184">
        <v>0.9</v>
      </c>
      <c r="J7" s="184">
        <v>1.2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/>
      <c r="Q7" s="186"/>
      <c r="R7" s="36">
        <f>'27'!$Z$29</f>
        <v>1582</v>
      </c>
      <c r="S7" s="185">
        <f>'27'!$AB$29</f>
        <v>104.4426574537368</v>
      </c>
      <c r="T7" s="36">
        <f>'27'!$Y$29</f>
        <v>2798</v>
      </c>
      <c r="U7" s="32" t="str">
        <f>IF('28'!AA6=1,'28'!AR6,'28'!AR7)</f>
        <v>S.A.L</v>
      </c>
      <c r="V7" s="1016">
        <f>ESCALA!$C$29</f>
        <v>0</v>
      </c>
      <c r="W7" s="1016"/>
      <c r="X7" s="13">
        <v>8.3333333333333301E-2</v>
      </c>
      <c r="Y7" s="52">
        <v>2794</v>
      </c>
      <c r="Z7" s="52">
        <v>1582</v>
      </c>
      <c r="AA7" s="15">
        <v>1</v>
      </c>
      <c r="AB7" s="56">
        <f>IF('28'!AA7=1,(('28'!Z7*'28'!$AS$6*'28'!$AT$6)/('28'!Y7*0.0036)),IF('28'!AA7=2,(('28'!Z7*'28'!$AS$7*'28'!$AT$7)/('28'!Y7*0.0036))))</f>
        <v>104.59218165911081</v>
      </c>
      <c r="AC7" s="56"/>
      <c r="AD7" s="18">
        <f>(('28'!AC7*'28'!$Q$10*1000000))/('28'!Y7*3600)</f>
        <v>0</v>
      </c>
      <c r="AE7" s="181"/>
      <c r="AF7" s="182">
        <f>('28'!AE7/24)*0.454</f>
        <v>0</v>
      </c>
      <c r="AG7" s="19"/>
      <c r="AH7" s="182">
        <f>('28'!AG7/24)*0.454</f>
        <v>0</v>
      </c>
      <c r="AI7" s="180">
        <v>5200</v>
      </c>
      <c r="AJ7" s="182">
        <f>('28'!AI7/24)*0.454</f>
        <v>98.36666666666666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1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250</v>
      </c>
      <c r="C8" s="184">
        <v>5</v>
      </c>
      <c r="D8" s="184">
        <v>5</v>
      </c>
      <c r="E8" s="184">
        <v>2.5</v>
      </c>
      <c r="F8" s="184">
        <v>70</v>
      </c>
      <c r="G8" s="184">
        <v>2.2999999999999998</v>
      </c>
      <c r="H8" s="184">
        <v>1.6</v>
      </c>
      <c r="I8" s="184">
        <v>1</v>
      </c>
      <c r="J8" s="184">
        <v>1.4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/>
      <c r="Q8" s="186"/>
      <c r="R8" s="34">
        <f>'28'!Z7</f>
        <v>1582</v>
      </c>
      <c r="S8" s="35">
        <f>'28'!AB7</f>
        <v>104.59218165911081</v>
      </c>
      <c r="T8" s="36">
        <f>'28'!Y7</f>
        <v>2794</v>
      </c>
      <c r="U8" s="32" t="str">
        <f>IF('28'!AA7=1,'28'!AR6,'28'!AR7)</f>
        <v>S.A.L</v>
      </c>
      <c r="V8" s="1016"/>
      <c r="W8" s="1016"/>
      <c r="X8" s="13">
        <v>0.125</v>
      </c>
      <c r="Y8" s="52">
        <v>2766</v>
      </c>
      <c r="Z8" s="52">
        <v>1582</v>
      </c>
      <c r="AA8" s="15">
        <v>1</v>
      </c>
      <c r="AB8" s="56">
        <f>IF('28'!AA8=1,(('28'!Z8*'28'!$AS$6*'28'!$AT$6)/('28'!Y8*0.0036)),IF('28'!AA8=2,(('28'!Z8*'28'!$AS$7*'28'!$AT$7)/('28'!Y8*0.0036))))</f>
        <v>105.65096007069977</v>
      </c>
      <c r="AC8" s="56"/>
      <c r="AD8" s="18">
        <f>(('28'!AC8*'28'!$Q$10*1000000))/('28'!Y8*3600)</f>
        <v>0</v>
      </c>
      <c r="AE8" s="181"/>
      <c r="AF8" s="182">
        <f>('28'!AE8/24)*0.454</f>
        <v>0</v>
      </c>
      <c r="AG8" s="19"/>
      <c r="AH8" s="182">
        <f>('28'!AG8/24)*0.454</f>
        <v>0</v>
      </c>
      <c r="AI8" s="180">
        <v>5200</v>
      </c>
      <c r="AJ8" s="182">
        <f>('28'!AI8/24)*0.454</f>
        <v>98.36666666666666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1">
        <f>('28'!AO8/24)*0.454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250</v>
      </c>
      <c r="C9" s="184">
        <v>5</v>
      </c>
      <c r="D9" s="184">
        <v>5</v>
      </c>
      <c r="E9" s="184">
        <v>2.5</v>
      </c>
      <c r="F9" s="184">
        <v>65</v>
      </c>
      <c r="G9" s="184">
        <v>2.4</v>
      </c>
      <c r="H9" s="184">
        <v>1.5</v>
      </c>
      <c r="I9" s="184">
        <v>0.9</v>
      </c>
      <c r="J9" s="184">
        <v>1.5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/>
      <c r="Q9" s="186"/>
      <c r="R9" s="36">
        <f>'28'!Z9</f>
        <v>1582</v>
      </c>
      <c r="S9" s="35">
        <f>'28'!AB9</f>
        <v>104.62962962962962</v>
      </c>
      <c r="T9" s="36">
        <f>'28'!Y9</f>
        <v>2793</v>
      </c>
      <c r="U9" s="32" t="str">
        <f>IF('28'!AA9=1,'28'!AR6,'28'!AR7)</f>
        <v>S.A.L</v>
      </c>
      <c r="V9" s="1016"/>
      <c r="W9" s="1016"/>
      <c r="X9" s="13">
        <v>0.16666666666666699</v>
      </c>
      <c r="Y9" s="52">
        <v>2793</v>
      </c>
      <c r="Z9" s="52">
        <v>1582</v>
      </c>
      <c r="AA9" s="15">
        <v>1</v>
      </c>
      <c r="AB9" s="56">
        <f>IF('28'!AA9=1,(('28'!Z9*'28'!$AS$6*'28'!$AT$6)/('28'!Y9*0.0036)),IF('28'!AA9=2,(('28'!Z9*'28'!$AS$7*'28'!$AT$7)/('28'!Y9*0.0036))))</f>
        <v>104.62962962962962</v>
      </c>
      <c r="AC9" s="56"/>
      <c r="AD9" s="18">
        <f>(('28'!AC9*'28'!$Q$10*1000000))/('28'!Y9*3600)</f>
        <v>0</v>
      </c>
      <c r="AE9" s="181"/>
      <c r="AF9" s="182">
        <f>('28'!AE9/24)*0.454</f>
        <v>0</v>
      </c>
      <c r="AG9" s="19"/>
      <c r="AH9" s="182">
        <f>('28'!AG9/24)*0.454</f>
        <v>0</v>
      </c>
      <c r="AI9" s="180">
        <v>5200</v>
      </c>
      <c r="AJ9" s="182">
        <f>('28'!AI9/24)*0.454</f>
        <v>98.36666666666666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1">
        <f>('28'!AO9/24)*0.454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161</v>
      </c>
      <c r="C10" s="184">
        <v>7</v>
      </c>
      <c r="D10" s="184">
        <v>5.3</v>
      </c>
      <c r="E10" s="184">
        <v>1.7</v>
      </c>
      <c r="F10" s="184">
        <v>59</v>
      </c>
      <c r="G10" s="184">
        <v>2.5</v>
      </c>
      <c r="H10" s="184">
        <v>1.6</v>
      </c>
      <c r="I10" s="184">
        <v>0.9</v>
      </c>
      <c r="J10" s="184">
        <v>1.6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/>
      <c r="Q10" s="186"/>
      <c r="R10" s="36">
        <f>'28'!Z7</f>
        <v>1582</v>
      </c>
      <c r="S10" s="35">
        <f>'28'!AB11</f>
        <v>104.55476048499305</v>
      </c>
      <c r="T10" s="36">
        <f>'28'!Y11</f>
        <v>2795</v>
      </c>
      <c r="U10" s="32" t="str">
        <f>IF('28'!AA11=1,'28'!AR6,'28'!AR7)</f>
        <v>S.A.L</v>
      </c>
      <c r="V10" s="1016"/>
      <c r="W10" s="1016"/>
      <c r="X10" s="13">
        <v>0.20833333333333301</v>
      </c>
      <c r="Y10" s="52">
        <v>2805</v>
      </c>
      <c r="Z10" s="52">
        <v>1582</v>
      </c>
      <c r="AA10" s="15">
        <v>1</v>
      </c>
      <c r="AB10" s="56">
        <f>IF('28'!AA10=1,(('28'!Z10*'28'!$AS$6*'28'!$AT$6)/('28'!Y10*0.0036)),IF('28'!AA10=2,(('28'!Z10*'28'!$AS$7*'28'!$AT$7)/('28'!Y10*0.0036))))</f>
        <v>104.18201624083977</v>
      </c>
      <c r="AC10" s="56"/>
      <c r="AD10" s="18">
        <f>(('28'!AC10*'28'!$Q$10*1000000))/('28'!Y10*3600)</f>
        <v>0</v>
      </c>
      <c r="AE10" s="181"/>
      <c r="AF10" s="182">
        <f>('28'!AE10/24)*0.454</f>
        <v>0</v>
      </c>
      <c r="AG10" s="19"/>
      <c r="AH10" s="182">
        <f>('28'!AG10/24)*0.454</f>
        <v>0</v>
      </c>
      <c r="AI10" s="180">
        <v>5200</v>
      </c>
      <c r="AJ10" s="182">
        <f>('28'!AI10/24)*0.454</f>
        <v>98.36666666666666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1">
        <f>('28'!AO10/24)*0.454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158</v>
      </c>
      <c r="C11" s="184">
        <v>12</v>
      </c>
      <c r="D11" s="184">
        <v>10</v>
      </c>
      <c r="E11" s="184">
        <v>6</v>
      </c>
      <c r="F11" s="184">
        <v>56</v>
      </c>
      <c r="G11" s="184">
        <v>2.4</v>
      </c>
      <c r="H11" s="184">
        <v>1.5</v>
      </c>
      <c r="I11" s="184">
        <v>1</v>
      </c>
      <c r="J11" s="184">
        <v>1.2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/>
      <c r="Q11" s="186"/>
      <c r="R11" s="36">
        <f>'28'!Z9</f>
        <v>1582</v>
      </c>
      <c r="S11" s="35">
        <f>'28'!AB13</f>
        <v>103.48107491344035</v>
      </c>
      <c r="T11" s="36">
        <f>'28'!Y13</f>
        <v>2824</v>
      </c>
      <c r="U11" s="32" t="str">
        <f>IF('28'!AA13=1,'28'!AR6,'28'!AR7)</f>
        <v>S.A.L</v>
      </c>
      <c r="V11" s="1016"/>
      <c r="W11" s="1016"/>
      <c r="X11" s="13">
        <v>0.25</v>
      </c>
      <c r="Y11" s="52">
        <v>2795</v>
      </c>
      <c r="Z11" s="52">
        <v>1582</v>
      </c>
      <c r="AA11" s="15">
        <v>1</v>
      </c>
      <c r="AB11" s="56">
        <f>IF('28'!AA11=1,(('28'!Z11*'28'!$AS$6*'28'!$AT$6)/('28'!Y11*0.0036)),IF('28'!AA11=2,(('28'!Z11*'28'!$AS$7*'28'!$AT$7)/('28'!Y11*0.0036))))</f>
        <v>104.55476048499305</v>
      </c>
      <c r="AC11" s="56"/>
      <c r="AD11" s="18">
        <f>(('28'!AC11*'28'!$Q$10*1000000))/('28'!Y11*3600)</f>
        <v>0</v>
      </c>
      <c r="AE11" s="181"/>
      <c r="AF11" s="182">
        <f>('28'!AE11/24)*0.454</f>
        <v>0</v>
      </c>
      <c r="AG11" s="19"/>
      <c r="AH11" s="182">
        <f>('28'!AG11/24)*0.454</f>
        <v>0</v>
      </c>
      <c r="AI11" s="180">
        <v>5200</v>
      </c>
      <c r="AJ11" s="182">
        <f>('28'!AI11/24)*0.454</f>
        <v>98.36666666666666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1">
        <f>('28'!AO11/24)*0.454</f>
        <v>0</v>
      </c>
    </row>
    <row r="12" spans="1:47" ht="18.75" customHeight="1">
      <c r="A12" s="28">
        <v>0.41666666666666702</v>
      </c>
      <c r="B12" s="184">
        <v>160</v>
      </c>
      <c r="C12" s="184">
        <v>12</v>
      </c>
      <c r="D12" s="184">
        <v>11</v>
      </c>
      <c r="E12" s="184">
        <v>6</v>
      </c>
      <c r="F12" s="184">
        <v>58</v>
      </c>
      <c r="G12" s="184">
        <v>2.2999999999999998</v>
      </c>
      <c r="H12" s="184">
        <v>1.5</v>
      </c>
      <c r="I12" s="184">
        <v>0.9</v>
      </c>
      <c r="J12" s="184">
        <v>1.1000000000000001</v>
      </c>
      <c r="K12" s="184">
        <v>7.3</v>
      </c>
      <c r="L12" s="184">
        <v>6.3</v>
      </c>
      <c r="M12" s="184">
        <v>6.3</v>
      </c>
      <c r="N12" s="184">
        <v>6</v>
      </c>
      <c r="O12" s="184">
        <v>3</v>
      </c>
      <c r="P12" s="184"/>
      <c r="Q12" s="186"/>
      <c r="R12" s="36">
        <f>'28'!Z11</f>
        <v>1582</v>
      </c>
      <c r="S12" s="35">
        <f>'28'!AB15</f>
        <v>105.08110591713613</v>
      </c>
      <c r="T12" s="36">
        <f>'28'!Y15</f>
        <v>2781</v>
      </c>
      <c r="U12" s="32" t="str">
        <f>IF('28'!AA15=1,'28'!AR6,'28'!AR7)</f>
        <v>S.A.L</v>
      </c>
      <c r="V12" s="938">
        <f>ESCALA!$B$30</f>
        <v>0</v>
      </c>
      <c r="W12" s="938"/>
      <c r="X12" s="13">
        <v>0.29166666666666702</v>
      </c>
      <c r="Y12" s="52">
        <v>2793</v>
      </c>
      <c r="Z12" s="52">
        <v>1582</v>
      </c>
      <c r="AA12" s="15">
        <v>1</v>
      </c>
      <c r="AB12" s="56">
        <f>IF('28'!AA12=1,(('28'!Z12*'28'!$AS$6*'28'!$AT$6)/('28'!Y12*0.0036)),IF('28'!AA12=2,(('28'!Z12*'28'!$AS$7*'28'!$AT$7)/('28'!Y12*0.0036))))</f>
        <v>104.62962962962962</v>
      </c>
      <c r="AC12" s="56"/>
      <c r="AD12" s="18">
        <f>(('28'!AC12*'28'!$Q$10*1000000))/('28'!Y12*3600)</f>
        <v>0</v>
      </c>
      <c r="AE12" s="181"/>
      <c r="AF12" s="182">
        <f>('28'!AE12/24)*0.454</f>
        <v>0</v>
      </c>
      <c r="AG12" s="19"/>
      <c r="AH12" s="182">
        <f>('28'!AG12/24)*0.454</f>
        <v>0</v>
      </c>
      <c r="AI12" s="180">
        <v>5200</v>
      </c>
      <c r="AJ12" s="182">
        <f>('28'!AI12/24)*0.454</f>
        <v>98.36666666666666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1">
        <f>('28'!AO12/24)*0.454</f>
        <v>0</v>
      </c>
    </row>
    <row r="13" spans="1:47" ht="18.75" customHeight="1">
      <c r="A13" s="28">
        <v>0.5</v>
      </c>
      <c r="B13" s="184">
        <v>162</v>
      </c>
      <c r="C13" s="184">
        <v>12</v>
      </c>
      <c r="D13" s="184">
        <v>10</v>
      </c>
      <c r="E13" s="184">
        <v>6</v>
      </c>
      <c r="F13" s="184">
        <v>56</v>
      </c>
      <c r="G13" s="184">
        <v>2.2999999999999998</v>
      </c>
      <c r="H13" s="184">
        <v>1.4</v>
      </c>
      <c r="I13" s="184">
        <v>0.7</v>
      </c>
      <c r="J13" s="184">
        <v>1</v>
      </c>
      <c r="K13" s="184">
        <v>7.3</v>
      </c>
      <c r="L13" s="184">
        <v>6.3</v>
      </c>
      <c r="M13" s="184">
        <v>6.3</v>
      </c>
      <c r="N13" s="184">
        <v>6</v>
      </c>
      <c r="O13" s="184">
        <v>2.8</v>
      </c>
      <c r="P13" s="184"/>
      <c r="Q13" s="186"/>
      <c r="R13" s="36">
        <f>'28'!Z17</f>
        <v>1582</v>
      </c>
      <c r="S13" s="35">
        <f>'28'!AB17</f>
        <v>103.95964267362346</v>
      </c>
      <c r="T13" s="36">
        <f>'28'!Y17</f>
        <v>2811</v>
      </c>
      <c r="U13" s="32" t="str">
        <f>IF('28'!AA17=1,'28'!AR6,'28'!AR7)</f>
        <v>S.A.L</v>
      </c>
      <c r="V13" s="938"/>
      <c r="W13" s="938"/>
      <c r="X13" s="13">
        <v>0.33333333333333298</v>
      </c>
      <c r="Y13" s="52">
        <v>2824</v>
      </c>
      <c r="Z13" s="52">
        <v>1582</v>
      </c>
      <c r="AA13" s="15">
        <v>1</v>
      </c>
      <c r="AB13" s="56">
        <f>IF('28'!AA13=1,(('28'!Z13*'28'!$AS$6*'28'!$AT$6)/('28'!Y13*0.0036)),IF('28'!AA13=2,(('28'!Z13*'28'!$AS$7*'28'!$AT$7)/('28'!Y13*0.0036))))</f>
        <v>103.48107491344035</v>
      </c>
      <c r="AC13" s="56"/>
      <c r="AD13" s="18">
        <f>(('28'!AC13*'28'!$Q$10*1000000))/('28'!Y13*3600)</f>
        <v>0</v>
      </c>
      <c r="AE13" s="181"/>
      <c r="AF13" s="182">
        <f>('28'!AE13/24)*0.454</f>
        <v>0</v>
      </c>
      <c r="AG13" s="19"/>
      <c r="AH13" s="182">
        <f>('28'!AG13/24)*0.454</f>
        <v>0</v>
      </c>
      <c r="AI13" s="180">
        <v>5200</v>
      </c>
      <c r="AJ13" s="182">
        <f>('28'!AI13/24)*0.454</f>
        <v>98.36666666666666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1">
        <f>('28'!AO13/24)*0.454</f>
        <v>0</v>
      </c>
    </row>
    <row r="14" spans="1:47" ht="18.75" customHeight="1">
      <c r="A14" s="28">
        <v>0.58333333333333304</v>
      </c>
      <c r="B14" s="184">
        <v>161</v>
      </c>
      <c r="C14" s="184">
        <v>11</v>
      </c>
      <c r="D14" s="184">
        <v>10</v>
      </c>
      <c r="E14" s="184">
        <v>6</v>
      </c>
      <c r="F14" s="184">
        <v>54</v>
      </c>
      <c r="G14" s="184">
        <v>2.4</v>
      </c>
      <c r="H14" s="184">
        <v>1.4</v>
      </c>
      <c r="I14" s="184">
        <v>0.6</v>
      </c>
      <c r="J14" s="184">
        <v>1</v>
      </c>
      <c r="K14" s="184">
        <v>7.3</v>
      </c>
      <c r="L14" s="184">
        <v>6.3</v>
      </c>
      <c r="M14" s="184">
        <v>6.3</v>
      </c>
      <c r="N14" s="184">
        <v>6</v>
      </c>
      <c r="O14" s="184">
        <v>2.8</v>
      </c>
      <c r="P14" s="184"/>
      <c r="Q14" s="186"/>
      <c r="R14" s="36">
        <f>'28'!Z19</f>
        <v>1582</v>
      </c>
      <c r="S14" s="35">
        <f>'28'!AB19</f>
        <v>104.81727243743026</v>
      </c>
      <c r="T14" s="36">
        <f>'28'!Y19</f>
        <v>2788</v>
      </c>
      <c r="U14" s="32" t="str">
        <f>IF('28'!AA19=1,'28'!AR6,'28'!AR7)</f>
        <v>S.A.L</v>
      </c>
      <c r="V14" s="938"/>
      <c r="W14" s="938"/>
      <c r="X14" s="13">
        <v>0.375</v>
      </c>
      <c r="Y14" s="52">
        <v>2801</v>
      </c>
      <c r="Z14" s="52">
        <v>1582</v>
      </c>
      <c r="AA14" s="15">
        <v>1</v>
      </c>
      <c r="AB14" s="56">
        <f>IF('28'!AA14=1,(('28'!Z14*'28'!$AS$6*'28'!$AT$6)/('28'!Y14*0.0036)),IF('28'!AA14=2,(('28'!Z14*'28'!$AS$7*'28'!$AT$7)/('28'!Y14*0.0036))))</f>
        <v>104.3307945574993</v>
      </c>
      <c r="AC14" s="56"/>
      <c r="AD14" s="18">
        <f>(('28'!AC14*'28'!$Q$10*1000000))/('28'!Y14*3600)</f>
        <v>0</v>
      </c>
      <c r="AE14" s="181"/>
      <c r="AF14" s="182">
        <f>('28'!AE14/24)*0.454</f>
        <v>0</v>
      </c>
      <c r="AG14" s="19"/>
      <c r="AH14" s="182">
        <f>('28'!AG14/24)*0.454</f>
        <v>0</v>
      </c>
      <c r="AI14" s="180">
        <v>5200</v>
      </c>
      <c r="AJ14" s="182">
        <f>('28'!AI14/24)*0.454</f>
        <v>98.36666666666666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1">
        <f>('28'!AO14/24)*0.454</f>
        <v>0</v>
      </c>
    </row>
    <row r="15" spans="1:47" ht="18.75" customHeight="1">
      <c r="A15" s="28">
        <v>0.66666666666666696</v>
      </c>
      <c r="B15" s="184">
        <v>160</v>
      </c>
      <c r="C15" s="184">
        <v>11</v>
      </c>
      <c r="D15" s="184">
        <v>10</v>
      </c>
      <c r="E15" s="184">
        <v>6</v>
      </c>
      <c r="F15" s="184">
        <v>53</v>
      </c>
      <c r="G15" s="184">
        <v>2.4</v>
      </c>
      <c r="H15" s="184">
        <v>1.6</v>
      </c>
      <c r="I15" s="184">
        <v>0.6</v>
      </c>
      <c r="J15" s="184">
        <v>0.9</v>
      </c>
      <c r="K15" s="184">
        <v>7.3</v>
      </c>
      <c r="L15" s="184">
        <v>6.3</v>
      </c>
      <c r="M15" s="184">
        <v>6.3</v>
      </c>
      <c r="N15" s="184">
        <v>6</v>
      </c>
      <c r="O15" s="184">
        <v>2.8</v>
      </c>
      <c r="P15" s="184"/>
      <c r="Q15" s="186"/>
      <c r="R15" s="36">
        <f>'28'!Z21</f>
        <v>1582</v>
      </c>
      <c r="S15" s="35">
        <f>'28'!AB21</f>
        <v>113.88564129211049</v>
      </c>
      <c r="T15" s="36">
        <f>'28'!Y21</f>
        <v>2566</v>
      </c>
      <c r="U15" s="32" t="str">
        <f>IF('28'!AA21=1,'28'!AR6,'28'!AR7)</f>
        <v>S.A.L</v>
      </c>
      <c r="V15" s="938"/>
      <c r="W15" s="938"/>
      <c r="X15" s="13">
        <v>0.41666666666666702</v>
      </c>
      <c r="Y15" s="52">
        <v>2781</v>
      </c>
      <c r="Z15" s="52">
        <v>1582</v>
      </c>
      <c r="AA15" s="15">
        <v>1</v>
      </c>
      <c r="AB15" s="56">
        <f>IF('28'!AA15=1,(('28'!Z15*'28'!$AS$6*'28'!$AT$6)/('28'!Y15*0.0036)),IF('28'!AA15=2,(('28'!Z15*'28'!$AS$7*'28'!$AT$7)/('28'!Y15*0.0036))))</f>
        <v>105.08110591713613</v>
      </c>
      <c r="AC15" s="56"/>
      <c r="AD15" s="18">
        <f>(('28'!AC15*'28'!$Q$10*1000000))/('28'!Y15*3600)</f>
        <v>0</v>
      </c>
      <c r="AE15" s="181"/>
      <c r="AF15" s="182">
        <f>('28'!AE15/24)*0.454</f>
        <v>0</v>
      </c>
      <c r="AG15" s="19"/>
      <c r="AH15" s="182">
        <f>('28'!AG15/24)*0.454</f>
        <v>0</v>
      </c>
      <c r="AI15" s="180">
        <v>5200</v>
      </c>
      <c r="AJ15" s="182">
        <f>('28'!AI15/24)*0.454</f>
        <v>98.36666666666666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1">
        <f>('28'!AO15/24)*0.454</f>
        <v>0</v>
      </c>
    </row>
    <row r="16" spans="1:47" ht="18.75" customHeight="1">
      <c r="A16" s="28">
        <v>0.75</v>
      </c>
      <c r="B16" s="184">
        <v>164</v>
      </c>
      <c r="C16" s="184">
        <v>12</v>
      </c>
      <c r="D16" s="184">
        <v>11</v>
      </c>
      <c r="E16" s="184">
        <v>6</v>
      </c>
      <c r="F16" s="184">
        <v>55</v>
      </c>
      <c r="G16" s="184">
        <v>2.5</v>
      </c>
      <c r="H16" s="184">
        <v>1.8</v>
      </c>
      <c r="I16" s="184">
        <v>0.6</v>
      </c>
      <c r="J16" s="184">
        <v>0.9</v>
      </c>
      <c r="K16" s="184">
        <v>7.3</v>
      </c>
      <c r="L16" s="184">
        <v>6.3</v>
      </c>
      <c r="M16" s="184">
        <v>6.3</v>
      </c>
      <c r="N16" s="184">
        <v>6</v>
      </c>
      <c r="O16" s="184">
        <v>3</v>
      </c>
      <c r="P16" s="184"/>
      <c r="Q16" s="186"/>
      <c r="R16" s="36">
        <f>'28'!Z23</f>
        <v>1582</v>
      </c>
      <c r="S16" s="35">
        <f>'28'!AB23</f>
        <v>111.32592592592593</v>
      </c>
      <c r="T16" s="36">
        <f>'28'!Y23</f>
        <v>2625</v>
      </c>
      <c r="U16" s="32" t="str">
        <f>IF('28'!AA23=1,'28'!AR6,'28'!AR7)</f>
        <v>S.A.L</v>
      </c>
      <c r="V16" s="938"/>
      <c r="W16" s="938"/>
      <c r="X16" s="13">
        <v>0.45833333333333298</v>
      </c>
      <c r="Y16" s="52">
        <v>2848</v>
      </c>
      <c r="Z16" s="52">
        <v>1582</v>
      </c>
      <c r="AA16" s="15">
        <v>1</v>
      </c>
      <c r="AB16" s="56">
        <f>IF('28'!AA16=1,(('28'!Z16*'28'!$AS$6*'28'!$AT$6)/('28'!Y16*0.0036)),IF('28'!AA16=2,(('28'!Z16*'28'!$AS$7*'28'!$AT$7)/('28'!Y16*0.0036))))</f>
        <v>102.6090433832709</v>
      </c>
      <c r="AC16" s="56"/>
      <c r="AD16" s="18">
        <f>(('28'!AC16*'28'!$Q$10*1000000))/('28'!Y16*3600)</f>
        <v>0</v>
      </c>
      <c r="AE16" s="181"/>
      <c r="AF16" s="182">
        <f>('28'!AE16/24)*0.454</f>
        <v>0</v>
      </c>
      <c r="AG16" s="19"/>
      <c r="AH16" s="182">
        <f>('28'!AG16/24)*0.454</f>
        <v>0</v>
      </c>
      <c r="AI16" s="180">
        <v>5200</v>
      </c>
      <c r="AJ16" s="182">
        <f>('28'!AI16/24)*0.454</f>
        <v>98.36666666666666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1">
        <f>('28'!AO16/24)*0.454</f>
        <v>0</v>
      </c>
    </row>
    <row r="17" spans="1:42" ht="18.75" customHeight="1">
      <c r="A17" s="28">
        <v>0.83333333333333304</v>
      </c>
      <c r="B17" s="184">
        <v>165</v>
      </c>
      <c r="C17" s="184">
        <v>12</v>
      </c>
      <c r="D17" s="184">
        <v>12</v>
      </c>
      <c r="E17" s="184">
        <v>6</v>
      </c>
      <c r="F17" s="184">
        <v>57</v>
      </c>
      <c r="G17" s="184">
        <v>2.5</v>
      </c>
      <c r="H17" s="184">
        <v>2.2000000000000002</v>
      </c>
      <c r="I17" s="184">
        <v>0.6</v>
      </c>
      <c r="J17" s="184">
        <v>0.7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/>
      <c r="Q17" s="186"/>
      <c r="R17" s="36">
        <f>'28'!Z25</f>
        <v>1582</v>
      </c>
      <c r="S17" s="35">
        <f>'28'!AB25</f>
        <v>112.43961352657006</v>
      </c>
      <c r="T17" s="36">
        <f>'28'!Y25</f>
        <v>2599</v>
      </c>
      <c r="U17" s="32" t="str">
        <f>IF('28'!AA25=1,'28'!AR6,'28'!AR7)</f>
        <v>S.A.L</v>
      </c>
      <c r="V17" s="939">
        <f>ESCALA!$C$30</f>
        <v>0</v>
      </c>
      <c r="W17" s="939"/>
      <c r="X17" s="13">
        <v>0.5</v>
      </c>
      <c r="Y17" s="52">
        <v>2811</v>
      </c>
      <c r="Z17" s="52">
        <v>1582</v>
      </c>
      <c r="AA17" s="15">
        <v>1</v>
      </c>
      <c r="AB17" s="56">
        <f>IF('28'!AA17=1,(('28'!Z17*'28'!$AS$6*'28'!$AT$6)/('28'!Y17*0.0036)),IF('28'!AA17=2,(('28'!Z17*'28'!$AS$7*'28'!$AT$7)/('28'!Y17*0.0036))))</f>
        <v>103.95964267362346</v>
      </c>
      <c r="AC17" s="56"/>
      <c r="AD17" s="18">
        <f>(('28'!AC17*'28'!$Q$10*1000000))/('28'!Y17*3600)</f>
        <v>0</v>
      </c>
      <c r="AE17" s="181"/>
      <c r="AF17" s="182">
        <f>('28'!AE17/24)*0.454</f>
        <v>0</v>
      </c>
      <c r="AG17" s="19"/>
      <c r="AH17" s="182">
        <f>('28'!AG17/24)*0.454</f>
        <v>0</v>
      </c>
      <c r="AI17" s="180">
        <v>5200</v>
      </c>
      <c r="AJ17" s="182">
        <f>('28'!AI17/24)*0.454</f>
        <v>98.36666666666666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1">
        <f>('28'!AO17/24)*0.454</f>
        <v>0</v>
      </c>
    </row>
    <row r="18" spans="1:42" ht="19.5" customHeight="1">
      <c r="A18" s="28">
        <v>0.91666666666666696</v>
      </c>
      <c r="B18" s="184">
        <v>167</v>
      </c>
      <c r="C18" s="184">
        <v>12</v>
      </c>
      <c r="D18" s="184">
        <v>12</v>
      </c>
      <c r="E18" s="184">
        <v>6</v>
      </c>
      <c r="F18" s="184">
        <v>59</v>
      </c>
      <c r="G18" s="184">
        <v>2.2999999999999998</v>
      </c>
      <c r="H18" s="184">
        <v>2.7</v>
      </c>
      <c r="I18" s="184">
        <v>0.6</v>
      </c>
      <c r="J18" s="184">
        <v>0.6</v>
      </c>
      <c r="K18" s="184">
        <v>7.3</v>
      </c>
      <c r="L18" s="184">
        <v>6.3</v>
      </c>
      <c r="M18" s="184">
        <v>6.3</v>
      </c>
      <c r="N18" s="184">
        <v>6</v>
      </c>
      <c r="O18" s="184">
        <v>3.4</v>
      </c>
      <c r="P18" s="184"/>
      <c r="Q18" s="186"/>
      <c r="R18" s="36">
        <f>'28'!Z27</f>
        <v>1582</v>
      </c>
      <c r="S18" s="35">
        <f>'28'!AB27</f>
        <v>112.48289282353947</v>
      </c>
      <c r="T18" s="36">
        <f>'28'!Y27</f>
        <v>2598</v>
      </c>
      <c r="U18" s="32" t="str">
        <f>IF('28'!AA27=1,'28'!AR6,'28'!AR7)</f>
        <v>S.A.L</v>
      </c>
      <c r="V18" s="939"/>
      <c r="W18" s="939"/>
      <c r="X18" s="13">
        <v>0.54166666666666696</v>
      </c>
      <c r="Y18" s="52">
        <v>2787</v>
      </c>
      <c r="Z18" s="52">
        <v>1582</v>
      </c>
      <c r="AA18" s="15">
        <v>1</v>
      </c>
      <c r="AB18" s="56">
        <f>IF('28'!AA18=1,(('28'!Z18*'28'!$AS$6*'28'!$AT$6)/('28'!Y18*0.0036)),IF('28'!AA18=2,(('28'!Z18*'28'!$AS$7*'28'!$AT$7)/('28'!Y18*0.0036))))</f>
        <v>104.85488179244908</v>
      </c>
      <c r="AC18" s="56"/>
      <c r="AD18" s="18">
        <f>(('28'!AC18*'28'!$Q$10*1000000))/('28'!Y18*3600)</f>
        <v>0</v>
      </c>
      <c r="AE18" s="181"/>
      <c r="AF18" s="182">
        <f>('28'!AE18/24)*0.454</f>
        <v>0</v>
      </c>
      <c r="AG18" s="19"/>
      <c r="AH18" s="182">
        <f>('28'!AG18/24)*0.454</f>
        <v>0</v>
      </c>
      <c r="AI18" s="180">
        <v>5200</v>
      </c>
      <c r="AJ18" s="182">
        <f>('28'!AI18/24)*0.454</f>
        <v>98.36666666666666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1">
        <f>('28'!AO18/24)*0.454</f>
        <v>0</v>
      </c>
    </row>
    <row r="19" spans="1:42" ht="18.75" customHeight="1">
      <c r="A19" s="10" t="s">
        <v>52</v>
      </c>
      <c r="B19" s="187">
        <f>AVERAGE('28'!B7:B18)</f>
        <v>184</v>
      </c>
      <c r="C19" s="67">
        <f>AVERAGE('28'!C7:C18)</f>
        <v>9.6666666666666661</v>
      </c>
      <c r="D19" s="67">
        <f>AVERAGE('28'!D7:D18)</f>
        <v>8.8583333333333325</v>
      </c>
      <c r="E19" s="67">
        <f>AVERAGE('28'!E7:E18)</f>
        <v>4.7666666666666666</v>
      </c>
      <c r="F19" s="67">
        <f>AVERAGE('28'!F7:F18)</f>
        <v>59.5</v>
      </c>
      <c r="G19" s="67">
        <f>AVERAGE('28'!G7:G18)</f>
        <v>2.3916666666666666</v>
      </c>
      <c r="H19" s="67">
        <f>AVERAGE('28'!H7:H18)</f>
        <v>1.7083333333333333</v>
      </c>
      <c r="I19" s="67">
        <f>AVERAGE('28'!I7:I18)</f>
        <v>0.77499999999999991</v>
      </c>
      <c r="J19" s="67">
        <f>AVERAGE('28'!J7:J18)</f>
        <v>1.0916666666666666</v>
      </c>
      <c r="K19" s="67">
        <f>AVERAGE('28'!K7:K18)</f>
        <v>7.299999999999998</v>
      </c>
      <c r="L19" s="67">
        <f>AVERAGE('28'!L7:L18)</f>
        <v>6.299999999999998</v>
      </c>
      <c r="M19" s="67">
        <f>AVERAGE('28'!M7:M18)</f>
        <v>6.299999999999998</v>
      </c>
      <c r="N19" s="67">
        <f>AVERAGE('28'!N7:N18)</f>
        <v>6</v>
      </c>
      <c r="O19" s="67">
        <f>AVERAGE('28'!O7:O18)</f>
        <v>3.2083333333333335</v>
      </c>
      <c r="P19" s="188" t="e">
        <f>AVERAGE('28'!P7:P18)</f>
        <v>#DIV/0!</v>
      </c>
      <c r="Q19" s="189" t="e">
        <f>AVERAGE('28'!Q7:Q18)</f>
        <v>#DIV/0!</v>
      </c>
      <c r="R19" s="189">
        <f>AVERAGE('28'!R7:R18)</f>
        <v>1582</v>
      </c>
      <c r="S19" s="189">
        <f>AVERAGE('28'!S7:S18)</f>
        <v>107.14103322810386</v>
      </c>
      <c r="T19" s="940"/>
      <c r="U19" s="940"/>
      <c r="V19" s="47"/>
      <c r="W19" s="48"/>
      <c r="X19" s="13">
        <v>0.58333333333333304</v>
      </c>
      <c r="Y19" s="52">
        <v>2788</v>
      </c>
      <c r="Z19" s="52">
        <v>1582</v>
      </c>
      <c r="AA19" s="15">
        <v>1</v>
      </c>
      <c r="AB19" s="56">
        <f>IF('28'!AA19=1,(('28'!Z19*'28'!$AS$6*'28'!$AT$6)/('28'!Y19*0.0036)),IF('28'!AA19=2,(('28'!Z19*'28'!$AS$7*'28'!$AT$7)/('28'!Y19*0.0036))))</f>
        <v>104.81727243743026</v>
      </c>
      <c r="AC19" s="56"/>
      <c r="AD19" s="18">
        <f>(('28'!AC19*'28'!$Q$10*1000000))/('28'!Y19*3600)</f>
        <v>0</v>
      </c>
      <c r="AE19" s="181"/>
      <c r="AF19" s="182">
        <f>('28'!AE19/24)*0.454</f>
        <v>0</v>
      </c>
      <c r="AG19" s="19"/>
      <c r="AH19" s="182">
        <f>('28'!AG19/24)*0.454</f>
        <v>0</v>
      </c>
      <c r="AI19" s="180">
        <v>5200</v>
      </c>
      <c r="AJ19" s="182">
        <f>('28'!AI19/24)*0.454</f>
        <v>98.36666666666666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1">
        <f>('28'!AO19/24)*0.454</f>
        <v>0</v>
      </c>
    </row>
    <row r="20" spans="1:42" ht="18.75" customHeight="1">
      <c r="A20" s="10" t="s">
        <v>53</v>
      </c>
      <c r="B20" s="187">
        <f>MAX('28'!B7:B18)</f>
        <v>250</v>
      </c>
      <c r="C20" s="67">
        <f>MAX('28'!C7:C18)</f>
        <v>12</v>
      </c>
      <c r="D20" s="67">
        <f>MAX('28'!D7:D18)</f>
        <v>12</v>
      </c>
      <c r="E20" s="67">
        <f>MAX('28'!E7:E18)</f>
        <v>6</v>
      </c>
      <c r="F20" s="67">
        <f>MAX('28'!F7:F18)</f>
        <v>72</v>
      </c>
      <c r="G20" s="67">
        <f>MAX('28'!G7:G18)</f>
        <v>2.5</v>
      </c>
      <c r="H20" s="67">
        <f>MAX('28'!H7:H18)</f>
        <v>2.7</v>
      </c>
      <c r="I20" s="67">
        <f>MAX('28'!I7:I18)</f>
        <v>1</v>
      </c>
      <c r="J20" s="67">
        <f>MAX('28'!J7:J18)</f>
        <v>1.6</v>
      </c>
      <c r="K20" s="67">
        <f>MAX('28'!K7:K18)</f>
        <v>7.3</v>
      </c>
      <c r="L20" s="67">
        <f>MAX('28'!L7:L18)</f>
        <v>6.3</v>
      </c>
      <c r="M20" s="67">
        <f>MAX('28'!M7:M18)</f>
        <v>6.3</v>
      </c>
      <c r="N20" s="67">
        <f>MAX('28'!N7:N18)</f>
        <v>6</v>
      </c>
      <c r="O20" s="68">
        <f>MAX('28'!O7:O18)</f>
        <v>3.5</v>
      </c>
      <c r="P20" s="68">
        <f>MAX('28'!P7:P18)</f>
        <v>0</v>
      </c>
      <c r="Q20" s="68">
        <f>MAX('28'!Q7:Q18)</f>
        <v>0</v>
      </c>
      <c r="R20" s="68">
        <f>MAX('28'!R7:R18)</f>
        <v>1582</v>
      </c>
      <c r="S20" s="68">
        <f>MAX('28'!S7:S18)</f>
        <v>113.88564129211049</v>
      </c>
      <c r="T20" s="940"/>
      <c r="U20" s="940"/>
      <c r="X20" s="13">
        <v>0.625</v>
      </c>
      <c r="Y20" s="52">
        <v>2815</v>
      </c>
      <c r="Z20" s="52">
        <v>1582</v>
      </c>
      <c r="AA20" s="15">
        <v>1</v>
      </c>
      <c r="AB20" s="56">
        <f>IF('28'!AA20=1,(('28'!Z20*'28'!$AS$6*'28'!$AT$6)/('28'!Y20*0.0036)),IF('28'!AA20=2,(('28'!Z20*'28'!$AS$7*'28'!$AT$7)/('28'!Y20*0.0036))))</f>
        <v>103.81192026840338</v>
      </c>
      <c r="AC20" s="56"/>
      <c r="AD20" s="18">
        <f>(('28'!AC20*'28'!$Q$10*1000000))/('28'!Y20*3600)</f>
        <v>0</v>
      </c>
      <c r="AE20" s="181"/>
      <c r="AF20" s="182">
        <f>('28'!AE20/24)*0.454</f>
        <v>0</v>
      </c>
      <c r="AG20" s="19"/>
      <c r="AH20" s="182">
        <f>('28'!AG20/24)*0.454</f>
        <v>0</v>
      </c>
      <c r="AI20" s="180">
        <v>5200</v>
      </c>
      <c r="AJ20" s="182">
        <f>('28'!AI20/24)*0.454</f>
        <v>98.36666666666666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1">
        <f>('28'!AO20/24)*0.454</f>
        <v>0</v>
      </c>
    </row>
    <row r="21" spans="1:42" ht="19.5" customHeight="1">
      <c r="A21" s="10" t="s">
        <v>54</v>
      </c>
      <c r="B21" s="187">
        <f>MIN('28'!B7:B18)</f>
        <v>158</v>
      </c>
      <c r="C21" s="67">
        <f>MIN('28'!C7:C18)</f>
        <v>5</v>
      </c>
      <c r="D21" s="67">
        <f>MIN('28'!D7:D18)</f>
        <v>5</v>
      </c>
      <c r="E21" s="67">
        <f>MIN('28'!E7:E18)</f>
        <v>1.7</v>
      </c>
      <c r="F21" s="67">
        <f>MIN('28'!F7:F18)</f>
        <v>53</v>
      </c>
      <c r="G21" s="190">
        <f>MIN('28'!G7:G18)</f>
        <v>2.2999999999999998</v>
      </c>
      <c r="H21" s="190">
        <f>MIN('28'!H7:H18)</f>
        <v>1.4</v>
      </c>
      <c r="I21" s="190">
        <f>MIN('28'!I7:I18)</f>
        <v>0.6</v>
      </c>
      <c r="J21" s="190">
        <f>MIN('28'!J7:J18)</f>
        <v>0.6</v>
      </c>
      <c r="K21" s="190">
        <f>MIN('28'!K7:K18)</f>
        <v>7.3</v>
      </c>
      <c r="L21" s="190">
        <f>MIN('28'!L7:L18)</f>
        <v>6.3</v>
      </c>
      <c r="M21" s="190">
        <f>MIN('28'!M7:M18)</f>
        <v>6.3</v>
      </c>
      <c r="N21" s="190">
        <f>MIN('28'!N7:N18)</f>
        <v>6</v>
      </c>
      <c r="O21" s="191">
        <f>MIN('28'!O7:O18)</f>
        <v>2.8</v>
      </c>
      <c r="P21" s="191">
        <f>MIN('28'!P7:P18)</f>
        <v>0</v>
      </c>
      <c r="Q21" s="191">
        <f>MIN('28'!Q7:Q18)</f>
        <v>0</v>
      </c>
      <c r="R21" s="191">
        <f>MIN('28'!R7:R18)</f>
        <v>1582</v>
      </c>
      <c r="S21" s="191">
        <f>MIN('28'!S7:S18)</f>
        <v>103.48107491344035</v>
      </c>
      <c r="T21" s="940"/>
      <c r="U21" s="940"/>
      <c r="X21" s="13">
        <v>0.66666666666666696</v>
      </c>
      <c r="Y21" s="52">
        <v>2566</v>
      </c>
      <c r="Z21" s="52">
        <v>1582</v>
      </c>
      <c r="AA21" s="15">
        <v>1</v>
      </c>
      <c r="AB21" s="56">
        <f>IF('28'!AA21=1,(('28'!Z21*'28'!$AS$6*'28'!$AT$6)/('28'!Y21*0.0036)),IF('28'!AA21=2,(('28'!Z21*'28'!$AS$7*'28'!$AT$7)/('28'!Y21*0.0036))))</f>
        <v>113.88564129211049</v>
      </c>
      <c r="AC21" s="56"/>
      <c r="AD21" s="18">
        <f>(('28'!AC21*'28'!$Q$10*1000000))/('28'!Y21*3600)</f>
        <v>0</v>
      </c>
      <c r="AE21" s="181"/>
      <c r="AF21" s="182">
        <f>('28'!AE21/24)*0.454</f>
        <v>0</v>
      </c>
      <c r="AG21" s="19"/>
      <c r="AH21" s="182">
        <f>('28'!AG21/24)*0.454</f>
        <v>0</v>
      </c>
      <c r="AI21" s="180">
        <v>5200</v>
      </c>
      <c r="AJ21" s="182">
        <f>('28'!AI21/24)*0.454</f>
        <v>98.36666666666666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1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2656</v>
      </c>
      <c r="Z22" s="52">
        <v>1582</v>
      </c>
      <c r="AA22" s="15">
        <v>1</v>
      </c>
      <c r="AB22" s="56">
        <f>IF('28'!AA22=1,(('28'!Z22*'28'!$AS$6*'28'!$AT$6)/('28'!Y22*0.0036)),IF('28'!AA22=2,(('28'!Z22*'28'!$AS$7*'28'!$AT$7)/('28'!Y22*0.0036))))</f>
        <v>110.02656459170012</v>
      </c>
      <c r="AC22" s="56"/>
      <c r="AD22" s="18">
        <f>(('28'!AC22*'28'!$Q$10*1000000))/('28'!Y22*3600)</f>
        <v>0</v>
      </c>
      <c r="AE22" s="181"/>
      <c r="AF22" s="182">
        <f>('28'!AE22/24)*0.454</f>
        <v>0</v>
      </c>
      <c r="AG22" s="19"/>
      <c r="AH22" s="182">
        <f>('28'!AG22/24)*0.454</f>
        <v>0</v>
      </c>
      <c r="AI22" s="180">
        <v>5200</v>
      </c>
      <c r="AJ22" s="182">
        <f>('28'!AI22/24)*0.454</f>
        <v>98.36666666666666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1">
        <f>('28'!AO22/24)*0.454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2625</v>
      </c>
      <c r="Z23" s="52">
        <v>1582</v>
      </c>
      <c r="AA23" s="15">
        <v>1</v>
      </c>
      <c r="AB23" s="56">
        <f>IF('28'!AA23=1,(('28'!Z23*'28'!$AS$6*'28'!$AT$6)/('28'!Y23*0.0036)),IF('28'!AA23=2,(('28'!Z23*'28'!$AS$7*'28'!$AT$7)/('28'!Y23*0.0036))))</f>
        <v>111.32592592592593</v>
      </c>
      <c r="AC23" s="56"/>
      <c r="AD23" s="18">
        <f>(('28'!AC23*'28'!$Q$10*1000000))/('28'!Y23*3600)</f>
        <v>0</v>
      </c>
      <c r="AE23" s="181"/>
      <c r="AF23" s="182">
        <f>('28'!AE23/24)*0.454</f>
        <v>0</v>
      </c>
      <c r="AG23" s="19"/>
      <c r="AH23" s="182">
        <f>('28'!AG23/24)*0.454</f>
        <v>0</v>
      </c>
      <c r="AI23" s="180">
        <v>5200</v>
      </c>
      <c r="AJ23" s="182">
        <f>('28'!AI23/24)*0.454</f>
        <v>98.36666666666666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1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2663</v>
      </c>
      <c r="Z24" s="52">
        <v>1582</v>
      </c>
      <c r="AA24" s="15">
        <v>1</v>
      </c>
      <c r="AB24" s="16">
        <f>IF('28'!AA24=1,(('28'!Z24*'28'!$AS$6*'28'!$AT$6)/('28'!Y24*0.0036)),IF('28'!AA24=2,(('28'!Z24*'28'!$AS$7*'28'!$AT$7)/('28'!Y24*0.0036))))</f>
        <v>109.73734718571369</v>
      </c>
      <c r="AC24" s="56"/>
      <c r="AD24" s="18">
        <f>(('28'!AC24*'28'!$Q$10*1000000))/('28'!Y24*3600)</f>
        <v>0</v>
      </c>
      <c r="AE24" s="181"/>
      <c r="AF24" s="193">
        <f>('28'!AE24/24)*0.454</f>
        <v>0</v>
      </c>
      <c r="AG24" s="19"/>
      <c r="AH24" s="193">
        <f>('28'!AG24/24)*0.454</f>
        <v>0</v>
      </c>
      <c r="AI24" s="180">
        <v>5200</v>
      </c>
      <c r="AJ24" s="193">
        <f>('28'!AI24/24)*0.454</f>
        <v>98.36666666666666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1">
        <f>('28'!AO24/24)*0.454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17" t="s">
        <v>0</v>
      </c>
      <c r="U25" s="1043">
        <f>ESCALA!$A$30</f>
        <v>44344</v>
      </c>
      <c r="X25" s="13">
        <v>0.83333333333333304</v>
      </c>
      <c r="Y25" s="52">
        <v>2599</v>
      </c>
      <c r="Z25" s="52">
        <v>1582</v>
      </c>
      <c r="AA25" s="15">
        <v>1</v>
      </c>
      <c r="AB25" s="56">
        <f>IF('28'!AA25=1,(('28'!Z25*'28'!$AS$6*'28'!$AT$6)/('28'!Y25*0.0036)),IF('28'!AA25=2,(('28'!Z25*'28'!$AS$7*'28'!$AT$7)/('28'!Y25*0.0036))))</f>
        <v>112.43961352657006</v>
      </c>
      <c r="AC25" s="56"/>
      <c r="AD25" s="18">
        <f>(('28'!AC25*'28'!$Q$10*1000000))/('28'!Y25*3600)</f>
        <v>0</v>
      </c>
      <c r="AE25" s="181"/>
      <c r="AF25" s="182">
        <f>('28'!AE25/24)*0.454</f>
        <v>0</v>
      </c>
      <c r="AG25" s="19"/>
      <c r="AH25" s="182">
        <f>('28'!AG25/24)*0.454</f>
        <v>0</v>
      </c>
      <c r="AI25" s="180">
        <v>5200</v>
      </c>
      <c r="AJ25" s="182">
        <f>('28'!AI25/24)*0.454</f>
        <v>98.36666666666666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1">
        <f>('28'!AO25/24)*0.454</f>
        <v>0</v>
      </c>
    </row>
    <row r="26" spans="1:42" ht="19.5" customHeight="1">
      <c r="A26" s="62">
        <v>0.66666666666666696</v>
      </c>
      <c r="B26" s="196"/>
      <c r="C26" s="196">
        <v>0.81</v>
      </c>
      <c r="D26" s="196">
        <v>0.74</v>
      </c>
      <c r="E26" s="221">
        <v>0.86</v>
      </c>
      <c r="F26" s="221">
        <v>0.69</v>
      </c>
      <c r="G26" s="221">
        <v>0.8</v>
      </c>
      <c r="H26" s="221">
        <v>0.76</v>
      </c>
      <c r="I26" s="221">
        <v>0.88</v>
      </c>
      <c r="J26" s="221"/>
      <c r="K26" s="221">
        <v>0.68</v>
      </c>
      <c r="L26" s="221">
        <v>0.64</v>
      </c>
      <c r="M26" s="221">
        <v>0.79</v>
      </c>
      <c r="N26" s="221">
        <v>0.68</v>
      </c>
      <c r="O26" s="221">
        <v>0.57999999999999996</v>
      </c>
      <c r="P26" s="221"/>
      <c r="Q26" s="221"/>
      <c r="R26" s="63" t="e">
        <f>#DIV/0!</f>
        <v>#DIV/0!</v>
      </c>
      <c r="S26" s="65"/>
      <c r="T26" s="1017"/>
      <c r="U26" s="1043"/>
      <c r="X26" s="13">
        <v>0.875</v>
      </c>
      <c r="Y26" s="52">
        <v>2620</v>
      </c>
      <c r="Z26" s="52">
        <v>1582</v>
      </c>
      <c r="AA26" s="15">
        <v>1</v>
      </c>
      <c r="AB26" s="56">
        <f>IF('28'!AA26=1,(('28'!Z26*'28'!$AS$6*'28'!$AT$6)/('28'!Y26*0.0036)),IF('28'!AA26=2,(('28'!Z26*'28'!$AS$7*'28'!$AT$7)/('28'!Y26*0.0036))))</f>
        <v>111.53837998303646</v>
      </c>
      <c r="AC26" s="56"/>
      <c r="AD26" s="18">
        <f>(('28'!AC26*'28'!$Q$10*1000000))/('28'!Y26*3600)</f>
        <v>0</v>
      </c>
      <c r="AE26" s="181"/>
      <c r="AF26" s="182">
        <f>('28'!AE26/24)*0.454</f>
        <v>0</v>
      </c>
      <c r="AG26" s="19"/>
      <c r="AH26" s="182">
        <f>('28'!AG26/24)*0.454</f>
        <v>0</v>
      </c>
      <c r="AI26" s="180">
        <v>5200</v>
      </c>
      <c r="AJ26" s="182">
        <f>('28'!AI26/24)*0.454</f>
        <v>98.36666666666666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1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>
        <v>2598</v>
      </c>
      <c r="Z27" s="52">
        <v>1582</v>
      </c>
      <c r="AA27" s="15">
        <v>1</v>
      </c>
      <c r="AB27" s="56">
        <f>IF('28'!AA27=1,(('28'!Z27*'28'!$AS$6*'28'!$AT$6)/('28'!Y27*0.0036)),IF('28'!AA27=2,(('28'!Z27*'28'!$AS$7*'28'!$AT$7)/('28'!Y27*0.0036))))</f>
        <v>112.48289282353947</v>
      </c>
      <c r="AC27" s="56"/>
      <c r="AD27" s="18">
        <f>(('28'!AC27*'28'!$Q$10*1000000))/('28'!Y27*3600)</f>
        <v>0</v>
      </c>
      <c r="AE27" s="181"/>
      <c r="AF27" s="182">
        <f>('28'!AE27/24)*0.454</f>
        <v>0</v>
      </c>
      <c r="AG27" s="19"/>
      <c r="AH27" s="182">
        <f>('28'!AG27/24)*0.454</f>
        <v>0</v>
      </c>
      <c r="AI27" s="180">
        <v>5200</v>
      </c>
      <c r="AJ27" s="182">
        <f>('28'!AI27/24)*0.454</f>
        <v>98.36666666666666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1">
        <f>('28'!AO27/24)*0.454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2601</v>
      </c>
      <c r="Z28" s="52">
        <v>1582</v>
      </c>
      <c r="AA28" s="15">
        <v>1</v>
      </c>
      <c r="AB28" s="56">
        <f>IF('28'!AA28=1,(('28'!Z28*'28'!$AS$6*'28'!$AT$6)/('28'!Y28*0.0036)),IF('28'!AA28=2,(('28'!Z28*'28'!$AS$7*'28'!$AT$7)/('28'!Y28*0.0036))))</f>
        <v>112.35315476953308</v>
      </c>
      <c r="AC28" s="56"/>
      <c r="AD28" s="18">
        <f>(('28'!AC28*'28'!$Q$10*1000000))/('28'!Y28*3600)</f>
        <v>0</v>
      </c>
      <c r="AE28" s="181"/>
      <c r="AF28" s="182">
        <f>('28'!AE28/24)*0.454</f>
        <v>0</v>
      </c>
      <c r="AG28" s="19"/>
      <c r="AH28" s="182">
        <f>('28'!AG28/24)*0.454</f>
        <v>0</v>
      </c>
      <c r="AI28" s="180">
        <v>5200</v>
      </c>
      <c r="AJ28" s="182">
        <f>('28'!AI28/24)*0.454</f>
        <v>98.36666666666666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1">
        <f>('28'!AO28/24)*0.454</f>
        <v>0</v>
      </c>
    </row>
    <row r="29" spans="1:42" ht="18.75" customHeight="1">
      <c r="A29" s="1023" t="s">
        <v>154</v>
      </c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2542</v>
      </c>
      <c r="Z29" s="52">
        <v>1582</v>
      </c>
      <c r="AA29" s="15">
        <v>1</v>
      </c>
      <c r="AB29" s="56">
        <f>IF('28'!AA29=1,(('28'!Z29*'28'!$AS$6*'28'!$AT$6)/('28'!Y29*0.0036)),IF('28'!AA29=2,(('28'!Z29*'28'!$AS$7*'28'!$AT$7)/('28'!Y29*0.0036))))</f>
        <v>114.96087944750415</v>
      </c>
      <c r="AC29" s="56"/>
      <c r="AD29" s="18">
        <f>(('28'!AC29*'28'!$Q$10*1000000))/('28'!Y29*3600)</f>
        <v>0</v>
      </c>
      <c r="AE29" s="181"/>
      <c r="AF29" s="182">
        <f>('28'!AE29/24)*0.454</f>
        <v>0</v>
      </c>
      <c r="AG29" s="19"/>
      <c r="AH29" s="182">
        <f>('28'!AG29/24)*0.454</f>
        <v>0</v>
      </c>
      <c r="AI29" s="180">
        <v>5200</v>
      </c>
      <c r="AJ29" s="182">
        <f>('28'!AI29/24)*0.454</f>
        <v>98.36666666666666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1">
        <f>('28'!AO29/24)*0.454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SUM('28'!Y6:Y29)*3.6</f>
        <v>235591.2</v>
      </c>
      <c r="Z30" s="80">
        <f>SUM('28'!Z6:Z29)</f>
        <v>37968</v>
      </c>
      <c r="AA30" s="76"/>
      <c r="AB30" s="77"/>
      <c r="AC30" s="76"/>
      <c r="AD30" s="77"/>
      <c r="AE30" s="33"/>
      <c r="AF30" s="182">
        <f>SUM('28'!AF6:AF29)</f>
        <v>0</v>
      </c>
      <c r="AG30" s="33"/>
      <c r="AH30" s="182">
        <f>SUM('28'!AH6:AH29)</f>
        <v>0</v>
      </c>
      <c r="AI30" s="33"/>
      <c r="AJ30" s="182">
        <f>SUM('28'!AJ6:AJ29)</f>
        <v>2360.7999999999993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SUMIF('28'!AA6:AA29,"=1",'28'!Z6:Z29)</f>
        <v>37968</v>
      </c>
      <c r="AA32" s="80">
        <f>'28'!Z32*'28'!AS6</f>
        <v>50497.440000000002</v>
      </c>
      <c r="AB32" s="81">
        <f>SUMIF('28'!$AA$6:$AA$29,"=1",'28'!$AB$6:$AB$29)/COUNTIF('28'!$AA$6:$AA$29,"=1")</f>
        <v>107.3081515163487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AVERAGE('28'!Y6:Y29)</f>
        <v>2726.75</v>
      </c>
      <c r="Z34" s="94">
        <f>AVERAGE('28'!Z6:Z29)</f>
        <v>1582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0</v>
      </c>
      <c r="AG34" s="96"/>
      <c r="AH34" s="96">
        <f>AVERAGE('28'!AH6:AH29)</f>
        <v>0</v>
      </c>
      <c r="AI34" s="96"/>
      <c r="AJ34" s="96">
        <f>'28'!AJ30/24</f>
        <v>98.366666666666632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64.7</v>
      </c>
      <c r="D37" s="184">
        <v>23.9</v>
      </c>
      <c r="E37" s="184">
        <v>18.899999999999999</v>
      </c>
      <c r="F37" s="184">
        <v>2</v>
      </c>
      <c r="G37" s="181">
        <v>0.2</v>
      </c>
      <c r="H37" s="181">
        <v>0.1</v>
      </c>
      <c r="I37" s="181">
        <v>0.2</v>
      </c>
      <c r="J37" s="181">
        <v>0.06</v>
      </c>
      <c r="K37" s="181">
        <v>0.03</v>
      </c>
      <c r="L37" s="1113"/>
      <c r="M37" s="1113"/>
      <c r="N37" s="1113"/>
      <c r="O37" s="10"/>
      <c r="P37" s="10"/>
      <c r="Q37" s="10"/>
      <c r="R37" s="10"/>
      <c r="S37" s="10"/>
      <c r="T37" s="10"/>
      <c r="U37" s="233">
        <f>'28'!V12</f>
        <v>0</v>
      </c>
      <c r="X37" s="956" t="s">
        <v>75</v>
      </c>
      <c r="Y37" s="956"/>
      <c r="Z37" s="108">
        <f>COUNTA('28'!Z6:Z29)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0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2360.7999999999993</v>
      </c>
      <c r="AQ38" s="208" t="s">
        <v>78</v>
      </c>
      <c r="AR38" s="210">
        <f>'28'!AP30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0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10.020747803822891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SUM('28'!AK38,'28'!AM38)</f>
        <v>0</v>
      </c>
      <c r="AM40" s="969"/>
      <c r="AO40" s="970" t="s">
        <v>90</v>
      </c>
      <c r="AP40" s="970"/>
      <c r="AQ40" s="971">
        <f>SUM('28'!AP38,'28'!AR38)</f>
        <v>2360.7999999999993</v>
      </c>
      <c r="AR40" s="971"/>
    </row>
    <row r="41" spans="1:44" ht="16.5" customHeight="1">
      <c r="A41" s="131">
        <f>COUNTA('28'!E7:E18)</f>
        <v>12</v>
      </c>
      <c r="B41" s="132">
        <f>COUNTA('28'!I7:I18)</f>
        <v>12</v>
      </c>
      <c r="C41" s="972">
        <f>COUNTA('28'!J7:J18)</f>
        <v>12</v>
      </c>
      <c r="D41" s="972">
        <f>COUNTA('28'!K7:K18)</f>
        <v>12</v>
      </c>
      <c r="E41" s="972">
        <f>COUNTIF('28'!E7:E18,"&gt;15")</f>
        <v>0</v>
      </c>
      <c r="F41" s="972"/>
      <c r="G41" s="972">
        <f>COUNTIF('28'!J7:J18,"&gt;1")</f>
        <v>6</v>
      </c>
      <c r="H41" s="972"/>
      <c r="I41" s="133"/>
      <c r="J41" s="972">
        <f>'28'!A41-'28'!E41</f>
        <v>12</v>
      </c>
      <c r="K41" s="972"/>
      <c r="L41" s="972">
        <f>'28'!C41-'28'!G41</f>
        <v>6</v>
      </c>
      <c r="M41" s="972"/>
      <c r="N41" s="133"/>
      <c r="O41" s="973">
        <f>COUNTIF('28'!J7:J18,"&lt;=0,5")</f>
        <v>0</v>
      </c>
      <c r="P41" s="973"/>
      <c r="Q41" s="973"/>
      <c r="R41" s="963"/>
      <c r="S41" s="974">
        <f>COUNTIF('28'!J7:J18,"&lt;=1,0")</f>
        <v>6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SUM(('28'!AK38+'28'!AM38)/'28'!Y30)*1000</f>
        <v>0</v>
      </c>
      <c r="AM41" s="975"/>
      <c r="AO41" s="970" t="s">
        <v>91</v>
      </c>
      <c r="AP41" s="970"/>
      <c r="AQ41" s="975">
        <f>SUM(('28'!AP38+'28'!AR38)/'28'!Y30)*1000</f>
        <v>10.020747803822891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145</v>
      </c>
      <c r="Z44" s="142" t="s">
        <v>101</v>
      </c>
      <c r="AA44" s="143"/>
      <c r="AB44" s="142" t="s">
        <v>101</v>
      </c>
      <c r="AC44" s="143">
        <v>15</v>
      </c>
      <c r="AD44" s="982"/>
      <c r="AE44" s="982"/>
      <c r="AF44" s="983" t="s">
        <v>102</v>
      </c>
      <c r="AG44" s="996">
        <f>SUM('28'!Y45,'28'!AA45,'28'!AC45,'28'!AE45)</f>
        <v>221084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COUNTIF('28'!I7:I18,"&lt;=5,0")</f>
        <v>12</v>
      </c>
      <c r="I45" s="986"/>
      <c r="J45" s="986"/>
      <c r="K45" s="133"/>
      <c r="L45" s="968">
        <f>COUNTA('28'!L37)</f>
        <v>0</v>
      </c>
      <c r="M45" s="968"/>
      <c r="O45" s="144"/>
      <c r="P45" s="145"/>
      <c r="Q45" s="987">
        <f>'28'!S41-'28'!O41</f>
        <v>6</v>
      </c>
      <c r="R45" s="987"/>
      <c r="S45" s="987"/>
      <c r="T45" s="146"/>
      <c r="X45" s="147" t="s">
        <v>104</v>
      </c>
      <c r="Y45" s="148">
        <f>'28'!Y44*275.3</f>
        <v>39918.5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4165.5</v>
      </c>
      <c r="AD45" s="147" t="s">
        <v>104</v>
      </c>
      <c r="AE45" s="149">
        <v>177000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89" t="s">
        <v>106</v>
      </c>
      <c r="AG46" s="990">
        <f>SUM('28'!Y47,'28'!AA47,'28'!AC47,'28'!AE47)</f>
        <v>294041.71999999997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'28'!Y45*'28'!Y46</f>
        <v>53091.605000000003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5540.1150000000007</v>
      </c>
      <c r="AD47" s="147" t="s">
        <v>108</v>
      </c>
      <c r="AE47" s="148">
        <f>'28'!AE45*'28'!AE46</f>
        <v>235410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COUNTA('28'!O7:O18)</f>
        <v>12</v>
      </c>
      <c r="P51" s="968">
        <f>COUNTA('28'!W17:W28)</f>
        <v>0</v>
      </c>
      <c r="R51" s="986">
        <f>COUNTIF('28'!O7:O18,"&gt;=0,5")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SUM('28'!Y53,'28'!AA53,'28'!AC53,'28'!AE53)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89" t="s">
        <v>106</v>
      </c>
      <c r="AG54" s="990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89"/>
      <c r="AG55" s="990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COUNTA('28'!N7:N18)</f>
        <v>12</v>
      </c>
      <c r="P57" s="997"/>
      <c r="R57" s="998">
        <f>COUNTIF('28'!N7:N18,"&gt;=6")</f>
        <v>12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/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/>
      <c r="Z65" s="1007"/>
      <c r="AA65" s="1007"/>
      <c r="AB65" s="174" t="s">
        <v>126</v>
      </c>
      <c r="AC65" s="238"/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SUM('28'!AK38,'28'!AP38)</f>
        <v>2360.7999999999993</v>
      </c>
      <c r="Z67" s="1007"/>
      <c r="AA67" s="1007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-2360.7999999999993</v>
      </c>
      <c r="Z68" s="1007"/>
      <c r="AA68" s="1007"/>
      <c r="AB68" s="170" t="s">
        <v>128</v>
      </c>
      <c r="AC68" s="178">
        <f>SUM('28'!AC63,'28'!AC65)-'28'!AC67</f>
        <v>0</v>
      </c>
    </row>
    <row r="70" spans="24:29" ht="15.75" customHeight="1">
      <c r="Z70" s="332" t="s">
        <v>155</v>
      </c>
      <c r="AA70" s="333">
        <f>SUM('28'!Y68,'28'!AC68)</f>
        <v>-2360.7999999999993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22" zoomScaleNormal="100" workbookViewId="0">
      <selection activeCell="AE53" sqref="AE53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2520</v>
      </c>
      <c r="Z6" s="181">
        <v>1582</v>
      </c>
      <c r="AA6" s="15">
        <v>1</v>
      </c>
      <c r="AB6" s="56">
        <f>IF('29'!AA6=1,(('29'!Z6*'29'!$AS$6*'29'!$AT$6)/('29'!Y6*0.0036)),IF('29'!AA6=2,(('29'!Z6*'29'!$AS$7*'29'!$AT$7)/('29'!Y6*0.0036))))</f>
        <v>115.96450617283952</v>
      </c>
      <c r="AC6" s="56"/>
      <c r="AD6" s="18">
        <f>(('29'!AC6*'29'!$Q$10*1000000))/('29'!Y6*3600)</f>
        <v>0</v>
      </c>
      <c r="AE6" s="181"/>
      <c r="AF6" s="182">
        <f>('29'!AE6/24)*0.454</f>
        <v>0</v>
      </c>
      <c r="AG6" s="19"/>
      <c r="AH6" s="182">
        <f>('29'!AG6/24)*0.454</f>
        <v>0</v>
      </c>
      <c r="AI6" s="181">
        <v>5200</v>
      </c>
      <c r="AJ6" s="182">
        <f>('29'!AI6/24)*0.454</f>
        <v>98.36666666666666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164</v>
      </c>
      <c r="C7" s="184">
        <v>12</v>
      </c>
      <c r="D7" s="184">
        <v>13</v>
      </c>
      <c r="E7" s="184">
        <v>6</v>
      </c>
      <c r="F7" s="184">
        <v>56</v>
      </c>
      <c r="G7" s="184">
        <v>2.2000000000000002</v>
      </c>
      <c r="H7" s="184">
        <v>2.8</v>
      </c>
      <c r="I7" s="184">
        <v>0.6</v>
      </c>
      <c r="J7" s="184">
        <v>0.8</v>
      </c>
      <c r="K7" s="184">
        <v>7.3</v>
      </c>
      <c r="L7" s="184">
        <v>6.3</v>
      </c>
      <c r="M7" s="184">
        <v>6.3</v>
      </c>
      <c r="N7" s="184">
        <v>6</v>
      </c>
      <c r="O7" s="184">
        <v>3.4</v>
      </c>
      <c r="P7" s="184"/>
      <c r="Q7" s="186"/>
      <c r="R7" s="36">
        <f>'28'!$Z$29</f>
        <v>1582</v>
      </c>
      <c r="S7" s="185">
        <f>'28'!$AB$29</f>
        <v>114.96087944750415</v>
      </c>
      <c r="T7" s="36">
        <f>'28'!$Y$29</f>
        <v>2542</v>
      </c>
      <c r="U7" s="32" t="str">
        <f>IF('29'!AA6=1,'29'!AR6,'29'!AR7)</f>
        <v>S.A.L</v>
      </c>
      <c r="V7" s="1016">
        <f>ESCALA!$B$30</f>
        <v>0</v>
      </c>
      <c r="W7" s="1016"/>
      <c r="X7" s="13">
        <v>8.3333333333333301E-2</v>
      </c>
      <c r="Y7" s="52">
        <v>2466</v>
      </c>
      <c r="Z7" s="181">
        <v>1582</v>
      </c>
      <c r="AA7" s="15">
        <v>1</v>
      </c>
      <c r="AB7" s="56">
        <f>IF('29'!AA7=1,(('29'!Z7*'29'!$AS$6*'29'!$AT$6)/('29'!Y7*0.0036)),IF('29'!AA7=2,(('29'!Z7*'29'!$AS$7*'29'!$AT$7)/('29'!Y7*0.0036))))</f>
        <v>118.50387492114987</v>
      </c>
      <c r="AC7" s="56"/>
      <c r="AD7" s="18">
        <f>(('29'!AC7*'29'!$Q$10*1000000))/('29'!Y7*3600)</f>
        <v>0</v>
      </c>
      <c r="AE7" s="181"/>
      <c r="AF7" s="182">
        <f>('29'!AE7/24)*0.454</f>
        <v>0</v>
      </c>
      <c r="AG7" s="19"/>
      <c r="AH7" s="182">
        <f>('29'!AG7/24)*0.454</f>
        <v>0</v>
      </c>
      <c r="AI7" s="181">
        <v>5200</v>
      </c>
      <c r="AJ7" s="182">
        <f>('29'!AI7/24)*0.454</f>
        <v>98.36666666666666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157</v>
      </c>
      <c r="C8" s="184">
        <v>11</v>
      </c>
      <c r="D8" s="184">
        <v>15</v>
      </c>
      <c r="E8" s="184">
        <v>6</v>
      </c>
      <c r="F8" s="184">
        <v>53</v>
      </c>
      <c r="G8" s="184">
        <v>2.2000000000000002</v>
      </c>
      <c r="H8" s="184">
        <v>3</v>
      </c>
      <c r="I8" s="184">
        <v>0.7</v>
      </c>
      <c r="J8" s="184">
        <v>1</v>
      </c>
      <c r="K8" s="184">
        <v>7.3</v>
      </c>
      <c r="L8" s="184">
        <v>6.3</v>
      </c>
      <c r="M8" s="184">
        <v>6.3</v>
      </c>
      <c r="N8" s="184">
        <v>6</v>
      </c>
      <c r="O8" s="184">
        <v>3.4</v>
      </c>
      <c r="P8" s="184"/>
      <c r="Q8" s="186"/>
      <c r="R8" s="34">
        <f>'29'!Z7</f>
        <v>1582</v>
      </c>
      <c r="S8" s="35">
        <f>'29'!AB7</f>
        <v>118.50387492114987</v>
      </c>
      <c r="T8" s="36">
        <f>'29'!Y7</f>
        <v>2466</v>
      </c>
      <c r="U8" s="32" t="str">
        <f>IF('29'!AA7=1,'29'!AR6,'29'!AR7)</f>
        <v>S.A.L</v>
      </c>
      <c r="V8" s="1016"/>
      <c r="W8" s="1016"/>
      <c r="X8" s="13">
        <v>0.125</v>
      </c>
      <c r="Y8" s="52">
        <v>2407</v>
      </c>
      <c r="Z8" s="181">
        <v>1582</v>
      </c>
      <c r="AA8" s="15">
        <v>1</v>
      </c>
      <c r="AB8" s="56">
        <f>IF('29'!AA8=1,(('29'!Z8*'29'!$AS$6*'29'!$AT$6)/('29'!Y8*0.0036)),IF('29'!AA8=2,(('29'!Z8*'29'!$AS$7*'29'!$AT$7)/('29'!Y8*0.0036))))</f>
        <v>121.40862299773806</v>
      </c>
      <c r="AC8" s="56"/>
      <c r="AD8" s="18">
        <f>(('29'!AC8*'29'!$Q$10*1000000))/('29'!Y8*3600)</f>
        <v>0</v>
      </c>
      <c r="AE8" s="181"/>
      <c r="AF8" s="182">
        <f>('29'!AE8/24)*0.454</f>
        <v>0</v>
      </c>
      <c r="AG8" s="19"/>
      <c r="AH8" s="182">
        <f>('29'!AG8/24)*0.454</f>
        <v>0</v>
      </c>
      <c r="AI8" s="181">
        <v>5200</v>
      </c>
      <c r="AJ8" s="182">
        <f>('29'!AI8/24)*0.454</f>
        <v>98.36666666666666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153</v>
      </c>
      <c r="C9" s="184">
        <v>10</v>
      </c>
      <c r="D9" s="184">
        <v>16</v>
      </c>
      <c r="E9" s="184">
        <v>6</v>
      </c>
      <c r="F9" s="184">
        <v>50</v>
      </c>
      <c r="G9" s="184">
        <v>2.1</v>
      </c>
      <c r="H9" s="184">
        <v>3.9</v>
      </c>
      <c r="I9" s="184">
        <v>0.7</v>
      </c>
      <c r="J9" s="184">
        <v>1.3</v>
      </c>
      <c r="K9" s="184">
        <v>7.3</v>
      </c>
      <c r="L9" s="184">
        <v>6.3</v>
      </c>
      <c r="M9" s="184">
        <v>6.3</v>
      </c>
      <c r="N9" s="184">
        <v>6</v>
      </c>
      <c r="O9" s="184">
        <v>3.6</v>
      </c>
      <c r="P9" s="184"/>
      <c r="Q9" s="186"/>
      <c r="R9" s="36">
        <f>'29'!Z9</f>
        <v>1582</v>
      </c>
      <c r="S9" s="35">
        <f>'29'!AB9</f>
        <v>122.47718170811214</v>
      </c>
      <c r="T9" s="36">
        <f>'29'!Y9</f>
        <v>2386</v>
      </c>
      <c r="U9" s="32" t="str">
        <f>IF('29'!AA9=1,'29'!AR6,'29'!AR7)</f>
        <v>S.A.L</v>
      </c>
      <c r="V9" s="1016"/>
      <c r="W9" s="1016"/>
      <c r="X9" s="13">
        <v>0.16666666666666699</v>
      </c>
      <c r="Y9" s="52">
        <v>2386</v>
      </c>
      <c r="Z9" s="181">
        <v>1582</v>
      </c>
      <c r="AA9" s="15">
        <v>1</v>
      </c>
      <c r="AB9" s="56">
        <f>IF('29'!AA9=1,(('29'!Z9*'29'!$AS$6*'29'!$AT$6)/('29'!Y9*0.0036)),IF('29'!AA9=2,(('29'!Z9*'29'!$AS$7*'29'!$AT$7)/('29'!Y9*0.0036))))</f>
        <v>122.47718170811214</v>
      </c>
      <c r="AC9" s="56"/>
      <c r="AD9" s="18">
        <f>(('29'!AC9*'29'!$Q$10*1000000))/('29'!Y9*3600)</f>
        <v>0</v>
      </c>
      <c r="AE9" s="181"/>
      <c r="AF9" s="182">
        <f>('29'!AE9/24)*0.454</f>
        <v>0</v>
      </c>
      <c r="AG9" s="19"/>
      <c r="AH9" s="182">
        <f>('29'!AG9/24)*0.454</f>
        <v>0</v>
      </c>
      <c r="AI9" s="181">
        <v>5200</v>
      </c>
      <c r="AJ9" s="182">
        <f>('29'!AI9/24)*0.454</f>
        <v>98.36666666666666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148</v>
      </c>
      <c r="C10" s="184">
        <v>10</v>
      </c>
      <c r="D10" s="184">
        <v>16</v>
      </c>
      <c r="E10" s="184">
        <v>6</v>
      </c>
      <c r="F10" s="184">
        <v>48</v>
      </c>
      <c r="G10" s="184">
        <v>2.1</v>
      </c>
      <c r="H10" s="184">
        <v>4.0999999999999996</v>
      </c>
      <c r="I10" s="184">
        <v>0.8</v>
      </c>
      <c r="J10" s="184">
        <v>1.4</v>
      </c>
      <c r="K10" s="184">
        <v>7.3</v>
      </c>
      <c r="L10" s="184">
        <v>6.3</v>
      </c>
      <c r="M10" s="184">
        <v>6.3</v>
      </c>
      <c r="N10" s="184">
        <v>6</v>
      </c>
      <c r="O10" s="184">
        <v>3.6</v>
      </c>
      <c r="P10" s="184"/>
      <c r="Q10" s="186"/>
      <c r="R10" s="36">
        <f>'29'!Z11</f>
        <v>1582</v>
      </c>
      <c r="S10" s="35">
        <f>'29'!AB11</f>
        <v>109.28592204770214</v>
      </c>
      <c r="T10" s="36">
        <f>'29'!Y11</f>
        <v>2674</v>
      </c>
      <c r="U10" s="32" t="str">
        <f>IF('29'!AA11=1,'29'!AR6,'29'!AR7)</f>
        <v>S.A.L</v>
      </c>
      <c r="V10" s="1016"/>
      <c r="W10" s="1016"/>
      <c r="X10" s="13">
        <v>0.20833333333333301</v>
      </c>
      <c r="Y10" s="52">
        <v>2382</v>
      </c>
      <c r="Z10" s="181">
        <v>1582</v>
      </c>
      <c r="AA10" s="15">
        <v>1</v>
      </c>
      <c r="AB10" s="56">
        <f>IF('29'!AA10=1,(('29'!Z10*'29'!$AS$6*'29'!$AT$6)/('29'!Y10*0.0036)),IF('29'!AA10=2,(('29'!Z10*'29'!$AS$7*'29'!$AT$7)/('29'!Y10*0.0036))))</f>
        <v>122.68285287806697</v>
      </c>
      <c r="AC10" s="56"/>
      <c r="AD10" s="18">
        <f>(('29'!AC10*'29'!$Q$10*1000000))/('29'!Y10*3600)</f>
        <v>0</v>
      </c>
      <c r="AE10" s="181"/>
      <c r="AF10" s="182">
        <f>('29'!AE10/24)*0.454</f>
        <v>0</v>
      </c>
      <c r="AG10" s="19"/>
      <c r="AH10" s="182">
        <f>('29'!AG10/24)*0.454</f>
        <v>0</v>
      </c>
      <c r="AI10" s="181">
        <v>5200</v>
      </c>
      <c r="AJ10" s="182">
        <f>('29'!AI10/24)*0.454</f>
        <v>98.36666666666666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150</v>
      </c>
      <c r="C11" s="184">
        <v>11</v>
      </c>
      <c r="D11" s="184">
        <v>22</v>
      </c>
      <c r="E11" s="184">
        <v>7</v>
      </c>
      <c r="F11" s="184">
        <v>44</v>
      </c>
      <c r="G11" s="184">
        <v>1.7</v>
      </c>
      <c r="H11" s="184">
        <v>5.3</v>
      </c>
      <c r="I11" s="184">
        <v>0.8</v>
      </c>
      <c r="J11" s="184">
        <v>0.7</v>
      </c>
      <c r="K11" s="184">
        <v>7.3</v>
      </c>
      <c r="L11" s="184">
        <v>6.3</v>
      </c>
      <c r="M11" s="184">
        <v>6.3</v>
      </c>
      <c r="N11" s="184">
        <v>5.8</v>
      </c>
      <c r="O11" s="184">
        <v>4</v>
      </c>
      <c r="P11" s="184"/>
      <c r="Q11" s="186"/>
      <c r="R11" s="36">
        <f>'29'!Z13</f>
        <v>1582</v>
      </c>
      <c r="S11" s="35">
        <f>'29'!AB13</f>
        <v>123.35608085924676</v>
      </c>
      <c r="T11" s="36">
        <f>'29'!Y13</f>
        <v>2369</v>
      </c>
      <c r="U11" s="32" t="str">
        <f>IF('29'!AA13=1,'29'!AR6,'29'!AR7)</f>
        <v>S.A.L</v>
      </c>
      <c r="V11" s="1016"/>
      <c r="W11" s="1016"/>
      <c r="X11" s="13">
        <v>0.25</v>
      </c>
      <c r="Y11" s="52">
        <v>2674</v>
      </c>
      <c r="Z11" s="181">
        <v>1582</v>
      </c>
      <c r="AA11" s="15">
        <v>1</v>
      </c>
      <c r="AB11" s="56">
        <f>IF('29'!AA11=1,(('29'!Z11*'29'!$AS$6*'29'!$AT$6)/('29'!Y11*0.0036)),IF('29'!AA11=2,(('29'!Z11*'29'!$AS$7*'29'!$AT$7)/('29'!Y11*0.0036))))</f>
        <v>109.28592204770214</v>
      </c>
      <c r="AC11" s="56"/>
      <c r="AD11" s="18">
        <f>(('29'!AC11*'29'!$Q$10*1000000))/('29'!Y11*3600)</f>
        <v>0</v>
      </c>
      <c r="AE11" s="181"/>
      <c r="AF11" s="182">
        <f>('29'!AE11/24)*0.454</f>
        <v>0</v>
      </c>
      <c r="AG11" s="19"/>
      <c r="AH11" s="182">
        <f>('29'!AG11/24)*0.454</f>
        <v>0</v>
      </c>
      <c r="AI11" s="181">
        <v>5200</v>
      </c>
      <c r="AJ11" s="182">
        <f>('29'!AI11/24)*0.454</f>
        <v>98.36666666666666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152</v>
      </c>
      <c r="C12" s="184">
        <v>11</v>
      </c>
      <c r="D12" s="184">
        <v>23</v>
      </c>
      <c r="E12" s="184">
        <v>7</v>
      </c>
      <c r="F12" s="184">
        <v>45</v>
      </c>
      <c r="G12" s="184">
        <v>1.7</v>
      </c>
      <c r="H12" s="184">
        <v>5.5</v>
      </c>
      <c r="I12" s="184">
        <v>0.8</v>
      </c>
      <c r="J12" s="184">
        <v>0.7</v>
      </c>
      <c r="K12" s="184">
        <v>7.3</v>
      </c>
      <c r="L12" s="184">
        <v>6.3</v>
      </c>
      <c r="M12" s="184">
        <v>6.3</v>
      </c>
      <c r="N12" s="184">
        <v>5.8</v>
      </c>
      <c r="O12" s="184">
        <v>4</v>
      </c>
      <c r="P12" s="184"/>
      <c r="Q12" s="186"/>
      <c r="R12" s="36">
        <f>'29'!Z15</f>
        <v>1582</v>
      </c>
      <c r="S12" s="35">
        <f>'29'!AB15</f>
        <v>121.61071808387663</v>
      </c>
      <c r="T12" s="36">
        <f>'29'!Y15</f>
        <v>2403</v>
      </c>
      <c r="U12" s="32" t="str">
        <f>IF('29'!AA15=1,'29'!AR6,'29'!AR7)</f>
        <v>S.A.L</v>
      </c>
      <c r="V12" s="938">
        <f>ESCALA!$B$31</f>
        <v>0</v>
      </c>
      <c r="W12" s="938"/>
      <c r="X12" s="13">
        <v>0.29166666666666702</v>
      </c>
      <c r="Y12" s="52">
        <v>2559</v>
      </c>
      <c r="Z12" s="181">
        <v>1582</v>
      </c>
      <c r="AA12" s="15">
        <v>1</v>
      </c>
      <c r="AB12" s="56">
        <f>IF('29'!AA12=1,(('29'!Z12*'29'!$AS$6*'29'!$AT$6)/('29'!Y12*0.0036)),IF('29'!AA12=2,(('29'!Z12*'29'!$AS$7*'29'!$AT$7)/('29'!Y12*0.0036))))</f>
        <v>114.19716903304241</v>
      </c>
      <c r="AC12" s="56"/>
      <c r="AD12" s="18">
        <f>(('29'!AC12*'29'!$Q$10*1000000))/('29'!Y12*3600)</f>
        <v>0</v>
      </c>
      <c r="AE12" s="181"/>
      <c r="AF12" s="182">
        <f>('29'!AE12/24)*0.454</f>
        <v>0</v>
      </c>
      <c r="AG12" s="19"/>
      <c r="AH12" s="182">
        <f>('29'!AG12/24)*0.454</f>
        <v>0</v>
      </c>
      <c r="AI12" s="181">
        <v>5200</v>
      </c>
      <c r="AJ12" s="182">
        <f>('29'!AI12/24)*0.454</f>
        <v>98.36666666666666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148</v>
      </c>
      <c r="C13" s="184">
        <v>13</v>
      </c>
      <c r="D13" s="184">
        <v>14</v>
      </c>
      <c r="E13" s="184">
        <v>6</v>
      </c>
      <c r="F13" s="184">
        <v>43</v>
      </c>
      <c r="G13" s="184">
        <v>1.9</v>
      </c>
      <c r="H13" s="184">
        <v>2.2000000000000002</v>
      </c>
      <c r="I13" s="184">
        <v>0.8</v>
      </c>
      <c r="J13" s="184">
        <v>0.7</v>
      </c>
      <c r="K13" s="184">
        <v>7.3</v>
      </c>
      <c r="L13" s="184">
        <v>6.3</v>
      </c>
      <c r="M13" s="184">
        <v>6.3</v>
      </c>
      <c r="N13" s="184">
        <v>5.8</v>
      </c>
      <c r="O13" s="184">
        <v>4</v>
      </c>
      <c r="P13" s="184"/>
      <c r="Q13" s="186"/>
      <c r="R13" s="36">
        <f>'29'!Z17</f>
        <v>1582</v>
      </c>
      <c r="S13" s="35">
        <f>'29'!AB17</f>
        <v>108.8787464812055</v>
      </c>
      <c r="T13" s="36">
        <f>'29'!Y17</f>
        <v>2684</v>
      </c>
      <c r="U13" s="32" t="str">
        <f>IF('29'!AA17=1,'29'!AR6,'29'!AR7)</f>
        <v>S.A.L</v>
      </c>
      <c r="V13" s="938"/>
      <c r="W13" s="938"/>
      <c r="X13" s="13">
        <v>0.33333333333333298</v>
      </c>
      <c r="Y13" s="52">
        <v>2369</v>
      </c>
      <c r="Z13" s="181">
        <v>1582</v>
      </c>
      <c r="AA13" s="15">
        <v>1</v>
      </c>
      <c r="AB13" s="56">
        <f>IF('29'!AA13=1,(('29'!Z13*'29'!$AS$6*'29'!$AT$6)/('29'!Y13*0.0036)),IF('29'!AA13=2,(('29'!Z13*'29'!$AS$7*'29'!$AT$7)/('29'!Y13*0.0036))))</f>
        <v>123.35608085924676</v>
      </c>
      <c r="AC13" s="56"/>
      <c r="AD13" s="18">
        <f>(('29'!AC13*'29'!$Q$10*1000000))/('29'!Y13*3600)</f>
        <v>0</v>
      </c>
      <c r="AE13" s="181"/>
      <c r="AF13" s="182">
        <f>('29'!AE13/24)*0.454</f>
        <v>0</v>
      </c>
      <c r="AG13" s="19"/>
      <c r="AH13" s="182">
        <f>('29'!AG13/24)*0.454</f>
        <v>0</v>
      </c>
      <c r="AI13" s="181">
        <v>5200</v>
      </c>
      <c r="AJ13" s="182">
        <f>('29'!AI13/24)*0.454</f>
        <v>98.36666666666666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150</v>
      </c>
      <c r="C14" s="184">
        <v>13</v>
      </c>
      <c r="D14" s="184">
        <v>14</v>
      </c>
      <c r="E14" s="184">
        <v>6</v>
      </c>
      <c r="F14" s="184">
        <v>42</v>
      </c>
      <c r="G14" s="184">
        <v>1.9</v>
      </c>
      <c r="H14" s="184">
        <v>1.3</v>
      </c>
      <c r="I14" s="184">
        <v>0.8</v>
      </c>
      <c r="J14" s="184">
        <v>0.7</v>
      </c>
      <c r="K14" s="184">
        <v>7.3</v>
      </c>
      <c r="L14" s="184">
        <v>6.3</v>
      </c>
      <c r="M14" s="184">
        <v>6.3</v>
      </c>
      <c r="N14" s="184">
        <v>5.8</v>
      </c>
      <c r="O14" s="184">
        <v>4</v>
      </c>
      <c r="P14" s="184"/>
      <c r="Q14" s="186"/>
      <c r="R14" s="36">
        <f>'29'!Z19</f>
        <v>1582</v>
      </c>
      <c r="S14" s="35">
        <f>'29'!AB19</f>
        <v>107.00496358680174</v>
      </c>
      <c r="T14" s="36">
        <f>'29'!Y19</f>
        <v>2731</v>
      </c>
      <c r="U14" s="32" t="str">
        <f>IF('29'!AA19=1,'29'!AR6,'29'!AR7)</f>
        <v>S.A.L</v>
      </c>
      <c r="V14" s="938"/>
      <c r="W14" s="938"/>
      <c r="X14" s="13">
        <v>0.375</v>
      </c>
      <c r="Y14" s="52">
        <v>2327</v>
      </c>
      <c r="Z14" s="181">
        <v>1582</v>
      </c>
      <c r="AA14" s="15">
        <v>1</v>
      </c>
      <c r="AB14" s="56">
        <f>IF('29'!AA14=1,(('29'!Z14*'29'!$AS$6*'29'!$AT$6)/('29'!Y14*0.0036)),IF('29'!AA14=2,(('29'!Z14*'29'!$AS$7*'29'!$AT$7)/('29'!Y14*0.0036))))</f>
        <v>125.58253354342739</v>
      </c>
      <c r="AC14" s="56"/>
      <c r="AD14" s="18">
        <f>(('29'!AC14*'29'!$Q$10*1000000))/('29'!Y14*3600)</f>
        <v>0</v>
      </c>
      <c r="AE14" s="181"/>
      <c r="AF14" s="182">
        <f>('29'!AE14/24)*0.454</f>
        <v>0</v>
      </c>
      <c r="AG14" s="19"/>
      <c r="AH14" s="182">
        <f>('29'!AG14/24)*0.454</f>
        <v>0</v>
      </c>
      <c r="AI14" s="181">
        <v>5200</v>
      </c>
      <c r="AJ14" s="182">
        <f>('29'!AI14/24)*0.454</f>
        <v>98.36666666666666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150</v>
      </c>
      <c r="C15" s="184">
        <v>14</v>
      </c>
      <c r="D15" s="184">
        <v>13</v>
      </c>
      <c r="E15" s="184">
        <v>7</v>
      </c>
      <c r="F15" s="184">
        <v>42</v>
      </c>
      <c r="G15" s="184">
        <v>2.5</v>
      </c>
      <c r="H15" s="184">
        <v>1.3</v>
      </c>
      <c r="I15" s="184">
        <v>0.7</v>
      </c>
      <c r="J15" s="184">
        <v>0.9</v>
      </c>
      <c r="K15" s="184">
        <v>7.3</v>
      </c>
      <c r="L15" s="184">
        <v>6.3</v>
      </c>
      <c r="M15" s="184">
        <v>6.3</v>
      </c>
      <c r="N15" s="184">
        <v>5.8</v>
      </c>
      <c r="O15" s="184">
        <v>4</v>
      </c>
      <c r="P15" s="184"/>
      <c r="Q15" s="186"/>
      <c r="R15" s="36">
        <f>'29'!Z21</f>
        <v>1582</v>
      </c>
      <c r="S15" s="35">
        <f>'29'!AB21</f>
        <v>107.1226376669925</v>
      </c>
      <c r="T15" s="36">
        <f>'29'!Y21</f>
        <v>2728</v>
      </c>
      <c r="U15" s="32" t="str">
        <f>IF('29'!AA21=1,'29'!AR6,'29'!AR7)</f>
        <v>S.A.L</v>
      </c>
      <c r="V15" s="938"/>
      <c r="W15" s="938"/>
      <c r="X15" s="13">
        <v>0.41666666666666702</v>
      </c>
      <c r="Y15" s="52">
        <v>2403</v>
      </c>
      <c r="Z15" s="181">
        <v>1582</v>
      </c>
      <c r="AA15" s="15">
        <v>1</v>
      </c>
      <c r="AB15" s="56">
        <f>IF('29'!AA15=1,(('29'!Z15*'29'!$AS$6*'29'!$AT$6)/('29'!Y15*0.0036)),IF('29'!AA15=2,(('29'!Z15*'29'!$AS$7*'29'!$AT$7)/('29'!Y15*0.0036))))</f>
        <v>121.61071808387663</v>
      </c>
      <c r="AC15" s="56"/>
      <c r="AD15" s="18">
        <f>(('29'!AC15*'29'!$Q$10*1000000))/('29'!Y15*3600)</f>
        <v>0</v>
      </c>
      <c r="AE15" s="181"/>
      <c r="AF15" s="182">
        <f>('29'!AE15/24)*0.454</f>
        <v>0</v>
      </c>
      <c r="AG15" s="19"/>
      <c r="AH15" s="182">
        <f>('29'!AG15/24)*0.454</f>
        <v>0</v>
      </c>
      <c r="AI15" s="181">
        <v>5200</v>
      </c>
      <c r="AJ15" s="182">
        <f>('29'!AI15/24)*0.454</f>
        <v>98.36666666666666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149</v>
      </c>
      <c r="C16" s="184">
        <v>16</v>
      </c>
      <c r="D16" s="184">
        <v>12</v>
      </c>
      <c r="E16" s="184">
        <v>7</v>
      </c>
      <c r="F16" s="184">
        <v>42</v>
      </c>
      <c r="G16" s="184">
        <v>3.3</v>
      </c>
      <c r="H16" s="184">
        <v>1.4</v>
      </c>
      <c r="I16" s="184">
        <v>0.7</v>
      </c>
      <c r="J16" s="184">
        <v>1.1000000000000001</v>
      </c>
      <c r="K16" s="184">
        <v>7.3</v>
      </c>
      <c r="L16" s="184">
        <v>6.3</v>
      </c>
      <c r="M16" s="184">
        <v>6.3</v>
      </c>
      <c r="N16" s="184">
        <v>5.8</v>
      </c>
      <c r="O16" s="184">
        <v>4</v>
      </c>
      <c r="P16" s="184"/>
      <c r="Q16" s="186"/>
      <c r="R16" s="36">
        <f>'29'!Z23</f>
        <v>1582</v>
      </c>
      <c r="S16" s="35">
        <f>'29'!AB23</f>
        <v>105.38426092879753</v>
      </c>
      <c r="T16" s="36">
        <f>'29'!Y23</f>
        <v>2773</v>
      </c>
      <c r="U16" s="32" t="str">
        <f>IF('29'!AA23=1,'29'!AR6,'29'!AR7)</f>
        <v>S.A.L</v>
      </c>
      <c r="V16" s="938"/>
      <c r="W16" s="938"/>
      <c r="X16" s="13">
        <v>0.45833333333333298</v>
      </c>
      <c r="Y16" s="52">
        <v>2450</v>
      </c>
      <c r="Z16" s="181">
        <v>1582</v>
      </c>
      <c r="AA16" s="15">
        <v>1</v>
      </c>
      <c r="AB16" s="56">
        <f>IF('29'!AA16=1,(('29'!Z16*'29'!$AS$6*'29'!$AT$6)/('29'!Y16*0.0036)),IF('29'!AA16=2,(('29'!Z16*'29'!$AS$7*'29'!$AT$7)/('29'!Y16*0.0036))))</f>
        <v>119.27777777777777</v>
      </c>
      <c r="AC16" s="56"/>
      <c r="AD16" s="18">
        <f>(('29'!AC16*'29'!$Q$10*1000000))/('29'!Y16*3600)</f>
        <v>0</v>
      </c>
      <c r="AE16" s="181"/>
      <c r="AF16" s="182">
        <f>('29'!AE16/24)*0.454</f>
        <v>0</v>
      </c>
      <c r="AG16" s="19"/>
      <c r="AH16" s="182">
        <f>('29'!AG16/24)*0.454</f>
        <v>0</v>
      </c>
      <c r="AI16" s="181">
        <v>5200</v>
      </c>
      <c r="AJ16" s="182">
        <f>('29'!AI14/24)*0.454</f>
        <v>98.36666666666666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155</v>
      </c>
      <c r="C17" s="184">
        <v>17</v>
      </c>
      <c r="D17" s="184">
        <v>14</v>
      </c>
      <c r="E17" s="184">
        <v>8</v>
      </c>
      <c r="F17" s="184">
        <v>48</v>
      </c>
      <c r="G17" s="184">
        <v>3</v>
      </c>
      <c r="H17" s="184">
        <v>1.5</v>
      </c>
      <c r="I17" s="184">
        <v>0.8</v>
      </c>
      <c r="J17" s="184">
        <v>1</v>
      </c>
      <c r="K17" s="184">
        <v>7.3</v>
      </c>
      <c r="L17" s="184">
        <v>6.3</v>
      </c>
      <c r="M17" s="184">
        <v>6.3</v>
      </c>
      <c r="N17" s="184">
        <v>5.8</v>
      </c>
      <c r="O17" s="184">
        <v>4</v>
      </c>
      <c r="P17" s="184"/>
      <c r="Q17" s="186"/>
      <c r="R17" s="36">
        <f>'29'!Z25</f>
        <v>1582</v>
      </c>
      <c r="S17" s="35">
        <f>'29'!AB25</f>
        <v>105.34627092846272</v>
      </c>
      <c r="T17" s="36">
        <f>'29'!Y25</f>
        <v>2774</v>
      </c>
      <c r="U17" s="32" t="str">
        <f>IF('29'!AA25=1,'29'!AR6,'29'!AR7)</f>
        <v>S.A.L</v>
      </c>
      <c r="V17" s="938"/>
      <c r="W17" s="938"/>
      <c r="X17" s="13">
        <v>0.5</v>
      </c>
      <c r="Y17" s="52">
        <v>2684</v>
      </c>
      <c r="Z17" s="181">
        <v>1582</v>
      </c>
      <c r="AA17" s="15">
        <v>1</v>
      </c>
      <c r="AB17" s="56">
        <f>IF('29'!AA17=1,(('29'!Z17*'29'!$AS$6*'29'!$AT$6)/('29'!Y17*0.0036)),IF('29'!AA17=2,(('29'!Z17*'29'!$AS$7*'29'!$AT$7)/('29'!Y17*0.0036))))</f>
        <v>108.8787464812055</v>
      </c>
      <c r="AC17" s="56"/>
      <c r="AD17" s="18">
        <f>(('29'!AC17*'29'!$Q$10*1000000))/('29'!Y17*3600)</f>
        <v>0</v>
      </c>
      <c r="AE17" s="181"/>
      <c r="AF17" s="182">
        <f>('29'!AE17/24)*0.454</f>
        <v>0</v>
      </c>
      <c r="AG17" s="19"/>
      <c r="AH17" s="182">
        <f>('29'!AG17/24)*0.454</f>
        <v>0</v>
      </c>
      <c r="AI17" s="181">
        <v>5200</v>
      </c>
      <c r="AJ17" s="182">
        <f>('29'!AI15/24)*0.454</f>
        <v>98.36666666666666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172</v>
      </c>
      <c r="C18" s="184">
        <v>17</v>
      </c>
      <c r="D18" s="184">
        <v>16</v>
      </c>
      <c r="E18" s="184">
        <v>9</v>
      </c>
      <c r="F18" s="184">
        <v>54</v>
      </c>
      <c r="G18" s="184">
        <v>2.7</v>
      </c>
      <c r="H18" s="184">
        <v>1.5</v>
      </c>
      <c r="I18" s="184">
        <v>0.8</v>
      </c>
      <c r="J18" s="184">
        <v>0.9</v>
      </c>
      <c r="K18" s="184">
        <v>7.3</v>
      </c>
      <c r="L18" s="184">
        <v>6.3</v>
      </c>
      <c r="M18" s="184">
        <v>6.3</v>
      </c>
      <c r="N18" s="184">
        <v>5.8</v>
      </c>
      <c r="O18" s="184">
        <v>4</v>
      </c>
      <c r="P18" s="184"/>
      <c r="Q18" s="186"/>
      <c r="R18" s="36">
        <f>'29'!Z27</f>
        <v>1582</v>
      </c>
      <c r="S18" s="35">
        <f>'29'!AB27</f>
        <v>104.81727243743026</v>
      </c>
      <c r="T18" s="36">
        <f>'29'!Y27</f>
        <v>2788</v>
      </c>
      <c r="U18" s="32" t="str">
        <f>IF('29'!AA27=1,'29'!AR6,'29'!AR7)</f>
        <v>S.A.L</v>
      </c>
      <c r="V18" s="938"/>
      <c r="W18" s="938"/>
      <c r="X18" s="13">
        <v>0.54166666666666696</v>
      </c>
      <c r="Y18" s="52">
        <v>2718</v>
      </c>
      <c r="Z18" s="181">
        <v>1582</v>
      </c>
      <c r="AA18" s="15">
        <v>1</v>
      </c>
      <c r="AB18" s="56">
        <f>IF('29'!AA18=1,(('29'!Z18*'29'!$AS$6*'29'!$AT$6)/('29'!Y18*0.0036)),IF('29'!AA18=2,(('29'!Z18*'29'!$AS$7*'29'!$AT$7)/('29'!Y18*0.0036))))</f>
        <v>107.51676069004986</v>
      </c>
      <c r="AC18" s="56"/>
      <c r="AD18" s="18">
        <f>(('29'!AC18*'29'!$Q$10*1000000))/('29'!Y18*3600)</f>
        <v>0</v>
      </c>
      <c r="AE18" s="181"/>
      <c r="AF18" s="182">
        <f>('29'!AE18/24)*0.454</f>
        <v>0</v>
      </c>
      <c r="AG18" s="19"/>
      <c r="AH18" s="182">
        <f>('29'!AG18/24)*0.454</f>
        <v>0</v>
      </c>
      <c r="AI18" s="181">
        <v>5200</v>
      </c>
      <c r="AJ18" s="182">
        <f>('29'!AI16/24)*0.454</f>
        <v>98.36666666666666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154</v>
      </c>
      <c r="C19" s="67">
        <f>AVERAGE('29'!C7:C18)</f>
        <v>12.916666666666666</v>
      </c>
      <c r="D19" s="67">
        <f>AVERAGE('29'!D7:D18)</f>
        <v>15.666666666666666</v>
      </c>
      <c r="E19" s="67">
        <f>AVERAGE('29'!E7:E18)</f>
        <v>6.75</v>
      </c>
      <c r="F19" s="67">
        <f>AVERAGE('29'!F7:F18)</f>
        <v>47.25</v>
      </c>
      <c r="G19" s="67">
        <f>AVERAGE('29'!G7:G18)</f>
        <v>2.2749999999999999</v>
      </c>
      <c r="H19" s="67">
        <f>AVERAGE('29'!H7:H18)</f>
        <v>2.8166666666666664</v>
      </c>
      <c r="I19" s="67">
        <f>AVERAGE('29'!I7:I18)</f>
        <v>0.75</v>
      </c>
      <c r="J19" s="67">
        <f>AVERAGE('29'!J7:J18)</f>
        <v>0.93333333333333346</v>
      </c>
      <c r="K19" s="67">
        <f>AVERAGE('29'!K7:K18)</f>
        <v>7.299999999999998</v>
      </c>
      <c r="L19" s="67">
        <f>AVERAGE('29'!L7:L18)</f>
        <v>6.299999999999998</v>
      </c>
      <c r="M19" s="67">
        <f>AVERAGE('29'!M7:M18)</f>
        <v>6.299999999999998</v>
      </c>
      <c r="N19" s="67">
        <f>AVERAGE('29'!N7:N18)</f>
        <v>5.8666666666666663</v>
      </c>
      <c r="O19" s="67">
        <f>AVERAGE('29'!O7:O18)</f>
        <v>3.8333333333333335</v>
      </c>
      <c r="P19" s="188" t="e">
        <f>AVERAGE('29'!P7:P18)</f>
        <v>#DIV/0!</v>
      </c>
      <c r="Q19" s="189" t="e">
        <f>AVERAGE('29'!Q7:Q18)</f>
        <v>#DIV/0!</v>
      </c>
      <c r="R19" s="189">
        <f>AVERAGE('29'!R7:R18)</f>
        <v>1582</v>
      </c>
      <c r="S19" s="189">
        <f>AVERAGE('29'!S7:S18)</f>
        <v>112.39573409144016</v>
      </c>
      <c r="T19" s="940"/>
      <c r="U19" s="940"/>
      <c r="V19" s="47"/>
      <c r="W19" s="48"/>
      <c r="X19" s="13">
        <v>0.58333333333333304</v>
      </c>
      <c r="Y19" s="52">
        <v>2731</v>
      </c>
      <c r="Z19" s="181">
        <v>1582</v>
      </c>
      <c r="AA19" s="15">
        <v>1</v>
      </c>
      <c r="AB19" s="56">
        <f>IF('29'!AA19=1,(('29'!Z19*'29'!$AS$6*'29'!$AT$6)/('29'!Y19*0.0036)),IF('29'!AA19=2,(('29'!Z19*'29'!$AS$7*'29'!$AT$7)/('29'!Y19*0.0036))))</f>
        <v>107.00496358680174</v>
      </c>
      <c r="AC19" s="56"/>
      <c r="AD19" s="18">
        <f>(('29'!AC19*'29'!$Q$10*1000000))/('29'!Y19*3600)</f>
        <v>0</v>
      </c>
      <c r="AE19" s="181"/>
      <c r="AF19" s="182">
        <f>('29'!AE19/24)*0.454</f>
        <v>0</v>
      </c>
      <c r="AG19" s="19"/>
      <c r="AH19" s="182">
        <f>('29'!AG19/24)*0.454</f>
        <v>0</v>
      </c>
      <c r="AI19" s="181">
        <v>5200</v>
      </c>
      <c r="AJ19" s="182">
        <f>('29'!AI17/24)*0.454</f>
        <v>98.36666666666666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172</v>
      </c>
      <c r="C20" s="67">
        <f>MAX('29'!C7:C18)</f>
        <v>17</v>
      </c>
      <c r="D20" s="67">
        <f>MAX('29'!D7:D18)</f>
        <v>23</v>
      </c>
      <c r="E20" s="67">
        <f>MAX('29'!E7:E18)</f>
        <v>9</v>
      </c>
      <c r="F20" s="67">
        <f>MAX('29'!F7:F18)</f>
        <v>56</v>
      </c>
      <c r="G20" s="67">
        <f>MAX('29'!G7:G18)</f>
        <v>3.3</v>
      </c>
      <c r="H20" s="67">
        <f>MAX('29'!H7:H18)</f>
        <v>5.5</v>
      </c>
      <c r="I20" s="67">
        <f>MAX('29'!I7:I18)</f>
        <v>0.8</v>
      </c>
      <c r="J20" s="67">
        <f>MAX('29'!J7:J18)</f>
        <v>1.4</v>
      </c>
      <c r="K20" s="67">
        <f>MAX('29'!K7:K18)</f>
        <v>7.3</v>
      </c>
      <c r="L20" s="67">
        <f>MAX('29'!L7:L18)</f>
        <v>6.3</v>
      </c>
      <c r="M20" s="67">
        <f>MAX('29'!M7:M18)</f>
        <v>6.3</v>
      </c>
      <c r="N20" s="67">
        <f>MAX('29'!N7:N18)</f>
        <v>6</v>
      </c>
      <c r="O20" s="68">
        <f>MAX('29'!O7:O18)</f>
        <v>4</v>
      </c>
      <c r="P20" s="68">
        <f>MAX('29'!P7:P18)</f>
        <v>0</v>
      </c>
      <c r="Q20" s="68">
        <f>MAX('29'!Q7:Q18)</f>
        <v>0</v>
      </c>
      <c r="R20" s="68">
        <f>MAX('29'!R7:R18)</f>
        <v>1582</v>
      </c>
      <c r="S20" s="68">
        <f>MAX('29'!S7:S18)</f>
        <v>123.35608085924676</v>
      </c>
      <c r="T20" s="940"/>
      <c r="U20" s="940"/>
      <c r="X20" s="13">
        <v>0.625</v>
      </c>
      <c r="Y20" s="52">
        <v>2744</v>
      </c>
      <c r="Z20" s="181">
        <v>1582</v>
      </c>
      <c r="AA20" s="15">
        <v>1</v>
      </c>
      <c r="AB20" s="56">
        <f>IF('29'!AA20=1,(('29'!Z20*'29'!$AS$6*'29'!$AT$6)/('29'!Y20*0.0036)),IF('29'!AA20=2,(('29'!Z20*'29'!$AS$7*'29'!$AT$7)/('29'!Y20*0.0036))))</f>
        <v>106.49801587301587</v>
      </c>
      <c r="AC20" s="56"/>
      <c r="AD20" s="18">
        <f>(('29'!AC20*'29'!$Q$10*1000000))/('29'!Y20*3600)</f>
        <v>0</v>
      </c>
      <c r="AE20" s="181"/>
      <c r="AF20" s="182">
        <f>('29'!AE20/24)*0.454</f>
        <v>0</v>
      </c>
      <c r="AG20" s="19"/>
      <c r="AH20" s="182">
        <f>('29'!AG20/24)*0.454</f>
        <v>0</v>
      </c>
      <c r="AI20" s="181">
        <v>5200</v>
      </c>
      <c r="AJ20" s="182">
        <f>('29'!AI18/24)*0.454</f>
        <v>98.36666666666666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148</v>
      </c>
      <c r="C21" s="67">
        <f>MIN('29'!C7:C18)</f>
        <v>10</v>
      </c>
      <c r="D21" s="67">
        <f>MIN('29'!D7:D18)</f>
        <v>12</v>
      </c>
      <c r="E21" s="67">
        <f>MIN('29'!E7:E18)</f>
        <v>6</v>
      </c>
      <c r="F21" s="67">
        <f>MIN('29'!F7:F18)</f>
        <v>42</v>
      </c>
      <c r="G21" s="190">
        <f>MIN('29'!G7:G18)</f>
        <v>1.7</v>
      </c>
      <c r="H21" s="190">
        <f>MIN('29'!H7:H18)</f>
        <v>1.3</v>
      </c>
      <c r="I21" s="190">
        <f>MIN('29'!I7:I18)</f>
        <v>0.6</v>
      </c>
      <c r="J21" s="190">
        <f>MIN('29'!J7:J18)</f>
        <v>0.7</v>
      </c>
      <c r="K21" s="190">
        <f>MIN('29'!K7:K18)</f>
        <v>7.3</v>
      </c>
      <c r="L21" s="190">
        <f>MIN('29'!L7:L18)</f>
        <v>6.3</v>
      </c>
      <c r="M21" s="190">
        <f>MIN('29'!M7:M18)</f>
        <v>6.3</v>
      </c>
      <c r="N21" s="190">
        <f>MIN('29'!N7:N18)</f>
        <v>5.8</v>
      </c>
      <c r="O21" s="191">
        <f>MIN('29'!O7:O18)</f>
        <v>3.4</v>
      </c>
      <c r="P21" s="191">
        <f>MIN('29'!P7:P18)</f>
        <v>0</v>
      </c>
      <c r="Q21" s="191">
        <f>MIN('29'!Q7:Q18)</f>
        <v>0</v>
      </c>
      <c r="R21" s="191">
        <f>MIN('29'!R7:R18)</f>
        <v>1582</v>
      </c>
      <c r="S21" s="191">
        <f>MIN('29'!S7:S18)</f>
        <v>104.81727243743026</v>
      </c>
      <c r="T21" s="940"/>
      <c r="U21" s="940"/>
      <c r="X21" s="13">
        <v>0.66666666666666696</v>
      </c>
      <c r="Y21" s="52">
        <v>2728</v>
      </c>
      <c r="Z21" s="181">
        <v>1582</v>
      </c>
      <c r="AA21" s="15">
        <v>1</v>
      </c>
      <c r="AB21" s="56">
        <f>IF('29'!AA21=1,(('29'!Z21*'29'!$AS$6*'29'!$AT$6)/('29'!Y21*0.0036)),IF('29'!AA21=2,(('29'!Z21*'29'!$AS$7*'29'!$AT$7)/('29'!Y21*0.0036))))</f>
        <v>107.1226376669925</v>
      </c>
      <c r="AC21" s="56"/>
      <c r="AD21" s="18">
        <f>(('29'!AC21*'29'!$Q$10*1000000))/('29'!Y21*3600)</f>
        <v>0</v>
      </c>
      <c r="AE21" s="181"/>
      <c r="AF21" s="182">
        <f>('29'!AE21/24)*0.454</f>
        <v>0</v>
      </c>
      <c r="AG21" s="19"/>
      <c r="AH21" s="182">
        <f>('29'!AG21/24)*0.454</f>
        <v>0</v>
      </c>
      <c r="AI21" s="181">
        <v>5200</v>
      </c>
      <c r="AJ21" s="182">
        <f>('29'!AI19/24)*0.454</f>
        <v>98.36666666666666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>
        <v>2803</v>
      </c>
      <c r="Z22" s="181">
        <v>1582</v>
      </c>
      <c r="AA22" s="15">
        <v>1</v>
      </c>
      <c r="AB22" s="56">
        <f>IF('29'!AA22=1,(('29'!Z22*'29'!$AS$6*'29'!$AT$6)/('29'!Y22*0.0036)),IF('29'!AA22=2,(('29'!Z22*'29'!$AS$7*'29'!$AT$7)/('29'!Y22*0.0036))))</f>
        <v>104.256352320926</v>
      </c>
      <c r="AC22" s="56"/>
      <c r="AD22" s="18">
        <f>(('29'!AC22*'29'!$Q$10*1000000))/('29'!Y22*3600)</f>
        <v>0</v>
      </c>
      <c r="AE22" s="181"/>
      <c r="AF22" s="182">
        <f>('29'!AE22/24)*0.454</f>
        <v>0</v>
      </c>
      <c r="AG22" s="19"/>
      <c r="AH22" s="182">
        <f>('29'!AG22/24)*0.454</f>
        <v>0</v>
      </c>
      <c r="AI22" s="181">
        <v>5200</v>
      </c>
      <c r="AJ22" s="182">
        <f>('29'!AI20/24)*0.454</f>
        <v>98.36666666666666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>
        <v>2773</v>
      </c>
      <c r="Z23" s="181">
        <v>1582</v>
      </c>
      <c r="AA23" s="15">
        <v>1</v>
      </c>
      <c r="AB23" s="56">
        <f>IF('29'!AA23=1,(('29'!Z23*'29'!$AS$6*'29'!$AT$6)/('29'!Y23*0.0036)),IF('29'!AA23=2,(('29'!Z23*'29'!$AS$7*'29'!$AT$7)/('29'!Y23*0.0036))))</f>
        <v>105.38426092879753</v>
      </c>
      <c r="AC23" s="56"/>
      <c r="AD23" s="18">
        <f>(('29'!AC23*'29'!$Q$10*1000000))/('29'!Y23*3600)</f>
        <v>0</v>
      </c>
      <c r="AE23" s="181"/>
      <c r="AF23" s="182">
        <f>('29'!AE23/24)*0.454</f>
        <v>0</v>
      </c>
      <c r="AG23" s="19"/>
      <c r="AH23" s="182">
        <f>('29'!AG23/24)*0.454</f>
        <v>0</v>
      </c>
      <c r="AI23" s="181">
        <v>5200</v>
      </c>
      <c r="AJ23" s="182">
        <f>('29'!AI21/24)*0.454</f>
        <v>98.36666666666666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>
        <v>2784</v>
      </c>
      <c r="Z24" s="181">
        <v>1582</v>
      </c>
      <c r="AA24" s="15">
        <v>1</v>
      </c>
      <c r="AB24" s="16">
        <f>IF('29'!AA24=1,(('29'!Z24*'29'!$AS$6*'29'!$AT$6)/('29'!Y24*0.0036)),IF('29'!AA24=2,(('29'!Z24*'29'!$AS$7*'29'!$AT$7)/('29'!Y24*0.0036))))</f>
        <v>104.96787196679439</v>
      </c>
      <c r="AC24" s="56"/>
      <c r="AD24" s="18">
        <f>(('29'!AC24*'29'!$Q$10*1000000))/('29'!Y24*3600)</f>
        <v>0</v>
      </c>
      <c r="AE24" s="181"/>
      <c r="AF24" s="193">
        <f>('29'!AE24/24)*0.454</f>
        <v>0</v>
      </c>
      <c r="AG24" s="19"/>
      <c r="AH24" s="193">
        <f>('29'!AG24/24)*0.454</f>
        <v>0</v>
      </c>
      <c r="AI24" s="181">
        <v>5200</v>
      </c>
      <c r="AJ24" s="193">
        <f>('29'!AI22/24)*0.454</f>
        <v>98.36666666666666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/>
      <c r="C25" s="258">
        <v>0.71</v>
      </c>
      <c r="D25" s="258">
        <v>0.61</v>
      </c>
      <c r="E25" s="221">
        <v>0.49</v>
      </c>
      <c r="F25" s="221">
        <v>0.51</v>
      </c>
      <c r="G25" s="221"/>
      <c r="H25" s="221">
        <v>0.63</v>
      </c>
      <c r="I25" s="221">
        <v>0.8</v>
      </c>
      <c r="J25" s="221"/>
      <c r="K25" s="221">
        <v>1.91</v>
      </c>
      <c r="L25" s="221">
        <v>3.1</v>
      </c>
      <c r="M25" s="221">
        <v>2.95</v>
      </c>
      <c r="N25" s="221">
        <v>2.2999999999999998</v>
      </c>
      <c r="O25" s="221"/>
      <c r="P25" s="221"/>
      <c r="Q25" s="221"/>
      <c r="R25" s="63" t="e">
        <f>#DIV/0!</f>
        <v>#DIV/0!</v>
      </c>
      <c r="S25" s="64"/>
      <c r="T25" s="1094" t="s">
        <v>0</v>
      </c>
      <c r="U25" s="1043">
        <f>ESCALA!$A$31</f>
        <v>44345</v>
      </c>
      <c r="X25" s="13">
        <v>0.83333333333333304</v>
      </c>
      <c r="Y25" s="52">
        <v>2774</v>
      </c>
      <c r="Z25" s="181">
        <v>1582</v>
      </c>
      <c r="AA25" s="15">
        <v>1</v>
      </c>
      <c r="AB25" s="56">
        <f>IF('29'!AA25=1,(('29'!Z25*'29'!$AS$6*'29'!$AT$6)/('29'!Y25*0.0036)),IF('29'!AA25=2,(('29'!Z25*'29'!$AS$7*'29'!$AT$7)/('29'!Y25*0.0036))))</f>
        <v>105.34627092846272</v>
      </c>
      <c r="AC25" s="56"/>
      <c r="AD25" s="18">
        <f>(('29'!AC25*'29'!$Q$10*1000000))/('29'!Y25*3600)</f>
        <v>0</v>
      </c>
      <c r="AE25" s="181"/>
      <c r="AF25" s="182">
        <f>('29'!AE25/24)*0.454</f>
        <v>0</v>
      </c>
      <c r="AG25" s="19"/>
      <c r="AH25" s="182">
        <f>('29'!AG25/24)*0.454</f>
        <v>0</v>
      </c>
      <c r="AI25" s="181">
        <v>5200</v>
      </c>
      <c r="AJ25" s="182">
        <f>('29'!AI23/24)*0.454</f>
        <v>98.36666666666666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4"/>
      <c r="U26" s="1043"/>
      <c r="X26" s="13">
        <v>0.875</v>
      </c>
      <c r="Y26" s="52">
        <v>2788</v>
      </c>
      <c r="Z26" s="181">
        <v>1582</v>
      </c>
      <c r="AA26" s="15">
        <v>1</v>
      </c>
      <c r="AB26" s="56">
        <f>IF('29'!AA26=1,(('29'!Z26*'29'!$AS$6*'29'!$AT$6)/('29'!Y26*0.0036)),IF('29'!AA26=2,(('29'!Z26*'29'!$AS$7*'29'!$AT$7)/('29'!Y26*0.0036))))</f>
        <v>104.81727243743026</v>
      </c>
      <c r="AC26" s="56"/>
      <c r="AD26" s="18">
        <f>(('29'!AC26*'29'!$Q$10*1000000))/('29'!Y26*3600)</f>
        <v>0</v>
      </c>
      <c r="AE26" s="181"/>
      <c r="AF26" s="182">
        <f>('29'!AE26/24)*0.454</f>
        <v>0</v>
      </c>
      <c r="AG26" s="19"/>
      <c r="AH26" s="182">
        <f>('29'!AG26/24)*0.454</f>
        <v>0</v>
      </c>
      <c r="AI26" s="181">
        <v>5200</v>
      </c>
      <c r="AJ26" s="182">
        <f>('29'!AI24/24)*0.454</f>
        <v>98.36666666666666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2788</v>
      </c>
      <c r="Z27" s="181">
        <v>1582</v>
      </c>
      <c r="AA27" s="15">
        <v>1</v>
      </c>
      <c r="AB27" s="56">
        <f>IF('29'!AA27=1,(('29'!Z27*'29'!$AS$6*'29'!$AT$6)/('29'!Y27*0.0036)),IF('29'!AA27=2,(('29'!Z27*'29'!$AS$7*'29'!$AT$7)/('29'!Y27*0.0036))))</f>
        <v>104.81727243743026</v>
      </c>
      <c r="AC27" s="56"/>
      <c r="AD27" s="18">
        <f>(('29'!AC27*'29'!$Q$10*1000000))/('29'!Y27*3600)</f>
        <v>0</v>
      </c>
      <c r="AE27" s="181"/>
      <c r="AF27" s="182">
        <f>('29'!AE27/24)*0.454</f>
        <v>0</v>
      </c>
      <c r="AG27" s="19"/>
      <c r="AH27" s="182">
        <f>('29'!AG27/24)*0.454</f>
        <v>0</v>
      </c>
      <c r="AI27" s="181">
        <v>5200</v>
      </c>
      <c r="AJ27" s="182">
        <f>('29'!AI25/24)*0.454</f>
        <v>98.36666666666666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>
        <v>2734</v>
      </c>
      <c r="Z28" s="181">
        <v>1582</v>
      </c>
      <c r="AA28" s="15">
        <v>1</v>
      </c>
      <c r="AB28" s="56">
        <f>IF('29'!AA28=1,(('29'!Z28*'29'!$AS$6*'29'!$AT$6)/('29'!Y28*0.0036)),IF('29'!AA28=2,(('29'!Z28*'29'!$AS$7*'29'!$AT$7)/('29'!Y28*0.0036))))</f>
        <v>106.88754775258067</v>
      </c>
      <c r="AC28" s="56"/>
      <c r="AD28" s="18">
        <f>(('29'!AC28*'29'!$Q$10*1000000))/('29'!Y28*3600)</f>
        <v>0</v>
      </c>
      <c r="AE28" s="181"/>
      <c r="AF28" s="182">
        <f>('29'!AE28/24)*0.454</f>
        <v>0</v>
      </c>
      <c r="AG28" s="19"/>
      <c r="AH28" s="182">
        <f>('29'!AG28/24)*0.454</f>
        <v>0</v>
      </c>
      <c r="AI28" s="181">
        <v>5200</v>
      </c>
      <c r="AJ28" s="182">
        <f>('29'!AI26/24)*0.454</f>
        <v>98.36666666666666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>
        <v>2728</v>
      </c>
      <c r="Z29" s="181">
        <v>1582</v>
      </c>
      <c r="AA29" s="15">
        <v>1</v>
      </c>
      <c r="AB29" s="56">
        <f>IF('29'!AA29=1,(('29'!Z29*'29'!$AS$6*'29'!$AT$6)/('29'!Y29*0.0036)),IF('29'!AA29=2,(('29'!Z29*'29'!$AS$7*'29'!$AT$7)/('29'!Y29*0.0036))))</f>
        <v>107.1226376669925</v>
      </c>
      <c r="AC29" s="56"/>
      <c r="AD29" s="18">
        <f>(('29'!AC29*'29'!$Q$10*1000000))/('29'!Y29*3600)</f>
        <v>0</v>
      </c>
      <c r="AE29" s="181"/>
      <c r="AF29" s="182">
        <f>('29'!AE29/24)*0.454</f>
        <v>0</v>
      </c>
      <c r="AG29" s="19"/>
      <c r="AH29" s="182">
        <f>('29'!AG29/24)*0.454</f>
        <v>0</v>
      </c>
      <c r="AI29" s="181">
        <v>5200</v>
      </c>
      <c r="AJ29" s="182">
        <f>('29'!AI27/24)*0.454</f>
        <v>98.36666666666666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SUM('29'!Y6:Y29)*3.6</f>
        <v>225792</v>
      </c>
      <c r="Z30" s="80">
        <f>SUM('29'!Z6:Z29)</f>
        <v>37968</v>
      </c>
      <c r="AA30" s="76"/>
      <c r="AB30" s="77"/>
      <c r="AC30" s="76"/>
      <c r="AD30" s="77"/>
      <c r="AE30" s="33"/>
      <c r="AF30" s="182">
        <f>SUM('29'!AF6:AF29)</f>
        <v>0</v>
      </c>
      <c r="AG30" s="33"/>
      <c r="AH30" s="182">
        <f>SUM('29'!AH6:AH29)</f>
        <v>0</v>
      </c>
      <c r="AI30" s="33"/>
      <c r="AJ30" s="182">
        <f>SUM('29'!AJ6:AJ29)</f>
        <v>2360.7999999999993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SUMIF('29'!AA6:AA29,"=1",'29'!Z6:Z29)</f>
        <v>37968</v>
      </c>
      <c r="AA32" s="80">
        <f>'29'!Z32*'29'!AS6</f>
        <v>50497.440000000002</v>
      </c>
      <c r="AB32" s="81">
        <f>SUMIF('29'!$AA$6:$AA$29,"=1",'29'!$AB$6:$AB$29)/COUNTIF('29'!$AA$6:$AA$29,"=1")</f>
        <v>112.29032711501917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AVERAGE('29'!Y6:Y29)</f>
        <v>2613.3333333333335</v>
      </c>
      <c r="Z34" s="94">
        <f>AVERAGE('29'!Z6:Z29)</f>
        <v>1582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0</v>
      </c>
      <c r="AG34" s="96"/>
      <c r="AH34" s="96">
        <f>AVERAGE('29'!AH6:AH29)</f>
        <v>0</v>
      </c>
      <c r="AI34" s="96"/>
      <c r="AJ34" s="96">
        <f>'29'!AJ30/24</f>
        <v>98.366666666666632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19"/>
      <c r="AK36" s="1019"/>
      <c r="AL36" s="1019"/>
      <c r="AM36" s="1019"/>
      <c r="AO36" s="1019"/>
      <c r="AP36" s="1019"/>
      <c r="AQ36" s="1019"/>
      <c r="AR36" s="1019"/>
    </row>
    <row r="37" spans="1:44" ht="18" customHeight="1">
      <c r="A37" s="99"/>
      <c r="B37" s="28">
        <v>0.33333333333333298</v>
      </c>
      <c r="C37" s="184">
        <v>51.8</v>
      </c>
      <c r="D37" s="184">
        <v>15.9</v>
      </c>
      <c r="E37" s="184">
        <v>11.9</v>
      </c>
      <c r="F37" s="184">
        <v>2.2000000000000002</v>
      </c>
      <c r="G37" s="181">
        <v>0.2</v>
      </c>
      <c r="H37" s="181">
        <v>0.2</v>
      </c>
      <c r="I37" s="181">
        <v>0.15</v>
      </c>
      <c r="J37" s="181">
        <v>0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'29'!V12</f>
        <v>0</v>
      </c>
      <c r="X37" s="1056" t="s">
        <v>75</v>
      </c>
      <c r="Y37" s="1056"/>
      <c r="Z37" s="108">
        <f>COUNTA('29'!Z6:Z29)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0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2360.7999999999993</v>
      </c>
      <c r="AQ38" s="208" t="s">
        <v>78</v>
      </c>
      <c r="AR38" s="210">
        <f>'29'!AP30</f>
        <v>0</v>
      </c>
    </row>
    <row r="39" spans="1:44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0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10.455640589569159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SUM('29'!AK38,'29'!AM38)</f>
        <v>0</v>
      </c>
      <c r="AM40" s="969"/>
      <c r="AO40" s="970" t="s">
        <v>90</v>
      </c>
      <c r="AP40" s="970"/>
      <c r="AQ40" s="971">
        <f>SUM('29'!AP38,'29'!AR38)</f>
        <v>2360.7999999999993</v>
      </c>
      <c r="AR40" s="971"/>
    </row>
    <row r="41" spans="1:44" ht="16.5" customHeight="1">
      <c r="A41" s="131">
        <f>COUNTA('29'!E7:E18)</f>
        <v>12</v>
      </c>
      <c r="B41" s="132">
        <f>COUNTA('29'!I7:I18)</f>
        <v>12</v>
      </c>
      <c r="C41" s="972">
        <f>COUNTA('29'!J7:J18)</f>
        <v>12</v>
      </c>
      <c r="D41" s="972">
        <f>COUNTA('29'!K7:K18)</f>
        <v>12</v>
      </c>
      <c r="E41" s="972">
        <f>COUNTIF('29'!E7:E18,"&gt;15")</f>
        <v>0</v>
      </c>
      <c r="F41" s="972"/>
      <c r="G41" s="972">
        <f>COUNTIF('29'!J7:J18,"&gt;1")</f>
        <v>3</v>
      </c>
      <c r="H41" s="972"/>
      <c r="I41" s="133"/>
      <c r="J41" s="972">
        <f>'29'!A41-'29'!E41</f>
        <v>12</v>
      </c>
      <c r="K41" s="972"/>
      <c r="L41" s="972">
        <f>'29'!C41-'29'!G41</f>
        <v>9</v>
      </c>
      <c r="M41" s="972"/>
      <c r="N41" s="133"/>
      <c r="O41" s="973">
        <f>COUNTIF('29'!J7:J18,"&lt;=0,5")</f>
        <v>0</v>
      </c>
      <c r="P41" s="973"/>
      <c r="Q41" s="973"/>
      <c r="R41" s="963"/>
      <c r="S41" s="974">
        <f>COUNTIF('29'!J7:J18,"&lt;=1,0")</f>
        <v>9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970" t="s">
        <v>91</v>
      </c>
      <c r="AK41" s="970"/>
      <c r="AL41" s="975">
        <f>SUM(('29'!AK38+'29'!AM38)/'29'!Y30)*1000</f>
        <v>0</v>
      </c>
      <c r="AM41" s="975"/>
      <c r="AO41" s="970" t="s">
        <v>91</v>
      </c>
      <c r="AP41" s="970"/>
      <c r="AQ41" s="975">
        <f>SUM(('29'!AP38+'29'!AR38)/'29'!Y30)*1000</f>
        <v>10.455640589569159</v>
      </c>
      <c r="AR41" s="975"/>
    </row>
    <row r="42" spans="1:44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</row>
    <row r="43" spans="1:44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4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>
        <v>160</v>
      </c>
      <c r="Z44" s="142" t="s">
        <v>101</v>
      </c>
      <c r="AA44" s="143"/>
      <c r="AB44" s="142" t="s">
        <v>101</v>
      </c>
      <c r="AC44" s="143">
        <v>42</v>
      </c>
      <c r="AD44" s="982"/>
      <c r="AE44" s="982"/>
      <c r="AF44" s="983" t="s">
        <v>102</v>
      </c>
      <c r="AG44" s="996">
        <f>SUM('29'!Y45,'29'!AA45,'29'!AC45,'29'!AE45)</f>
        <v>128711.4</v>
      </c>
      <c r="AI44" s="985" t="s">
        <v>103</v>
      </c>
      <c r="AJ44" s="985"/>
      <c r="AK44" s="985"/>
      <c r="AL44" s="985"/>
      <c r="AM44" s="985"/>
      <c r="AN44" s="985"/>
      <c r="AO44" s="985"/>
      <c r="AP44" s="985"/>
      <c r="AQ44" s="985"/>
      <c r="AR44" s="985"/>
    </row>
    <row r="45" spans="1:44" ht="15" customHeight="1">
      <c r="H45" s="986">
        <f>COUNTIF('29'!I7:I18,"&lt;=5,0")</f>
        <v>12</v>
      </c>
      <c r="I45" s="986"/>
      <c r="J45" s="986"/>
      <c r="K45" s="133"/>
      <c r="L45" s="968">
        <f>COUNTA('29'!L37)</f>
        <v>0</v>
      </c>
      <c r="M45" s="968"/>
      <c r="O45" s="144"/>
      <c r="P45" s="145"/>
      <c r="Q45" s="987">
        <f>'29'!S41-'29'!O41</f>
        <v>9</v>
      </c>
      <c r="R45" s="987"/>
      <c r="S45" s="987"/>
      <c r="T45" s="146"/>
      <c r="X45" s="147" t="s">
        <v>104</v>
      </c>
      <c r="Y45" s="148">
        <f>'29'!Y44*275.3</f>
        <v>44048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11663.4</v>
      </c>
      <c r="AD45" s="147" t="s">
        <v>104</v>
      </c>
      <c r="AE45" s="149">
        <v>73000</v>
      </c>
      <c r="AF45" s="983"/>
      <c r="AG45" s="996"/>
      <c r="AI45" s="981" t="s">
        <v>97</v>
      </c>
      <c r="AJ45" s="981"/>
      <c r="AK45" s="981" t="s">
        <v>98</v>
      </c>
      <c r="AL45" s="981"/>
      <c r="AM45" s="981" t="s">
        <v>99</v>
      </c>
      <c r="AN45" s="981"/>
      <c r="AO45" s="1073"/>
      <c r="AP45" s="1073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89" t="s">
        <v>106</v>
      </c>
      <c r="AG46" s="990">
        <f>SUM('29'!Y47,'29'!AA47,'29'!AC47,'29'!AE47)</f>
        <v>171186.16200000001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3"/>
      <c r="AP46" s="1073"/>
      <c r="AQ46" s="983" t="s">
        <v>102</v>
      </c>
      <c r="AR46" s="984">
        <f>SUM('10'!AJ47,'10'!AL47,'10'!AN47,'10'!AP47)</f>
        <v>0</v>
      </c>
    </row>
    <row r="47" spans="1:44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'29'!Y45*'29'!Y46</f>
        <v>58583.840000000004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15512.322</v>
      </c>
      <c r="AD47" s="147" t="s">
        <v>108</v>
      </c>
      <c r="AE47" s="148">
        <f>'29'!AE45*'29'!AE46</f>
        <v>97090</v>
      </c>
      <c r="AF47" s="989"/>
      <c r="AG47" s="990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3"/>
      <c r="AP47" s="1073"/>
      <c r="AQ47" s="983"/>
      <c r="AR47" s="984"/>
    </row>
    <row r="48" spans="1:44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3"/>
      <c r="AP48" s="1073"/>
      <c r="AQ48" s="989" t="s">
        <v>106</v>
      </c>
      <c r="AR48" s="990">
        <f>SUM('10'!AJ49,'10'!AL49,'10'!AN49,'10'!AP49)</f>
        <v>0</v>
      </c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3"/>
      <c r="AP49" s="1073"/>
      <c r="AQ49" s="989"/>
      <c r="AR49" s="990"/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</row>
    <row r="51" spans="15:44" ht="16.5" customHeight="1">
      <c r="O51" s="968">
        <f>COUNTA('29'!O7:O18)</f>
        <v>12</v>
      </c>
      <c r="P51" s="968">
        <f>COUNTA('29'!W17:W28)</f>
        <v>0</v>
      </c>
      <c r="R51" s="986">
        <f>COUNTIF('29'!O7:O18,"&gt;=0,5")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  <c r="AI51" s="994" t="s">
        <v>112</v>
      </c>
      <c r="AJ51" s="994"/>
      <c r="AK51" s="994"/>
      <c r="AL51" s="994"/>
      <c r="AM51" s="994"/>
      <c r="AN51" s="994"/>
      <c r="AO51" s="994"/>
      <c r="AP51" s="994"/>
      <c r="AQ51" s="994"/>
      <c r="AR51" s="994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SUM('29'!Y53,'29'!AA53,'29'!AC53,'29'!AE53)</f>
        <v>0</v>
      </c>
      <c r="AI52" s="981" t="s">
        <v>97</v>
      </c>
      <c r="AJ52" s="981"/>
      <c r="AK52" s="981" t="s">
        <v>98</v>
      </c>
      <c r="AL52" s="981"/>
      <c r="AM52" s="981" t="s">
        <v>99</v>
      </c>
      <c r="AN52" s="981"/>
      <c r="AO52" s="1073"/>
      <c r="AP52" s="1073"/>
      <c r="AQ52" s="307"/>
      <c r="AR52" s="308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83"/>
      <c r="AG53" s="996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3"/>
      <c r="AP53" s="1073"/>
      <c r="AQ53" s="983" t="s">
        <v>102</v>
      </c>
      <c r="AR53" s="996">
        <f>'10'!AJ54+'10'!AL54+'10'!AN54+'10'!AP54</f>
        <v>0</v>
      </c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89" t="s">
        <v>106</v>
      </c>
      <c r="AG54" s="990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3"/>
      <c r="AP54" s="1073"/>
      <c r="AQ54" s="983"/>
      <c r="AR54" s="996"/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89"/>
      <c r="AG55" s="990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3"/>
      <c r="AP55" s="1073"/>
      <c r="AQ55" s="989" t="s">
        <v>106</v>
      </c>
      <c r="AR55" s="990">
        <f>SUM('10'!AJ56,'10'!AL56,'10'!AN56,'10'!AP56)</f>
        <v>0</v>
      </c>
    </row>
    <row r="56" spans="15:44">
      <c r="O56" s="992"/>
      <c r="P56" s="992"/>
      <c r="R56" s="993"/>
      <c r="S56" s="993"/>
      <c r="T56" s="993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3"/>
      <c r="AP56" s="1073"/>
      <c r="AQ56" s="989"/>
      <c r="AR56" s="990"/>
    </row>
    <row r="57" spans="15:44" ht="15.75" customHeight="1">
      <c r="O57" s="997">
        <f>COUNTA('29'!N7:N18)</f>
        <v>12</v>
      </c>
      <c r="P57" s="997"/>
      <c r="R57" s="998">
        <f>COUNTIF('29'!N7:N18,"&gt;=6")</f>
        <v>4</v>
      </c>
      <c r="S57" s="998"/>
      <c r="T57" s="998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  <c r="AI59" s="1000" t="s">
        <v>117</v>
      </c>
      <c r="AJ59" s="1000"/>
      <c r="AK59" s="1000"/>
      <c r="AL59" s="1000"/>
      <c r="AM59" s="1000"/>
      <c r="AN59" s="1000"/>
      <c r="AO59" s="1000"/>
      <c r="AP59" s="1000"/>
      <c r="AQ59" s="1000"/>
      <c r="AR59" s="1000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998" t="s">
        <v>120</v>
      </c>
      <c r="AJ60" s="998"/>
      <c r="AK60" s="998"/>
      <c r="AL60" s="998"/>
      <c r="AM60" s="998"/>
      <c r="AN60" s="998" t="s">
        <v>93</v>
      </c>
      <c r="AO60" s="998"/>
      <c r="AP60" s="998"/>
      <c r="AQ60" s="998"/>
      <c r="AR60" s="998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1004" t="s">
        <v>121</v>
      </c>
      <c r="AJ61" s="1004"/>
      <c r="AK61" s="1004"/>
      <c r="AL61" s="1005">
        <f>AJ56+AL56+AN56</f>
        <v>0</v>
      </c>
      <c r="AM61" s="1005"/>
      <c r="AN61" s="1004" t="s">
        <v>121</v>
      </c>
      <c r="AO61" s="1004"/>
      <c r="AP61" s="1004"/>
      <c r="AQ61" s="1005">
        <f>AJ49+AL49+AN49</f>
        <v>0</v>
      </c>
      <c r="AR61" s="1005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123</v>
      </c>
      <c r="AJ62" s="1004"/>
      <c r="AK62" s="1004"/>
      <c r="AL62" s="1009">
        <f>AA33</f>
        <v>0</v>
      </c>
      <c r="AM62" s="1009"/>
      <c r="AN62" s="1004" t="s">
        <v>123</v>
      </c>
      <c r="AO62" s="1004"/>
      <c r="AP62" s="1004"/>
      <c r="AQ62" s="1010">
        <f>AA32</f>
        <v>50497.440000000002</v>
      </c>
      <c r="AR62" s="1010"/>
    </row>
    <row r="63" spans="15:44" ht="15" customHeight="1">
      <c r="X63" s="168" t="s">
        <v>124</v>
      </c>
      <c r="Y63" s="169"/>
      <c r="Z63" s="1007"/>
      <c r="AA63" s="1007"/>
      <c r="AB63" s="170" t="s">
        <v>124</v>
      </c>
      <c r="AC63" s="171"/>
      <c r="AE63" s="47"/>
      <c r="AI63" s="1004" t="s">
        <v>125</v>
      </c>
      <c r="AJ63" s="1004"/>
      <c r="AK63" s="1004"/>
      <c r="AL63" s="1005">
        <f>AL61-AL62</f>
        <v>0</v>
      </c>
      <c r="AM63" s="1005"/>
      <c r="AN63" s="1004" t="s">
        <v>125</v>
      </c>
      <c r="AO63" s="1004"/>
      <c r="AP63" s="1004"/>
      <c r="AQ63" s="1005">
        <f>AQ61-AQ62</f>
        <v>-50497.440000000002</v>
      </c>
      <c r="AR63" s="1005"/>
    </row>
    <row r="64" spans="15:44" ht="15" customHeight="1">
      <c r="X64" s="168" t="s">
        <v>132</v>
      </c>
      <c r="Y64" s="169"/>
      <c r="Z64" s="1007"/>
      <c r="AA64" s="1007"/>
      <c r="AB64" s="170"/>
      <c r="AC64" s="171"/>
    </row>
    <row r="65" spans="24:29" ht="39" customHeight="1">
      <c r="X65" s="172" t="s">
        <v>126</v>
      </c>
      <c r="Y65" s="215">
        <f>'28'!$Y$68</f>
        <v>-2360.7999999999993</v>
      </c>
      <c r="Z65" s="1007"/>
      <c r="AA65" s="1007"/>
      <c r="AB65" s="174" t="s">
        <v>126</v>
      </c>
      <c r="AC65" s="238">
        <f>'28'!$AC$68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SUM('29'!AK38,'29'!AP38)</f>
        <v>2360.7999999999993</v>
      </c>
      <c r="Z67" s="1007"/>
      <c r="AA67" s="1007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-4721.5999999999985</v>
      </c>
      <c r="Z68" s="1007"/>
      <c r="AA68" s="1007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C13" zoomScaleNormal="100" workbookViewId="0">
      <selection activeCell="Y36" sqref="Y36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171">
        <v>2712</v>
      </c>
      <c r="Z6" s="254">
        <v>1582</v>
      </c>
      <c r="AA6" s="15">
        <v>1</v>
      </c>
      <c r="AB6" s="56">
        <f>IF('30'!AA6=1,(('30'!Z6*'30'!$AS$6*'30'!$AT$6)/('30'!Y6*0.0036)),IF('30'!AA6=2,(('30'!Z6*'30'!$AS$7*'30'!$AT$7)/('30'!Y6*0.0036))))</f>
        <v>107.75462962962963</v>
      </c>
      <c r="AC6" s="56"/>
      <c r="AD6" s="18">
        <f>(('30'!AC6*'30'!$Q$10*1000000))/('30'!Y6*3600)</f>
        <v>0</v>
      </c>
      <c r="AE6" s="181"/>
      <c r="AF6" s="182">
        <f>('30'!AE6/24)*0.454</f>
        <v>0</v>
      </c>
      <c r="AG6" s="19"/>
      <c r="AH6" s="182">
        <f>('30'!AG6/24)*0.454</f>
        <v>0</v>
      </c>
      <c r="AI6" s="268">
        <v>5200</v>
      </c>
      <c r="AJ6" s="182">
        <f>('30'!AI6/24)*0.454</f>
        <v>98.36666666666666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165</v>
      </c>
      <c r="C7" s="184">
        <v>16</v>
      </c>
      <c r="D7" s="184">
        <v>10</v>
      </c>
      <c r="E7" s="184">
        <v>9</v>
      </c>
      <c r="F7" s="184">
        <v>52</v>
      </c>
      <c r="G7" s="184">
        <v>2.7</v>
      </c>
      <c r="H7" s="184">
        <v>1.4</v>
      </c>
      <c r="I7" s="184">
        <v>0.9</v>
      </c>
      <c r="J7" s="184">
        <v>0.9</v>
      </c>
      <c r="K7" s="184">
        <v>7.3</v>
      </c>
      <c r="L7" s="184">
        <v>6.3</v>
      </c>
      <c r="M7" s="184">
        <v>6.3</v>
      </c>
      <c r="N7" s="184">
        <v>5.8</v>
      </c>
      <c r="O7" s="184">
        <v>4</v>
      </c>
      <c r="P7" s="184"/>
      <c r="Q7" s="186"/>
      <c r="R7" s="36">
        <f>'29'!$Z$29</f>
        <v>1582</v>
      </c>
      <c r="S7" s="185">
        <f>'29'!$AB$29</f>
        <v>107.1226376669925</v>
      </c>
      <c r="T7" s="36">
        <f>'29'!$Y$29</f>
        <v>2728</v>
      </c>
      <c r="U7" s="32" t="str">
        <f>IF('30'!AA6=1,'30'!AR6,'30'!AR7)</f>
        <v>S.A.L</v>
      </c>
      <c r="V7" s="1016">
        <f>ESCALA!$B$31</f>
        <v>0</v>
      </c>
      <c r="W7" s="1016"/>
      <c r="X7" s="13">
        <v>8.3333333333333301E-2</v>
      </c>
      <c r="Y7" s="171">
        <v>2707</v>
      </c>
      <c r="Z7" s="254">
        <v>1582</v>
      </c>
      <c r="AA7" s="15">
        <v>1</v>
      </c>
      <c r="AB7" s="56">
        <f>IF('30'!AA7=1,(('30'!Z7*'30'!$AS$6*'30'!$AT$6)/('30'!Y7*0.0036)),IF('30'!AA7=2,(('30'!Z7*'30'!$AS$7*'30'!$AT$7)/('30'!Y7*0.0036))))</f>
        <v>107.95365923736813</v>
      </c>
      <c r="AC7" s="56"/>
      <c r="AD7" s="18">
        <f>(('30'!AC7*'30'!$Q$10*1000000))/('30'!Y7*3600)</f>
        <v>0</v>
      </c>
      <c r="AE7" s="181"/>
      <c r="AF7" s="182">
        <f>('30'!AE7/24)*0.454</f>
        <v>0</v>
      </c>
      <c r="AG7" s="19"/>
      <c r="AH7" s="182">
        <f>('30'!AG7/24)*0.454</f>
        <v>0</v>
      </c>
      <c r="AI7" s="268">
        <v>5200</v>
      </c>
      <c r="AJ7" s="182">
        <f>('30'!AI7/24)*0.454</f>
        <v>98.36666666666666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158</v>
      </c>
      <c r="C8" s="184">
        <v>16</v>
      </c>
      <c r="D8" s="184">
        <v>10</v>
      </c>
      <c r="E8" s="184">
        <v>9</v>
      </c>
      <c r="F8" s="184">
        <v>46</v>
      </c>
      <c r="G8" s="184">
        <v>2.7</v>
      </c>
      <c r="H8" s="184">
        <v>1.4</v>
      </c>
      <c r="I8" s="184">
        <v>0.9</v>
      </c>
      <c r="J8" s="184">
        <v>0.9</v>
      </c>
      <c r="K8" s="184">
        <v>7.3</v>
      </c>
      <c r="L8" s="184">
        <v>6.3</v>
      </c>
      <c r="M8" s="184">
        <v>6.3</v>
      </c>
      <c r="N8" s="184">
        <v>5.8</v>
      </c>
      <c r="O8" s="184">
        <v>4</v>
      </c>
      <c r="P8" s="184"/>
      <c r="Q8" s="186"/>
      <c r="R8" s="34">
        <f>'30'!Z7</f>
        <v>1582</v>
      </c>
      <c r="S8" s="35">
        <f>'30'!AB7</f>
        <v>107.95365923736813</v>
      </c>
      <c r="T8" s="36">
        <f>'30'!Y7</f>
        <v>2707</v>
      </c>
      <c r="U8" s="32" t="str">
        <f>IF('30'!AA7=1,'30'!AR6,'30'!AR7)</f>
        <v>S.A.L</v>
      </c>
      <c r="V8" s="1016"/>
      <c r="W8" s="1016"/>
      <c r="X8" s="13">
        <v>0.125</v>
      </c>
      <c r="Y8" s="171">
        <v>2684</v>
      </c>
      <c r="Z8" s="254">
        <v>1582</v>
      </c>
      <c r="AA8" s="15">
        <v>1</v>
      </c>
      <c r="AB8" s="56">
        <f>IF('30'!AA8=1,(('30'!Z8*'30'!$AS$6*'30'!$AT$6)/('30'!Y8*0.0036)),IF('30'!AA8=2,(('30'!Z8*'30'!$AS$7*'30'!$AT$7)/('30'!Y8*0.0036))))</f>
        <v>108.8787464812055</v>
      </c>
      <c r="AC8" s="56"/>
      <c r="AD8" s="18">
        <f>(('30'!AC8*'30'!$Q$10*1000000))/('30'!Y8*3600)</f>
        <v>0</v>
      </c>
      <c r="AE8" s="181"/>
      <c r="AF8" s="182">
        <f>('30'!AE8/24)*0.454</f>
        <v>0</v>
      </c>
      <c r="AG8" s="19"/>
      <c r="AH8" s="182">
        <f>('30'!AG8/24)*0.454</f>
        <v>0</v>
      </c>
      <c r="AI8" s="268">
        <v>5200</v>
      </c>
      <c r="AJ8" s="182">
        <f>('30'!AI8/24)*0.454</f>
        <v>98.36666666666666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152</v>
      </c>
      <c r="C9" s="184">
        <v>15</v>
      </c>
      <c r="D9" s="184">
        <v>11</v>
      </c>
      <c r="E9" s="184">
        <v>8</v>
      </c>
      <c r="F9" s="184">
        <v>44</v>
      </c>
      <c r="G9" s="184">
        <v>2.7</v>
      </c>
      <c r="H9" s="184">
        <v>1.3</v>
      </c>
      <c r="I9" s="184">
        <v>0.9</v>
      </c>
      <c r="J9" s="184">
        <v>1</v>
      </c>
      <c r="K9" s="184">
        <v>7.3</v>
      </c>
      <c r="L9" s="184">
        <v>6.3</v>
      </c>
      <c r="M9" s="184">
        <v>6.3</v>
      </c>
      <c r="N9" s="184">
        <v>5.8</v>
      </c>
      <c r="O9" s="184">
        <v>4</v>
      </c>
      <c r="P9" s="184"/>
      <c r="Q9" s="186"/>
      <c r="R9" s="36">
        <f>'30'!Z9</f>
        <v>1582</v>
      </c>
      <c r="S9" s="35">
        <f>'30'!AB9</f>
        <v>107.55633255633255</v>
      </c>
      <c r="T9" s="36">
        <f>'30'!Y9</f>
        <v>2717</v>
      </c>
      <c r="U9" s="32" t="str">
        <f>IF('30'!AA9=1,'30'!AR6,'30'!AR7)</f>
        <v>S.A.L</v>
      </c>
      <c r="V9" s="1016"/>
      <c r="W9" s="1016"/>
      <c r="X9" s="13">
        <v>0.16666666666666699</v>
      </c>
      <c r="Y9" s="171">
        <v>2717</v>
      </c>
      <c r="Z9" s="254">
        <v>1582</v>
      </c>
      <c r="AA9" s="15">
        <v>1</v>
      </c>
      <c r="AB9" s="56">
        <f>IF('30'!AA9=1,(('30'!Z9*'30'!$AS$6*'30'!$AT$6)/('30'!Y9*0.0036)),IF('30'!AA9=2,(('30'!Z9*'30'!$AS$7*'30'!$AT$7)/('30'!Y9*0.0036))))</f>
        <v>107.55633255633255</v>
      </c>
      <c r="AC9" s="56"/>
      <c r="AD9" s="18">
        <f>(('30'!AC9*'30'!$Q$10*1000000))/('30'!Y9*3600)</f>
        <v>0</v>
      </c>
      <c r="AE9" s="181"/>
      <c r="AF9" s="182">
        <f>('30'!AE9/24)*0.454</f>
        <v>0</v>
      </c>
      <c r="AG9" s="19"/>
      <c r="AH9" s="182">
        <f>('30'!AG9/24)*0.454</f>
        <v>0</v>
      </c>
      <c r="AI9" s="268">
        <v>5200</v>
      </c>
      <c r="AJ9" s="182">
        <f>('30'!AI9/24)*0.454</f>
        <v>98.36666666666666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147</v>
      </c>
      <c r="C10" s="184">
        <v>15</v>
      </c>
      <c r="D10" s="184">
        <v>11</v>
      </c>
      <c r="E10" s="184">
        <v>8</v>
      </c>
      <c r="F10" s="184">
        <v>40</v>
      </c>
      <c r="G10" s="184">
        <v>2.7</v>
      </c>
      <c r="H10" s="184">
        <v>1.3</v>
      </c>
      <c r="I10" s="184">
        <v>0.9</v>
      </c>
      <c r="J10" s="184">
        <v>1</v>
      </c>
      <c r="K10" s="184">
        <v>7.3</v>
      </c>
      <c r="L10" s="184">
        <v>6.3</v>
      </c>
      <c r="M10" s="184">
        <v>6.3</v>
      </c>
      <c r="N10" s="184">
        <v>5.8</v>
      </c>
      <c r="O10" s="184">
        <v>4</v>
      </c>
      <c r="P10" s="184"/>
      <c r="Q10" s="186"/>
      <c r="R10" s="36">
        <f>'30'!Z11</f>
        <v>1582</v>
      </c>
      <c r="S10" s="35">
        <f>'30'!AB11</f>
        <v>120.70654917618981</v>
      </c>
      <c r="T10" s="36">
        <f>'30'!Y11</f>
        <v>2421</v>
      </c>
      <c r="U10" s="32" t="str">
        <f>IF('30'!AA11=1,'30'!AR6,'30'!AR7)</f>
        <v>S.A.L</v>
      </c>
      <c r="V10" s="1016"/>
      <c r="W10" s="1016"/>
      <c r="X10" s="13">
        <v>0.20833333333333301</v>
      </c>
      <c r="Y10" s="171">
        <v>2672</v>
      </c>
      <c r="Z10" s="254">
        <v>1582</v>
      </c>
      <c r="AA10" s="15">
        <v>1</v>
      </c>
      <c r="AB10" s="56">
        <f>IF('30'!AA10=1,(('30'!Z10*'30'!$AS$6*'30'!$AT$6)/('30'!Y10*0.0036)),IF('30'!AA10=2,(('30'!Z10*'30'!$AS$7*'30'!$AT$7)/('30'!Y10*0.0036))))</f>
        <v>109.36772288755822</v>
      </c>
      <c r="AC10" s="56"/>
      <c r="AD10" s="18">
        <f>(('30'!AC10*'30'!$Q$10*1000000))/('30'!Y10*3600)</f>
        <v>0</v>
      </c>
      <c r="AE10" s="181"/>
      <c r="AF10" s="182">
        <f>('30'!AE10/24)*0.454</f>
        <v>0</v>
      </c>
      <c r="AG10" s="19"/>
      <c r="AH10" s="182">
        <f>('30'!AG10/24)*0.454</f>
        <v>0</v>
      </c>
      <c r="AI10" s="268">
        <v>5200</v>
      </c>
      <c r="AJ10" s="182">
        <f>('30'!AI10/24)*0.454</f>
        <v>98.36666666666666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>
        <v>143</v>
      </c>
      <c r="C11" s="184">
        <v>16</v>
      </c>
      <c r="D11" s="184">
        <v>8.8000000000000007</v>
      </c>
      <c r="E11" s="184">
        <v>9.4</v>
      </c>
      <c r="F11" s="184">
        <v>39</v>
      </c>
      <c r="G11" s="184">
        <v>2.5</v>
      </c>
      <c r="H11" s="184">
        <v>1.5</v>
      </c>
      <c r="I11" s="184">
        <v>1</v>
      </c>
      <c r="J11" s="184">
        <v>1.1000000000000001</v>
      </c>
      <c r="K11" s="184">
        <v>7.3</v>
      </c>
      <c r="L11" s="184">
        <v>6.3</v>
      </c>
      <c r="M11" s="184">
        <v>6.3</v>
      </c>
      <c r="N11" s="184">
        <v>5.8</v>
      </c>
      <c r="O11" s="184">
        <v>4</v>
      </c>
      <c r="P11" s="184"/>
      <c r="Q11" s="186"/>
      <c r="R11" s="36">
        <f>'30'!Z13</f>
        <v>1582</v>
      </c>
      <c r="S11" s="35">
        <f>'30'!AB13</f>
        <v>114.7352004536928</v>
      </c>
      <c r="T11" s="36">
        <f>'30'!Y13</f>
        <v>2547</v>
      </c>
      <c r="U11" s="32" t="str">
        <f>IF('30'!AA13=1,'30'!AR6,'30'!AR7)</f>
        <v>S.A.L</v>
      </c>
      <c r="V11" s="1016"/>
      <c r="W11" s="1016"/>
      <c r="X11" s="13">
        <v>0.25</v>
      </c>
      <c r="Y11" s="171">
        <v>2421</v>
      </c>
      <c r="Z11" s="254">
        <v>1582</v>
      </c>
      <c r="AA11" s="15">
        <v>1</v>
      </c>
      <c r="AB11" s="56">
        <f>IF('30'!AA11=1,(('30'!Z11*'30'!$AS$6*'30'!$AT$6)/('30'!Y11*0.0036)),IF('30'!AA11=2,(('30'!Z11*'30'!$AS$7*'30'!$AT$7)/('30'!Y11*0.0036))))</f>
        <v>120.70654917618981</v>
      </c>
      <c r="AC11" s="56"/>
      <c r="AD11" s="18">
        <f>(('30'!AC11*'30'!$Q$10*1000000))/('30'!Y11*3600)</f>
        <v>0</v>
      </c>
      <c r="AE11" s="181"/>
      <c r="AF11" s="182">
        <f>('30'!AE11/24)*0.454</f>
        <v>0</v>
      </c>
      <c r="AG11" s="19"/>
      <c r="AH11" s="182">
        <f>('30'!AG11/24)*0.454</f>
        <v>0</v>
      </c>
      <c r="AI11" s="268">
        <v>5200</v>
      </c>
      <c r="AJ11" s="182">
        <f>('30'!AI11/24)*0.454</f>
        <v>98.36666666666666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141</v>
      </c>
      <c r="C12" s="184">
        <v>14</v>
      </c>
      <c r="D12" s="184">
        <v>10</v>
      </c>
      <c r="E12" s="184">
        <v>14</v>
      </c>
      <c r="F12" s="184">
        <v>39</v>
      </c>
      <c r="G12" s="184">
        <v>2.9</v>
      </c>
      <c r="H12" s="184">
        <v>1.7</v>
      </c>
      <c r="I12" s="184">
        <v>1</v>
      </c>
      <c r="J12" s="184">
        <v>1.1000000000000001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/>
      <c r="Q12" s="186"/>
      <c r="R12" s="36">
        <f>'30'!Z15</f>
        <v>1582</v>
      </c>
      <c r="S12" s="35">
        <f>'30'!AB15</f>
        <v>116.19505191075767</v>
      </c>
      <c r="T12" s="36">
        <f>'30'!Y15</f>
        <v>2515</v>
      </c>
      <c r="U12" s="32" t="str">
        <f>IF('30'!AA15=1,'30'!AR6,'30'!AR7)</f>
        <v>S.A.L</v>
      </c>
      <c r="V12" s="938">
        <f>ESCALA!$B$32</f>
        <v>0</v>
      </c>
      <c r="W12" s="938"/>
      <c r="X12" s="13">
        <v>0.29166666666666702</v>
      </c>
      <c r="Y12" s="171">
        <v>2528</v>
      </c>
      <c r="Z12" s="254">
        <v>1582</v>
      </c>
      <c r="AA12" s="15">
        <v>1</v>
      </c>
      <c r="AB12" s="56">
        <f>IF('30'!AA12=1,(('30'!Z12*'30'!$AS$6*'30'!$AT$6)/('30'!Y12*0.0036)),IF('30'!AA12=2,(('30'!Z12*'30'!$AS$7*'30'!$AT$7)/('30'!Y12*0.0036))))</f>
        <v>115.59752988748242</v>
      </c>
      <c r="AC12" s="56"/>
      <c r="AD12" s="18">
        <f>(('30'!AC12*'30'!$Q$10*1000000))/('30'!Y12*3600)</f>
        <v>0</v>
      </c>
      <c r="AE12" s="181"/>
      <c r="AF12" s="182">
        <f>('30'!AE12/24)*0.454</f>
        <v>0</v>
      </c>
      <c r="AG12" s="19"/>
      <c r="AH12" s="182">
        <f>('30'!AG12/24)*0.454</f>
        <v>0</v>
      </c>
      <c r="AI12" s="268">
        <v>5200</v>
      </c>
      <c r="AJ12" s="182">
        <f>('30'!AI12/24)*0.454</f>
        <v>98.36666666666666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139</v>
      </c>
      <c r="C13" s="184">
        <v>14</v>
      </c>
      <c r="D13" s="184">
        <v>10</v>
      </c>
      <c r="E13" s="184">
        <v>13</v>
      </c>
      <c r="F13" s="184">
        <v>38</v>
      </c>
      <c r="G13" s="184">
        <v>2.7</v>
      </c>
      <c r="H13" s="184">
        <v>1.6</v>
      </c>
      <c r="I13" s="184">
        <v>1</v>
      </c>
      <c r="J13" s="184">
        <v>1.1000000000000001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/>
      <c r="Q13" s="186"/>
      <c r="R13" s="36">
        <f>'30'!Z17</f>
        <v>1582</v>
      </c>
      <c r="S13" s="35">
        <f>'30'!AB17</f>
        <v>113.39951709567541</v>
      </c>
      <c r="T13" s="36">
        <f>'30'!Y17</f>
        <v>2577</v>
      </c>
      <c r="U13" s="32" t="str">
        <f>IF('30'!AA17=1,'30'!AR6,'30'!AR7)</f>
        <v>S.A.L</v>
      </c>
      <c r="V13" s="938"/>
      <c r="W13" s="938"/>
      <c r="X13" s="13">
        <v>0.33333333333333298</v>
      </c>
      <c r="Y13" s="334">
        <v>2547</v>
      </c>
      <c r="Z13" s="254">
        <v>1582</v>
      </c>
      <c r="AA13" s="15">
        <v>1</v>
      </c>
      <c r="AB13" s="56">
        <f>IF('30'!AA13=1,(('30'!Z13*'30'!$AS$6*'30'!$AT$6)/('30'!Y13*0.0036)),IF('30'!AA13=2,(('30'!Z13*'30'!$AS$7*'30'!$AT$7)/('30'!Y13*0.0036))))</f>
        <v>114.7352004536928</v>
      </c>
      <c r="AC13" s="56"/>
      <c r="AD13" s="18">
        <f>(('30'!AC13*'30'!$Q$10*1000000))/('30'!Y13*3600)</f>
        <v>0</v>
      </c>
      <c r="AE13" s="181"/>
      <c r="AF13" s="182">
        <f>('30'!AE13/24)*0.454</f>
        <v>0</v>
      </c>
      <c r="AG13" s="19"/>
      <c r="AH13" s="182">
        <f>('30'!AG13/24)*0.454</f>
        <v>0</v>
      </c>
      <c r="AI13" s="268">
        <v>4400</v>
      </c>
      <c r="AJ13" s="182">
        <f>('30'!AI13/24)*0.454</f>
        <v>83.233333333333334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142</v>
      </c>
      <c r="C14" s="184">
        <v>20</v>
      </c>
      <c r="D14" s="184">
        <v>17</v>
      </c>
      <c r="E14" s="184">
        <v>7.9</v>
      </c>
      <c r="F14" s="184">
        <v>35</v>
      </c>
      <c r="G14" s="184">
        <v>2.7</v>
      </c>
      <c r="H14" s="184">
        <v>1.7</v>
      </c>
      <c r="I14" s="184">
        <v>1</v>
      </c>
      <c r="J14" s="184">
        <v>1.3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/>
      <c r="Q14" s="186"/>
      <c r="R14" s="36">
        <f>'30'!Z19</f>
        <v>1582</v>
      </c>
      <c r="S14" s="35">
        <f>'30'!AB19</f>
        <v>113.39951709567541</v>
      </c>
      <c r="T14" s="36">
        <f>'30'!Y19</f>
        <v>2577</v>
      </c>
      <c r="U14" s="32" t="str">
        <f>IF('30'!AA19=1,'30'!AR6,'30'!AR7)</f>
        <v>S.A.L</v>
      </c>
      <c r="V14" s="938"/>
      <c r="W14" s="938"/>
      <c r="X14" s="13">
        <v>0.375</v>
      </c>
      <c r="Y14" s="171">
        <v>2521</v>
      </c>
      <c r="Z14" s="254">
        <v>1582</v>
      </c>
      <c r="AA14" s="15">
        <v>1</v>
      </c>
      <c r="AB14" s="56">
        <f>IF('30'!AA14=1,(('30'!Z14*'30'!$AS$6*'30'!$AT$6)/('30'!Y14*0.0036)),IF('30'!AA14=2,(('30'!Z14*'30'!$AS$7*'30'!$AT$7)/('30'!Y14*0.0036))))</f>
        <v>115.91850676539292</v>
      </c>
      <c r="AC14" s="56"/>
      <c r="AD14" s="18">
        <f>(('30'!AC14*'30'!$Q$10*1000000))/('30'!Y14*3600)</f>
        <v>0</v>
      </c>
      <c r="AE14" s="181"/>
      <c r="AF14" s="182">
        <f>('30'!AE14/24)*0.454</f>
        <v>0</v>
      </c>
      <c r="AG14" s="19"/>
      <c r="AH14" s="182">
        <f>('30'!AG15/24)*0.454</f>
        <v>0</v>
      </c>
      <c r="AI14" s="268">
        <v>4400</v>
      </c>
      <c r="AJ14" s="182">
        <f>('30'!AI14/24)*0.454</f>
        <v>83.233333333333334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146</v>
      </c>
      <c r="C15" s="184">
        <v>18</v>
      </c>
      <c r="D15" s="184">
        <v>15</v>
      </c>
      <c r="E15" s="184">
        <v>7.1</v>
      </c>
      <c r="F15" s="184">
        <v>37</v>
      </c>
      <c r="G15" s="184">
        <v>2.9</v>
      </c>
      <c r="H15" s="184">
        <v>1.8</v>
      </c>
      <c r="I15" s="184">
        <v>1</v>
      </c>
      <c r="J15" s="184">
        <v>1.4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/>
      <c r="Q15" s="186"/>
      <c r="R15" s="36">
        <f>'30'!Z21</f>
        <v>1503</v>
      </c>
      <c r="S15" s="35">
        <f>'30'!AB21</f>
        <v>110.87759584664536</v>
      </c>
      <c r="T15" s="36">
        <f>'30'!Y21</f>
        <v>2504</v>
      </c>
      <c r="U15" s="32" t="str">
        <f>IF('30'!AA21=1,'30'!AR6,'30'!AR7)</f>
        <v>S.A.L</v>
      </c>
      <c r="V15" s="938"/>
      <c r="W15" s="938"/>
      <c r="X15" s="13">
        <v>0.41666666666666702</v>
      </c>
      <c r="Y15" s="171">
        <v>2515</v>
      </c>
      <c r="Z15" s="254">
        <v>1582</v>
      </c>
      <c r="AA15" s="15">
        <v>1</v>
      </c>
      <c r="AB15" s="56">
        <f>IF('30'!AA15=1,(('30'!Z15*'30'!$AS$6*'30'!$AT$6)/('30'!Y15*0.0036)),IF('30'!AA15=2,(('30'!Z15*'30'!$AS$7*'30'!$AT$7)/('30'!Y15*0.0036))))</f>
        <v>116.19505191075767</v>
      </c>
      <c r="AC15" s="56"/>
      <c r="AD15" s="18">
        <f>(('30'!AC15*'30'!$Q$10*1000000))/('30'!Y15*3600)</f>
        <v>0</v>
      </c>
      <c r="AE15" s="181"/>
      <c r="AF15" s="182">
        <f>('30'!AE15/24)*0.454</f>
        <v>0</v>
      </c>
      <c r="AG15" s="19"/>
      <c r="AH15" s="182">
        <f>('30'!AG16/24)*0.454</f>
        <v>0</v>
      </c>
      <c r="AI15" s="268">
        <v>4400</v>
      </c>
      <c r="AJ15" s="182">
        <f>('30'!AI15/24)*0.454</f>
        <v>83.233333333333334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148</v>
      </c>
      <c r="C16" s="184">
        <v>21</v>
      </c>
      <c r="D16" s="184">
        <v>14</v>
      </c>
      <c r="E16" s="184">
        <v>6.8</v>
      </c>
      <c r="F16" s="184">
        <v>37</v>
      </c>
      <c r="G16" s="184">
        <v>2.7</v>
      </c>
      <c r="H16" s="184">
        <v>1.6</v>
      </c>
      <c r="I16" s="184">
        <v>1</v>
      </c>
      <c r="J16" s="184">
        <v>1.4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/>
      <c r="Q16" s="186"/>
      <c r="R16" s="36">
        <f>'30'!Z23</f>
        <v>1582</v>
      </c>
      <c r="S16" s="35">
        <f>'30'!AB23</f>
        <v>104.4799984109959</v>
      </c>
      <c r="T16" s="36">
        <f>'30'!Y23</f>
        <v>2797</v>
      </c>
      <c r="U16" s="32" t="str">
        <f>IF('30'!AA23=1,'30'!AR6,'30'!AR7)</f>
        <v>S.A.L</v>
      </c>
      <c r="V16" s="938"/>
      <c r="W16" s="938"/>
      <c r="X16" s="13">
        <v>0.45833333333333298</v>
      </c>
      <c r="Y16" s="171">
        <v>2536</v>
      </c>
      <c r="Z16" s="254">
        <v>1582</v>
      </c>
      <c r="AA16" s="15">
        <v>1</v>
      </c>
      <c r="AB16" s="56">
        <f>IF('30'!AA16=1,(('30'!Z16*'30'!$AS$6*'30'!$AT$6)/('30'!Y16*0.0036)),IF('30'!AA16=2,(('30'!Z16*'30'!$AS$7*'30'!$AT$7)/('30'!Y16*0.0036))))</f>
        <v>115.23286890991938</v>
      </c>
      <c r="AC16" s="56"/>
      <c r="AD16" s="18">
        <f>(('30'!AC16*'30'!$Q$10*1000000))/('30'!Y16*3600)</f>
        <v>0</v>
      </c>
      <c r="AE16" s="181"/>
      <c r="AF16" s="182">
        <f>('30'!AE16/24)*0.454</f>
        <v>0</v>
      </c>
      <c r="AG16" s="19"/>
      <c r="AH16" s="182">
        <f>('30'!AG17/24)*0.454</f>
        <v>0</v>
      </c>
      <c r="AI16" s="268">
        <v>4400</v>
      </c>
      <c r="AJ16" s="182">
        <f>('30'!AI16/24)*0.454</f>
        <v>83.233333333333334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150</v>
      </c>
      <c r="C17" s="184">
        <v>19</v>
      </c>
      <c r="D17" s="184">
        <v>18</v>
      </c>
      <c r="E17" s="184">
        <v>11</v>
      </c>
      <c r="F17" s="184">
        <v>39</v>
      </c>
      <c r="G17" s="184">
        <v>3.3</v>
      </c>
      <c r="H17" s="184">
        <v>2.7</v>
      </c>
      <c r="I17" s="184">
        <v>1.1000000000000001</v>
      </c>
      <c r="J17" s="184">
        <v>1.4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/>
      <c r="Q17" s="186"/>
      <c r="R17" s="36">
        <f>'30'!Z25</f>
        <v>1582</v>
      </c>
      <c r="S17" s="35">
        <f>'30'!AB25</f>
        <v>100.63035659626568</v>
      </c>
      <c r="T17" s="36">
        <f>'30'!Y25</f>
        <v>2904</v>
      </c>
      <c r="U17" s="32" t="str">
        <f>IF('30'!AA25=1,'30'!AR6,'30'!AR7)</f>
        <v>S.A.L</v>
      </c>
      <c r="V17" s="938"/>
      <c r="W17" s="938"/>
      <c r="X17" s="13">
        <v>0.5</v>
      </c>
      <c r="Y17" s="171">
        <v>2577</v>
      </c>
      <c r="Z17" s="254">
        <v>1582</v>
      </c>
      <c r="AA17" s="15">
        <v>1</v>
      </c>
      <c r="AB17" s="56">
        <f>IF('30'!AA17=1,(('30'!Z17*'30'!$AS$6*'30'!$AT$6)/('30'!Y17*0.0036)),IF('30'!AA17=2,(('30'!Z17*'30'!$AS$7*'30'!$AT$7)/('30'!Y17*0.0036))))</f>
        <v>113.39951709567541</v>
      </c>
      <c r="AC17" s="56"/>
      <c r="AD17" s="18">
        <f>(('30'!AC17*'30'!$Q$10*1000000))/('30'!Y17*3600)</f>
        <v>0</v>
      </c>
      <c r="AE17" s="181"/>
      <c r="AF17" s="182">
        <f>('30'!AE17/24)*0.454</f>
        <v>0</v>
      </c>
      <c r="AG17" s="19"/>
      <c r="AH17" s="182">
        <f>('30'!AG18/24)*0.454</f>
        <v>0</v>
      </c>
      <c r="AI17" s="268">
        <v>4400</v>
      </c>
      <c r="AJ17" s="182">
        <f>('30'!AI17/24)*0.454</f>
        <v>83.233333333333334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147</v>
      </c>
      <c r="C18" s="184">
        <v>20</v>
      </c>
      <c r="D18" s="184">
        <v>15</v>
      </c>
      <c r="E18" s="184">
        <v>10</v>
      </c>
      <c r="F18" s="184">
        <v>4.3</v>
      </c>
      <c r="G18" s="184">
        <v>3.2</v>
      </c>
      <c r="H18" s="184">
        <v>2.6</v>
      </c>
      <c r="I18" s="184">
        <v>1.1000000000000001</v>
      </c>
      <c r="J18" s="184">
        <v>1.4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/>
      <c r="Q18" s="186"/>
      <c r="R18" s="36">
        <f>'30'!Z27</f>
        <v>1582</v>
      </c>
      <c r="S18" s="35">
        <f>'30'!AB27</f>
        <v>99.567480598144996</v>
      </c>
      <c r="T18" s="36">
        <f>'30'!Y27</f>
        <v>2935</v>
      </c>
      <c r="U18" s="32" t="str">
        <f>IF('30'!AA27=1,'30'!AR6,'30'!AR7)</f>
        <v>S.A.L</v>
      </c>
      <c r="V18" s="938"/>
      <c r="W18" s="938"/>
      <c r="X18" s="13">
        <v>0.54166666666666696</v>
      </c>
      <c r="Y18" s="171">
        <v>2495</v>
      </c>
      <c r="Z18" s="254">
        <v>1582</v>
      </c>
      <c r="AA18" s="15">
        <v>1</v>
      </c>
      <c r="AB18" s="56">
        <f>IF('30'!AA18=1,(('30'!Z18*'30'!$AS$6*'30'!$AT$6)/('30'!Y18*0.0036)),IF('30'!AA18=2,(('30'!Z18*'30'!$AS$7*'30'!$AT$7)/('30'!Y18*0.0036))))</f>
        <v>117.12647517256737</v>
      </c>
      <c r="AC18" s="56"/>
      <c r="AD18" s="18">
        <f>(('30'!AC18*'30'!$Q$10*1000000))/('30'!Y18*3600)</f>
        <v>0</v>
      </c>
      <c r="AE18" s="181"/>
      <c r="AF18" s="182">
        <f>('30'!AE18/24)*0.454</f>
        <v>0</v>
      </c>
      <c r="AG18" s="19"/>
      <c r="AH18" s="182">
        <f>('30'!AG19/24)*0.454</f>
        <v>0</v>
      </c>
      <c r="AI18" s="268">
        <v>4400</v>
      </c>
      <c r="AJ18" s="182">
        <f>('30'!AI18/24)*0.454</f>
        <v>83.233333333333334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148.16666666666666</v>
      </c>
      <c r="C19" s="187">
        <f>AVERAGE('30'!C7:C18)</f>
        <v>17</v>
      </c>
      <c r="D19" s="67">
        <f>AVERAGE('30'!D7:D18)</f>
        <v>12.483333333333334</v>
      </c>
      <c r="E19" s="67">
        <f>AVERAGE('30'!E7:E18)</f>
        <v>9.4333333333333336</v>
      </c>
      <c r="F19" s="67">
        <f>AVERAGE(F7,F18)</f>
        <v>28.15</v>
      </c>
      <c r="G19" s="67">
        <f>AVERAGE(G7,G18)</f>
        <v>2.95</v>
      </c>
      <c r="H19" s="67">
        <f>AVERAGE('30'!H7:H18)</f>
        <v>1.7166666666666668</v>
      </c>
      <c r="I19" s="67">
        <f>AVERAGE('30'!I7:I18)</f>
        <v>0.98333333333333328</v>
      </c>
      <c r="J19" s="67">
        <f>AVERAGE('30'!J7:J18)</f>
        <v>1.1666666666666667</v>
      </c>
      <c r="K19" s="67">
        <f>AVERAGE('30'!K7:K18)</f>
        <v>7.299999999999998</v>
      </c>
      <c r="L19" s="67">
        <f>AVERAGE('30'!L7:L18)</f>
        <v>6.299999999999998</v>
      </c>
      <c r="M19" s="67">
        <f>AVERAGE('30'!M7:M18)</f>
        <v>6.299999999999998</v>
      </c>
      <c r="N19" s="67">
        <f>AVERAGE('30'!N7:N18)</f>
        <v>5.916666666666667</v>
      </c>
      <c r="O19" s="67">
        <f>AVERAGE('30'!O7:O18)</f>
        <v>3.7083333333333335</v>
      </c>
      <c r="P19" s="188" t="e">
        <f>AVERAGE('30'!P7:P18)</f>
        <v>#DIV/0!</v>
      </c>
      <c r="Q19" s="189" t="e">
        <f>AVERAGE('30'!Q7:Q18)</f>
        <v>#DIV/0!</v>
      </c>
      <c r="R19" s="189">
        <f>AVERAGE('30'!R7:R18)</f>
        <v>1575.4166666666667</v>
      </c>
      <c r="S19" s="189">
        <f>AVERAGE('30'!S7:S18)</f>
        <v>109.71865805372802</v>
      </c>
      <c r="T19" s="940"/>
      <c r="U19" s="940"/>
      <c r="V19" s="47"/>
      <c r="W19" s="48"/>
      <c r="X19" s="13">
        <v>0.58333333333333304</v>
      </c>
      <c r="Y19" s="171">
        <v>2577</v>
      </c>
      <c r="Z19" s="254">
        <v>1582</v>
      </c>
      <c r="AA19" s="15">
        <v>1</v>
      </c>
      <c r="AB19" s="56">
        <f>IF('30'!AA19=1,(('30'!Z19*'30'!$AS$6*'30'!$AT$6)/('30'!Y19*0.0036)),IF('30'!AA19=2,(('30'!Z19*'30'!$AS$7*'30'!$AT$7)/('30'!Y19*0.0036))))</f>
        <v>113.39951709567541</v>
      </c>
      <c r="AC19" s="56"/>
      <c r="AD19" s="18">
        <f>(('30'!AC19*'30'!$Q$10*1000000))/('30'!Y19*3600)</f>
        <v>0</v>
      </c>
      <c r="AE19" s="181"/>
      <c r="AF19" s="182">
        <f>('30'!AE19/24)*0.454</f>
        <v>0</v>
      </c>
      <c r="AG19" s="19"/>
      <c r="AH19" s="182">
        <f>('30'!AG20/24)*0.454</f>
        <v>0</v>
      </c>
      <c r="AI19" s="268">
        <v>4400</v>
      </c>
      <c r="AJ19" s="182">
        <f>('30'!AI19/24)*0.454</f>
        <v>83.233333333333334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165</v>
      </c>
      <c r="C20" s="67">
        <f>MAX('30'!C7:C18)</f>
        <v>21</v>
      </c>
      <c r="D20" s="67">
        <f>MAX('30'!D7:D18)</f>
        <v>18</v>
      </c>
      <c r="E20" s="67">
        <f>MAX('30'!E7:E18)</f>
        <v>14</v>
      </c>
      <c r="F20" s="67">
        <f>MAX('30'!F7:F18)</f>
        <v>52</v>
      </c>
      <c r="G20" s="67">
        <f>MAX('30'!G7:G18)</f>
        <v>3.3</v>
      </c>
      <c r="H20" s="67">
        <f>MAX('30'!H7:H18)</f>
        <v>2.7</v>
      </c>
      <c r="I20" s="67">
        <f>MAX('30'!I7:I18)</f>
        <v>1.1000000000000001</v>
      </c>
      <c r="J20" s="67">
        <f>MAX('30'!J7:J18)</f>
        <v>1.4</v>
      </c>
      <c r="K20" s="67">
        <f>MAX('30'!K7:K18)</f>
        <v>7.3</v>
      </c>
      <c r="L20" s="67">
        <f>MAX('30'!L7:L18)</f>
        <v>6.3</v>
      </c>
      <c r="M20" s="67">
        <f>MAX('30'!M7:M18)</f>
        <v>6.3</v>
      </c>
      <c r="N20" s="67">
        <f>MAX('30'!N7:N18)</f>
        <v>6</v>
      </c>
      <c r="O20" s="68">
        <f>MAX('30'!O7:O18)</f>
        <v>4</v>
      </c>
      <c r="P20" s="68">
        <f>MAX('30'!P7:P18)</f>
        <v>0</v>
      </c>
      <c r="Q20" s="68">
        <f>MAX('30'!Q7:Q18)</f>
        <v>0</v>
      </c>
      <c r="R20" s="68">
        <f>MAX('30'!R7:R18)</f>
        <v>1582</v>
      </c>
      <c r="S20" s="68">
        <f>MAX('30'!S7:S18)</f>
        <v>120.70654917618981</v>
      </c>
      <c r="T20" s="940"/>
      <c r="U20" s="940"/>
      <c r="X20" s="13">
        <v>0.625</v>
      </c>
      <c r="Y20" s="171">
        <v>2590</v>
      </c>
      <c r="Z20" s="254">
        <v>1503</v>
      </c>
      <c r="AA20" s="15">
        <v>1</v>
      </c>
      <c r="AB20" s="56">
        <f>IF('30'!AA20=1,(('30'!Z20*'30'!$AS$6*'30'!$AT$6)/('30'!Y20*0.0036)),IF('30'!AA20=2,(('30'!Z20*'30'!$AS$7*'30'!$AT$7)/('30'!Y20*0.0036))))</f>
        <v>107.19594594594595</v>
      </c>
      <c r="AC20" s="56"/>
      <c r="AD20" s="18">
        <f>(('30'!AC20*'30'!$Q$10*1000000))/('30'!Y20*3600)</f>
        <v>0</v>
      </c>
      <c r="AE20" s="181"/>
      <c r="AF20" s="182">
        <f>('30'!AE20/24)*0.454</f>
        <v>0</v>
      </c>
      <c r="AG20" s="19"/>
      <c r="AH20" s="182">
        <f>('30'!AG21/24)*0.454</f>
        <v>0</v>
      </c>
      <c r="AI20" s="268">
        <v>4400</v>
      </c>
      <c r="AJ20" s="182">
        <f>('30'!AI20/24)*0.454</f>
        <v>83.233333333333334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139</v>
      </c>
      <c r="C21" s="67">
        <f>MIN('30'!C7:C18)</f>
        <v>14</v>
      </c>
      <c r="D21" s="67">
        <f>MIN('30'!D7:D18)</f>
        <v>8.8000000000000007</v>
      </c>
      <c r="E21" s="67">
        <f>MIN('30'!E7:E18)</f>
        <v>6.8</v>
      </c>
      <c r="F21" s="67">
        <f>MIN('30'!F7:F18)</f>
        <v>4.3</v>
      </c>
      <c r="G21" s="67">
        <f>MIN('30'!G7:G18)</f>
        <v>2.5</v>
      </c>
      <c r="H21" s="190">
        <f>MIN('30'!H7:H18)</f>
        <v>1.3</v>
      </c>
      <c r="I21" s="190">
        <f>MIN('30'!I7:I18)</f>
        <v>0.9</v>
      </c>
      <c r="J21" s="190">
        <f>MIN('30'!J7:J18)</f>
        <v>0.9</v>
      </c>
      <c r="K21" s="190">
        <f>MIN('30'!K7:K18)</f>
        <v>7.3</v>
      </c>
      <c r="L21" s="190">
        <f>MIN('30'!L7:L18)</f>
        <v>6.3</v>
      </c>
      <c r="M21" s="190">
        <f>MIN('30'!M7:M18)</f>
        <v>6.3</v>
      </c>
      <c r="N21" s="190">
        <f>MIN('30'!N7:N18)</f>
        <v>5.8</v>
      </c>
      <c r="O21" s="191">
        <f>MIN('30'!O7:O18)</f>
        <v>3.5</v>
      </c>
      <c r="P21" s="191">
        <f>MIN('30'!P7:P18)</f>
        <v>0</v>
      </c>
      <c r="Q21" s="191">
        <f>MIN('30'!Q7:Q18)</f>
        <v>0</v>
      </c>
      <c r="R21" s="191">
        <f>MIN('30'!R7:R18)</f>
        <v>1503</v>
      </c>
      <c r="S21" s="191">
        <f>MIN('30'!S7:S18)</f>
        <v>99.567480598144996</v>
      </c>
      <c r="T21" s="940"/>
      <c r="U21" s="940"/>
      <c r="X21" s="13">
        <v>0.66666666666666696</v>
      </c>
      <c r="Y21" s="171">
        <v>2504</v>
      </c>
      <c r="Z21" s="254">
        <v>1503</v>
      </c>
      <c r="AA21" s="15">
        <v>1</v>
      </c>
      <c r="AB21" s="56">
        <f>IF('30'!AA21=1,(('30'!Z21*'30'!$AS$6*'30'!$AT$6)/('30'!Y21*0.0036)),IF('30'!AA21=2,(('30'!Z21*'30'!$AS$7*'30'!$AT$7)/('30'!Y21*0.0036))))</f>
        <v>110.87759584664536</v>
      </c>
      <c r="AC21" s="56"/>
      <c r="AD21" s="18">
        <f>(('30'!AC21*'30'!$Q$10*1000000))/('30'!Y21*3600)</f>
        <v>0</v>
      </c>
      <c r="AE21" s="181"/>
      <c r="AF21" s="182">
        <f>('30'!AE21/24)*0.454</f>
        <v>0</v>
      </c>
      <c r="AG21" s="19"/>
      <c r="AH21" s="182">
        <f>('30'!AG22/24)*0.454</f>
        <v>0</v>
      </c>
      <c r="AI21" s="268">
        <v>4400</v>
      </c>
      <c r="AJ21" s="182">
        <f>('30'!AI21/24)*0.454</f>
        <v>83.233333333333334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171">
        <v>2508</v>
      </c>
      <c r="Z22" s="254">
        <v>1503</v>
      </c>
      <c r="AA22" s="15">
        <v>1</v>
      </c>
      <c r="AB22" s="56">
        <f>IF('30'!AA22=1,(('30'!Z22*'30'!$AS$6*'30'!$AT$6)/('30'!Y22*0.0036)),IF('30'!AA22=2,(('30'!Z22*'30'!$AS$7*'30'!$AT$7)/('30'!Y22*0.0036))))</f>
        <v>110.70075757575758</v>
      </c>
      <c r="AC22" s="56"/>
      <c r="AD22" s="18">
        <f>(('30'!AC22*'30'!$Q$10*1000000))/('30'!Y22*3600)</f>
        <v>0</v>
      </c>
      <c r="AE22" s="181"/>
      <c r="AF22" s="182">
        <f>('30'!AE22/24)*0.454</f>
        <v>0</v>
      </c>
      <c r="AG22" s="19"/>
      <c r="AH22" s="182">
        <f>('30'!AG23/24)*0.454</f>
        <v>0</v>
      </c>
      <c r="AI22" s="268">
        <v>5000</v>
      </c>
      <c r="AJ22" s="182">
        <f>('30'!AI22/24)*0.454</f>
        <v>94.583333333333343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3"/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171">
        <v>2797</v>
      </c>
      <c r="Z23" s="254">
        <v>1582</v>
      </c>
      <c r="AA23" s="15">
        <v>1</v>
      </c>
      <c r="AB23" s="56">
        <f>IF('30'!AA23=1,(('30'!Z23*'30'!$AS$6*'30'!$AT$6)/('30'!Y23*0.0036)),IF('30'!AA23=2,(('30'!Z23*'30'!$AS$7*'30'!$AT$7)/('30'!Y23*0.0036))))</f>
        <v>104.4799984109959</v>
      </c>
      <c r="AC23" s="56"/>
      <c r="AD23" s="18">
        <f>(('30'!AC23*'30'!$Q$10*1000000))/('30'!Y23*3600)</f>
        <v>0</v>
      </c>
      <c r="AE23" s="181"/>
      <c r="AF23" s="182">
        <f>('30'!AE23/24)*0.454</f>
        <v>0</v>
      </c>
      <c r="AG23" s="19"/>
      <c r="AH23" s="182">
        <f>('30'!AG24/24)*0.454</f>
        <v>0</v>
      </c>
      <c r="AI23" s="268">
        <v>5000</v>
      </c>
      <c r="AJ23" s="182">
        <f>('30'!AI23/24)*0.454</f>
        <v>94.583333333333343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171">
        <v>2861</v>
      </c>
      <c r="Z24" s="254">
        <v>1582</v>
      </c>
      <c r="AA24" s="15">
        <v>1</v>
      </c>
      <c r="AB24" s="16">
        <f>IF('30'!AA24=1,(('30'!Z24*'30'!$AS$6*'30'!$AT$6)/('30'!Y24*0.0036)),IF('30'!AA24=2,(('30'!Z24*'30'!$AS$7*'30'!$AT$7)/('30'!Y24*0.0036))))</f>
        <v>102.14280166220047</v>
      </c>
      <c r="AC24" s="56"/>
      <c r="AD24" s="18">
        <f>(('30'!AC24*'30'!$Q$10*1000000))/('30'!Y24*3600)</f>
        <v>0</v>
      </c>
      <c r="AE24" s="181"/>
      <c r="AF24" s="193">
        <f>('30'!AE24/24)*0.454</f>
        <v>0</v>
      </c>
      <c r="AG24" s="19"/>
      <c r="AH24" s="193">
        <f>('30'!AG25/24)*0.454</f>
        <v>0</v>
      </c>
      <c r="AI24" s="268">
        <v>5000</v>
      </c>
      <c r="AJ24" s="193">
        <f>('30'!AI24/24)*0.454</f>
        <v>94.583333333333343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 t="s">
        <v>441</v>
      </c>
      <c r="C25" s="196">
        <v>0.8</v>
      </c>
      <c r="D25" s="196">
        <v>0.72</v>
      </c>
      <c r="E25" s="197">
        <v>0.68</v>
      </c>
      <c r="F25" s="197">
        <v>0.66</v>
      </c>
      <c r="G25" s="197" t="s">
        <v>441</v>
      </c>
      <c r="H25" s="197">
        <v>0.7</v>
      </c>
      <c r="I25" s="197">
        <v>0.76</v>
      </c>
      <c r="J25" s="197" t="s">
        <v>441</v>
      </c>
      <c r="K25" s="197">
        <v>0.59</v>
      </c>
      <c r="L25" s="197">
        <v>0.56000000000000005</v>
      </c>
      <c r="M25" s="197">
        <v>0.59</v>
      </c>
      <c r="N25" s="197">
        <v>0.74</v>
      </c>
      <c r="O25" s="197">
        <v>0.81</v>
      </c>
      <c r="P25" s="197" t="s">
        <v>441</v>
      </c>
      <c r="Q25" s="197" t="s">
        <v>441</v>
      </c>
      <c r="R25" s="63" t="e">
        <f>#DIV/0!</f>
        <v>#DIV/0!</v>
      </c>
      <c r="S25" s="64"/>
      <c r="T25" s="1059" t="s">
        <v>0</v>
      </c>
      <c r="U25" s="1047">
        <f>ESCALA!$A$32</f>
        <v>44346</v>
      </c>
      <c r="X25" s="13">
        <v>0.83333333333333304</v>
      </c>
      <c r="Y25" s="171">
        <v>2904</v>
      </c>
      <c r="Z25" s="254">
        <v>1582</v>
      </c>
      <c r="AA25" s="15">
        <v>1</v>
      </c>
      <c r="AB25" s="56">
        <f>IF('30'!AA25=1,(('30'!Z25*'30'!$AS$6*'30'!$AT$6)/('30'!Y25*0.0036)),IF('30'!AA25=2,(('30'!Z25*'30'!$AS$7*'30'!$AT$7)/('30'!Y25*0.0036))))</f>
        <v>100.63035659626568</v>
      </c>
      <c r="AC25" s="56"/>
      <c r="AD25" s="18">
        <f>(('30'!AC25*'30'!$Q$10*1000000))/('30'!Y25*3600)</f>
        <v>0</v>
      </c>
      <c r="AE25" s="181"/>
      <c r="AF25" s="182">
        <f>('30'!AE25/24)*0.454</f>
        <v>0</v>
      </c>
      <c r="AG25" s="19"/>
      <c r="AH25" s="182">
        <f>('30'!AG26/24)*0.454</f>
        <v>0</v>
      </c>
      <c r="AI25" s="268">
        <v>5000</v>
      </c>
      <c r="AJ25" s="182">
        <f>('30'!AI25/24)*0.454</f>
        <v>94.583333333333343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59"/>
      <c r="U26" s="1047"/>
      <c r="X26" s="13">
        <v>0.875</v>
      </c>
      <c r="Y26" s="171">
        <v>2921</v>
      </c>
      <c r="Z26" s="254">
        <v>1582</v>
      </c>
      <c r="AA26" s="15">
        <v>1</v>
      </c>
      <c r="AB26" s="56">
        <f>IF('30'!AA26=1,(('30'!Z26*'30'!$AS$6*'30'!$AT$6)/('30'!Y26*0.0036)),IF('30'!AA26=2,(('30'!Z26*'30'!$AS$7*'30'!$AT$7)/('30'!Y26*0.0036))))</f>
        <v>100.04469550001903</v>
      </c>
      <c r="AC26" s="56"/>
      <c r="AD26" s="18">
        <f>(('30'!AC26*'30'!$Q$10*1000000))/('30'!Y26*3600)</f>
        <v>0</v>
      </c>
      <c r="AE26" s="181"/>
      <c r="AF26" s="182">
        <f>('30'!AE26/24)*0.454</f>
        <v>0</v>
      </c>
      <c r="AG26" s="19"/>
      <c r="AH26" s="182">
        <f>('30'!AG28/24)*0.454</f>
        <v>0</v>
      </c>
      <c r="AI26" s="268">
        <v>5000</v>
      </c>
      <c r="AJ26" s="182">
        <f>('30'!AI26/24)*0.454</f>
        <v>94.583333333333343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171">
        <v>2935</v>
      </c>
      <c r="Z27" s="254">
        <v>1582</v>
      </c>
      <c r="AA27" s="15">
        <v>1</v>
      </c>
      <c r="AB27" s="56">
        <f>IF('30'!AA27=1,(('30'!Z27*'30'!$AS$6*'30'!$AT$6)/('30'!Y27*0.0036)),IF('30'!AA27=2,(('30'!Z27*'30'!$AS$7*'30'!$AT$7)/('30'!Y27*0.0036))))</f>
        <v>99.567480598144996</v>
      </c>
      <c r="AC27" s="56"/>
      <c r="AD27" s="18">
        <f>(('30'!AC27*'30'!$Q$10*1000000))/('30'!Y27*3600)</f>
        <v>0</v>
      </c>
      <c r="AE27" s="181"/>
      <c r="AF27" s="182">
        <f>('30'!AE27/24)*0.454</f>
        <v>0</v>
      </c>
      <c r="AG27" s="19"/>
      <c r="AH27" s="182">
        <f>('30'!AG29/24)*0.454</f>
        <v>0</v>
      </c>
      <c r="AI27" s="268">
        <v>5000</v>
      </c>
      <c r="AJ27" s="182">
        <f>('30'!AI27/24)*0.454</f>
        <v>94.583333333333343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171">
        <v>2894</v>
      </c>
      <c r="Z28" s="254">
        <v>1582</v>
      </c>
      <c r="AA28" s="15">
        <v>1</v>
      </c>
      <c r="AB28" s="56">
        <f>IF('30'!AA28=1,(('30'!Z28*'30'!$AS$6*'30'!$AT$6)/('30'!Y28*0.0036)),IF('30'!AA28=2,(('30'!Z28*'30'!$AS$7*'30'!$AT$7)/('30'!Y28*0.0036))))</f>
        <v>100.97807724794593</v>
      </c>
      <c r="AC28" s="56"/>
      <c r="AD28" s="18">
        <f>(('30'!AC28*'30'!$Q$10*1000000))/('30'!Y28*3600)</f>
        <v>0</v>
      </c>
      <c r="AE28" s="181"/>
      <c r="AF28" s="182">
        <f>('30'!AE28/24)*0.454</f>
        <v>0</v>
      </c>
      <c r="AG28" s="19"/>
      <c r="AH28" s="182" t="e">
        <f>('30'!#REF!/24)*0.454</f>
        <v>#REF!</v>
      </c>
      <c r="AI28" s="268">
        <v>5000</v>
      </c>
      <c r="AJ28" s="182">
        <f>('30'!AI28/24)*0.454</f>
        <v>94.583333333333343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1">
        <v>2582</v>
      </c>
      <c r="Z29" s="254">
        <v>1582</v>
      </c>
      <c r="AA29" s="15">
        <v>1</v>
      </c>
      <c r="AB29" s="56">
        <f>IF('30'!AA29=1,(('30'!Z29*'30'!$AS$6*'30'!$AT$6)/('30'!Y29*0.0036)),IF('30'!AA29=2,(('30'!Z29*'30'!$AS$7*'30'!$AT$7)/('30'!Y29*0.0036))))</f>
        <v>113.17992081934763</v>
      </c>
      <c r="AC29" s="56"/>
      <c r="AD29" s="18">
        <f>(('30'!AC29*'30'!$Q$10*1000000))/('30'!Y29*3600)</f>
        <v>0</v>
      </c>
      <c r="AE29" s="181"/>
      <c r="AF29" s="182">
        <f>('30'!AE29/24)*0.454</f>
        <v>0</v>
      </c>
      <c r="AG29" s="19"/>
      <c r="AH29" s="182" t="e">
        <f>('30'!#REF!/24)*0.454</f>
        <v>#REF!</v>
      </c>
      <c r="AI29" s="268">
        <v>5000</v>
      </c>
      <c r="AJ29" s="182">
        <f>('30'!AI29/24)*0.454</f>
        <v>94.583333333333343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335">
        <f>SUM('30'!Y6:Y29)*3.6</f>
        <v>229338</v>
      </c>
      <c r="Z30" s="80">
        <f>SUM('30'!Z6:Z29)</f>
        <v>37731</v>
      </c>
      <c r="AA30" s="76"/>
      <c r="AB30" s="77"/>
      <c r="AC30" s="76"/>
      <c r="AD30" s="77"/>
      <c r="AE30" s="33"/>
      <c r="AF30" s="182">
        <f>SUM('30'!AF6:AF29)</f>
        <v>0</v>
      </c>
      <c r="AG30" s="33"/>
      <c r="AH30" s="182" t="e">
        <f>SUM('30'!AH6:AH29)</f>
        <v>#REF!</v>
      </c>
      <c r="AI30" s="33"/>
      <c r="AJ30" s="182">
        <f>SUM('30'!AJ6:AJ29)</f>
        <v>2194.333333333333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SUMIF('30'!AA6:AA29,"=1",'30'!Z6:Z29)</f>
        <v>37731</v>
      </c>
      <c r="AA32" s="80">
        <f>'30'!Z32*'30'!AS6</f>
        <v>50182.23</v>
      </c>
      <c r="AB32" s="81">
        <f>SUMIF('30'!$AA$6:$AA$29,"=1",'30'!$AB$6:$AB$29)/COUNTIF('30'!$AA$6:$AA$29,"=1")</f>
        <v>109.73416406094645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AVERAGE('30'!Y6:Y29)</f>
        <v>2654.375</v>
      </c>
      <c r="Z34" s="94">
        <f>AVERAGE('30'!Z6:Z29)</f>
        <v>1572.125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0</v>
      </c>
      <c r="AG34" s="96"/>
      <c r="AH34" s="96" t="e">
        <f>AVERAGE('30'!AH6:AH29)</f>
        <v>#REF!</v>
      </c>
      <c r="AI34" s="96"/>
      <c r="AJ34" s="96">
        <f>'30'!AJ30/24</f>
        <v>91.430555555555543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90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90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6" ht="18" customHeight="1">
      <c r="A37" s="99"/>
      <c r="B37" s="28">
        <v>0.33333333333333298</v>
      </c>
      <c r="C37" s="184">
        <v>55.8</v>
      </c>
      <c r="D37" s="184">
        <v>18</v>
      </c>
      <c r="E37" s="184">
        <v>11.9</v>
      </c>
      <c r="F37" s="184">
        <v>2.4</v>
      </c>
      <c r="G37" s="181">
        <v>0.2</v>
      </c>
      <c r="H37" s="181">
        <v>0.2</v>
      </c>
      <c r="I37" s="181">
        <v>0.15</v>
      </c>
      <c r="J37" s="181">
        <v>0.03</v>
      </c>
      <c r="K37" s="181">
        <v>0</v>
      </c>
      <c r="L37" s="1020"/>
      <c r="M37" s="1020"/>
      <c r="N37" s="1020"/>
      <c r="O37" s="10"/>
      <c r="P37" s="10"/>
      <c r="Q37" s="10"/>
      <c r="R37" s="10"/>
      <c r="S37" s="10"/>
      <c r="T37" s="10"/>
      <c r="U37" s="285">
        <f>'30'!V12</f>
        <v>0</v>
      </c>
      <c r="X37" s="956" t="s">
        <v>75</v>
      </c>
      <c r="Y37" s="956"/>
      <c r="Z37" s="108">
        <f>COUNTA('30'!Z6:Z29)</f>
        <v>24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 t="e">
        <f>SUM('30'!AF30+'30'!AH30)</f>
        <v>#REF!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2194.333333333333</v>
      </c>
      <c r="AQ38" s="208" t="s">
        <v>78</v>
      </c>
      <c r="AR38" s="210">
        <f>'30'!AP30</f>
        <v>0</v>
      </c>
    </row>
    <row r="39" spans="1:46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 t="e">
        <f>('30'!AK38/'30'!Y30)*1000</f>
        <v>#REF!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9.5681192533872856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 t="e">
        <f>SUM('30'!AK38,'30'!AM38)</f>
        <v>#REF!</v>
      </c>
      <c r="AM40" s="969"/>
      <c r="AO40" s="970" t="s">
        <v>90</v>
      </c>
      <c r="AP40" s="970"/>
      <c r="AQ40" s="971">
        <f>SUM('30'!AP38,'30'!AR38)</f>
        <v>2194.333333333333</v>
      </c>
      <c r="AR40" s="971"/>
      <c r="AT40" s="336"/>
    </row>
    <row r="41" spans="1:46" ht="16.5" customHeight="1">
      <c r="A41" s="131">
        <f>COUNTA('30'!E7:E18)</f>
        <v>12</v>
      </c>
      <c r="B41" s="132">
        <f>COUNTA('30'!I7:I18)</f>
        <v>12</v>
      </c>
      <c r="C41" s="972">
        <f>COUNTA('30'!J7:J18)</f>
        <v>12</v>
      </c>
      <c r="D41" s="972">
        <f>COUNTA('30'!K7:K18)</f>
        <v>12</v>
      </c>
      <c r="E41" s="972">
        <f>COUNTIF('30'!E7:E18,"&gt;15")</f>
        <v>0</v>
      </c>
      <c r="F41" s="972"/>
      <c r="G41" s="972">
        <f>COUNTIF('30'!J7:J18,"&gt;1")</f>
        <v>8</v>
      </c>
      <c r="H41" s="972"/>
      <c r="I41" s="133"/>
      <c r="J41" s="972">
        <f>'30'!A41-'30'!E41</f>
        <v>12</v>
      </c>
      <c r="K41" s="972"/>
      <c r="L41" s="972">
        <f>'30'!C41-'30'!G41</f>
        <v>4</v>
      </c>
      <c r="M41" s="972"/>
      <c r="N41" s="133"/>
      <c r="O41" s="973">
        <f>COUNTIF('30'!J7:J18,"&lt;=0,5")</f>
        <v>0</v>
      </c>
      <c r="P41" s="973"/>
      <c r="Q41" s="973"/>
      <c r="R41" s="963"/>
      <c r="S41" s="974">
        <f>COUNTIF('30'!J7:J18,"&lt;=1,0")</f>
        <v>4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1114" t="s">
        <v>156</v>
      </c>
      <c r="AK41" s="1114"/>
      <c r="AL41" s="975" t="e">
        <f>SUM(('30'!AK38+'30'!AM38)/'30'!Y30)*1000</f>
        <v>#REF!</v>
      </c>
      <c r="AM41" s="975"/>
      <c r="AO41" s="1114" t="s">
        <v>156</v>
      </c>
      <c r="AP41" s="1114"/>
      <c r="AQ41" s="1115">
        <f>SUM(('30'!AP38+'30'!AR38)/'30'!Y30)*1000</f>
        <v>9.5681192533872856</v>
      </c>
      <c r="AR41" s="1115"/>
    </row>
    <row r="42" spans="1:46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  <c r="AJ42" s="1114"/>
      <c r="AK42" s="1114"/>
      <c r="AL42" s="975"/>
      <c r="AM42" s="975"/>
      <c r="AO42" s="1114"/>
      <c r="AP42" s="1114"/>
      <c r="AQ42" s="1115"/>
      <c r="AR42" s="1115"/>
    </row>
    <row r="43" spans="1:46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6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96">
        <f>SUM('30'!Y45,'30'!AA45,'30'!AC45,'30'!AE45)</f>
        <v>0</v>
      </c>
    </row>
    <row r="45" spans="1:46" ht="15" customHeight="1">
      <c r="H45" s="986">
        <f>COUNTIF('30'!I7:I18,"&lt;=5,0")</f>
        <v>12</v>
      </c>
      <c r="I45" s="986"/>
      <c r="J45" s="986"/>
      <c r="K45" s="133"/>
      <c r="L45" s="968">
        <f>COUNTA('30'!L37)</f>
        <v>0</v>
      </c>
      <c r="M45" s="968"/>
      <c r="O45" s="144"/>
      <c r="P45" s="145"/>
      <c r="Q45" s="987">
        <f>'30'!S41-'30'!O41</f>
        <v>4</v>
      </c>
      <c r="R45" s="987"/>
      <c r="S45" s="987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3"/>
      <c r="AG45" s="996"/>
      <c r="AI45" s="985" t="s">
        <v>103</v>
      </c>
      <c r="AJ45" s="985"/>
      <c r="AK45" s="985"/>
      <c r="AL45" s="985"/>
      <c r="AM45" s="985"/>
      <c r="AN45" s="985"/>
      <c r="AO45" s="985"/>
      <c r="AP45" s="985"/>
      <c r="AQ45" s="985"/>
      <c r="AR45" s="985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89" t="s">
        <v>106</v>
      </c>
      <c r="AG46" s="990">
        <f>SUM('30'!Y47,'30'!AA47,'30'!AC47,'30'!AE47)</f>
        <v>0</v>
      </c>
      <c r="AI46" s="981" t="s">
        <v>97</v>
      </c>
      <c r="AJ46" s="981"/>
      <c r="AK46" s="981" t="s">
        <v>98</v>
      </c>
      <c r="AL46" s="981"/>
      <c r="AM46" s="981" t="s">
        <v>99</v>
      </c>
      <c r="AN46" s="981"/>
      <c r="AO46" s="1073"/>
      <c r="AP46" s="1073"/>
      <c r="AQ46" s="140"/>
      <c r="AR46" s="141"/>
    </row>
    <row r="47" spans="1:46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89"/>
      <c r="AG47" s="990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3"/>
      <c r="AP47" s="1073"/>
      <c r="AQ47" s="983" t="s">
        <v>102</v>
      </c>
      <c r="AR47" s="984">
        <f>SUM('10'!AJ48,'10'!AL48,'10'!AN48,'10'!AP48)</f>
        <v>3.99</v>
      </c>
    </row>
    <row r="48" spans="1:46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3"/>
      <c r="AP48" s="1073"/>
      <c r="AQ48" s="983"/>
      <c r="AR48" s="984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3"/>
      <c r="AP49" s="1073"/>
      <c r="AQ49" s="989" t="s">
        <v>106</v>
      </c>
      <c r="AR49" s="990">
        <f>SUM('10'!AJ50,'10'!AL50,'10'!AN50,'10'!AP50)</f>
        <v>0</v>
      </c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3"/>
      <c r="AP50" s="1073"/>
      <c r="AQ50" s="989"/>
      <c r="AR50" s="990"/>
    </row>
    <row r="51" spans="15:44" ht="16.5" customHeight="1">
      <c r="O51" s="968">
        <f>COUNTA('30'!O7:O18)</f>
        <v>12</v>
      </c>
      <c r="P51" s="968">
        <f>COUNTA('30'!W17:W28)</f>
        <v>0</v>
      </c>
      <c r="R51" s="986">
        <f>COUNTIF('30'!O7:O18,"&gt;=0,5")</f>
        <v>12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SUM('30'!Y53,'30'!AA53,'30'!AC53,'30'!AE53)</f>
        <v>0</v>
      </c>
      <c r="AI52" s="994" t="s">
        <v>112</v>
      </c>
      <c r="AJ52" s="994"/>
      <c r="AK52" s="994"/>
      <c r="AL52" s="994"/>
      <c r="AM52" s="994"/>
      <c r="AN52" s="994"/>
      <c r="AO52" s="994"/>
      <c r="AP52" s="994"/>
      <c r="AQ52" s="994"/>
      <c r="AR52" s="994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83"/>
      <c r="AG53" s="996"/>
      <c r="AI53" s="981" t="s">
        <v>97</v>
      </c>
      <c r="AJ53" s="981"/>
      <c r="AK53" s="981" t="s">
        <v>98</v>
      </c>
      <c r="AL53" s="981"/>
      <c r="AM53" s="981" t="s">
        <v>99</v>
      </c>
      <c r="AN53" s="981"/>
      <c r="AO53" s="1073"/>
      <c r="AP53" s="1073"/>
      <c r="AQ53" s="307"/>
      <c r="AR53" s="30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89" t="s">
        <v>106</v>
      </c>
      <c r="AG54" s="990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3"/>
      <c r="AP54" s="1073"/>
      <c r="AQ54" s="983" t="s">
        <v>102</v>
      </c>
      <c r="AR54" s="996">
        <f>'10'!AJ55+'10'!AL55+'10'!AN55+'10'!AP55</f>
        <v>3.786</v>
      </c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89"/>
      <c r="AG55" s="990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3"/>
      <c r="AP55" s="1073"/>
      <c r="AQ55" s="983"/>
      <c r="AR55" s="996"/>
    </row>
    <row r="56" spans="15:44" ht="13.9" customHeight="1">
      <c r="O56" s="992"/>
      <c r="P56" s="992"/>
      <c r="R56" s="993"/>
      <c r="S56" s="993"/>
      <c r="T56" s="993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3"/>
      <c r="AP56" s="1073"/>
      <c r="AQ56" s="989" t="s">
        <v>106</v>
      </c>
      <c r="AR56" s="990">
        <f>SUM('10'!AJ57,'10'!AL57,'10'!AN57,'10'!AP57)</f>
        <v>0</v>
      </c>
    </row>
    <row r="57" spans="15:44" ht="15.75" customHeight="1">
      <c r="O57" s="997">
        <f>COUNTA('30'!N7:N18)</f>
        <v>12</v>
      </c>
      <c r="P57" s="997"/>
      <c r="R57" s="998">
        <f>COUNTIF('30'!N7:N18,"&gt;=6")</f>
        <v>7</v>
      </c>
      <c r="S57" s="998"/>
      <c r="T57" s="998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3"/>
      <c r="AP57" s="1073"/>
      <c r="AQ57" s="989"/>
      <c r="AR57" s="990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1000" t="s">
        <v>117</v>
      </c>
      <c r="AJ60" s="1000"/>
      <c r="AK60" s="1000"/>
      <c r="AL60" s="1000"/>
      <c r="AM60" s="1000"/>
      <c r="AN60" s="1000"/>
      <c r="AO60" s="1000"/>
      <c r="AP60" s="1000"/>
      <c r="AQ60" s="1000"/>
      <c r="AR60" s="1000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998" t="s">
        <v>120</v>
      </c>
      <c r="AJ61" s="998"/>
      <c r="AK61" s="998"/>
      <c r="AL61" s="998"/>
      <c r="AM61" s="998"/>
      <c r="AN61" s="998" t="s">
        <v>93</v>
      </c>
      <c r="AO61" s="998"/>
      <c r="AP61" s="998"/>
      <c r="AQ61" s="998"/>
      <c r="AR61" s="998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121</v>
      </c>
      <c r="AJ62" s="1004"/>
      <c r="AK62" s="1004"/>
      <c r="AL62" s="1005">
        <f>AJ57+AL57+AN57</f>
        <v>0</v>
      </c>
      <c r="AM62" s="1005"/>
      <c r="AN62" s="1004" t="s">
        <v>121</v>
      </c>
      <c r="AO62" s="1004"/>
      <c r="AP62" s="1004"/>
      <c r="AQ62" s="1005">
        <f>AJ50+AL50+AN50</f>
        <v>0</v>
      </c>
      <c r="AR62" s="1005"/>
    </row>
    <row r="63" spans="15:44" ht="15" customHeight="1">
      <c r="X63" s="168" t="s">
        <v>124</v>
      </c>
      <c r="Y63" s="169"/>
      <c r="Z63" s="1007"/>
      <c r="AA63" s="1007"/>
      <c r="AB63" s="170" t="s">
        <v>157</v>
      </c>
      <c r="AC63" s="171">
        <v>0</v>
      </c>
      <c r="AI63" s="1004" t="s">
        <v>123</v>
      </c>
      <c r="AJ63" s="1004"/>
      <c r="AK63" s="1004"/>
      <c r="AL63" s="1009">
        <f>AA33</f>
        <v>0</v>
      </c>
      <c r="AM63" s="1009"/>
      <c r="AN63" s="1004" t="s">
        <v>123</v>
      </c>
      <c r="AO63" s="1004"/>
      <c r="AP63" s="1004"/>
      <c r="AQ63" s="1010">
        <f>AA32</f>
        <v>50182.23</v>
      </c>
      <c r="AR63" s="1010"/>
    </row>
    <row r="64" spans="15:44" ht="15" customHeight="1">
      <c r="X64" s="168"/>
      <c r="Y64" s="169"/>
      <c r="Z64" s="1007"/>
      <c r="AA64" s="1007"/>
      <c r="AB64" s="170" t="s">
        <v>158</v>
      </c>
      <c r="AC64" s="171">
        <v>0</v>
      </c>
      <c r="AI64" s="1004" t="s">
        <v>125</v>
      </c>
      <c r="AJ64" s="1004"/>
      <c r="AK64" s="1004"/>
      <c r="AL64" s="1005">
        <f>AL62-AL63</f>
        <v>0</v>
      </c>
      <c r="AM64" s="1005"/>
      <c r="AN64" s="1004" t="s">
        <v>125</v>
      </c>
      <c r="AO64" s="1004"/>
      <c r="AP64" s="1004"/>
      <c r="AQ64" s="1005">
        <f>AQ62-AQ63</f>
        <v>-50182.23</v>
      </c>
      <c r="AR64" s="1005"/>
    </row>
    <row r="65" spans="24:29" ht="39" customHeight="1">
      <c r="X65" s="172" t="s">
        <v>126</v>
      </c>
      <c r="Y65" s="215">
        <f>'29'!$Y$68</f>
        <v>-4721.5999999999985</v>
      </c>
      <c r="Z65" s="1007"/>
      <c r="AA65" s="1007"/>
      <c r="AB65" s="174" t="s">
        <v>126</v>
      </c>
      <c r="AC65" s="238">
        <f>'29'!$AC$68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 t="e">
        <f>SUM('30'!AK38,'30'!AP38)</f>
        <v>#REF!</v>
      </c>
      <c r="Z67" s="1007"/>
      <c r="AA67" s="1007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 t="e">
        <f>SUM('30'!Y63,'30'!Y65)-'30'!Y67</f>
        <v>#REF!</v>
      </c>
      <c r="Z68" s="1007"/>
      <c r="AA68" s="1007"/>
      <c r="AB68" s="170" t="s">
        <v>128</v>
      </c>
      <c r="AC68" s="178">
        <f>'30'!AC65</f>
        <v>0</v>
      </c>
    </row>
    <row r="70" spans="24:29" ht="15.75" customHeight="1">
      <c r="Z70" s="332" t="s">
        <v>155</v>
      </c>
      <c r="AA70" s="333" t="e">
        <f>'30'!AC68+'30'!Y68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D6" zoomScaleNormal="100" workbookViewId="0">
      <selection activeCell="AG29" sqref="AG29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17"/>
      <c r="B2" s="917"/>
      <c r="C2" s="917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919"/>
      <c r="W2" s="919"/>
      <c r="X2" s="917"/>
      <c r="Y2" s="917"/>
      <c r="Z2" s="917"/>
      <c r="AA2" s="917"/>
      <c r="AB2" s="920" t="s">
        <v>6</v>
      </c>
      <c r="AC2" s="920"/>
      <c r="AD2" s="920"/>
      <c r="AE2" s="920"/>
      <c r="AF2" s="920"/>
      <c r="AG2" s="920"/>
      <c r="AH2" s="920"/>
      <c r="AI2" s="920"/>
      <c r="AJ2" s="920"/>
      <c r="AK2" s="920"/>
      <c r="AL2" s="920"/>
      <c r="AM2" s="920"/>
      <c r="AN2" s="920"/>
      <c r="AO2" s="920"/>
      <c r="AP2" s="920"/>
      <c r="AQ2" s="920"/>
      <c r="AR2" s="920"/>
      <c r="AS2" s="920"/>
      <c r="AT2" s="920"/>
      <c r="AU2" s="920"/>
    </row>
    <row r="3" spans="1:47" ht="15.75" customHeight="1">
      <c r="A3" s="917"/>
      <c r="B3" s="917"/>
      <c r="C3" s="917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919"/>
      <c r="W3" s="919"/>
      <c r="X3" s="917"/>
      <c r="Y3" s="917"/>
      <c r="Z3" s="917"/>
      <c r="AA3" s="917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</row>
    <row r="4" spans="1:47" ht="18" customHeight="1">
      <c r="A4" s="921" t="s">
        <v>7</v>
      </c>
      <c r="B4" s="922" t="s">
        <v>8</v>
      </c>
      <c r="C4" s="922"/>
      <c r="D4" s="922"/>
      <c r="E4" s="922"/>
      <c r="F4" s="922" t="s">
        <v>9</v>
      </c>
      <c r="G4" s="922"/>
      <c r="H4" s="922"/>
      <c r="I4" s="922"/>
      <c r="J4" s="922"/>
      <c r="K4" s="922" t="s">
        <v>10</v>
      </c>
      <c r="L4" s="922"/>
      <c r="M4" s="922"/>
      <c r="N4" s="922"/>
      <c r="O4" s="922" t="s">
        <v>11</v>
      </c>
      <c r="P4" s="922"/>
      <c r="Q4" s="922"/>
      <c r="R4" s="923" t="s">
        <v>12</v>
      </c>
      <c r="S4" s="923"/>
      <c r="T4" s="1101" t="s">
        <v>13</v>
      </c>
      <c r="U4" s="1015" t="s">
        <v>130</v>
      </c>
      <c r="V4" s="926" t="s">
        <v>15</v>
      </c>
      <c r="W4" s="926"/>
      <c r="X4" s="927" t="s">
        <v>16</v>
      </c>
      <c r="Y4" s="928" t="s">
        <v>17</v>
      </c>
      <c r="Z4" s="929" t="s">
        <v>18</v>
      </c>
      <c r="AA4" s="930" t="s">
        <v>19</v>
      </c>
      <c r="AB4" s="930" t="s">
        <v>20</v>
      </c>
      <c r="AC4" s="931" t="s">
        <v>21</v>
      </c>
      <c r="AD4" s="931" t="s">
        <v>20</v>
      </c>
      <c r="AE4" s="931" t="s">
        <v>147</v>
      </c>
      <c r="AF4" s="931" t="s">
        <v>148</v>
      </c>
      <c r="AG4" s="931" t="s">
        <v>149</v>
      </c>
      <c r="AH4" s="931" t="s">
        <v>150</v>
      </c>
      <c r="AI4" s="931" t="s">
        <v>151</v>
      </c>
      <c r="AJ4" s="931" t="s">
        <v>152</v>
      </c>
      <c r="AK4" s="941" t="s">
        <v>28</v>
      </c>
      <c r="AL4" s="941" t="s">
        <v>29</v>
      </c>
      <c r="AM4" s="941" t="s">
        <v>30</v>
      </c>
      <c r="AN4" s="941" t="s">
        <v>31</v>
      </c>
      <c r="AO4" s="941" t="s">
        <v>32</v>
      </c>
      <c r="AP4" s="941" t="s">
        <v>33</v>
      </c>
      <c r="AQ4" s="932" t="s">
        <v>34</v>
      </c>
      <c r="AR4" s="932"/>
      <c r="AS4" s="932"/>
      <c r="AT4" s="932"/>
      <c r="AU4" s="933" t="s">
        <v>35</v>
      </c>
    </row>
    <row r="5" spans="1:47" ht="18" customHeight="1">
      <c r="A5" s="921"/>
      <c r="B5" s="922"/>
      <c r="C5" s="922"/>
      <c r="D5" s="922"/>
      <c r="E5" s="922"/>
      <c r="F5" s="922"/>
      <c r="G5" s="922"/>
      <c r="H5" s="922"/>
      <c r="I5" s="922"/>
      <c r="J5" s="922"/>
      <c r="K5" s="922"/>
      <c r="L5" s="922"/>
      <c r="M5" s="922"/>
      <c r="N5" s="922"/>
      <c r="O5" s="922"/>
      <c r="P5" s="922"/>
      <c r="Q5" s="922"/>
      <c r="R5" s="923"/>
      <c r="S5" s="923"/>
      <c r="T5" s="1101"/>
      <c r="U5" s="1015"/>
      <c r="V5" s="926"/>
      <c r="W5" s="926"/>
      <c r="X5" s="927"/>
      <c r="Y5" s="928"/>
      <c r="Z5" s="929"/>
      <c r="AA5" s="930"/>
      <c r="AB5" s="930"/>
      <c r="AC5" s="931"/>
      <c r="AD5" s="931"/>
      <c r="AE5" s="931"/>
      <c r="AF5" s="931"/>
      <c r="AG5" s="931"/>
      <c r="AH5" s="931"/>
      <c r="AI5" s="931"/>
      <c r="AJ5" s="931"/>
      <c r="AK5" s="941"/>
      <c r="AL5" s="941"/>
      <c r="AM5" s="941"/>
      <c r="AN5" s="941"/>
      <c r="AO5" s="941"/>
      <c r="AP5" s="941"/>
      <c r="AQ5" s="8" t="s">
        <v>36</v>
      </c>
      <c r="AR5" s="8" t="s">
        <v>37</v>
      </c>
      <c r="AS5" s="8" t="s">
        <v>38</v>
      </c>
      <c r="AT5" s="9" t="s">
        <v>39</v>
      </c>
      <c r="AU5" s="933"/>
    </row>
    <row r="6" spans="1:47" ht="19.5" customHeight="1">
      <c r="A6" s="921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5"/>
      <c r="V6" s="926"/>
      <c r="W6" s="926"/>
      <c r="X6" s="13">
        <v>4.1666666666666699E-2</v>
      </c>
      <c r="Y6" s="52">
        <v>2771</v>
      </c>
      <c r="Z6" s="181">
        <v>1582</v>
      </c>
      <c r="AA6" s="15"/>
      <c r="AB6" s="56" t="b">
        <f>IF('31'!AA6=1,(('31'!Z6*'31'!$AS$6*'31'!$AT$6)/('31'!Y6*0.0036)),IF('31'!AA6=2,(('31'!Z6*'31'!$AS$7*'31'!$AT$7)/('31'!Y6*0.0036))))</f>
        <v>0</v>
      </c>
      <c r="AC6" s="56"/>
      <c r="AD6" s="18">
        <f>(('31'!AC6*'31'!$I$10*1000000))/('31'!Y6*3600)</f>
        <v>0</v>
      </c>
      <c r="AE6" s="181"/>
      <c r="AF6" s="182">
        <f>('31'!AE6/24)*0.454</f>
        <v>0</v>
      </c>
      <c r="AG6" s="19"/>
      <c r="AH6" s="182">
        <f>('31'!AG6/24)*0.454</f>
        <v>0</v>
      </c>
      <c r="AI6" s="181">
        <v>5000</v>
      </c>
      <c r="AJ6" s="182">
        <f>('31'!AI6/24)*0.454</f>
        <v>94.583333333333343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142</v>
      </c>
      <c r="C7" s="184">
        <v>17</v>
      </c>
      <c r="D7" s="184">
        <v>13</v>
      </c>
      <c r="E7" s="184">
        <v>9.1</v>
      </c>
      <c r="F7" s="184">
        <v>40</v>
      </c>
      <c r="G7" s="184">
        <v>2.8</v>
      </c>
      <c r="H7" s="184">
        <v>2.2999999999999998</v>
      </c>
      <c r="I7" s="184">
        <v>1.1000000000000001</v>
      </c>
      <c r="J7" s="184">
        <v>1.4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/>
      <c r="Q7" s="186"/>
      <c r="R7" s="36">
        <f>'30'!Z29</f>
        <v>1582</v>
      </c>
      <c r="S7" s="185">
        <f>'30'!AB29</f>
        <v>113.17992081934763</v>
      </c>
      <c r="T7" s="36">
        <f>'30'!$Y$29</f>
        <v>2582</v>
      </c>
      <c r="U7" s="32" t="str">
        <f>IF('31'!AA6=1,'31'!AR6,'31'!AR7)</f>
        <v>PAC 15</v>
      </c>
      <c r="V7" s="1016">
        <f>ESCALA!$B$32</f>
        <v>0</v>
      </c>
      <c r="W7" s="1016"/>
      <c r="X7" s="13">
        <v>8.3333333333333301E-2</v>
      </c>
      <c r="Y7" s="52">
        <v>2794</v>
      </c>
      <c r="Z7" s="181">
        <v>1582</v>
      </c>
      <c r="AA7" s="15">
        <v>1</v>
      </c>
      <c r="AB7" s="56">
        <f>IF('31'!AA7=1,(('31'!Z7*'31'!$AS$6*'31'!$AT$6)/('31'!Y7*0.0036)),IF('31'!AA7=2,(('31'!Z7*'31'!$AS$7*'31'!$AT$7)/('31'!Y7*0.0036))))</f>
        <v>104.59218165911081</v>
      </c>
      <c r="AC7" s="56"/>
      <c r="AD7" s="18">
        <f>(('31'!AC7*'31'!$I$10*1000000))/('31'!Y7*3600)</f>
        <v>0</v>
      </c>
      <c r="AE7" s="181"/>
      <c r="AF7" s="182">
        <f>('31'!AE7/24)*0.454</f>
        <v>0</v>
      </c>
      <c r="AG7" s="19"/>
      <c r="AH7" s="182">
        <f>('31'!AG7/24)*0.454</f>
        <v>0</v>
      </c>
      <c r="AI7" s="181">
        <v>5000</v>
      </c>
      <c r="AJ7" s="182">
        <f>('31'!AI7/24)*0.454</f>
        <v>94.583333333333343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144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140</v>
      </c>
      <c r="C8" s="184">
        <v>14</v>
      </c>
      <c r="D8" s="184">
        <v>11</v>
      </c>
      <c r="E8" s="184">
        <v>7.3</v>
      </c>
      <c r="F8" s="184">
        <v>41</v>
      </c>
      <c r="G8" s="184">
        <v>2.7</v>
      </c>
      <c r="H8" s="184">
        <v>2</v>
      </c>
      <c r="I8" s="184">
        <v>1</v>
      </c>
      <c r="J8" s="184">
        <v>1.3</v>
      </c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/>
      <c r="Q8" s="186"/>
      <c r="R8" s="34">
        <f>'31'!Z7</f>
        <v>1582</v>
      </c>
      <c r="S8" s="35">
        <f>'31'!AB7</f>
        <v>104.59218165911081</v>
      </c>
      <c r="T8" s="36">
        <f>'31'!Y7</f>
        <v>2794</v>
      </c>
      <c r="U8" s="32" t="str">
        <f>IF('31'!AA7=1,'31'!AR6,'31'!AR7)</f>
        <v>S.A.L</v>
      </c>
      <c r="V8" s="1016"/>
      <c r="W8" s="1016"/>
      <c r="X8" s="13">
        <v>0.125</v>
      </c>
      <c r="Y8" s="52">
        <v>2766</v>
      </c>
      <c r="Z8" s="181">
        <v>1582</v>
      </c>
      <c r="AA8" s="15">
        <v>1</v>
      </c>
      <c r="AB8" s="56">
        <f>IF('31'!AA8=1,(('31'!Z8*'31'!$AS$6*'31'!$AT$6)/('31'!Y8*0.0036)),IF('31'!AA8=2,(('31'!Z8*'31'!$AS$7*'31'!$AT$7)/('31'!Y8*0.0036))))</f>
        <v>105.65096007069977</v>
      </c>
      <c r="AC8" s="56"/>
      <c r="AD8" s="18">
        <f>(('31'!AC8*'31'!$I$10*1000000))/('31'!Y8*3600)</f>
        <v>0</v>
      </c>
      <c r="AE8" s="181"/>
      <c r="AF8" s="182">
        <f>('31'!AE8/24)*0.454</f>
        <v>0</v>
      </c>
      <c r="AG8" s="19"/>
      <c r="AH8" s="182">
        <f>('31'!AG8/24)*0.454</f>
        <v>0</v>
      </c>
      <c r="AI8" s="181">
        <v>5000</v>
      </c>
      <c r="AJ8" s="182">
        <f>('31'!AI8/24)*0.454</f>
        <v>94.583333333333343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5" t="s">
        <v>50</v>
      </c>
      <c r="AR8" s="935"/>
      <c r="AS8" s="935"/>
      <c r="AT8" s="935"/>
    </row>
    <row r="9" spans="1:47" ht="18.75" customHeight="1">
      <c r="A9" s="28">
        <v>0.16666666666666699</v>
      </c>
      <c r="B9" s="184">
        <v>136</v>
      </c>
      <c r="C9" s="184">
        <v>14</v>
      </c>
      <c r="D9" s="184">
        <v>11</v>
      </c>
      <c r="E9" s="184">
        <v>4</v>
      </c>
      <c r="F9" s="184">
        <v>40</v>
      </c>
      <c r="G9" s="184">
        <v>2.8</v>
      </c>
      <c r="H9" s="184">
        <v>2.1</v>
      </c>
      <c r="I9" s="184">
        <v>1</v>
      </c>
      <c r="J9" s="184">
        <v>1.3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/>
      <c r="Q9" s="186"/>
      <c r="R9" s="36">
        <f>'31'!Z9</f>
        <v>1582</v>
      </c>
      <c r="S9" s="35">
        <f>'31'!AB9</f>
        <v>104.62962962962962</v>
      </c>
      <c r="T9" s="36">
        <f>'31'!Y9</f>
        <v>2793</v>
      </c>
      <c r="U9" s="32" t="str">
        <f>IF('31'!AA9=1,'31'!AR6,'31'!AR7)</f>
        <v>S.A.L</v>
      </c>
      <c r="V9" s="1016"/>
      <c r="W9" s="1016"/>
      <c r="X9" s="13">
        <v>0.16666666666666699</v>
      </c>
      <c r="Y9" s="52">
        <v>2793</v>
      </c>
      <c r="Z9" s="181">
        <v>1582</v>
      </c>
      <c r="AA9" s="15">
        <v>1</v>
      </c>
      <c r="AB9" s="56">
        <f>IF('31'!AA9=1,(('31'!Z9*'31'!$AS$6*'31'!$AT$6)/('31'!Y9*0.0036)),IF('31'!AA9=2,(('31'!Z9*'31'!$AS$7*'31'!$AT$7)/('31'!Y9*0.0036))))</f>
        <v>104.62962962962962</v>
      </c>
      <c r="AC9" s="56"/>
      <c r="AD9" s="18">
        <f>(('31'!AC9*'31'!$I$10*1000000))/('31'!Y9*3600)</f>
        <v>0</v>
      </c>
      <c r="AE9" s="181"/>
      <c r="AF9" s="182">
        <f>('31'!AE9/24)*0.454</f>
        <v>0</v>
      </c>
      <c r="AG9" s="19"/>
      <c r="AH9" s="182">
        <f>('31'!AG9/24)*0.454</f>
        <v>0</v>
      </c>
      <c r="AI9" s="181">
        <v>5000</v>
      </c>
      <c r="AJ9" s="182">
        <f>('31'!AI9/24)*0.454</f>
        <v>94.583333333333343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6" t="s">
        <v>37</v>
      </c>
      <c r="AR9" s="936"/>
      <c r="AS9" s="936"/>
      <c r="AT9" s="37" t="s">
        <v>39</v>
      </c>
    </row>
    <row r="10" spans="1:47" ht="18.75" customHeight="1">
      <c r="A10" s="28">
        <v>0.25</v>
      </c>
      <c r="B10" s="184">
        <v>134</v>
      </c>
      <c r="C10" s="184">
        <v>13</v>
      </c>
      <c r="D10" s="184">
        <v>9.8000000000000007</v>
      </c>
      <c r="E10" s="184">
        <v>3.2</v>
      </c>
      <c r="F10" s="184">
        <v>39</v>
      </c>
      <c r="G10" s="184">
        <v>2.7</v>
      </c>
      <c r="H10" s="184">
        <v>2.2000000000000002</v>
      </c>
      <c r="I10" s="184">
        <v>1</v>
      </c>
      <c r="J10" s="184">
        <v>1.3</v>
      </c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/>
      <c r="Q10" s="186"/>
      <c r="R10" s="36">
        <f>'31'!Z11</f>
        <v>1403</v>
      </c>
      <c r="S10" s="35">
        <f>'31'!AB11</f>
        <v>92.724607433909767</v>
      </c>
      <c r="T10" s="36">
        <f>'31'!Y11</f>
        <v>2795</v>
      </c>
      <c r="U10" s="32" t="str">
        <f>IF('31'!AA11=1,'31'!AR6,'31'!AR7)</f>
        <v>S.A.L</v>
      </c>
      <c r="V10" s="1016"/>
      <c r="W10" s="1016"/>
      <c r="X10" s="13">
        <v>0.20833333333333301</v>
      </c>
      <c r="Y10" s="52">
        <v>2805</v>
      </c>
      <c r="Z10" s="181">
        <v>1582</v>
      </c>
      <c r="AA10" s="15">
        <v>1</v>
      </c>
      <c r="AB10" s="56">
        <f>IF('31'!AA10=1,(('31'!Z10*'31'!$AS$6*'31'!$AT$6)/('31'!Y10*0.0036)),IF('31'!AA10=2,(('31'!Z10*'31'!$AS$7*'31'!$AT$7)/('31'!Y10*0.0036))))</f>
        <v>104.18201624083977</v>
      </c>
      <c r="AC10" s="56"/>
      <c r="AD10" s="18">
        <f>(('31'!AC10*'31'!$I$10*1000000))/('31'!Y10*3600)</f>
        <v>0</v>
      </c>
      <c r="AE10" s="181"/>
      <c r="AF10" s="182">
        <f>('31'!AE10/24)*0.454</f>
        <v>0</v>
      </c>
      <c r="AG10" s="19"/>
      <c r="AH10" s="182">
        <f>('31'!AG10/24)*0.454</f>
        <v>0</v>
      </c>
      <c r="AI10" s="181">
        <v>5000</v>
      </c>
      <c r="AJ10" s="182">
        <f>('31'!AI10/24)*0.454</f>
        <v>94.583333333333343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37" t="s">
        <v>51</v>
      </c>
      <c r="AR10" s="937"/>
      <c r="AS10" s="937"/>
      <c r="AT10" s="39">
        <v>2E-3</v>
      </c>
    </row>
    <row r="11" spans="1:47" ht="19.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6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16"/>
      <c r="W11" s="1016"/>
      <c r="X11" s="13">
        <v>0.25</v>
      </c>
      <c r="Y11" s="52">
        <v>2795</v>
      </c>
      <c r="Z11" s="181">
        <v>1403</v>
      </c>
      <c r="AA11" s="15">
        <v>1</v>
      </c>
      <c r="AB11" s="56">
        <f>IF('31'!AA11=1,(('31'!Z11*'31'!$AS$6*'31'!$AT$6)/('31'!Y11*0.0036)),IF('31'!AA11=2,(('31'!Z11*'31'!$AS$7*'31'!$AT$7)/('31'!Y11*0.0036))))</f>
        <v>92.724607433909767</v>
      </c>
      <c r="AC11" s="56"/>
      <c r="AD11" s="18">
        <f>(('31'!AC11*'31'!$I$10*1000000))/('31'!Y11*3600)</f>
        <v>0</v>
      </c>
      <c r="AE11" s="181"/>
      <c r="AF11" s="182">
        <f>('31'!AE11/24)*0.454</f>
        <v>0</v>
      </c>
      <c r="AG11" s="19"/>
      <c r="AH11" s="182">
        <f>('31'!AG11/24)*0.454</f>
        <v>0</v>
      </c>
      <c r="AI11" s="181">
        <v>4600</v>
      </c>
      <c r="AJ11" s="182">
        <f>('31'!AI11/24)*0.454</f>
        <v>87.016666666666666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6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38">
        <f>ESCALA!$B$33</f>
        <v>0</v>
      </c>
      <c r="W12" s="938"/>
      <c r="X12" s="13">
        <v>0.29166666666666702</v>
      </c>
      <c r="Y12" s="52"/>
      <c r="Z12" s="181">
        <v>1403</v>
      </c>
      <c r="AA12" s="15">
        <v>1</v>
      </c>
      <c r="AB12" s="56" t="e">
        <f>IF('31'!AA12=1,(('31'!Z12*'31'!$AS$6*'31'!$AT$6)/('31'!Y12*0.0036)),IF('31'!AA12=2,(('31'!Z12*'31'!$AS$7*'31'!$AT$7)/('31'!Y12*0.0036))))</f>
        <v>#DIV/0!</v>
      </c>
      <c r="AC12" s="56"/>
      <c r="AD12" s="18" t="e">
        <f>(('31'!AC12*'31'!$I$10*1000000))/('31'!Y12*3600)</f>
        <v>#DIV/0!</v>
      </c>
      <c r="AE12" s="181"/>
      <c r="AF12" s="182">
        <f>('31'!AE12/24)*0.454</f>
        <v>0</v>
      </c>
      <c r="AG12" s="19"/>
      <c r="AH12" s="182">
        <f>('31'!AG12/24)*0.454</f>
        <v>0</v>
      </c>
      <c r="AI12" s="181">
        <v>4600</v>
      </c>
      <c r="AJ12" s="182">
        <f>('31'!AI12/24)*0.454</f>
        <v>87.016666666666666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6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38"/>
      <c r="W13" s="938"/>
      <c r="X13" s="13">
        <v>0.33333333333333298</v>
      </c>
      <c r="Y13" s="52"/>
      <c r="Z13" s="181"/>
      <c r="AA13" s="15">
        <v>1</v>
      </c>
      <c r="AB13" s="56" t="e">
        <f>IF('31'!AA13=1,(('31'!Z13*'31'!$AS$6*'31'!$AT$6)/('31'!Y13*0.0036)),IF('31'!AA13=2,(('31'!Z13*'31'!$AS$7*'31'!$AT$7)/('31'!Y13*0.0036))))</f>
        <v>#DIV/0!</v>
      </c>
      <c r="AC13" s="56"/>
      <c r="AD13" s="18" t="e">
        <f>(('31'!AC13*'31'!$I$10*1000000))/('31'!Y13*3600)</f>
        <v>#DIV/0!</v>
      </c>
      <c r="AE13" s="181"/>
      <c r="AF13" s="182">
        <f>('31'!AE13/24)*0.454</f>
        <v>0</v>
      </c>
      <c r="AG13" s="19"/>
      <c r="AH13" s="182">
        <f>('31'!AG13/24)*0.454</f>
        <v>0</v>
      </c>
      <c r="AI13" s="181">
        <v>4600</v>
      </c>
      <c r="AJ13" s="182">
        <f>('31'!AI13/24)*0.454</f>
        <v>87.016666666666666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6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38"/>
      <c r="W14" s="938"/>
      <c r="X14" s="13">
        <v>0.375</v>
      </c>
      <c r="Y14" s="52"/>
      <c r="Z14" s="181"/>
      <c r="AA14" s="15">
        <v>1</v>
      </c>
      <c r="AB14" s="56" t="e">
        <f>IF('31'!AA14=1,(('31'!Z14*'31'!$AS$6*'31'!$AT$6)/('31'!Y14*0.0036)),IF('31'!AA14=2,(('31'!Z14*'31'!$AS$7*'31'!$AT$7)/('31'!Y14*0.0036))))</f>
        <v>#DIV/0!</v>
      </c>
      <c r="AC14" s="56"/>
      <c r="AD14" s="18" t="e">
        <f>(('31'!AC14*'31'!$I$10*1000000))/('31'!Y14*3600)</f>
        <v>#DIV/0!</v>
      </c>
      <c r="AE14" s="181"/>
      <c r="AF14" s="182">
        <f>('31'!AE14/24)*0.454</f>
        <v>0</v>
      </c>
      <c r="AG14" s="19"/>
      <c r="AH14" s="182">
        <f>('31'!AG14/24)*0.454</f>
        <v>0</v>
      </c>
      <c r="AI14" s="181"/>
      <c r="AJ14" s="182">
        <f>('31'!AI14/24)*0.454</f>
        <v>0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6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38"/>
      <c r="W15" s="938"/>
      <c r="X15" s="13">
        <v>0.41666666666666702</v>
      </c>
      <c r="Y15" s="52"/>
      <c r="Z15" s="181"/>
      <c r="AA15" s="15">
        <v>1</v>
      </c>
      <c r="AB15" s="56" t="e">
        <f>IF('31'!AA15=1,(('31'!Z15*'31'!$AS$6*'31'!$AT$6)/('31'!Y15*0.0036)),IF('31'!AA15=2,(('31'!Z15*'31'!$AS$7*'31'!$AT$7)/('31'!Y15*0.0036))))</f>
        <v>#DIV/0!</v>
      </c>
      <c r="AC15" s="56"/>
      <c r="AD15" s="18" t="e">
        <f>(('31'!AC15*'31'!$I$10*1000000))/('31'!Y15*3600)</f>
        <v>#DIV/0!</v>
      </c>
      <c r="AE15" s="181"/>
      <c r="AF15" s="182">
        <f>('31'!AE15/24)*0.454</f>
        <v>0</v>
      </c>
      <c r="AG15" s="19"/>
      <c r="AH15" s="182">
        <f>('31'!AG15/24)*0.454</f>
        <v>0</v>
      </c>
      <c r="AI15" s="181"/>
      <c r="AJ15" s="182">
        <f>('31'!AI15/24)*0.454</f>
        <v>0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6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38"/>
      <c r="W16" s="938"/>
      <c r="X16" s="13">
        <v>0.45833333333333298</v>
      </c>
      <c r="Y16" s="52"/>
      <c r="Z16" s="181"/>
      <c r="AA16" s="15">
        <v>1</v>
      </c>
      <c r="AB16" s="56" t="e">
        <f>IF('31'!AA16=1,(('31'!Z16*'31'!$AS$6*'31'!$AT$6)/('31'!Y16*0.0036)),IF('31'!AA16=2,(('31'!Z16*'31'!$AS$7*'31'!$AT$7)/('31'!Y16*0.0036))))</f>
        <v>#DIV/0!</v>
      </c>
      <c r="AC16" s="56"/>
      <c r="AD16" s="18" t="e">
        <f>(('31'!AC16*'31'!$I$10*1000000))/('31'!Y16*3600)</f>
        <v>#DIV/0!</v>
      </c>
      <c r="AE16" s="181"/>
      <c r="AF16" s="182">
        <f>('31'!AE16/24)*0.454</f>
        <v>0</v>
      </c>
      <c r="AG16" s="19"/>
      <c r="AH16" s="182">
        <f>('31'!AG16/24)*0.454</f>
        <v>0</v>
      </c>
      <c r="AI16" s="181"/>
      <c r="AJ16" s="182">
        <f>('31'!AI16/24)*0.454</f>
        <v>0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6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38"/>
      <c r="W17" s="938"/>
      <c r="X17" s="13">
        <v>0.5</v>
      </c>
      <c r="Y17" s="52"/>
      <c r="Z17" s="181"/>
      <c r="AA17" s="15">
        <v>1</v>
      </c>
      <c r="AB17" s="56" t="e">
        <f>IF('31'!AA17=1,(('31'!Z17*'31'!$AS$6*'31'!$AT$6)/('31'!Y17*0.0036)),IF('31'!AA17=2,(('31'!Z17*'31'!$AS$7*'31'!$AT$7)/('31'!Y17*0.0036))))</f>
        <v>#DIV/0!</v>
      </c>
      <c r="AC17" s="56"/>
      <c r="AD17" s="18" t="e">
        <f>(('31'!AC17*'31'!$I$10*1000000))/('31'!Y17*3600)</f>
        <v>#DIV/0!</v>
      </c>
      <c r="AE17" s="181"/>
      <c r="AF17" s="182">
        <f>('31'!AE17/24)*0.454</f>
        <v>0</v>
      </c>
      <c r="AG17" s="19"/>
      <c r="AH17" s="182">
        <f>('31'!AG17/24)*0.454</f>
        <v>0</v>
      </c>
      <c r="AI17" s="181"/>
      <c r="AJ17" s="182">
        <f>('31'!AI17/24)*0.454</f>
        <v>0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6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38"/>
      <c r="W18" s="938"/>
      <c r="X18" s="13">
        <v>0.54166666666666696</v>
      </c>
      <c r="Y18" s="52"/>
      <c r="Z18" s="181"/>
      <c r="AA18" s="15">
        <v>1</v>
      </c>
      <c r="AB18" s="56" t="e">
        <f>IF('31'!AA18=1,(('31'!Z18*'31'!$AS$6*'31'!$AT$6)/('31'!Y18*0.0036)),IF('31'!AA18=2,(('31'!Z18*'31'!$AS$7*'31'!$AT$7)/('31'!Y18*0.0036))))</f>
        <v>#DIV/0!</v>
      </c>
      <c r="AC18" s="56"/>
      <c r="AD18" s="18" t="e">
        <f>(('31'!AC18*'31'!$I$10*1000000))/('31'!Y18*3600)</f>
        <v>#DIV/0!</v>
      </c>
      <c r="AE18" s="181"/>
      <c r="AF18" s="182">
        <f>('31'!AE18/24)*0.454</f>
        <v>0</v>
      </c>
      <c r="AG18" s="19"/>
      <c r="AH18" s="182">
        <f>('31'!AG18/24)*0.454</f>
        <v>0</v>
      </c>
      <c r="AI18" s="181"/>
      <c r="AJ18" s="182">
        <f>('31'!AI18/24)*0.454</f>
        <v>0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138</v>
      </c>
      <c r="C19" s="67">
        <f>AVERAGE('31'!C7:C18)</f>
        <v>14.5</v>
      </c>
      <c r="D19" s="67">
        <f>AVERAGE('31'!D7:D18)</f>
        <v>11.2</v>
      </c>
      <c r="E19" s="67">
        <f>AVERAGE('31'!E7:E18)</f>
        <v>5.8999999999999995</v>
      </c>
      <c r="F19" s="67">
        <f>AVERAGE('31'!F7:F18)</f>
        <v>40</v>
      </c>
      <c r="G19" s="67">
        <f>AVERAGE('31'!G7:G18)</f>
        <v>2.75</v>
      </c>
      <c r="H19" s="67">
        <f>AVERAGE('31'!H7:H18)</f>
        <v>2.1500000000000004</v>
      </c>
      <c r="I19" s="67">
        <f>AVERAGE('31'!I7:I18)</f>
        <v>1.0249999999999999</v>
      </c>
      <c r="J19" s="67">
        <f>AVERAGE('31'!J7:J18)</f>
        <v>1.325</v>
      </c>
      <c r="K19" s="67">
        <f>AVERAGE('31'!K7:K18)</f>
        <v>7.3</v>
      </c>
      <c r="L19" s="67">
        <f>AVERAGE('31'!L7:L18)</f>
        <v>6.3</v>
      </c>
      <c r="M19" s="67">
        <f>AVERAGE('31'!M7:M18)</f>
        <v>6.3</v>
      </c>
      <c r="N19" s="67">
        <f>AVERAGE('31'!N7:N18)</f>
        <v>6</v>
      </c>
      <c r="O19" s="67">
        <f>AVERAGE('31'!O7:O18)</f>
        <v>3.6500000000000004</v>
      </c>
      <c r="P19" s="67" t="e">
        <f>AVERAGE('31'!P7:P18)</f>
        <v>#DIV/0!</v>
      </c>
      <c r="Q19" s="67" t="e">
        <f>AVERAGE('31'!Q7:Q18)</f>
        <v>#DIV/0!</v>
      </c>
      <c r="R19" s="187">
        <f>AVERAGE('31'!R7:R18)</f>
        <v>512.41666666666663</v>
      </c>
      <c r="S19" s="187" t="e">
        <f>AVERAGE('31'!S7:S18)</f>
        <v>#DIV/0!</v>
      </c>
      <c r="T19" s="940"/>
      <c r="U19" s="940"/>
      <c r="V19" s="47"/>
      <c r="W19" s="48"/>
      <c r="X19" s="13">
        <v>0.58333333333333304</v>
      </c>
      <c r="Y19" s="52"/>
      <c r="Z19" s="181"/>
      <c r="AA19" s="15">
        <v>1</v>
      </c>
      <c r="AB19" s="56" t="e">
        <f>IF('31'!AA19=1,(('31'!Z19*'31'!$AS$6*'31'!$AT$6)/('31'!Y19*0.0036)),IF('31'!AA19=2,(('31'!Z19*'31'!$AS$7*'31'!$AT$7)/('31'!Y19*0.0036))))</f>
        <v>#DIV/0!</v>
      </c>
      <c r="AC19" s="56"/>
      <c r="AD19" s="18" t="e">
        <f>(('31'!AC19*'31'!$I$10*1000000))/('31'!Y19*3600)</f>
        <v>#DIV/0!</v>
      </c>
      <c r="AE19" s="181"/>
      <c r="AF19" s="182">
        <f>('31'!AE19/24)*0.454</f>
        <v>0</v>
      </c>
      <c r="AG19" s="19"/>
      <c r="AH19" s="182">
        <f>('31'!AG19/24)*0.454</f>
        <v>0</v>
      </c>
      <c r="AI19" s="181"/>
      <c r="AJ19" s="182">
        <f>('31'!AI19/24)*0.454</f>
        <v>0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142</v>
      </c>
      <c r="C20" s="67">
        <f>MAX('31'!C7:C18)</f>
        <v>17</v>
      </c>
      <c r="D20" s="67">
        <f>MAX('31'!D7:D18)</f>
        <v>13</v>
      </c>
      <c r="E20" s="67">
        <f>MAX('31'!E7:E18)</f>
        <v>9.1</v>
      </c>
      <c r="F20" s="67">
        <f>MAX('31'!F7:F18)</f>
        <v>41</v>
      </c>
      <c r="G20" s="67">
        <f>MAX('31'!G7:G18)</f>
        <v>2.8</v>
      </c>
      <c r="H20" s="67">
        <f>MAX('31'!H7:H18)</f>
        <v>2.2999999999999998</v>
      </c>
      <c r="I20" s="67">
        <f>MAX('31'!I7:I18)</f>
        <v>1.1000000000000001</v>
      </c>
      <c r="J20" s="67">
        <f>MAX('31'!J7:J18)</f>
        <v>1.4</v>
      </c>
      <c r="K20" s="67">
        <f>MAX('31'!K7:K18)</f>
        <v>7.3</v>
      </c>
      <c r="L20" s="67">
        <f>MAX('31'!L7:L18)</f>
        <v>6.3</v>
      </c>
      <c r="M20" s="67">
        <f>MAX('31'!M7:M18)</f>
        <v>6.3</v>
      </c>
      <c r="N20" s="67">
        <f>MAX('31'!N7:N18)</f>
        <v>6</v>
      </c>
      <c r="O20" s="67">
        <f>MAX('31'!O7:O18)</f>
        <v>3.7</v>
      </c>
      <c r="P20" s="67">
        <f>MAX('31'!P7:P18)</f>
        <v>0</v>
      </c>
      <c r="Q20" s="67">
        <f>MAX('31'!Q7:Q18)</f>
        <v>0</v>
      </c>
      <c r="R20" s="67">
        <f>MAX('31'!R7:R18)</f>
        <v>1582</v>
      </c>
      <c r="S20" s="337" t="e">
        <f>MAX('31'!S7:S18)</f>
        <v>#DIV/0!</v>
      </c>
      <c r="T20" s="940"/>
      <c r="U20" s="940"/>
      <c r="X20" s="13">
        <v>0.625</v>
      </c>
      <c r="Y20" s="52"/>
      <c r="Z20" s="181"/>
      <c r="AA20" s="15">
        <v>1</v>
      </c>
      <c r="AB20" s="56" t="e">
        <f>IF('31'!AA20=1,(('31'!Z20*'31'!$AS$6*'31'!$AT$6)/('31'!Y20*0.0036)),IF('31'!AA20=2,(('31'!Z20*'31'!$AS$7*'31'!$AT$7)/('31'!Y20*0.0036))))</f>
        <v>#DIV/0!</v>
      </c>
      <c r="AC20" s="56"/>
      <c r="AD20" s="18" t="e">
        <f>(('31'!AC20*'31'!$I$10*1000000))/('31'!Y20*3600)</f>
        <v>#DIV/0!</v>
      </c>
      <c r="AE20" s="181"/>
      <c r="AF20" s="182">
        <f>('31'!AE20/24)*0.454</f>
        <v>0</v>
      </c>
      <c r="AG20" s="19"/>
      <c r="AH20" s="182">
        <f>('31'!AG20/24)*0.454</f>
        <v>0</v>
      </c>
      <c r="AI20" s="181"/>
      <c r="AJ20" s="182">
        <f>('31'!AI20/24)*0.454</f>
        <v>0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134</v>
      </c>
      <c r="C21" s="67">
        <f>MIN('31'!C7:C18)</f>
        <v>13</v>
      </c>
      <c r="D21" s="67">
        <f>MIN('31'!D7:D18)</f>
        <v>9.8000000000000007</v>
      </c>
      <c r="E21" s="67">
        <f>MIN('31'!E7:E18)</f>
        <v>3.2</v>
      </c>
      <c r="F21" s="67">
        <f>MIN('31'!F7:F18)</f>
        <v>39</v>
      </c>
      <c r="G21" s="67">
        <f>MIN('31'!G7:G18)</f>
        <v>2.7</v>
      </c>
      <c r="H21" s="67">
        <f>MIN('31'!H7:H18)</f>
        <v>2</v>
      </c>
      <c r="I21" s="67">
        <f>MIN('31'!I7:I18)</f>
        <v>1</v>
      </c>
      <c r="J21" s="67">
        <f>MIN('31'!J7:J18)</f>
        <v>1.3</v>
      </c>
      <c r="K21" s="67">
        <f>MIN('31'!K7:K18)</f>
        <v>7.3</v>
      </c>
      <c r="L21" s="67">
        <f>MIN('31'!L7:L18)</f>
        <v>6.3</v>
      </c>
      <c r="M21" s="67">
        <f>MIN('31'!M7:M18)</f>
        <v>6.3</v>
      </c>
      <c r="N21" s="67">
        <f>MIN('31'!N7:N18)</f>
        <v>6</v>
      </c>
      <c r="O21" s="67">
        <f>MIN('31'!O7:O18)</f>
        <v>3.5</v>
      </c>
      <c r="P21" s="67">
        <f>MIN('31'!P7:P18)</f>
        <v>0</v>
      </c>
      <c r="Q21" s="67">
        <f>MIN('31'!Q7:Q18)</f>
        <v>0</v>
      </c>
      <c r="R21" s="67">
        <f>MIN('31'!R7:R18)</f>
        <v>0</v>
      </c>
      <c r="S21" s="67" t="e">
        <f>MIN('31'!S7:S18)</f>
        <v>#DIV/0!</v>
      </c>
      <c r="T21" s="940"/>
      <c r="U21" s="940"/>
      <c r="X21" s="13">
        <v>0.66666666666666696</v>
      </c>
      <c r="Y21" s="52"/>
      <c r="Z21" s="181"/>
      <c r="AA21" s="15">
        <v>1</v>
      </c>
      <c r="AB21" s="56" t="e">
        <f>IF('31'!AA21=1,(('31'!Z21*'31'!$AS$6*'31'!$AT$6)/('31'!Y21*0.0036)),IF('31'!AA21=2,(('31'!Z21*'31'!$AS$7*'31'!$AT$7)/('31'!Y21*0.0036))))</f>
        <v>#DIV/0!</v>
      </c>
      <c r="AC21" s="56"/>
      <c r="AD21" s="18" t="e">
        <f>(('31'!AC21*'31'!$I$10*1000000))/('31'!Y21*3600)</f>
        <v>#DIV/0!</v>
      </c>
      <c r="AE21" s="181"/>
      <c r="AF21" s="182">
        <f>('31'!AE21/24)*0.454</f>
        <v>0</v>
      </c>
      <c r="AG21" s="19"/>
      <c r="AH21" s="182">
        <f>('31'!AG21/24)*0.454</f>
        <v>0</v>
      </c>
      <c r="AI21" s="181"/>
      <c r="AJ21" s="182">
        <f>('31'!AI21/24)*0.454</f>
        <v>0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2" t="s">
        <v>55</v>
      </c>
      <c r="S22" s="942"/>
      <c r="T22" s="940"/>
      <c r="U22" s="940"/>
      <c r="X22" s="13">
        <v>0.70833333333333304</v>
      </c>
      <c r="Y22" s="52"/>
      <c r="Z22" s="181"/>
      <c r="AA22" s="15">
        <v>1</v>
      </c>
      <c r="AB22" s="56" t="e">
        <f>IF('31'!AA22=1,(('31'!Z22*'31'!$AS$6*'31'!$AT$6)/('31'!Y22*0.0036)),IF('31'!AA22=2,(('31'!Z22*'31'!$AS$7*'31'!$AT$7)/('31'!Y22*0.0036))))</f>
        <v>#DIV/0!</v>
      </c>
      <c r="AC22" s="56"/>
      <c r="AD22" s="18" t="e">
        <f>(('31'!AC22*'31'!$I$10*1000000))/('31'!Y22*3600)</f>
        <v>#DIV/0!</v>
      </c>
      <c r="AE22" s="181"/>
      <c r="AF22" s="182">
        <f>('31'!AE22/24)*0.454</f>
        <v>0</v>
      </c>
      <c r="AG22" s="19"/>
      <c r="AH22" s="182">
        <f>('31'!AG22/24)*0.454</f>
        <v>0</v>
      </c>
      <c r="AI22" s="181"/>
      <c r="AJ22" s="182">
        <f>('31'!AI22/24)*0.454</f>
        <v>0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3" t="s">
        <v>56</v>
      </c>
      <c r="B23" s="943"/>
      <c r="C23" s="943"/>
      <c r="D23" s="943"/>
      <c r="E23" s="943"/>
      <c r="F23" s="943"/>
      <c r="G23" s="943"/>
      <c r="H23" s="943"/>
      <c r="I23" s="943"/>
      <c r="J23" s="943"/>
      <c r="K23" s="943"/>
      <c r="L23" s="943"/>
      <c r="M23" s="943"/>
      <c r="N23" s="943"/>
      <c r="O23" s="943"/>
      <c r="P23" s="943"/>
      <c r="Q23" s="943"/>
      <c r="R23" s="57">
        <v>440</v>
      </c>
      <c r="S23" s="58" t="s">
        <v>57</v>
      </c>
      <c r="T23" s="940"/>
      <c r="U23" s="940"/>
      <c r="X23" s="13">
        <v>0.75</v>
      </c>
      <c r="Y23" s="52"/>
      <c r="Z23" s="181"/>
      <c r="AA23" s="15">
        <v>1</v>
      </c>
      <c r="AB23" s="56" t="e">
        <f>IF('31'!AA23=1,(('31'!Z23*'31'!$AS$6*'31'!$AT$6)/('31'!Y23*0.0036)),IF('31'!AA23=2,(('31'!Z23*'31'!$AS$7*'31'!$AT$7)/('31'!Y23*0.0036))))</f>
        <v>#DIV/0!</v>
      </c>
      <c r="AC23" s="56"/>
      <c r="AD23" s="18" t="e">
        <f>(('31'!AC23*'31'!$I$10*1000000))/('31'!Y23*3600)</f>
        <v>#DIV/0!</v>
      </c>
      <c r="AE23" s="181"/>
      <c r="AF23" s="182">
        <f>('31'!AE23/24)*0.454</f>
        <v>0</v>
      </c>
      <c r="AG23" s="19"/>
      <c r="AH23" s="182">
        <f>('31'!AG23/24)*0.454</f>
        <v>0</v>
      </c>
      <c r="AI23" s="181"/>
      <c r="AJ23" s="182">
        <f>('31'!AI23/24)*0.454</f>
        <v>0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0"/>
      <c r="U24" s="940"/>
      <c r="X24" s="13">
        <v>0.79166666666666696</v>
      </c>
      <c r="Y24" s="52"/>
      <c r="Z24" s="181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6"/>
      <c r="AD24" s="18" t="e">
        <f>(('31'!AC24*'31'!$I$10*1000000))/('31'!Y24*3600)</f>
        <v>#DIV/0!</v>
      </c>
      <c r="AE24" s="181"/>
      <c r="AF24" s="193">
        <f>('31'!AE24/24)*0.454</f>
        <v>0</v>
      </c>
      <c r="AG24" s="19"/>
      <c r="AH24" s="193">
        <f>('31'!AG24/24)*0.454</f>
        <v>0</v>
      </c>
      <c r="AI24" s="181"/>
      <c r="AJ24" s="182">
        <f>('31'!AI24/24)*0.454</f>
        <v>0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338"/>
      <c r="O25" s="257"/>
      <c r="P25" s="257"/>
      <c r="Q25" s="257"/>
      <c r="R25" s="63" t="e">
        <f>#DIV/0!</f>
        <v>#DIV/0!</v>
      </c>
      <c r="S25" s="64"/>
      <c r="T25" s="1017" t="s">
        <v>0</v>
      </c>
      <c r="U25" s="1043">
        <f>ESCALA!$A$33</f>
        <v>44347</v>
      </c>
      <c r="X25" s="13">
        <v>0.83333333333333304</v>
      </c>
      <c r="Y25" s="52"/>
      <c r="Z25" s="181"/>
      <c r="AA25" s="15">
        <v>1</v>
      </c>
      <c r="AB25" s="56" t="e">
        <f>IF('31'!AA25=1,(('31'!Z25*'31'!$AS$6*'31'!$AT$6)/('31'!Y25*0.0036)),IF('31'!AA25=2,(('31'!Z25*'31'!$AS$7*'31'!$AT$7)/('31'!Y25*0.0036))))</f>
        <v>#DIV/0!</v>
      </c>
      <c r="AC25" s="56"/>
      <c r="AD25" s="18" t="e">
        <f>(('31'!AC25*'31'!$I$10*1000000))/('31'!Y25*3600)</f>
        <v>#DIV/0!</v>
      </c>
      <c r="AE25" s="181"/>
      <c r="AF25" s="182">
        <f>('31'!AE25/24)*0.454</f>
        <v>0</v>
      </c>
      <c r="AG25" s="19"/>
      <c r="AH25" s="182">
        <f>('31'!AG25/24)*0.454</f>
        <v>0</v>
      </c>
      <c r="AI25" s="181"/>
      <c r="AJ25" s="182">
        <f>('31'!AI25/24)*0.454</f>
        <v>0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>
        <v>1.37</v>
      </c>
      <c r="D26" s="258">
        <v>1.19</v>
      </c>
      <c r="E26" s="259">
        <v>1.27</v>
      </c>
      <c r="F26" s="259">
        <v>1.05</v>
      </c>
      <c r="G26" s="259">
        <v>0.95</v>
      </c>
      <c r="H26" s="259">
        <v>0.93</v>
      </c>
      <c r="I26" s="259">
        <v>1.03</v>
      </c>
      <c r="J26" s="259"/>
      <c r="K26" s="259">
        <v>0.7</v>
      </c>
      <c r="L26" s="259">
        <v>0.63</v>
      </c>
      <c r="M26" s="259">
        <v>0.59</v>
      </c>
      <c r="N26" s="259">
        <v>0.66</v>
      </c>
      <c r="O26" s="259">
        <v>0.56999999999999995</v>
      </c>
      <c r="P26" s="259"/>
      <c r="Q26" s="259"/>
      <c r="R26" s="63" t="e">
        <f>#DIV/0!</f>
        <v>#DIV/0!</v>
      </c>
      <c r="S26" s="65"/>
      <c r="T26" s="1017"/>
      <c r="U26" s="1043"/>
      <c r="X26" s="13">
        <v>0.875</v>
      </c>
      <c r="Y26" s="52"/>
      <c r="Z26" s="181"/>
      <c r="AA26" s="15">
        <v>1</v>
      </c>
      <c r="AB26" s="56" t="e">
        <f>IF('31'!AA26=1,(('31'!Z26*'31'!$AS$6*'31'!$AT$6)/('31'!Y26*0.0036)),IF('31'!AA26=2,(('31'!Z26*'31'!$AS$7*'31'!$AT$7)/('31'!Y26*0.0036))))</f>
        <v>#DIV/0!</v>
      </c>
      <c r="AC26" s="56"/>
      <c r="AD26" s="18" t="e">
        <f>(('31'!AC26*'31'!$I$10*1000000))/('31'!Y26*3600)</f>
        <v>#DIV/0!</v>
      </c>
      <c r="AE26" s="181"/>
      <c r="AF26" s="182">
        <f>('31'!AE26/24)*0.454</f>
        <v>0</v>
      </c>
      <c r="AG26" s="19"/>
      <c r="AH26" s="182">
        <f>('31'!AG26/24)*0.454</f>
        <v>0</v>
      </c>
      <c r="AI26" s="181"/>
      <c r="AJ26" s="182">
        <f>('31'!AI26/24)*0.454</f>
        <v>0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8"/>
      <c r="S27" s="1018"/>
      <c r="T27" s="1018"/>
      <c r="U27" s="72"/>
      <c r="X27" s="13">
        <v>0.91666666666666696</v>
      </c>
      <c r="Y27" s="52"/>
      <c r="Z27" s="181"/>
      <c r="AA27" s="15">
        <v>1</v>
      </c>
      <c r="AB27" s="56" t="e">
        <f>IF('31'!AA27=1,(('31'!Z27*'31'!$AS$6*'31'!$AT$6)/('31'!Y27*0.0036)),IF('31'!AA27=2,(('31'!Z27*'31'!$AS$7*'31'!$AT$7)/('31'!Y27*0.0036))))</f>
        <v>#DIV/0!</v>
      </c>
      <c r="AC27" s="56"/>
      <c r="AD27" s="18" t="e">
        <f>(('31'!AC27*'31'!$I$10*1000000))/('31'!Y27*3600)</f>
        <v>#DIV/0!</v>
      </c>
      <c r="AE27" s="181"/>
      <c r="AF27" s="182">
        <f>('31'!AE27/24)*0.454</f>
        <v>0</v>
      </c>
      <c r="AG27" s="19"/>
      <c r="AH27" s="182">
        <f>('31'!AG27/24)*0.454</f>
        <v>0</v>
      </c>
      <c r="AI27" s="181"/>
      <c r="AJ27" s="182">
        <f>('31'!AI27/24)*0.454</f>
        <v>0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6" t="s">
        <v>59</v>
      </c>
      <c r="B28" s="946"/>
      <c r="C28" s="946"/>
      <c r="D28" s="946"/>
      <c r="E28" s="946"/>
      <c r="F28" s="946"/>
      <c r="G28" s="946"/>
      <c r="H28" s="946"/>
      <c r="I28" s="946"/>
      <c r="J28" s="946"/>
      <c r="K28" s="946"/>
      <c r="L28" s="946"/>
      <c r="M28" s="946"/>
      <c r="N28" s="946"/>
      <c r="O28" s="946"/>
      <c r="P28" s="946"/>
      <c r="Q28" s="946"/>
      <c r="R28" s="946"/>
      <c r="S28" s="946"/>
      <c r="T28" s="946"/>
      <c r="U28" s="946"/>
      <c r="X28" s="13">
        <v>0.95833333333333304</v>
      </c>
      <c r="Y28" s="52"/>
      <c r="Z28" s="181"/>
      <c r="AA28" s="15">
        <v>1</v>
      </c>
      <c r="AB28" s="56" t="e">
        <f>IF('31'!AA28=1,(('31'!Z28*'31'!$AS$6*'31'!$AT$6)/('31'!Y28*0.0036)),IF('31'!AA28=2,(('31'!Z28*'31'!$AS$7*'31'!$AT$7)/('31'!Y28*0.0036))))</f>
        <v>#DIV/0!</v>
      </c>
      <c r="AC28" s="56"/>
      <c r="AD28" s="18" t="e">
        <f>(('31'!AC28*'31'!$I$10*1000000))/('31'!Y28*3600)</f>
        <v>#DIV/0!</v>
      </c>
      <c r="AE28" s="181"/>
      <c r="AF28" s="182">
        <f>('31'!AE28/24)*0.454</f>
        <v>0</v>
      </c>
      <c r="AG28" s="19"/>
      <c r="AH28" s="182">
        <f>('31'!AG28/24)*0.454</f>
        <v>0</v>
      </c>
      <c r="AI28" s="181"/>
      <c r="AJ28" s="182">
        <f>('31'!AI28/24)*0.454</f>
        <v>0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2"/>
      <c r="Z29" s="181"/>
      <c r="AA29" s="15">
        <v>1</v>
      </c>
      <c r="AB29" s="56" t="e">
        <f>IF('31'!AA29=1,(('31'!Z29*'31'!$AS$6*'31'!$AT$6)/('31'!Y29*0.0036)),IF('31'!AA29=2,(('31'!Z29*'31'!$AS$7*'31'!$AT$7)/('31'!Y29*0.0036))))</f>
        <v>#DIV/0!</v>
      </c>
      <c r="AC29" s="56"/>
      <c r="AD29" s="18" t="e">
        <f>(('31'!AC29*'31'!$I$10*1000000))/('31'!Y29*3600)</f>
        <v>#DIV/0!</v>
      </c>
      <c r="AE29" s="181"/>
      <c r="AF29" s="182">
        <f>('31'!AE29/24)*0.454</f>
        <v>0</v>
      </c>
      <c r="AG29" s="19"/>
      <c r="AH29" s="182">
        <f>('31'!AG29/24)*0.454</f>
        <v>0</v>
      </c>
      <c r="AI29" s="181"/>
      <c r="AJ29" s="182">
        <f>('31'!AI29/24)*0.454</f>
        <v>0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3" t="s">
        <v>55</v>
      </c>
      <c r="Y30" s="199">
        <f>SUM('31'!Y6:Y29)*3.6</f>
        <v>60206.400000000001</v>
      </c>
      <c r="Z30" s="80">
        <f>SUM('31'!Z6:Z29)</f>
        <v>10716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733.9666666666667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48"/>
      <c r="Y31" s="948"/>
      <c r="Z31" s="948"/>
      <c r="AA31" s="948"/>
      <c r="AB31" s="948"/>
      <c r="AC31" s="948"/>
      <c r="AD31" s="948"/>
      <c r="AE31" s="948"/>
      <c r="AF31" s="948"/>
      <c r="AG31" s="948"/>
      <c r="AH31" s="948"/>
      <c r="AI31" s="948"/>
      <c r="AJ31" s="948"/>
      <c r="AK31" s="79"/>
      <c r="AL31" s="79"/>
      <c r="AM31" s="79"/>
      <c r="AN31" s="79"/>
      <c r="AO31" s="79"/>
      <c r="AP31" s="79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49" t="s">
        <v>60</v>
      </c>
      <c r="Y32" s="949"/>
      <c r="Z32" s="80">
        <f>SUMIF('31'!AA6:AA29,"=1",'31'!Z6:Z29)</f>
        <v>9134</v>
      </c>
      <c r="AA32" s="80">
        <f>'31'!Z32*'31'!AS6</f>
        <v>12148.220000000001</v>
      </c>
      <c r="AB32" s="81" t="e">
        <f>SUMIF('31'!$AA$6:$AA$29,"=1",'31'!$AB$6:$AB$29)/COUNTIF('31'!$AA$6:$AA$29,"=1")</f>
        <v>#DIV/0!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49" t="s">
        <v>61</v>
      </c>
      <c r="Y33" s="949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2" t="s">
        <v>52</v>
      </c>
      <c r="Y34" s="93">
        <f>AVERAGE('31'!Y6:Y29)</f>
        <v>2787.3333333333335</v>
      </c>
      <c r="Z34" s="94">
        <f>AVERAGE('31'!Z6:Z29)</f>
        <v>1530.8571428571429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30.581944444444446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0" t="s">
        <v>62</v>
      </c>
      <c r="D35" s="950"/>
      <c r="E35" s="950"/>
      <c r="F35" s="950" t="s">
        <v>63</v>
      </c>
      <c r="G35" s="950"/>
      <c r="H35" s="950"/>
      <c r="I35" s="950" t="s">
        <v>64</v>
      </c>
      <c r="J35" s="950"/>
      <c r="K35" s="950"/>
      <c r="L35" s="950" t="s">
        <v>65</v>
      </c>
      <c r="M35" s="950"/>
      <c r="N35" s="950"/>
      <c r="O35" s="99"/>
      <c r="P35" s="99"/>
      <c r="Q35" s="99"/>
      <c r="R35" s="99"/>
      <c r="S35" s="99"/>
      <c r="T35" s="99"/>
      <c r="U35" s="1044" t="s">
        <v>15</v>
      </c>
      <c r="X35" s="952" t="s">
        <v>66</v>
      </c>
      <c r="Y35" s="952"/>
      <c r="Z35" s="101"/>
      <c r="AA35" s="952" t="s">
        <v>67</v>
      </c>
      <c r="AB35" s="952"/>
      <c r="AJ35" s="1019" t="s">
        <v>68</v>
      </c>
      <c r="AK35" s="1019"/>
      <c r="AL35" s="1019"/>
      <c r="AM35" s="1019"/>
      <c r="AO35" s="1019" t="s">
        <v>69</v>
      </c>
      <c r="AP35" s="1019"/>
      <c r="AQ35" s="1019"/>
      <c r="AR35" s="1019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4" t="s">
        <v>71</v>
      </c>
      <c r="M36" s="954"/>
      <c r="N36" s="954"/>
      <c r="O36" s="99"/>
      <c r="P36" s="99"/>
      <c r="Q36" s="99"/>
      <c r="R36" s="99"/>
      <c r="S36" s="99"/>
      <c r="T36" s="99"/>
      <c r="U36" s="1044"/>
      <c r="X36" s="103" t="s">
        <v>73</v>
      </c>
      <c r="Y36" s="104"/>
      <c r="Z36" s="105"/>
      <c r="AA36" s="106" t="s">
        <v>74</v>
      </c>
      <c r="AB36" s="104"/>
      <c r="AJ36" s="1019"/>
      <c r="AK36" s="1019"/>
      <c r="AL36" s="1019"/>
      <c r="AM36" s="1019"/>
      <c r="AO36" s="1019"/>
      <c r="AP36" s="1019"/>
      <c r="AQ36" s="1019"/>
      <c r="AR36" s="1019"/>
    </row>
    <row r="37" spans="1:46" ht="18" customHeight="1">
      <c r="A37" s="99"/>
      <c r="B37" s="28">
        <v>0.33333333333333298</v>
      </c>
      <c r="C37" s="184">
        <v>45.9</v>
      </c>
      <c r="D37" s="184">
        <v>9</v>
      </c>
      <c r="E37" s="184">
        <v>5</v>
      </c>
      <c r="F37" s="184">
        <v>2.6</v>
      </c>
      <c r="G37" s="181">
        <v>0.2</v>
      </c>
      <c r="H37" s="181">
        <v>0.2</v>
      </c>
      <c r="I37" s="181">
        <v>0.3</v>
      </c>
      <c r="J37" s="181">
        <v>0.1</v>
      </c>
      <c r="K37" s="181">
        <v>0.03</v>
      </c>
      <c r="L37" s="1020"/>
      <c r="M37" s="1020"/>
      <c r="N37" s="1020"/>
      <c r="O37" s="10"/>
      <c r="P37" s="10"/>
      <c r="Q37" s="10"/>
      <c r="R37" s="10"/>
      <c r="S37" s="10"/>
      <c r="T37" s="10"/>
      <c r="U37" s="233">
        <f>'31'!V12</f>
        <v>0</v>
      </c>
      <c r="X37" s="1056" t="s">
        <v>75</v>
      </c>
      <c r="Y37" s="1056"/>
      <c r="Z37" s="108">
        <f>COUNTA('31'!Z6:Z29)</f>
        <v>7</v>
      </c>
      <c r="AA37" s="109"/>
      <c r="AB37" s="109"/>
      <c r="AJ37" s="957" t="s">
        <v>76</v>
      </c>
      <c r="AK37" s="957"/>
      <c r="AL37" s="958" t="s">
        <v>77</v>
      </c>
      <c r="AM37" s="958"/>
      <c r="AO37" s="957" t="s">
        <v>76</v>
      </c>
      <c r="AP37" s="957"/>
      <c r="AQ37" s="958" t="s">
        <v>77</v>
      </c>
      <c r="AR37" s="958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5"/>
      <c r="M38" s="955"/>
      <c r="N38" s="955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733.9666666666667</v>
      </c>
      <c r="AQ38" s="208" t="s">
        <v>78</v>
      </c>
      <c r="AR38" s="210">
        <f>'31'!AP30</f>
        <v>0</v>
      </c>
    </row>
    <row r="39" spans="1:46" ht="24.95" customHeight="1">
      <c r="A39" s="959" t="s">
        <v>79</v>
      </c>
      <c r="B39" s="959"/>
      <c r="C39" s="959" t="s">
        <v>80</v>
      </c>
      <c r="D39" s="959"/>
      <c r="E39" s="960" t="s">
        <v>81</v>
      </c>
      <c r="F39" s="960"/>
      <c r="G39" s="960"/>
      <c r="H39" s="960"/>
      <c r="J39" s="961" t="s">
        <v>82</v>
      </c>
      <c r="K39" s="961"/>
      <c r="L39" s="961"/>
      <c r="M39" s="961"/>
      <c r="O39" s="962" t="s">
        <v>83</v>
      </c>
      <c r="P39" s="962"/>
      <c r="Q39" s="962"/>
      <c r="R39" s="963" t="s">
        <v>84</v>
      </c>
      <c r="S39" s="964" t="s">
        <v>85</v>
      </c>
      <c r="T39" s="96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0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12.190841283761639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5" t="s">
        <v>88</v>
      </c>
      <c r="D40" s="965"/>
      <c r="E40" s="966" t="s">
        <v>87</v>
      </c>
      <c r="F40" s="966"/>
      <c r="G40" s="966" t="s">
        <v>88</v>
      </c>
      <c r="H40" s="966"/>
      <c r="J40" s="966" t="s">
        <v>87</v>
      </c>
      <c r="K40" s="966"/>
      <c r="L40" s="966" t="s">
        <v>88</v>
      </c>
      <c r="M40" s="966"/>
      <c r="O40" s="962"/>
      <c r="P40" s="962"/>
      <c r="Q40" s="962"/>
      <c r="R40" s="963"/>
      <c r="S40" s="964"/>
      <c r="T40" s="964"/>
      <c r="U40" s="130"/>
      <c r="V40" s="120"/>
      <c r="X40" s="967" t="s">
        <v>89</v>
      </c>
      <c r="Y40" s="967"/>
      <c r="Z40" s="967"/>
      <c r="AA40" s="967"/>
      <c r="AB40" s="967"/>
      <c r="AC40" s="967"/>
      <c r="AD40" s="967"/>
      <c r="AE40" s="967"/>
      <c r="AF40" s="967"/>
      <c r="AG40" s="967"/>
      <c r="AJ40" s="970" t="s">
        <v>90</v>
      </c>
      <c r="AK40" s="970"/>
      <c r="AL40" s="969">
        <f>SUM('31'!AK38,'31'!AM38)</f>
        <v>0</v>
      </c>
      <c r="AM40" s="969"/>
      <c r="AO40" s="970" t="s">
        <v>90</v>
      </c>
      <c r="AP40" s="970"/>
      <c r="AQ40" s="971">
        <f>SUM('31'!AP38,'31'!AR38)</f>
        <v>733.9666666666667</v>
      </c>
      <c r="AR40" s="971"/>
      <c r="AT40" s="336"/>
    </row>
    <row r="41" spans="1:46" ht="16.5" customHeight="1">
      <c r="A41" s="131">
        <f>COUNTA('31'!E7:E18)</f>
        <v>4</v>
      </c>
      <c r="B41" s="132">
        <f>COUNTA('31'!I7:I18)</f>
        <v>4</v>
      </c>
      <c r="C41" s="972">
        <f>COUNTA('31'!B7:B18)</f>
        <v>4</v>
      </c>
      <c r="D41" s="972">
        <f>COUNTA('31'!C7:C18)</f>
        <v>4</v>
      </c>
      <c r="E41" s="972">
        <f>COUNTIF('31'!E7:E18,"&gt;15")</f>
        <v>0</v>
      </c>
      <c r="F41" s="972"/>
      <c r="G41" s="972">
        <f>COUNTIF('31'!B7:B18,"&gt;1")</f>
        <v>4</v>
      </c>
      <c r="H41" s="972"/>
      <c r="I41" s="133"/>
      <c r="J41" s="972">
        <f>'31'!A41-'31'!E41</f>
        <v>4</v>
      </c>
      <c r="K41" s="972"/>
      <c r="L41" s="972">
        <f>'31'!C41-'31'!G41</f>
        <v>0</v>
      </c>
      <c r="M41" s="972"/>
      <c r="N41" s="133"/>
      <c r="O41" s="973">
        <f>COUNTIF('31'!J7:J18,"&lt;=0,5")</f>
        <v>0</v>
      </c>
      <c r="P41" s="973"/>
      <c r="Q41" s="973"/>
      <c r="R41" s="963"/>
      <c r="S41" s="974">
        <f>COUNTIF('31'!J7:J18,"&lt;=1,0")</f>
        <v>0</v>
      </c>
      <c r="T41" s="974"/>
      <c r="U41" s="134"/>
      <c r="V41" s="120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J41" s="1114" t="s">
        <v>156</v>
      </c>
      <c r="AK41" s="1114"/>
      <c r="AL41" s="975">
        <f>SUM(('31'!AK38+'31'!AM38)/'31'!Y30)*1000</f>
        <v>0</v>
      </c>
      <c r="AM41" s="975"/>
      <c r="AO41" s="1114" t="s">
        <v>156</v>
      </c>
      <c r="AP41" s="1114"/>
      <c r="AQ41" s="1115">
        <f>SUM(('31'!AP38+'31'!AR38)/'31'!Y30)*1000</f>
        <v>12.190841283761639</v>
      </c>
      <c r="AR41" s="1115"/>
    </row>
    <row r="42" spans="1:46" ht="19.5" customHeight="1">
      <c r="A42" s="135"/>
      <c r="B42" s="135"/>
      <c r="C42" s="135"/>
      <c r="O42" s="976" t="s">
        <v>92</v>
      </c>
      <c r="P42" s="976"/>
      <c r="Q42" s="976"/>
      <c r="R42" s="976"/>
      <c r="S42" s="976"/>
      <c r="T42" s="976"/>
      <c r="X42" s="977" t="s">
        <v>93</v>
      </c>
      <c r="Y42" s="977"/>
      <c r="Z42" s="977"/>
      <c r="AA42" s="977"/>
      <c r="AB42" s="977"/>
      <c r="AC42" s="977"/>
      <c r="AD42" s="977"/>
      <c r="AE42" s="977"/>
      <c r="AF42" s="977"/>
      <c r="AG42" s="977"/>
      <c r="AJ42" s="1114"/>
      <c r="AK42" s="1114"/>
      <c r="AL42" s="975"/>
      <c r="AM42" s="975"/>
      <c r="AO42" s="1114"/>
      <c r="AP42" s="1114"/>
      <c r="AQ42" s="1115"/>
      <c r="AR42" s="1115"/>
    </row>
    <row r="43" spans="1:46" ht="16.5" customHeight="1">
      <c r="A43" s="135"/>
      <c r="B43" s="135"/>
      <c r="C43" s="135"/>
      <c r="H43" s="978" t="s">
        <v>94</v>
      </c>
      <c r="I43" s="978"/>
      <c r="J43" s="978"/>
      <c r="L43" s="979" t="s">
        <v>95</v>
      </c>
      <c r="M43" s="979"/>
      <c r="N43" s="136"/>
      <c r="O43" s="137"/>
      <c r="P43" s="138"/>
      <c r="Q43" s="980" t="s">
        <v>96</v>
      </c>
      <c r="R43" s="980"/>
      <c r="S43" s="980"/>
      <c r="T43" s="139"/>
      <c r="X43" s="981" t="s">
        <v>97</v>
      </c>
      <c r="Y43" s="981"/>
      <c r="Z43" s="981" t="s">
        <v>98</v>
      </c>
      <c r="AA43" s="981"/>
      <c r="AB43" s="981" t="s">
        <v>99</v>
      </c>
      <c r="AC43" s="981"/>
      <c r="AD43" s="981" t="s">
        <v>100</v>
      </c>
      <c r="AE43" s="981"/>
      <c r="AF43" s="140"/>
      <c r="AG43" s="141"/>
    </row>
    <row r="44" spans="1:46" ht="15" customHeight="1">
      <c r="A44" s="135"/>
      <c r="B44" s="135"/>
      <c r="C44" s="135"/>
      <c r="H44" s="978"/>
      <c r="I44" s="978"/>
      <c r="J44" s="978"/>
      <c r="L44" s="979"/>
      <c r="M44" s="979"/>
      <c r="N44" s="136"/>
      <c r="O44" s="137"/>
      <c r="P44" s="138"/>
      <c r="Q44" s="980"/>
      <c r="R44" s="980"/>
      <c r="S44" s="980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2"/>
      <c r="AE44" s="982"/>
      <c r="AF44" s="983" t="s">
        <v>102</v>
      </c>
      <c r="AG44" s="996">
        <f>SUM('31'!Y45,'31'!AA45,'31'!AC45,'31'!AE45)</f>
        <v>0</v>
      </c>
    </row>
    <row r="45" spans="1:46" ht="15" customHeight="1">
      <c r="H45" s="986">
        <f>COUNTIF('31'!I7:I18,"&lt;=5,0")</f>
        <v>4</v>
      </c>
      <c r="I45" s="986"/>
      <c r="J45" s="986"/>
      <c r="K45" s="133"/>
      <c r="L45" s="968">
        <f>COUNTA('31'!L37)</f>
        <v>0</v>
      </c>
      <c r="M45" s="968"/>
      <c r="O45" s="144"/>
      <c r="P45" s="145"/>
      <c r="Q45" s="987">
        <f>'31'!S41-'31'!O41</f>
        <v>0</v>
      </c>
      <c r="R45" s="987"/>
      <c r="S45" s="987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83"/>
      <c r="AG45" s="996"/>
      <c r="AI45" s="985" t="s">
        <v>103</v>
      </c>
      <c r="AJ45" s="985"/>
      <c r="AK45" s="985"/>
      <c r="AL45" s="985"/>
      <c r="AM45" s="985"/>
      <c r="AN45" s="985"/>
      <c r="AO45" s="985"/>
      <c r="AP45" s="985"/>
      <c r="AQ45" s="985"/>
      <c r="AR45" s="985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89" t="s">
        <v>106</v>
      </c>
      <c r="AG46" s="990">
        <f>SUM('31'!Y47,'31'!AA47,'31'!AC47,'31'!AE47)</f>
        <v>0</v>
      </c>
      <c r="AI46" s="981" t="s">
        <v>97</v>
      </c>
      <c r="AJ46" s="981"/>
      <c r="AK46" s="981" t="s">
        <v>98</v>
      </c>
      <c r="AL46" s="981"/>
      <c r="AM46" s="981" t="s">
        <v>99</v>
      </c>
      <c r="AN46" s="981"/>
      <c r="AO46" s="1073"/>
      <c r="AP46" s="1073"/>
      <c r="AQ46" s="140"/>
      <c r="AR46" s="141"/>
    </row>
    <row r="47" spans="1:46" ht="15" customHeight="1">
      <c r="O47" s="991" t="s">
        <v>107</v>
      </c>
      <c r="P47" s="991"/>
      <c r="Q47" s="991"/>
      <c r="R47" s="991"/>
      <c r="S47" s="991"/>
      <c r="T47" s="991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89"/>
      <c r="AG47" s="990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3"/>
      <c r="AP47" s="1073"/>
      <c r="AQ47" s="983" t="s">
        <v>102</v>
      </c>
      <c r="AR47" s="984">
        <f>SUM('10'!AJ48,'10'!AL48,'10'!AN48,'10'!AP48)</f>
        <v>3.99</v>
      </c>
    </row>
    <row r="48" spans="1:46" ht="15.75" customHeight="1">
      <c r="O48" s="991"/>
      <c r="P48" s="991"/>
      <c r="Q48" s="991"/>
      <c r="R48" s="991"/>
      <c r="S48" s="991"/>
      <c r="T48" s="991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3"/>
      <c r="AP48" s="1073"/>
      <c r="AQ48" s="983"/>
      <c r="AR48" s="984"/>
    </row>
    <row r="49" spans="15:44" ht="15.75" customHeight="1">
      <c r="O49" s="992" t="s">
        <v>109</v>
      </c>
      <c r="P49" s="992"/>
      <c r="R49" s="993" t="s">
        <v>110</v>
      </c>
      <c r="S49" s="993"/>
      <c r="T49" s="993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3"/>
      <c r="AP49" s="1073"/>
      <c r="AQ49" s="989" t="s">
        <v>106</v>
      </c>
      <c r="AR49" s="990">
        <f>SUM('10'!AJ50,'10'!AL50,'10'!AN50,'10'!AP50)</f>
        <v>0</v>
      </c>
    </row>
    <row r="50" spans="15:44" ht="18" customHeight="1">
      <c r="O50" s="992"/>
      <c r="P50" s="992"/>
      <c r="R50" s="993"/>
      <c r="S50" s="993"/>
      <c r="T50" s="993"/>
      <c r="X50" s="994" t="s">
        <v>111</v>
      </c>
      <c r="Y50" s="994"/>
      <c r="Z50" s="994"/>
      <c r="AA50" s="994"/>
      <c r="AB50" s="994"/>
      <c r="AC50" s="994"/>
      <c r="AD50" s="994"/>
      <c r="AE50" s="994"/>
      <c r="AF50" s="994"/>
      <c r="AG50" s="994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3"/>
      <c r="AP50" s="1073"/>
      <c r="AQ50" s="989"/>
      <c r="AR50" s="990"/>
    </row>
    <row r="51" spans="15:44" ht="16.5" customHeight="1">
      <c r="O51" s="968">
        <f>COUNTA('31'!G7:G18)</f>
        <v>4</v>
      </c>
      <c r="P51" s="968">
        <f>COUNTA('31'!W17:W28)</f>
        <v>0</v>
      </c>
      <c r="R51" s="986">
        <f>COUNTIF('31'!G7:G18,"&gt;=0,5")</f>
        <v>4</v>
      </c>
      <c r="S51" s="986"/>
      <c r="T51" s="986"/>
      <c r="X51" s="981" t="s">
        <v>97</v>
      </c>
      <c r="Y51" s="981"/>
      <c r="Z51" s="981" t="s">
        <v>98</v>
      </c>
      <c r="AA51" s="981"/>
      <c r="AB51" s="981" t="s">
        <v>99</v>
      </c>
      <c r="AC51" s="981"/>
      <c r="AD51" s="981" t="s">
        <v>100</v>
      </c>
      <c r="AE51" s="981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5"/>
      <c r="AE52" s="995"/>
      <c r="AF52" s="983" t="s">
        <v>102</v>
      </c>
      <c r="AG52" s="996">
        <f>SUM('31'!Y53,'31'!AA53,'31'!AC53,'31'!AE53)</f>
        <v>0</v>
      </c>
      <c r="AI52" s="994" t="s">
        <v>112</v>
      </c>
      <c r="AJ52" s="994"/>
      <c r="AK52" s="994"/>
      <c r="AL52" s="994"/>
      <c r="AM52" s="994"/>
      <c r="AN52" s="994"/>
      <c r="AO52" s="994"/>
      <c r="AP52" s="994"/>
      <c r="AQ52" s="994"/>
      <c r="AR52" s="994"/>
    </row>
    <row r="53" spans="15:44" ht="15" customHeight="1">
      <c r="O53" s="991" t="s">
        <v>113</v>
      </c>
      <c r="P53" s="991"/>
      <c r="Q53" s="991"/>
      <c r="R53" s="991"/>
      <c r="S53" s="991"/>
      <c r="T53" s="991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83"/>
      <c r="AG53" s="996"/>
      <c r="AI53" s="981" t="s">
        <v>97</v>
      </c>
      <c r="AJ53" s="981"/>
      <c r="AK53" s="981" t="s">
        <v>98</v>
      </c>
      <c r="AL53" s="981"/>
      <c r="AM53" s="981" t="s">
        <v>99</v>
      </c>
      <c r="AN53" s="981"/>
      <c r="AO53" s="1073"/>
      <c r="AP53" s="1073"/>
      <c r="AQ53" s="307"/>
      <c r="AR53" s="308"/>
    </row>
    <row r="54" spans="15:44" ht="15" customHeight="1">
      <c r="O54" s="991"/>
      <c r="P54" s="991"/>
      <c r="Q54" s="991"/>
      <c r="R54" s="991"/>
      <c r="S54" s="991"/>
      <c r="T54" s="991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89" t="s">
        <v>106</v>
      </c>
      <c r="AG54" s="990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3"/>
      <c r="AP54" s="1073"/>
      <c r="AQ54" s="983" t="s">
        <v>102</v>
      </c>
      <c r="AR54" s="996">
        <f>'10'!AJ55+'10'!AL55+'10'!AN55+'10'!AP55</f>
        <v>3.786</v>
      </c>
    </row>
    <row r="55" spans="15:44" ht="15" customHeight="1">
      <c r="O55" s="992" t="s">
        <v>114</v>
      </c>
      <c r="P55" s="992"/>
      <c r="R55" s="993" t="s">
        <v>115</v>
      </c>
      <c r="S55" s="993"/>
      <c r="T55" s="993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89"/>
      <c r="AG55" s="990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3"/>
      <c r="AP55" s="1073"/>
      <c r="AQ55" s="983"/>
      <c r="AR55" s="996"/>
    </row>
    <row r="56" spans="15:44" ht="13.9" customHeight="1">
      <c r="O56" s="992"/>
      <c r="P56" s="992"/>
      <c r="R56" s="993"/>
      <c r="S56" s="993"/>
      <c r="T56" s="993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3"/>
      <c r="AP56" s="1073"/>
      <c r="AQ56" s="989" t="s">
        <v>106</v>
      </c>
      <c r="AR56" s="990">
        <f>SUM('10'!AJ57,'10'!AL57,'10'!AN57,'10'!AP57)</f>
        <v>0</v>
      </c>
    </row>
    <row r="57" spans="15:44" ht="15.75" customHeight="1">
      <c r="O57" s="997">
        <f>COUNTA('31'!N7:N18)</f>
        <v>4</v>
      </c>
      <c r="P57" s="997"/>
      <c r="R57" s="998">
        <f>COUNTIF('31'!N7:N18,"&gt;=6")</f>
        <v>4</v>
      </c>
      <c r="S57" s="998"/>
      <c r="T57" s="998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3"/>
      <c r="AP57" s="1073"/>
      <c r="AQ57" s="989"/>
      <c r="AR57" s="990"/>
    </row>
    <row r="58" spans="15:44" ht="15.75" customHeight="1">
      <c r="X58" s="999" t="s">
        <v>116</v>
      </c>
      <c r="Y58" s="999"/>
      <c r="Z58" s="999"/>
      <c r="AA58" s="999"/>
      <c r="AB58" s="999"/>
      <c r="AC58" s="999"/>
    </row>
    <row r="59" spans="15:44" ht="15.75" customHeight="1">
      <c r="X59" s="917"/>
      <c r="Y59" s="917"/>
      <c r="Z59" s="917"/>
      <c r="AA59" s="917"/>
      <c r="AB59" s="917"/>
      <c r="AC59" s="917"/>
    </row>
    <row r="60" spans="15:44" ht="15.75" customHeight="1">
      <c r="X60" s="1001" t="s">
        <v>118</v>
      </c>
      <c r="Y60" s="1001"/>
      <c r="Z60" s="1002"/>
      <c r="AA60" s="1002"/>
      <c r="AB60" s="1001" t="s">
        <v>119</v>
      </c>
      <c r="AC60" s="1001"/>
      <c r="AD60" s="166"/>
      <c r="AE60" s="166"/>
      <c r="AI60" s="1000" t="s">
        <v>117</v>
      </c>
      <c r="AJ60" s="1000"/>
      <c r="AK60" s="1000"/>
      <c r="AL60" s="1000"/>
      <c r="AM60" s="1000"/>
      <c r="AN60" s="1000"/>
      <c r="AO60" s="1000"/>
      <c r="AP60" s="1000"/>
      <c r="AQ60" s="1000"/>
      <c r="AR60" s="1000"/>
    </row>
    <row r="61" spans="15:44" ht="15.75" customHeight="1">
      <c r="X61" s="1003"/>
      <c r="Y61" s="1003"/>
      <c r="Z61" s="1003"/>
      <c r="AA61" s="1003"/>
      <c r="AB61" s="1003"/>
      <c r="AC61" s="1003"/>
      <c r="AD61" s="134"/>
      <c r="AE61" s="134"/>
      <c r="AI61" s="998" t="s">
        <v>120</v>
      </c>
      <c r="AJ61" s="998"/>
      <c r="AK61" s="998"/>
      <c r="AL61" s="998"/>
      <c r="AM61" s="998"/>
      <c r="AN61" s="998" t="s">
        <v>93</v>
      </c>
      <c r="AO61" s="998"/>
      <c r="AP61" s="998"/>
      <c r="AQ61" s="998"/>
      <c r="AR61" s="998"/>
    </row>
    <row r="62" spans="15:44" ht="15" customHeight="1">
      <c r="X62" s="1006" t="s">
        <v>122</v>
      </c>
      <c r="Y62" s="1006"/>
      <c r="Z62" s="1007"/>
      <c r="AA62" s="1007"/>
      <c r="AB62" s="1008" t="s">
        <v>122</v>
      </c>
      <c r="AC62" s="1008"/>
      <c r="AD62" s="134"/>
      <c r="AE62" s="134"/>
      <c r="AI62" s="1004" t="s">
        <v>121</v>
      </c>
      <c r="AJ62" s="1004"/>
      <c r="AK62" s="1004"/>
      <c r="AL62" s="1005">
        <f>AJ57+AL57+AN57</f>
        <v>0</v>
      </c>
      <c r="AM62" s="1005"/>
      <c r="AN62" s="1004" t="s">
        <v>121</v>
      </c>
      <c r="AO62" s="1004"/>
      <c r="AP62" s="1004"/>
      <c r="AQ62" s="1005" t="e">
        <f>#NAME?</f>
        <v>#NAME?</v>
      </c>
      <c r="AR62" s="1005"/>
    </row>
    <row r="63" spans="15:44" ht="15" customHeight="1">
      <c r="X63" s="168" t="s">
        <v>124</v>
      </c>
      <c r="Y63" s="169">
        <v>0</v>
      </c>
      <c r="Z63" s="1007"/>
      <c r="AA63" s="1007"/>
      <c r="AB63" s="170" t="s">
        <v>157</v>
      </c>
      <c r="AC63" s="171">
        <v>0</v>
      </c>
      <c r="AI63" s="1004" t="s">
        <v>123</v>
      </c>
      <c r="AJ63" s="1004"/>
      <c r="AK63" s="1004"/>
      <c r="AL63" s="1009">
        <f>AA34</f>
        <v>0</v>
      </c>
      <c r="AM63" s="1009"/>
      <c r="AN63" s="1004" t="s">
        <v>123</v>
      </c>
      <c r="AO63" s="1004"/>
      <c r="AP63" s="1004"/>
      <c r="AQ63" s="1010">
        <f>'10'!AA33</f>
        <v>0</v>
      </c>
      <c r="AR63" s="1010"/>
    </row>
    <row r="64" spans="15:44" ht="15" customHeight="1">
      <c r="X64" s="168"/>
      <c r="Y64" s="169"/>
      <c r="Z64" s="1007"/>
      <c r="AA64" s="1007"/>
      <c r="AB64" s="170" t="s">
        <v>158</v>
      </c>
      <c r="AC64" s="171">
        <v>0</v>
      </c>
      <c r="AI64" s="1004" t="s">
        <v>125</v>
      </c>
      <c r="AJ64" s="1004"/>
      <c r="AK64" s="1004"/>
      <c r="AL64" s="1005">
        <f>AL62-AL63</f>
        <v>0</v>
      </c>
      <c r="AM64" s="1005"/>
      <c r="AN64" s="1004" t="s">
        <v>125</v>
      </c>
      <c r="AO64" s="1004"/>
      <c r="AP64" s="1004"/>
      <c r="AQ64" s="1111">
        <f>'10'!AQ62-'10'!AQ63</f>
        <v>103221.3</v>
      </c>
      <c r="AR64" s="1111"/>
    </row>
    <row r="65" spans="24:29" ht="39" customHeight="1">
      <c r="X65" s="172" t="s">
        <v>126</v>
      </c>
      <c r="Y65" s="215" t="e">
        <f>'30'!$Y$68</f>
        <v>#REF!</v>
      </c>
      <c r="Z65" s="1007"/>
      <c r="AA65" s="1007"/>
      <c r="AB65" s="174" t="s">
        <v>126</v>
      </c>
      <c r="AC65" s="238">
        <f>'30'!$AC$68</f>
        <v>0</v>
      </c>
    </row>
    <row r="66" spans="24:29" ht="15" customHeight="1">
      <c r="X66" s="1011" t="s">
        <v>127</v>
      </c>
      <c r="Y66" s="1011"/>
      <c r="Z66" s="1007"/>
      <c r="AA66" s="1007"/>
      <c r="AB66" s="1012" t="s">
        <v>127</v>
      </c>
      <c r="AC66" s="1012"/>
    </row>
    <row r="67" spans="24:29" ht="15" customHeight="1">
      <c r="X67" s="168" t="s">
        <v>124</v>
      </c>
      <c r="Y67" s="277">
        <f>SUM('31'!AK38,'31'!AP38)</f>
        <v>733.9666666666667</v>
      </c>
      <c r="Z67" s="1007"/>
      <c r="AA67" s="1007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 t="e">
        <f>SUM('31'!Y63,'31'!Y65)-'31'!Y67</f>
        <v>#REF!</v>
      </c>
      <c r="Z68" s="1007"/>
      <c r="AA68" s="1007"/>
      <c r="AB68" s="170" t="s">
        <v>128</v>
      </c>
      <c r="AC68" s="178">
        <f>'31'!AC65</f>
        <v>0</v>
      </c>
    </row>
    <row r="70" spans="24:29" ht="15.75" customHeight="1">
      <c r="Z70" s="332" t="s">
        <v>155</v>
      </c>
      <c r="AA70" s="333" t="e">
        <f>'31'!AC68+'31'!Y68</f>
        <v>#REF!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7" sqref="C7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6" t="s">
        <v>159</v>
      </c>
      <c r="B1" s="1116"/>
      <c r="C1" s="1116"/>
    </row>
    <row r="2" spans="1:3">
      <c r="B2" s="339"/>
    </row>
    <row r="3" spans="1:3">
      <c r="A3" s="340" t="s">
        <v>0</v>
      </c>
      <c r="B3" s="340" t="s">
        <v>160</v>
      </c>
      <c r="C3" s="340" t="s">
        <v>161</v>
      </c>
    </row>
    <row r="4" spans="1:3">
      <c r="A4" s="341">
        <v>44351</v>
      </c>
      <c r="B4" s="33">
        <v>3280521</v>
      </c>
      <c r="C4" s="33" t="s">
        <v>442</v>
      </c>
    </row>
    <row r="5" spans="1:3">
      <c r="A5" s="341">
        <v>44355</v>
      </c>
      <c r="B5" s="33">
        <v>4320621</v>
      </c>
      <c r="C5" s="33" t="s">
        <v>442</v>
      </c>
    </row>
    <row r="6" spans="1:3">
      <c r="A6" s="341">
        <v>44364</v>
      </c>
      <c r="B6" s="33">
        <v>3150621</v>
      </c>
      <c r="C6" s="33" t="s">
        <v>442</v>
      </c>
    </row>
    <row r="7" spans="1:3">
      <c r="A7" s="341"/>
      <c r="B7" s="33"/>
      <c r="C7" s="33"/>
    </row>
    <row r="8" spans="1:3">
      <c r="A8" s="341"/>
      <c r="B8" s="33"/>
      <c r="C8" s="33"/>
    </row>
    <row r="9" spans="1:3">
      <c r="A9" s="341"/>
      <c r="B9" s="33"/>
      <c r="C9" s="33"/>
    </row>
    <row r="10" spans="1:3">
      <c r="A10" s="341"/>
      <c r="B10" s="33"/>
      <c r="C10" s="33"/>
    </row>
    <row r="11" spans="1:3">
      <c r="A11" s="341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tabSelected="1" zoomScaleNormal="100" workbookViewId="0">
      <pane xSplit="1" ySplit="4" topLeftCell="B129" activePane="bottomRight" state="frozen"/>
      <selection pane="topRight" activeCell="B1" sqref="B1"/>
      <selection pane="bottomLeft" activeCell="A5" sqref="A5"/>
      <selection pane="bottomRight" activeCell="C131" sqref="C13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49" t="s">
        <v>162</v>
      </c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</row>
    <row r="2" spans="1:27" ht="24" customHeight="1">
      <c r="A2" s="1117" t="s">
        <v>163</v>
      </c>
      <c r="B2" s="949"/>
      <c r="C2" s="949"/>
      <c r="D2" s="949"/>
      <c r="E2" s="949"/>
      <c r="F2" s="949"/>
      <c r="G2" s="949"/>
      <c r="H2" s="949"/>
      <c r="I2" s="949"/>
      <c r="J2" s="949"/>
      <c r="K2" s="949"/>
      <c r="L2" s="949"/>
      <c r="M2" s="949"/>
      <c r="N2" s="949"/>
    </row>
    <row r="3" spans="1:27" ht="68.650000000000006" customHeight="1">
      <c r="A3" s="1117"/>
      <c r="B3" s="1118" t="s">
        <v>164</v>
      </c>
      <c r="C3" s="1118"/>
      <c r="D3" s="1118"/>
      <c r="E3" s="1118"/>
      <c r="F3" s="1118"/>
      <c r="G3" s="1119" t="s">
        <v>49</v>
      </c>
      <c r="H3" s="1119"/>
      <c r="I3" s="342"/>
      <c r="J3" s="1120" t="s">
        <v>163</v>
      </c>
      <c r="K3" s="1121" t="s">
        <v>165</v>
      </c>
      <c r="L3" s="1121"/>
      <c r="M3" s="1122" t="s">
        <v>166</v>
      </c>
      <c r="N3" s="1122"/>
      <c r="P3" s="1123" t="s">
        <v>163</v>
      </c>
      <c r="Q3" s="1123" t="s">
        <v>167</v>
      </c>
      <c r="R3" s="1123"/>
      <c r="T3" s="1124" t="s">
        <v>168</v>
      </c>
      <c r="U3" s="1124"/>
      <c r="V3" s="1124"/>
      <c r="W3" s="1124"/>
      <c r="X3" s="1124"/>
      <c r="Y3" s="1124"/>
      <c r="Z3" s="1124"/>
      <c r="AA3" s="1124"/>
    </row>
    <row r="4" spans="1:27" s="347" customFormat="1" ht="29.85" customHeight="1">
      <c r="A4" s="1117"/>
      <c r="B4" s="343" t="s">
        <v>169</v>
      </c>
      <c r="C4" s="343" t="s">
        <v>170</v>
      </c>
      <c r="D4" s="343" t="s">
        <v>171</v>
      </c>
      <c r="E4" s="343" t="s">
        <v>172</v>
      </c>
      <c r="F4" s="343" t="s">
        <v>173</v>
      </c>
      <c r="G4" s="343" t="s">
        <v>169</v>
      </c>
      <c r="H4" s="343" t="s">
        <v>174</v>
      </c>
      <c r="I4" s="344"/>
      <c r="J4" s="1120"/>
      <c r="K4" s="345" t="s">
        <v>169</v>
      </c>
      <c r="L4" s="345" t="s">
        <v>174</v>
      </c>
      <c r="M4" s="346" t="s">
        <v>169</v>
      </c>
      <c r="N4" s="346" t="s">
        <v>174</v>
      </c>
      <c r="P4" s="1123"/>
      <c r="Q4" s="346" t="s">
        <v>169</v>
      </c>
      <c r="R4" s="346" t="s">
        <v>174</v>
      </c>
      <c r="T4" s="348" t="s">
        <v>0</v>
      </c>
      <c r="V4" s="343" t="s">
        <v>170</v>
      </c>
      <c r="W4" s="343" t="s">
        <v>172</v>
      </c>
      <c r="X4" s="343" t="s">
        <v>173</v>
      </c>
      <c r="Y4" s="343" t="s">
        <v>171</v>
      </c>
      <c r="Z4" s="343" t="s">
        <v>172</v>
      </c>
      <c r="AA4" s="343" t="s">
        <v>173</v>
      </c>
    </row>
    <row r="5" spans="1:27" ht="48.75">
      <c r="A5" s="1125">
        <v>1</v>
      </c>
      <c r="B5" s="236">
        <v>22932</v>
      </c>
      <c r="C5" s="236"/>
      <c r="D5" s="236">
        <v>27150</v>
      </c>
      <c r="E5" s="236"/>
      <c r="F5" s="236"/>
      <c r="G5" s="349"/>
      <c r="H5" s="350"/>
      <c r="I5" s="217"/>
      <c r="J5" s="351">
        <v>1</v>
      </c>
      <c r="K5" s="352">
        <v>182599</v>
      </c>
      <c r="L5" s="352">
        <v>18240</v>
      </c>
      <c r="M5" s="353"/>
      <c r="N5" s="353"/>
      <c r="P5" s="351">
        <v>1</v>
      </c>
      <c r="Q5" s="354"/>
      <c r="R5" s="354"/>
      <c r="T5" s="1126">
        <f>A5</f>
        <v>1</v>
      </c>
      <c r="U5" s="355" t="s">
        <v>175</v>
      </c>
      <c r="V5" s="236"/>
      <c r="W5" s="236"/>
      <c r="X5" s="236"/>
      <c r="Y5" s="236"/>
      <c r="Z5" s="236"/>
      <c r="AA5" s="236"/>
    </row>
    <row r="6" spans="1:27">
      <c r="A6" s="1125"/>
      <c r="B6" s="236"/>
      <c r="C6" s="236"/>
      <c r="D6" s="236"/>
      <c r="E6" s="236"/>
      <c r="F6" s="236"/>
      <c r="G6" s="52"/>
      <c r="H6" s="350"/>
      <c r="I6" s="217"/>
      <c r="J6" s="351">
        <v>2</v>
      </c>
      <c r="K6" s="352"/>
      <c r="L6" s="352"/>
      <c r="M6" s="353"/>
      <c r="N6" s="353"/>
      <c r="P6" s="351">
        <v>2</v>
      </c>
      <c r="Q6" s="353"/>
      <c r="R6" s="353"/>
      <c r="T6" s="1126"/>
      <c r="U6" s="356"/>
      <c r="V6" s="236"/>
      <c r="W6" s="236"/>
      <c r="X6" s="236"/>
      <c r="Y6" s="236"/>
      <c r="Z6" s="236"/>
      <c r="AA6" s="236"/>
    </row>
    <row r="7" spans="1:27">
      <c r="A7" s="1125"/>
      <c r="B7" s="236"/>
      <c r="C7" s="236"/>
      <c r="D7" s="236"/>
      <c r="E7" s="236"/>
      <c r="F7" s="236"/>
      <c r="G7" s="181"/>
      <c r="H7" s="350"/>
      <c r="I7" s="217"/>
      <c r="J7" s="351">
        <v>3</v>
      </c>
      <c r="K7" s="352"/>
      <c r="L7" s="352"/>
      <c r="M7" s="357"/>
      <c r="N7" s="353"/>
      <c r="P7" s="351">
        <v>3</v>
      </c>
      <c r="Q7" s="353"/>
      <c r="R7" s="353"/>
      <c r="T7" s="1126"/>
      <c r="U7" s="236"/>
      <c r="V7" s="236"/>
      <c r="W7" s="236"/>
      <c r="X7" s="236"/>
      <c r="Y7" s="236"/>
      <c r="Z7" s="236"/>
      <c r="AA7" s="236"/>
    </row>
    <row r="8" spans="1:27">
      <c r="A8" s="1125"/>
      <c r="B8" s="236"/>
      <c r="C8" s="236"/>
      <c r="D8" s="236"/>
      <c r="E8" s="236"/>
      <c r="F8" s="236"/>
      <c r="G8" s="181"/>
      <c r="H8" s="350"/>
      <c r="I8" s="358"/>
      <c r="J8" s="351">
        <v>4</v>
      </c>
      <c r="K8" s="352"/>
      <c r="L8" s="352"/>
      <c r="M8" s="353"/>
      <c r="N8" s="353"/>
      <c r="P8" s="351">
        <v>4</v>
      </c>
      <c r="Q8" s="353"/>
      <c r="R8" s="353"/>
      <c r="T8" s="1126"/>
      <c r="U8" s="359" t="s">
        <v>129</v>
      </c>
      <c r="V8" s="360">
        <f>C9</f>
        <v>0</v>
      </c>
      <c r="W8" s="360">
        <f>W5+W6+W7</f>
        <v>0</v>
      </c>
      <c r="X8" s="360">
        <f>X5+X6+X7</f>
        <v>0</v>
      </c>
      <c r="Y8" s="360">
        <f>D9</f>
        <v>27150</v>
      </c>
      <c r="Z8" s="360">
        <f>Z5+Z6+Z7</f>
        <v>0</v>
      </c>
      <c r="AA8" s="360">
        <f>AA5+AA6+AA7</f>
        <v>0</v>
      </c>
    </row>
    <row r="9" spans="1:27">
      <c r="A9" s="1125"/>
      <c r="B9" s="359" t="s">
        <v>129</v>
      </c>
      <c r="C9" s="360">
        <f>C5+C6+C7+C8</f>
        <v>0</v>
      </c>
      <c r="D9" s="360">
        <f>D5+D6+D7+D8</f>
        <v>27150</v>
      </c>
      <c r="E9" s="360">
        <f>E5+E6+E7+E8</f>
        <v>0</v>
      </c>
      <c r="F9" s="360">
        <f>F5+F6+F7+F8</f>
        <v>0</v>
      </c>
      <c r="G9" s="361"/>
      <c r="H9" s="360">
        <f>H5+H6+H7+H8</f>
        <v>0</v>
      </c>
      <c r="I9" s="358"/>
      <c r="J9" s="351">
        <v>5</v>
      </c>
      <c r="K9" s="352">
        <v>182891</v>
      </c>
      <c r="L9" s="352">
        <v>19210</v>
      </c>
      <c r="M9" s="353"/>
      <c r="N9" s="353"/>
      <c r="P9" s="351">
        <v>5</v>
      </c>
      <c r="Q9" s="353"/>
      <c r="R9" s="353"/>
      <c r="T9" s="1126"/>
      <c r="U9" s="362" t="s">
        <v>176</v>
      </c>
      <c r="V9" s="363">
        <f>V8+V5+V6+V7-W8-X8</f>
        <v>0</v>
      </c>
      <c r="W9" s="363"/>
      <c r="X9" s="363"/>
      <c r="Y9" s="363">
        <f>Y8+Y5+Y6+Y7-Z8-AA8</f>
        <v>27150</v>
      </c>
      <c r="Z9" s="363"/>
      <c r="AA9" s="363"/>
    </row>
    <row r="10" spans="1:27">
      <c r="A10" s="1125">
        <f>A5+1</f>
        <v>2</v>
      </c>
      <c r="B10" s="236">
        <v>22951</v>
      </c>
      <c r="C10" s="236"/>
      <c r="D10" s="236">
        <v>34700</v>
      </c>
      <c r="E10" s="236"/>
      <c r="F10" s="236"/>
      <c r="G10" s="349"/>
      <c r="H10" s="350"/>
      <c r="I10" s="364"/>
      <c r="J10" s="351">
        <v>6</v>
      </c>
      <c r="K10" s="352"/>
      <c r="L10" s="352"/>
      <c r="M10" s="353"/>
      <c r="N10" s="353"/>
      <c r="P10" s="351">
        <v>6</v>
      </c>
      <c r="Q10" s="353"/>
      <c r="R10" s="353"/>
      <c r="T10" s="1126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25"/>
      <c r="B11" s="236">
        <v>22940</v>
      </c>
      <c r="C11" s="236"/>
      <c r="D11" s="236">
        <v>34780</v>
      </c>
      <c r="E11" s="236"/>
      <c r="F11" s="236"/>
      <c r="G11" s="349"/>
      <c r="H11" s="350"/>
      <c r="I11" s="364"/>
      <c r="J11" s="351">
        <v>7</v>
      </c>
      <c r="K11" s="352"/>
      <c r="L11" s="352"/>
      <c r="M11" s="353"/>
      <c r="N11" s="353"/>
      <c r="P11" s="351">
        <v>7</v>
      </c>
      <c r="Q11" s="353"/>
      <c r="R11" s="353"/>
      <c r="T11" s="1126"/>
      <c r="U11" s="147"/>
      <c r="V11" s="236"/>
      <c r="W11" s="236"/>
      <c r="X11" s="236"/>
      <c r="Y11" s="236"/>
      <c r="Z11" s="236"/>
      <c r="AA11" s="236"/>
    </row>
    <row r="12" spans="1:27">
      <c r="A12" s="1125"/>
      <c r="B12" s="236"/>
      <c r="C12" s="236"/>
      <c r="D12" s="236"/>
      <c r="E12" s="236"/>
      <c r="F12" s="236"/>
      <c r="G12" s="349"/>
      <c r="H12" s="350"/>
      <c r="I12" s="358"/>
      <c r="J12" s="351">
        <v>8</v>
      </c>
      <c r="K12" s="352"/>
      <c r="L12" s="352"/>
      <c r="M12" s="353"/>
      <c r="N12" s="353"/>
      <c r="P12" s="351">
        <v>8</v>
      </c>
      <c r="Q12" s="353"/>
      <c r="R12" s="353"/>
      <c r="T12" s="1126"/>
      <c r="U12" s="147"/>
      <c r="V12" s="236"/>
      <c r="W12" s="236"/>
      <c r="X12" s="236"/>
      <c r="Y12" s="236"/>
      <c r="Z12" s="236"/>
      <c r="AA12" s="236"/>
    </row>
    <row r="13" spans="1:27">
      <c r="A13" s="1125"/>
      <c r="B13" s="365"/>
      <c r="C13" s="236"/>
      <c r="D13" s="236"/>
      <c r="E13" s="236"/>
      <c r="F13" s="236"/>
      <c r="G13" s="349"/>
      <c r="H13" s="350"/>
      <c r="I13" s="364"/>
      <c r="J13" s="351">
        <v>9</v>
      </c>
      <c r="K13" s="352"/>
      <c r="L13" s="352"/>
      <c r="M13" s="353"/>
      <c r="N13" s="353"/>
      <c r="P13" s="351">
        <v>9</v>
      </c>
      <c r="Q13" s="353"/>
      <c r="R13" s="353"/>
      <c r="T13" s="1126"/>
      <c r="U13" s="359" t="s">
        <v>129</v>
      </c>
      <c r="V13" s="360">
        <f>C14</f>
        <v>0</v>
      </c>
      <c r="W13" s="360">
        <f>W9+W10+W11+W12</f>
        <v>0</v>
      </c>
      <c r="X13" s="360">
        <f>X9+X10+X11+X12</f>
        <v>0</v>
      </c>
      <c r="Y13" s="360">
        <f>D14</f>
        <v>69480</v>
      </c>
      <c r="Z13" s="360">
        <f>Z9+Z10+Z11+Z12</f>
        <v>0</v>
      </c>
      <c r="AA13" s="360">
        <f>AA9+AA10+AA11+AA12</f>
        <v>0</v>
      </c>
    </row>
    <row r="14" spans="1:27">
      <c r="A14" s="1125"/>
      <c r="B14" s="359" t="s">
        <v>129</v>
      </c>
      <c r="C14" s="360">
        <f>C10+C11+C12+C13</f>
        <v>0</v>
      </c>
      <c r="D14" s="360">
        <f>D10+D11+D12+D13</f>
        <v>69480</v>
      </c>
      <c r="E14" s="360">
        <f>E10+E11+E12+E13</f>
        <v>0</v>
      </c>
      <c r="F14" s="360">
        <f>F10+F11+F12+F13</f>
        <v>0</v>
      </c>
      <c r="G14" s="366"/>
      <c r="H14" s="360">
        <f>H10+H11+H12+H13</f>
        <v>0</v>
      </c>
      <c r="I14" s="367"/>
      <c r="J14" s="351">
        <v>10</v>
      </c>
      <c r="K14" s="352">
        <v>183245</v>
      </c>
      <c r="L14" s="352">
        <v>17680</v>
      </c>
      <c r="M14" s="353"/>
      <c r="N14" s="353"/>
      <c r="P14" s="351">
        <v>10</v>
      </c>
      <c r="Q14" s="353"/>
      <c r="R14" s="353"/>
      <c r="T14" s="1126"/>
      <c r="U14" s="362" t="s">
        <v>176</v>
      </c>
      <c r="V14" s="363">
        <f>V9+V13-W13-X13</f>
        <v>0</v>
      </c>
      <c r="W14" s="363"/>
      <c r="X14" s="363"/>
      <c r="Y14" s="363">
        <f>Y9+Y13-Z13-AA13</f>
        <v>96630</v>
      </c>
      <c r="Z14" s="363"/>
      <c r="AA14" s="363"/>
    </row>
    <row r="15" spans="1:27">
      <c r="A15" s="1125">
        <f>A10+1</f>
        <v>3</v>
      </c>
      <c r="B15" s="236">
        <v>22969</v>
      </c>
      <c r="C15" s="236"/>
      <c r="D15" s="236">
        <v>34490</v>
      </c>
      <c r="E15" s="236"/>
      <c r="F15" s="236"/>
      <c r="G15" s="368"/>
      <c r="H15" s="350"/>
      <c r="I15" s="358"/>
      <c r="J15" s="351">
        <v>11</v>
      </c>
      <c r="K15" s="352"/>
      <c r="L15" s="352"/>
      <c r="M15" s="353"/>
      <c r="N15" s="353"/>
      <c r="P15" s="351">
        <v>11</v>
      </c>
      <c r="Q15" s="353"/>
      <c r="R15" s="353"/>
      <c r="T15" s="1126">
        <f>T10+1</f>
        <v>3</v>
      </c>
      <c r="U15" s="369"/>
      <c r="V15" s="236"/>
      <c r="W15" s="236"/>
      <c r="X15" s="236"/>
      <c r="Y15" s="236"/>
      <c r="Z15" s="236"/>
      <c r="AA15" s="236"/>
    </row>
    <row r="16" spans="1:27">
      <c r="A16" s="1125"/>
      <c r="B16" s="370"/>
      <c r="C16" s="236"/>
      <c r="D16" s="236"/>
      <c r="E16" s="236"/>
      <c r="F16" s="236"/>
      <c r="G16" s="368"/>
      <c r="H16" s="350"/>
      <c r="I16" s="358"/>
      <c r="J16" s="351">
        <v>12</v>
      </c>
      <c r="K16" s="352"/>
      <c r="L16" s="352"/>
      <c r="M16" s="353"/>
      <c r="N16" s="353"/>
      <c r="O16" t="s">
        <v>153</v>
      </c>
      <c r="P16" s="351">
        <v>12</v>
      </c>
      <c r="Q16" s="353"/>
      <c r="R16" s="353"/>
      <c r="T16" s="1126"/>
      <c r="U16" s="371"/>
      <c r="V16" s="236"/>
      <c r="W16" s="236"/>
      <c r="X16" s="236"/>
      <c r="Y16" s="236"/>
      <c r="Z16" s="236"/>
      <c r="AA16" s="236"/>
    </row>
    <row r="17" spans="1:27">
      <c r="A17" s="1125"/>
      <c r="B17" s="236"/>
      <c r="C17" s="236"/>
      <c r="D17" s="236"/>
      <c r="E17" s="236"/>
      <c r="F17" s="236"/>
      <c r="G17" s="349"/>
      <c r="H17" s="350"/>
      <c r="I17" s="358"/>
      <c r="J17" s="351">
        <v>13</v>
      </c>
      <c r="K17" s="352"/>
      <c r="L17" s="352"/>
      <c r="M17" s="353"/>
      <c r="N17" s="353"/>
      <c r="P17" s="351">
        <v>13</v>
      </c>
      <c r="Q17" s="353"/>
      <c r="R17" s="353"/>
      <c r="T17" s="1126"/>
      <c r="U17" s="147"/>
      <c r="V17" s="236"/>
      <c r="W17" s="236"/>
      <c r="X17" s="236"/>
      <c r="Y17" s="236"/>
      <c r="Z17" s="236"/>
      <c r="AA17" s="236"/>
    </row>
    <row r="18" spans="1:27">
      <c r="A18" s="1125"/>
      <c r="B18" s="236"/>
      <c r="C18" s="236"/>
      <c r="D18" s="236"/>
      <c r="E18" s="236"/>
      <c r="F18" s="236"/>
      <c r="G18" s="349"/>
      <c r="H18" s="350"/>
      <c r="I18" s="364"/>
      <c r="J18" s="351">
        <v>14</v>
      </c>
      <c r="K18" s="352"/>
      <c r="L18" s="352"/>
      <c r="M18" s="353"/>
      <c r="N18" s="353"/>
      <c r="P18" s="351">
        <v>14</v>
      </c>
      <c r="Q18" s="353"/>
      <c r="R18" s="353"/>
      <c r="T18" s="1126"/>
      <c r="U18" s="359" t="s">
        <v>129</v>
      </c>
      <c r="V18" s="360">
        <f>C19</f>
        <v>0</v>
      </c>
      <c r="W18" s="360">
        <f>W14+W15+W16+W17</f>
        <v>0</v>
      </c>
      <c r="X18" s="360">
        <f>X14+X15+X16+X17</f>
        <v>0</v>
      </c>
      <c r="Y18" s="360">
        <f>D19</f>
        <v>34490</v>
      </c>
      <c r="Z18" s="360">
        <f>Z14+Z15+Z16+Z17</f>
        <v>0</v>
      </c>
      <c r="AA18" s="360">
        <f>AA14+AA15+AA16+AA17</f>
        <v>0</v>
      </c>
    </row>
    <row r="19" spans="1:27">
      <c r="A19" s="1125"/>
      <c r="B19" s="359" t="s">
        <v>129</v>
      </c>
      <c r="C19" s="360">
        <f>C15+C16+C17+C18</f>
        <v>0</v>
      </c>
      <c r="D19" s="360">
        <f>D15+D16+D17+D18</f>
        <v>34490</v>
      </c>
      <c r="E19" s="360">
        <f>E15+E16+E17+E18</f>
        <v>0</v>
      </c>
      <c r="F19" s="360">
        <f>F15+F16+F17+F18</f>
        <v>0</v>
      </c>
      <c r="G19" s="361"/>
      <c r="H19" s="360">
        <f>H15+H16+H17+H18</f>
        <v>0</v>
      </c>
      <c r="I19" s="364"/>
      <c r="J19" s="351">
        <v>15</v>
      </c>
      <c r="K19" s="352"/>
      <c r="L19" s="352"/>
      <c r="M19" s="353"/>
      <c r="N19" s="353"/>
      <c r="P19" s="351">
        <v>15</v>
      </c>
      <c r="Q19" s="353"/>
      <c r="R19" s="353"/>
      <c r="T19" s="1126"/>
      <c r="U19" s="362" t="s">
        <v>176</v>
      </c>
      <c r="V19" s="363">
        <f>V14+V18-W18-X18</f>
        <v>0</v>
      </c>
      <c r="W19" s="363"/>
      <c r="X19" s="363"/>
      <c r="Y19" s="363">
        <f>Y14+Y18-Z18-AA18</f>
        <v>131120</v>
      </c>
      <c r="Z19" s="363"/>
      <c r="AA19" s="363"/>
    </row>
    <row r="20" spans="1:27">
      <c r="A20" s="1125">
        <f>A15+1</f>
        <v>4</v>
      </c>
      <c r="B20" s="236">
        <v>23012</v>
      </c>
      <c r="C20" s="236">
        <v>34470</v>
      </c>
      <c r="D20" s="236"/>
      <c r="E20" s="236"/>
      <c r="F20" s="236"/>
      <c r="G20" s="52"/>
      <c r="H20" s="350"/>
      <c r="I20" s="364"/>
      <c r="J20" s="351">
        <v>16</v>
      </c>
      <c r="K20" s="352"/>
      <c r="L20" s="352"/>
      <c r="M20" s="353"/>
      <c r="N20" s="353"/>
      <c r="P20" s="351">
        <v>16</v>
      </c>
      <c r="Q20" s="353"/>
      <c r="R20" s="353"/>
      <c r="T20" s="1126">
        <f>T15+1</f>
        <v>4</v>
      </c>
      <c r="U20" s="147"/>
      <c r="V20" s="236"/>
      <c r="W20" s="236"/>
      <c r="X20" s="236"/>
      <c r="Y20" s="236"/>
      <c r="Z20" s="236"/>
      <c r="AA20" s="236"/>
    </row>
    <row r="21" spans="1:27">
      <c r="A21" s="1125"/>
      <c r="B21" s="236">
        <v>23013</v>
      </c>
      <c r="C21" s="236">
        <v>26950</v>
      </c>
      <c r="D21" s="236"/>
      <c r="E21" s="236"/>
      <c r="F21" s="236"/>
      <c r="G21" s="52"/>
      <c r="H21" s="350"/>
      <c r="I21" s="217"/>
      <c r="J21" s="351">
        <v>17</v>
      </c>
      <c r="K21" s="352"/>
      <c r="L21" s="352"/>
      <c r="M21" s="353"/>
      <c r="N21" s="353"/>
      <c r="P21" s="351">
        <v>17</v>
      </c>
      <c r="Q21" s="353"/>
      <c r="R21" s="353"/>
      <c r="T21" s="1126"/>
      <c r="U21" s="147"/>
      <c r="V21" s="236"/>
      <c r="W21" s="236"/>
      <c r="X21" s="236"/>
      <c r="Y21" s="236"/>
      <c r="Z21" s="236"/>
      <c r="AA21" s="236"/>
    </row>
    <row r="22" spans="1:27">
      <c r="A22" s="1125"/>
      <c r="B22" s="236">
        <v>22994</v>
      </c>
      <c r="C22" s="236">
        <v>27210</v>
      </c>
      <c r="D22" s="236"/>
      <c r="E22" s="236"/>
      <c r="F22" s="236"/>
      <c r="G22" s="181"/>
      <c r="H22" s="350"/>
      <c r="I22" s="217"/>
      <c r="J22" s="351">
        <v>18</v>
      </c>
      <c r="K22" s="352"/>
      <c r="L22" s="352"/>
      <c r="M22" s="353"/>
      <c r="N22" s="353"/>
      <c r="P22" s="351">
        <v>18</v>
      </c>
      <c r="Q22" s="353"/>
      <c r="R22" s="353"/>
      <c r="T22" s="1126"/>
      <c r="U22" s="147"/>
      <c r="V22" s="236"/>
      <c r="W22" s="236"/>
      <c r="X22" s="236"/>
      <c r="Y22" s="236"/>
      <c r="Z22" s="236"/>
      <c r="AA22" s="236"/>
    </row>
    <row r="23" spans="1:27">
      <c r="A23" s="1125"/>
      <c r="B23" s="236"/>
      <c r="C23" s="236"/>
      <c r="D23" s="236"/>
      <c r="E23" s="236"/>
      <c r="F23" s="236"/>
      <c r="G23" s="181"/>
      <c r="H23" s="350"/>
      <c r="I23" s="217"/>
      <c r="J23" s="351">
        <v>19</v>
      </c>
      <c r="K23" s="352">
        <v>183800</v>
      </c>
      <c r="L23" s="352">
        <v>19390</v>
      </c>
      <c r="M23" s="353"/>
      <c r="N23" s="353"/>
      <c r="P23" s="351">
        <v>19</v>
      </c>
      <c r="Q23" s="353"/>
      <c r="R23" s="353"/>
      <c r="T23" s="1126"/>
      <c r="U23" s="359" t="s">
        <v>129</v>
      </c>
      <c r="V23" s="360">
        <f>C24</f>
        <v>88630</v>
      </c>
      <c r="W23" s="360">
        <f>W19+W20+W21+W22</f>
        <v>0</v>
      </c>
      <c r="X23" s="360">
        <f>X19+X20+X21+X22</f>
        <v>0</v>
      </c>
      <c r="Y23" s="360">
        <f>D24</f>
        <v>0</v>
      </c>
      <c r="Z23" s="360">
        <f>Z19+Z20+Z21+Z22</f>
        <v>0</v>
      </c>
      <c r="AA23" s="360">
        <f>AA19+AA20+AA21+AA22</f>
        <v>0</v>
      </c>
    </row>
    <row r="24" spans="1:27">
      <c r="A24" s="1125"/>
      <c r="B24" s="359" t="s">
        <v>129</v>
      </c>
      <c r="C24" s="360">
        <f>C20+C21+C22+C23</f>
        <v>88630</v>
      </c>
      <c r="D24" s="360">
        <f>D20+D21+D22+D23</f>
        <v>0</v>
      </c>
      <c r="E24" s="360">
        <f>E20+E21+E22+E23</f>
        <v>0</v>
      </c>
      <c r="F24" s="360">
        <f>F20+F21+F22+F23</f>
        <v>0</v>
      </c>
      <c r="G24" s="360"/>
      <c r="H24" s="360">
        <f>H20+H21+H22+H23</f>
        <v>0</v>
      </c>
      <c r="I24" s="217"/>
      <c r="J24" s="351">
        <v>20</v>
      </c>
      <c r="K24" s="352"/>
      <c r="L24" s="352"/>
      <c r="M24" s="353"/>
      <c r="N24" s="353"/>
      <c r="P24" s="351">
        <v>20</v>
      </c>
      <c r="Q24" s="353"/>
      <c r="R24" s="353"/>
      <c r="T24" s="1126"/>
      <c r="U24" s="362" t="s">
        <v>176</v>
      </c>
      <c r="V24" s="363">
        <f>V19+V23-W23-X23</f>
        <v>88630</v>
      </c>
      <c r="W24" s="363"/>
      <c r="X24" s="363"/>
      <c r="Y24" s="363">
        <f>Y19+Y23-Z23-AA23</f>
        <v>131120</v>
      </c>
      <c r="Z24" s="363"/>
      <c r="AA24" s="363"/>
    </row>
    <row r="25" spans="1:27">
      <c r="A25" s="1125">
        <f>A20+1</f>
        <v>5</v>
      </c>
      <c r="B25" s="236">
        <v>23027</v>
      </c>
      <c r="C25" s="236"/>
      <c r="D25" s="236">
        <v>34490</v>
      </c>
      <c r="E25" s="236"/>
      <c r="F25" s="236"/>
      <c r="G25" s="236"/>
      <c r="H25" s="350"/>
      <c r="I25" s="217"/>
      <c r="J25" s="351">
        <v>21</v>
      </c>
      <c r="K25" s="352"/>
      <c r="L25" s="352"/>
      <c r="M25" s="353"/>
      <c r="N25" s="353"/>
      <c r="P25" s="351">
        <v>21</v>
      </c>
      <c r="Q25" s="353"/>
      <c r="R25" s="353"/>
      <c r="T25" s="1126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25"/>
      <c r="B26" s="236">
        <v>23023</v>
      </c>
      <c r="C26" s="236"/>
      <c r="D26" s="236">
        <v>34500</v>
      </c>
      <c r="E26" s="236"/>
      <c r="F26" s="236"/>
      <c r="G26" s="236"/>
      <c r="H26" s="350"/>
      <c r="I26" s="217"/>
      <c r="J26" s="351">
        <v>22</v>
      </c>
      <c r="K26" s="372"/>
      <c r="L26" s="372"/>
      <c r="M26" s="236"/>
      <c r="N26" s="236"/>
      <c r="P26" s="351">
        <v>22</v>
      </c>
      <c r="Q26" s="236"/>
      <c r="R26" s="236"/>
      <c r="T26" s="1126"/>
      <c r="U26" s="147"/>
      <c r="V26" s="236"/>
      <c r="W26" s="236"/>
      <c r="X26" s="236"/>
      <c r="Y26" s="236"/>
      <c r="Z26" s="236"/>
      <c r="AA26" s="236"/>
    </row>
    <row r="27" spans="1:27">
      <c r="A27" s="1125"/>
      <c r="B27" s="236"/>
      <c r="C27" s="236"/>
      <c r="D27" s="236"/>
      <c r="E27" s="236"/>
      <c r="F27" s="236"/>
      <c r="G27" s="236"/>
      <c r="H27" s="350"/>
      <c r="I27" s="217"/>
      <c r="J27" s="351">
        <v>23</v>
      </c>
      <c r="K27" s="372"/>
      <c r="L27" s="372"/>
      <c r="M27" s="236"/>
      <c r="N27" s="236"/>
      <c r="P27" s="351">
        <v>23</v>
      </c>
      <c r="Q27" s="236"/>
      <c r="R27" s="236"/>
      <c r="T27" s="1126"/>
      <c r="U27" s="147"/>
      <c r="V27" s="236"/>
      <c r="W27" s="236"/>
      <c r="X27" s="236"/>
      <c r="Y27" s="236"/>
      <c r="Z27" s="236"/>
      <c r="AA27" s="236"/>
    </row>
    <row r="28" spans="1:27">
      <c r="A28" s="1125"/>
      <c r="B28" s="236"/>
      <c r="C28" s="236"/>
      <c r="D28" s="236"/>
      <c r="E28" s="236"/>
      <c r="F28" s="236"/>
      <c r="G28" s="236"/>
      <c r="H28" s="350"/>
      <c r="I28" s="217"/>
      <c r="J28" s="351">
        <v>24</v>
      </c>
      <c r="K28" s="372"/>
      <c r="L28" s="372"/>
      <c r="M28" s="236"/>
      <c r="N28" s="236"/>
      <c r="P28" s="351">
        <v>24</v>
      </c>
      <c r="Q28" s="236"/>
      <c r="R28" s="236"/>
      <c r="T28" s="1126"/>
      <c r="U28" s="359" t="s">
        <v>129</v>
      </c>
      <c r="V28" s="360">
        <f>C29</f>
        <v>0</v>
      </c>
      <c r="W28" s="360">
        <f>W24+W25+W26+W27</f>
        <v>0</v>
      </c>
      <c r="X28" s="360">
        <f>X24+X25+X26+X27</f>
        <v>0</v>
      </c>
      <c r="Y28" s="360">
        <f>D29</f>
        <v>68990</v>
      </c>
      <c r="Z28" s="360">
        <f>Z24+Z25+Z26+Z27</f>
        <v>0</v>
      </c>
      <c r="AA28" s="360">
        <f>AA24+AA25+AA26+AA27</f>
        <v>0</v>
      </c>
    </row>
    <row r="29" spans="1:27">
      <c r="A29" s="1125"/>
      <c r="B29" s="359" t="s">
        <v>129</v>
      </c>
      <c r="C29" s="360">
        <f>C25+C26+C27+C28</f>
        <v>0</v>
      </c>
      <c r="D29" s="360">
        <f>D25+D26+D27+D28</f>
        <v>68990</v>
      </c>
      <c r="E29" s="360">
        <f>E25+E26+E27+E28</f>
        <v>0</v>
      </c>
      <c r="F29" s="360">
        <f>F25+F26+F27+F28</f>
        <v>0</v>
      </c>
      <c r="G29" s="360"/>
      <c r="H29" s="360">
        <f>H25+H26+H27+H28</f>
        <v>0</v>
      </c>
      <c r="I29" s="217"/>
      <c r="J29" s="351">
        <v>25</v>
      </c>
      <c r="K29" s="372"/>
      <c r="L29" s="372"/>
      <c r="M29" s="236"/>
      <c r="N29" s="236"/>
      <c r="P29" s="351">
        <v>25</v>
      </c>
      <c r="Q29" s="236"/>
      <c r="R29" s="236"/>
      <c r="T29" s="1126"/>
      <c r="U29" s="362" t="s">
        <v>176</v>
      </c>
      <c r="V29" s="363">
        <f>V24+V28-W28-X28</f>
        <v>88630</v>
      </c>
      <c r="W29" s="363"/>
      <c r="X29" s="363"/>
      <c r="Y29" s="363">
        <f>Y24+Y28-Z28-AA28</f>
        <v>200110</v>
      </c>
      <c r="Z29" s="363"/>
      <c r="AA29" s="363"/>
    </row>
    <row r="30" spans="1:27">
      <c r="A30" s="1125">
        <f>A25+1</f>
        <v>6</v>
      </c>
      <c r="B30" s="236">
        <v>23024</v>
      </c>
      <c r="C30" s="236"/>
      <c r="D30" s="236">
        <v>34640</v>
      </c>
      <c r="E30" s="236"/>
      <c r="F30" s="236"/>
      <c r="G30" s="236"/>
      <c r="H30" s="350"/>
      <c r="I30" s="217"/>
      <c r="J30" s="351">
        <v>26</v>
      </c>
      <c r="K30" s="372">
        <v>184196</v>
      </c>
      <c r="L30" s="372">
        <v>19390</v>
      </c>
      <c r="M30" s="236"/>
      <c r="N30" s="236"/>
      <c r="P30" s="351">
        <v>26</v>
      </c>
      <c r="Q30" s="236"/>
      <c r="R30" s="236"/>
      <c r="T30" s="1126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25"/>
      <c r="B31" s="236"/>
      <c r="C31" s="236"/>
      <c r="D31" s="236"/>
      <c r="E31" s="236"/>
      <c r="F31" s="236"/>
      <c r="G31" s="236"/>
      <c r="H31" s="350"/>
      <c r="I31" s="217"/>
      <c r="J31" s="351">
        <v>27</v>
      </c>
      <c r="K31" s="372"/>
      <c r="L31" s="372"/>
      <c r="M31" s="236"/>
      <c r="N31" s="236"/>
      <c r="P31" s="351">
        <v>27</v>
      </c>
      <c r="Q31" s="236"/>
      <c r="R31" s="236"/>
      <c r="T31" s="1126"/>
      <c r="U31" s="147"/>
      <c r="V31" s="236"/>
      <c r="W31" s="236"/>
      <c r="X31" s="236"/>
      <c r="Y31" s="236"/>
      <c r="Z31" s="236"/>
      <c r="AA31" s="236"/>
    </row>
    <row r="32" spans="1:27">
      <c r="A32" s="1125"/>
      <c r="B32" s="236"/>
      <c r="C32" s="236"/>
      <c r="D32" s="236"/>
      <c r="E32" s="236"/>
      <c r="F32" s="236"/>
      <c r="G32" s="236"/>
      <c r="H32" s="350"/>
      <c r="I32" s="217"/>
      <c r="J32" s="351">
        <v>28</v>
      </c>
      <c r="K32" s="372"/>
      <c r="L32" s="372"/>
      <c r="M32" s="236"/>
      <c r="N32" s="236"/>
      <c r="P32" s="351">
        <v>28</v>
      </c>
      <c r="Q32" s="236"/>
      <c r="R32" s="236"/>
      <c r="T32" s="1126"/>
      <c r="U32" s="147"/>
      <c r="V32" s="236"/>
      <c r="W32" s="236"/>
      <c r="X32" s="236"/>
      <c r="Y32" s="236"/>
      <c r="Z32" s="236"/>
      <c r="AA32" s="236"/>
    </row>
    <row r="33" spans="1:27">
      <c r="A33" s="1125"/>
      <c r="B33" s="236"/>
      <c r="C33" s="236"/>
      <c r="D33" s="236"/>
      <c r="E33" s="236"/>
      <c r="F33" s="236"/>
      <c r="G33" s="236"/>
      <c r="H33" s="350"/>
      <c r="I33" s="217"/>
      <c r="J33" s="351">
        <v>29</v>
      </c>
      <c r="K33" s="372"/>
      <c r="L33" s="372"/>
      <c r="M33" s="236"/>
      <c r="N33" s="236"/>
      <c r="P33" s="351">
        <v>29</v>
      </c>
      <c r="Q33" s="236"/>
      <c r="R33" s="236"/>
      <c r="T33" s="1126"/>
      <c r="U33" s="359" t="s">
        <v>129</v>
      </c>
      <c r="V33" s="360">
        <f>C34</f>
        <v>0</v>
      </c>
      <c r="W33" s="360">
        <f>W29+W30+W31+W32</f>
        <v>0</v>
      </c>
      <c r="X33" s="360">
        <f>X29+X30+X31+X32</f>
        <v>0</v>
      </c>
      <c r="Y33" s="360">
        <f>D34</f>
        <v>34640</v>
      </c>
      <c r="Z33" s="360">
        <f>Z29+Z30+Z31+Z32</f>
        <v>0</v>
      </c>
      <c r="AA33" s="360">
        <f>AA29+AA30+AA31+AA32</f>
        <v>0</v>
      </c>
    </row>
    <row r="34" spans="1:27">
      <c r="A34" s="1125"/>
      <c r="B34" s="359" t="s">
        <v>129</v>
      </c>
      <c r="C34" s="360">
        <f>C30+C31+C32+C33</f>
        <v>0</v>
      </c>
      <c r="D34" s="360">
        <f>D30+D31+D32+D33</f>
        <v>34640</v>
      </c>
      <c r="E34" s="360">
        <f>E30+E31+E32+E33</f>
        <v>0</v>
      </c>
      <c r="F34" s="360">
        <f>F30+F31+F32+F33</f>
        <v>0</v>
      </c>
      <c r="G34" s="360"/>
      <c r="H34" s="360">
        <f>H30+H31+H32+H33</f>
        <v>0</v>
      </c>
      <c r="I34" s="217"/>
      <c r="J34" s="351">
        <v>30</v>
      </c>
      <c r="K34" s="372"/>
      <c r="L34" s="372"/>
      <c r="M34" s="236"/>
      <c r="N34" s="236"/>
      <c r="P34" s="351">
        <v>30</v>
      </c>
      <c r="Q34" s="236"/>
      <c r="R34" s="236"/>
      <c r="T34" s="1126"/>
      <c r="U34" s="362" t="s">
        <v>176</v>
      </c>
      <c r="V34" s="363">
        <f>V29+V33-W33-X33</f>
        <v>88630</v>
      </c>
      <c r="W34" s="363"/>
      <c r="X34" s="363"/>
      <c r="Y34" s="363">
        <f>Y29+Y33-Z33-AA33</f>
        <v>234750</v>
      </c>
      <c r="Z34" s="363"/>
      <c r="AA34" s="363"/>
    </row>
    <row r="35" spans="1:27">
      <c r="A35" s="1125">
        <f>A30+1</f>
        <v>7</v>
      </c>
      <c r="B35" s="236"/>
      <c r="C35" s="236"/>
      <c r="D35" s="236"/>
      <c r="E35" s="236"/>
      <c r="F35" s="236"/>
      <c r="G35" s="349"/>
      <c r="H35" s="350"/>
      <c r="I35" s="217"/>
      <c r="J35" s="351">
        <v>31</v>
      </c>
      <c r="K35" s="372"/>
      <c r="L35" s="372"/>
      <c r="M35" s="236"/>
      <c r="N35" s="236"/>
      <c r="P35" s="351">
        <v>31</v>
      </c>
      <c r="Q35" s="236"/>
      <c r="R35" s="236"/>
      <c r="T35" s="1126">
        <f>T30+1</f>
        <v>7</v>
      </c>
      <c r="U35" s="147"/>
      <c r="V35" s="236"/>
      <c r="W35" s="236"/>
      <c r="X35" s="236"/>
      <c r="Y35" s="236"/>
      <c r="Z35" s="236"/>
      <c r="AA35" s="236"/>
    </row>
    <row r="36" spans="1:27">
      <c r="A36" s="1125"/>
      <c r="B36" s="236"/>
      <c r="C36" s="236"/>
      <c r="D36" s="236"/>
      <c r="E36" s="236"/>
      <c r="F36" s="236"/>
      <c r="G36" s="349"/>
      <c r="H36" s="350"/>
      <c r="I36" s="217"/>
      <c r="J36" s="330"/>
      <c r="K36" s="330"/>
      <c r="L36" s="330"/>
      <c r="M36" s="330"/>
      <c r="N36" s="330"/>
      <c r="P36" s="330"/>
      <c r="Q36" s="330"/>
      <c r="R36" s="330"/>
      <c r="T36" s="1126"/>
      <c r="U36" s="147"/>
      <c r="V36" s="236"/>
      <c r="W36" s="236"/>
      <c r="X36" s="236"/>
      <c r="Y36" s="236"/>
      <c r="Z36" s="236"/>
      <c r="AA36" s="236"/>
    </row>
    <row r="37" spans="1:27">
      <c r="A37" s="1125"/>
      <c r="B37" s="236"/>
      <c r="C37" s="236"/>
      <c r="D37" s="236"/>
      <c r="E37" s="236"/>
      <c r="F37" s="236"/>
      <c r="G37" s="349"/>
      <c r="H37" s="350"/>
      <c r="I37" s="217"/>
      <c r="J37" s="986" t="s">
        <v>177</v>
      </c>
      <c r="K37" s="986"/>
      <c r="L37" s="373">
        <f>SUM(RECEBIMENTO!L5:L35)</f>
        <v>93910</v>
      </c>
      <c r="M37" s="217"/>
      <c r="N37" s="373">
        <f>SUM(RECEBIMENTO!N5:N35)</f>
        <v>0</v>
      </c>
      <c r="P37" s="1127" t="s">
        <v>55</v>
      </c>
      <c r="Q37" s="1127"/>
      <c r="R37" s="373">
        <f>SUM(R5:R35)</f>
        <v>0</v>
      </c>
      <c r="T37" s="1126"/>
      <c r="U37" s="147"/>
      <c r="V37" s="236"/>
      <c r="W37" s="236"/>
      <c r="X37" s="236"/>
      <c r="Y37" s="236"/>
      <c r="Z37" s="236"/>
      <c r="AA37" s="236"/>
    </row>
    <row r="38" spans="1:27">
      <c r="A38" s="1125"/>
      <c r="B38" s="236"/>
      <c r="C38" s="236"/>
      <c r="D38" s="236"/>
      <c r="E38" s="236"/>
      <c r="F38" s="236"/>
      <c r="G38" s="52"/>
      <c r="H38" s="350"/>
      <c r="I38" s="217"/>
      <c r="J38" s="986" t="s">
        <v>178</v>
      </c>
      <c r="K38" s="986"/>
      <c r="L38" s="957">
        <f>SUM(RECEBIMENTO!L37,RECEBIMENTO!N37)</f>
        <v>93910</v>
      </c>
      <c r="M38" s="957"/>
      <c r="N38" s="217"/>
      <c r="T38" s="1126"/>
      <c r="U38" s="359" t="s">
        <v>129</v>
      </c>
      <c r="V38" s="360">
        <f>C39</f>
        <v>0</v>
      </c>
      <c r="W38" s="360">
        <f>W34+W35+W36+W37</f>
        <v>0</v>
      </c>
      <c r="X38" s="360">
        <f>X34+X35+X36+X37</f>
        <v>0</v>
      </c>
      <c r="Y38" s="360">
        <f>D39</f>
        <v>0</v>
      </c>
      <c r="Z38" s="360">
        <f>Z34+Z35+Z36+Z37</f>
        <v>0</v>
      </c>
      <c r="AA38" s="360">
        <f>AA34+AA35+AA36+AA37</f>
        <v>0</v>
      </c>
    </row>
    <row r="39" spans="1:27">
      <c r="A39" s="1125"/>
      <c r="B39" s="359" t="s">
        <v>129</v>
      </c>
      <c r="C39" s="360">
        <f>C35+C36+C37+C38</f>
        <v>0</v>
      </c>
      <c r="D39" s="360">
        <f>D35+D36+D37+D38</f>
        <v>0</v>
      </c>
      <c r="E39" s="360">
        <f>E35+E36+E37+E38</f>
        <v>0</v>
      </c>
      <c r="F39" s="360">
        <f>F35+F36+F37+F38</f>
        <v>0</v>
      </c>
      <c r="G39" s="374"/>
      <c r="H39" s="360">
        <f>H35+H36+H37+H38</f>
        <v>0</v>
      </c>
      <c r="I39" s="217"/>
      <c r="T39" s="1126"/>
      <c r="U39" s="362" t="s">
        <v>176</v>
      </c>
      <c r="V39" s="363">
        <f>V34+V38-W38-X38</f>
        <v>88630</v>
      </c>
      <c r="W39" s="363"/>
      <c r="X39" s="363"/>
      <c r="Y39" s="363">
        <f>Y34+Y38-Z38-AA38</f>
        <v>234750</v>
      </c>
      <c r="Z39" s="363"/>
      <c r="AA39" s="363"/>
    </row>
    <row r="40" spans="1:27">
      <c r="A40" s="1125">
        <f>A35+1</f>
        <v>8</v>
      </c>
      <c r="B40" s="236">
        <v>23042</v>
      </c>
      <c r="C40" s="236">
        <v>34820</v>
      </c>
      <c r="D40" s="236"/>
      <c r="E40" s="236"/>
      <c r="F40" s="236"/>
      <c r="G40" s="181"/>
      <c r="H40" s="350"/>
      <c r="I40" s="217"/>
      <c r="T40" s="1126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25"/>
      <c r="B41" s="236">
        <v>23062</v>
      </c>
      <c r="C41" s="236">
        <v>33050</v>
      </c>
      <c r="D41" s="236"/>
      <c r="E41" s="236"/>
      <c r="F41" s="236"/>
      <c r="G41" s="181"/>
      <c r="H41" s="350"/>
      <c r="I41" s="217"/>
      <c r="T41" s="1126"/>
      <c r="U41" s="147"/>
      <c r="V41" s="236"/>
      <c r="W41" s="236"/>
      <c r="X41" s="236"/>
      <c r="Y41" s="236"/>
      <c r="Z41" s="236"/>
      <c r="AA41" s="236"/>
    </row>
    <row r="42" spans="1:27">
      <c r="A42" s="1125"/>
      <c r="B42" s="236">
        <v>23065</v>
      </c>
      <c r="C42" s="236">
        <v>35860</v>
      </c>
      <c r="D42" s="236"/>
      <c r="E42" s="236"/>
      <c r="F42" s="236"/>
      <c r="G42" s="236"/>
      <c r="H42" s="350"/>
      <c r="I42" s="217"/>
      <c r="T42" s="1126"/>
      <c r="U42" s="147"/>
      <c r="V42" s="236"/>
      <c r="W42" s="236"/>
      <c r="X42" s="236"/>
      <c r="Y42" s="236"/>
      <c r="Z42" s="236"/>
      <c r="AA42" s="236"/>
    </row>
    <row r="43" spans="1:27">
      <c r="A43" s="1125"/>
      <c r="B43" s="236"/>
      <c r="C43" s="236"/>
      <c r="D43" s="236"/>
      <c r="E43" s="236"/>
      <c r="F43" s="236"/>
      <c r="G43" s="236"/>
      <c r="H43" s="350"/>
      <c r="I43" s="217"/>
      <c r="T43" s="1126"/>
      <c r="U43" s="359" t="s">
        <v>129</v>
      </c>
      <c r="V43" s="360">
        <f>C44</f>
        <v>103730</v>
      </c>
      <c r="W43" s="360">
        <f>W39+W40+W41+W42</f>
        <v>0</v>
      </c>
      <c r="X43" s="360">
        <f>X39+X40+X41+X42</f>
        <v>0</v>
      </c>
      <c r="Y43" s="360">
        <f>D44</f>
        <v>0</v>
      </c>
      <c r="Z43" s="360">
        <f>Z39+Z40+Z41+Z42</f>
        <v>0</v>
      </c>
      <c r="AA43" s="360">
        <f>AA39+AA40+AA41+AA42</f>
        <v>0</v>
      </c>
    </row>
    <row r="44" spans="1:27">
      <c r="A44" s="1125"/>
      <c r="B44" s="359" t="s">
        <v>129</v>
      </c>
      <c r="C44" s="360">
        <f>C40+C41+C42+C43</f>
        <v>103730</v>
      </c>
      <c r="D44" s="360">
        <f>D40+D41+D42+D43</f>
        <v>0</v>
      </c>
      <c r="E44" s="360">
        <f>E40+E41+E42+E43</f>
        <v>0</v>
      </c>
      <c r="F44" s="360">
        <f>F40+F41+F42+F43</f>
        <v>0</v>
      </c>
      <c r="G44" s="360"/>
      <c r="H44" s="360">
        <f>H40+H41+H42+H43</f>
        <v>0</v>
      </c>
      <c r="I44" s="375"/>
      <c r="T44" s="1126" t="s">
        <v>178</v>
      </c>
      <c r="U44" s="362" t="s">
        <v>176</v>
      </c>
      <c r="V44" s="363">
        <f>V39+V43-W43-X43</f>
        <v>192360</v>
      </c>
      <c r="W44" s="363"/>
      <c r="X44" s="363"/>
      <c r="Y44" s="363">
        <f>Y39+Y43-Z43-AA43</f>
        <v>234750</v>
      </c>
      <c r="Z44" s="363"/>
      <c r="AA44" s="363"/>
    </row>
    <row r="45" spans="1:27">
      <c r="A45" s="1125">
        <f>A40+1</f>
        <v>9</v>
      </c>
      <c r="B45" s="236">
        <v>23076</v>
      </c>
      <c r="C45" s="236">
        <v>29310</v>
      </c>
      <c r="D45" s="236"/>
      <c r="E45" s="236"/>
      <c r="F45" s="236"/>
      <c r="G45" s="236"/>
      <c r="H45" s="350"/>
      <c r="T45" s="1126">
        <f>T40+1</f>
        <v>9</v>
      </c>
      <c r="U45" s="147"/>
      <c r="V45" s="236"/>
      <c r="W45" s="236"/>
      <c r="X45" s="236"/>
      <c r="Y45" s="236"/>
      <c r="Z45" s="236"/>
      <c r="AA45" s="236"/>
    </row>
    <row r="46" spans="1:27">
      <c r="A46" s="1125"/>
      <c r="B46" s="236">
        <v>23078</v>
      </c>
      <c r="C46" s="236">
        <v>34770</v>
      </c>
      <c r="D46" s="236"/>
      <c r="E46" s="236"/>
      <c r="F46" s="236"/>
      <c r="G46" s="236"/>
      <c r="H46" s="350"/>
      <c r="T46" s="1126"/>
      <c r="U46" s="147"/>
      <c r="V46" s="236"/>
      <c r="W46" s="236"/>
      <c r="X46" s="236"/>
      <c r="Y46" s="236"/>
      <c r="Z46" s="236"/>
      <c r="AA46" s="236"/>
    </row>
    <row r="47" spans="1:27">
      <c r="A47" s="1125"/>
      <c r="B47" s="236"/>
      <c r="C47" s="236"/>
      <c r="D47" s="236"/>
      <c r="E47" s="236"/>
      <c r="F47" s="236"/>
      <c r="G47" s="236"/>
      <c r="H47" s="350"/>
      <c r="T47" s="1126"/>
      <c r="U47" s="147"/>
      <c r="V47" s="236"/>
      <c r="W47" s="236"/>
      <c r="X47" s="236"/>
      <c r="Y47" s="236"/>
      <c r="Z47" s="236"/>
      <c r="AA47" s="236"/>
    </row>
    <row r="48" spans="1:27">
      <c r="A48" s="1125"/>
      <c r="B48" s="236"/>
      <c r="C48" s="236"/>
      <c r="D48" s="236"/>
      <c r="E48" s="236"/>
      <c r="F48" s="236"/>
      <c r="G48" s="236"/>
      <c r="H48" s="350"/>
      <c r="T48" s="1126"/>
      <c r="U48" s="359" t="s">
        <v>129</v>
      </c>
      <c r="V48" s="360">
        <f>C49</f>
        <v>64080</v>
      </c>
      <c r="W48" s="360">
        <f>W44+W45+W46+W47</f>
        <v>0</v>
      </c>
      <c r="X48" s="360">
        <f>X44+X45+X46+X47</f>
        <v>0</v>
      </c>
      <c r="Y48" s="360">
        <f>D49</f>
        <v>0</v>
      </c>
      <c r="Z48" s="360">
        <f>Z44+Z45+Z46+Z47</f>
        <v>0</v>
      </c>
      <c r="AA48" s="360">
        <f>AA44+AA45+AA46+AA47</f>
        <v>0</v>
      </c>
    </row>
    <row r="49" spans="1:27">
      <c r="A49" s="1125"/>
      <c r="B49" s="359" t="s">
        <v>129</v>
      </c>
      <c r="C49" s="360">
        <f>C45+C46+C47+C48</f>
        <v>64080</v>
      </c>
      <c r="D49" s="360">
        <f>D45+D46+D47+D48</f>
        <v>0</v>
      </c>
      <c r="E49" s="360">
        <f>E45+E46+E47+E48</f>
        <v>0</v>
      </c>
      <c r="F49" s="360">
        <f>F45+F46+F47+F48</f>
        <v>0</v>
      </c>
      <c r="G49" s="360"/>
      <c r="H49" s="360">
        <f>H45+H46+H47+H48</f>
        <v>0</v>
      </c>
      <c r="T49" s="1126"/>
      <c r="U49" s="362" t="s">
        <v>176</v>
      </c>
      <c r="V49" s="363">
        <f>V44+V48-W48-X48</f>
        <v>256440</v>
      </c>
      <c r="W49" s="363"/>
      <c r="X49" s="363"/>
      <c r="Y49" s="363">
        <f>Y44+Y48-Z48-AA48</f>
        <v>234750</v>
      </c>
      <c r="Z49" s="363"/>
      <c r="AA49" s="363"/>
    </row>
    <row r="50" spans="1:27">
      <c r="A50" s="1125">
        <f>A45+1</f>
        <v>10</v>
      </c>
      <c r="B50" s="236">
        <v>23103</v>
      </c>
      <c r="C50" s="236"/>
      <c r="D50" s="236">
        <v>34500</v>
      </c>
      <c r="E50" s="236"/>
      <c r="F50" s="236"/>
      <c r="G50" s="236"/>
      <c r="H50" s="350"/>
      <c r="T50" s="1126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25"/>
      <c r="B51" s="236">
        <v>23105</v>
      </c>
      <c r="C51" s="236"/>
      <c r="D51" s="236">
        <v>39740</v>
      </c>
      <c r="E51" s="236"/>
      <c r="F51" s="236"/>
      <c r="G51" s="236"/>
      <c r="H51" s="350"/>
      <c r="T51" s="1126"/>
      <c r="U51" s="147"/>
      <c r="V51" s="236"/>
      <c r="W51" s="236"/>
      <c r="X51" s="236"/>
      <c r="Y51" s="236"/>
      <c r="Z51" s="236"/>
      <c r="AA51" s="236"/>
    </row>
    <row r="52" spans="1:27">
      <c r="A52" s="1125"/>
      <c r="B52" s="236"/>
      <c r="C52" s="236">
        <v>23090</v>
      </c>
      <c r="D52" s="236">
        <v>33270</v>
      </c>
      <c r="E52" s="236"/>
      <c r="F52" s="236"/>
      <c r="G52" s="236"/>
      <c r="H52" s="350"/>
      <c r="T52" s="1126"/>
      <c r="U52" s="147"/>
      <c r="V52" s="236"/>
      <c r="W52" s="236"/>
      <c r="X52" s="236"/>
      <c r="Y52" s="236"/>
      <c r="Z52" s="236"/>
      <c r="AA52" s="236"/>
    </row>
    <row r="53" spans="1:27">
      <c r="A53" s="1125"/>
      <c r="B53" s="236"/>
      <c r="C53" s="236">
        <v>23091</v>
      </c>
      <c r="D53" s="236">
        <v>27010</v>
      </c>
      <c r="E53" s="236"/>
      <c r="F53" s="236"/>
      <c r="G53" s="349"/>
      <c r="H53" s="350"/>
      <c r="T53" s="1126"/>
      <c r="U53" s="359" t="s">
        <v>129</v>
      </c>
      <c r="V53" s="360">
        <f>C54</f>
        <v>46181</v>
      </c>
      <c r="W53" s="360">
        <f>W49+W50+W51+W52</f>
        <v>0</v>
      </c>
      <c r="X53" s="360">
        <f>X49+X50+X51+X52</f>
        <v>0</v>
      </c>
      <c r="Y53" s="360">
        <f>D54</f>
        <v>134520</v>
      </c>
      <c r="Z53" s="360">
        <f>Z49+Z50+Z51+Z52</f>
        <v>0</v>
      </c>
      <c r="AA53" s="360">
        <f>AA49+AA50+AA51+AA52</f>
        <v>0</v>
      </c>
    </row>
    <row r="54" spans="1:27">
      <c r="A54" s="1125"/>
      <c r="B54" s="359" t="s">
        <v>129</v>
      </c>
      <c r="C54" s="360">
        <f>C50+C51+C52+C53</f>
        <v>46181</v>
      </c>
      <c r="D54" s="360">
        <f>D50+D51+D52+D53</f>
        <v>134520</v>
      </c>
      <c r="E54" s="360">
        <f>E50+E51+E52+E53</f>
        <v>0</v>
      </c>
      <c r="F54" s="360">
        <f>F50+F51+F52+F53</f>
        <v>0</v>
      </c>
      <c r="G54" s="361"/>
      <c r="H54" s="360">
        <f>H50+H51+H52+H53</f>
        <v>0</v>
      </c>
      <c r="T54" s="1126"/>
      <c r="U54" s="362" t="s">
        <v>176</v>
      </c>
      <c r="V54" s="363">
        <f>V49+V53-W53-X53</f>
        <v>302621</v>
      </c>
      <c r="W54" s="363"/>
      <c r="X54" s="363"/>
      <c r="Y54" s="363">
        <f>Y49+Y53-Z53-AA53</f>
        <v>369270</v>
      </c>
      <c r="Z54" s="363"/>
      <c r="AA54" s="363"/>
    </row>
    <row r="55" spans="1:27">
      <c r="A55" s="1125">
        <f>A50+1</f>
        <v>11</v>
      </c>
      <c r="B55" s="236"/>
      <c r="C55" s="236"/>
      <c r="D55" s="236"/>
      <c r="E55" s="236"/>
      <c r="F55" s="236"/>
      <c r="G55" s="349"/>
      <c r="H55" s="350"/>
      <c r="T55" s="1126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25"/>
      <c r="B56" s="236"/>
      <c r="C56" s="236"/>
      <c r="D56" s="236"/>
      <c r="E56" s="236"/>
      <c r="F56" s="236"/>
      <c r="G56" s="52"/>
      <c r="H56" s="350"/>
      <c r="T56" s="1126"/>
      <c r="U56" s="147"/>
      <c r="V56" s="236"/>
      <c r="W56" s="236"/>
      <c r="X56" s="236"/>
      <c r="Y56" s="236"/>
      <c r="Z56" s="236"/>
      <c r="AA56" s="236"/>
    </row>
    <row r="57" spans="1:27">
      <c r="A57" s="1125"/>
      <c r="B57" s="236"/>
      <c r="C57" s="236"/>
      <c r="D57" s="236"/>
      <c r="E57" s="236"/>
      <c r="F57" s="236"/>
      <c r="G57" s="52"/>
      <c r="H57" s="350"/>
      <c r="T57" s="1126"/>
      <c r="U57" s="147"/>
      <c r="V57" s="236"/>
      <c r="W57" s="236"/>
      <c r="X57" s="236"/>
      <c r="Y57" s="236"/>
      <c r="Z57" s="236"/>
      <c r="AA57" s="236"/>
    </row>
    <row r="58" spans="1:27">
      <c r="A58" s="1125"/>
      <c r="B58" s="236"/>
      <c r="C58" s="236"/>
      <c r="D58" s="236"/>
      <c r="E58" s="236"/>
      <c r="F58" s="236"/>
      <c r="G58" s="181"/>
      <c r="H58" s="350"/>
      <c r="T58" s="1126"/>
      <c r="U58" s="359" t="s">
        <v>129</v>
      </c>
      <c r="V58" s="360">
        <f>C59</f>
        <v>0</v>
      </c>
      <c r="W58" s="360">
        <f>W54+W55+W56+W57</f>
        <v>0</v>
      </c>
      <c r="X58" s="360">
        <f>X54+X55+X56+X57</f>
        <v>0</v>
      </c>
      <c r="Y58" s="360">
        <f>D59</f>
        <v>0</v>
      </c>
      <c r="Z58" s="360">
        <f>Z54+Z55+Z56+Z57</f>
        <v>0</v>
      </c>
      <c r="AA58" s="360">
        <f>AA54+AA55+AA56+AA57</f>
        <v>0</v>
      </c>
    </row>
    <row r="59" spans="1:27">
      <c r="A59" s="1125"/>
      <c r="B59" s="359" t="s">
        <v>129</v>
      </c>
      <c r="C59" s="360">
        <f>C55+C56+C57+C58</f>
        <v>0</v>
      </c>
      <c r="D59" s="360">
        <f>D55+D56+D57+D58</f>
        <v>0</v>
      </c>
      <c r="E59" s="360">
        <f>E55+E56+E57+E58</f>
        <v>0</v>
      </c>
      <c r="F59" s="360">
        <f>F55+F56+F57+F58</f>
        <v>0</v>
      </c>
      <c r="G59" s="376"/>
      <c r="H59" s="360">
        <f>H55+H56+H57+H58</f>
        <v>0</v>
      </c>
      <c r="T59" s="1126"/>
      <c r="U59" s="362" t="s">
        <v>176</v>
      </c>
      <c r="V59" s="363">
        <f>V54+V58-W58-X58</f>
        <v>302621</v>
      </c>
      <c r="W59" s="363"/>
      <c r="X59" s="363"/>
      <c r="Y59" s="363">
        <f>Y54+Y58-Z58-AA58</f>
        <v>369270</v>
      </c>
      <c r="Z59" s="363"/>
      <c r="AA59" s="363"/>
    </row>
    <row r="60" spans="1:27">
      <c r="A60" s="1125">
        <f>A55+1</f>
        <v>12</v>
      </c>
      <c r="B60" s="236">
        <v>23125</v>
      </c>
      <c r="C60" s="236">
        <v>39880</v>
      </c>
      <c r="D60" s="236"/>
      <c r="E60" s="236"/>
      <c r="F60" s="236"/>
      <c r="G60" s="236"/>
      <c r="H60" s="350"/>
      <c r="T60" s="1126">
        <f>T55+1</f>
        <v>12</v>
      </c>
      <c r="U60" s="147"/>
      <c r="V60" s="236"/>
      <c r="W60" s="236"/>
      <c r="X60" s="236"/>
      <c r="Y60" s="236"/>
      <c r="Z60" s="236"/>
      <c r="AA60" s="236"/>
    </row>
    <row r="61" spans="1:27">
      <c r="A61" s="1125"/>
      <c r="B61" s="236"/>
      <c r="C61" s="236"/>
      <c r="D61" s="236"/>
      <c r="E61" s="236"/>
      <c r="F61" s="236"/>
      <c r="G61" s="236"/>
      <c r="H61" s="350"/>
      <c r="T61" s="1126"/>
      <c r="U61" s="147"/>
      <c r="V61" s="236"/>
      <c r="W61" s="236"/>
      <c r="X61" s="236"/>
      <c r="Y61" s="236"/>
      <c r="Z61" s="236"/>
      <c r="AA61" s="236"/>
    </row>
    <row r="62" spans="1:27">
      <c r="A62" s="1125"/>
      <c r="B62" s="236"/>
      <c r="C62" s="236"/>
      <c r="D62" s="236"/>
      <c r="E62" s="236"/>
      <c r="F62" s="236"/>
      <c r="G62" s="236"/>
      <c r="H62" s="350"/>
      <c r="T62" s="1126"/>
      <c r="U62" s="147"/>
      <c r="V62" s="236"/>
      <c r="W62" s="236"/>
      <c r="X62" s="236"/>
      <c r="Y62" s="236"/>
      <c r="Z62" s="236"/>
      <c r="AA62" s="236"/>
    </row>
    <row r="63" spans="1:27">
      <c r="A63" s="1125"/>
      <c r="B63" s="236"/>
      <c r="C63" s="236"/>
      <c r="D63" s="236"/>
      <c r="E63" s="236"/>
      <c r="F63" s="236"/>
      <c r="G63" s="236"/>
      <c r="H63" s="350"/>
      <c r="T63" s="1126"/>
      <c r="U63" s="359" t="s">
        <v>129</v>
      </c>
      <c r="V63" s="360">
        <f>C64</f>
        <v>39880</v>
      </c>
      <c r="W63" s="360">
        <f>W59+W60+W61+W62</f>
        <v>0</v>
      </c>
      <c r="X63" s="360">
        <f>X59+X60+X61+X62</f>
        <v>0</v>
      </c>
      <c r="Y63" s="360">
        <f>D64</f>
        <v>0</v>
      </c>
      <c r="Z63" s="360">
        <f>Z59+Z60+Z61+Z62</f>
        <v>0</v>
      </c>
      <c r="AA63" s="360">
        <f>AA59+AA60+AA61+AA62</f>
        <v>0</v>
      </c>
    </row>
    <row r="64" spans="1:27">
      <c r="A64" s="1125"/>
      <c r="B64" s="359" t="s">
        <v>129</v>
      </c>
      <c r="C64" s="360">
        <f>C60+C61+C62+C63</f>
        <v>39880</v>
      </c>
      <c r="D64" s="360">
        <f>D60+D61+D62+D63</f>
        <v>0</v>
      </c>
      <c r="E64" s="360">
        <f>E60+E61+E62+E63</f>
        <v>0</v>
      </c>
      <c r="F64" s="360">
        <f>F60+F61+F62+F63</f>
        <v>0</v>
      </c>
      <c r="G64" s="360"/>
      <c r="H64" s="360">
        <f>H60+H61+H62+H63</f>
        <v>0</v>
      </c>
      <c r="T64" s="1126"/>
      <c r="U64" s="362" t="s">
        <v>176</v>
      </c>
      <c r="V64" s="363">
        <f>V59+V63-W63-X63</f>
        <v>342501</v>
      </c>
      <c r="W64" s="363"/>
      <c r="X64" s="363"/>
      <c r="Y64" s="363">
        <f>Y59+Y63-Z63-AA63</f>
        <v>369270</v>
      </c>
      <c r="Z64" s="363"/>
      <c r="AA64" s="363"/>
    </row>
    <row r="65" spans="1:27">
      <c r="A65" s="1125">
        <f>A60+1</f>
        <v>13</v>
      </c>
      <c r="B65" s="236"/>
      <c r="C65" s="236"/>
      <c r="D65" s="236"/>
      <c r="E65" s="236"/>
      <c r="F65" s="236"/>
      <c r="G65" s="236"/>
      <c r="H65" s="350"/>
      <c r="T65" s="1126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25"/>
      <c r="B66" s="236"/>
      <c r="C66" s="236"/>
      <c r="D66" s="236"/>
      <c r="E66" s="236"/>
      <c r="F66" s="236"/>
      <c r="G66" s="236"/>
      <c r="H66" s="350"/>
      <c r="T66" s="1126"/>
      <c r="U66" s="147"/>
      <c r="V66" s="236"/>
      <c r="W66" s="236"/>
      <c r="X66" s="236"/>
      <c r="Y66" s="236"/>
      <c r="Z66" s="236"/>
      <c r="AA66" s="236"/>
    </row>
    <row r="67" spans="1:27">
      <c r="A67" s="1125"/>
      <c r="B67" s="236"/>
      <c r="C67" s="236"/>
      <c r="D67" s="236"/>
      <c r="E67" s="236"/>
      <c r="F67" s="236"/>
      <c r="G67" s="236"/>
      <c r="H67" s="350"/>
      <c r="T67" s="1126"/>
      <c r="U67" s="147"/>
      <c r="V67" s="236"/>
      <c r="W67" s="236"/>
      <c r="X67" s="236"/>
      <c r="Y67" s="236"/>
      <c r="Z67" s="236"/>
      <c r="AA67" s="236"/>
    </row>
    <row r="68" spans="1:27">
      <c r="A68" s="1125"/>
      <c r="B68" s="377"/>
      <c r="C68" s="236"/>
      <c r="D68" s="236"/>
      <c r="E68" s="236"/>
      <c r="F68" s="236"/>
      <c r="G68" s="236"/>
      <c r="H68" s="350"/>
      <c r="T68" s="1126"/>
      <c r="U68" s="359" t="s">
        <v>129</v>
      </c>
      <c r="V68" s="360">
        <f>C69</f>
        <v>0</v>
      </c>
      <c r="W68" s="360">
        <f>W64+W65+W66+W67</f>
        <v>0</v>
      </c>
      <c r="X68" s="360">
        <f>X64+X65+X66+X67</f>
        <v>0</v>
      </c>
      <c r="Y68" s="360">
        <f>D69</f>
        <v>0</v>
      </c>
      <c r="Z68" s="360">
        <f>Z64+Z65+Z66+Z67</f>
        <v>0</v>
      </c>
      <c r="AA68" s="360">
        <f>AA64+AA65+AA66+AA67</f>
        <v>0</v>
      </c>
    </row>
    <row r="69" spans="1:27">
      <c r="A69" s="1125"/>
      <c r="B69" s="359" t="s">
        <v>129</v>
      </c>
      <c r="C69" s="360">
        <f>C65+C66+C67+C68</f>
        <v>0</v>
      </c>
      <c r="D69" s="360">
        <f>D65+D66+D67+D68</f>
        <v>0</v>
      </c>
      <c r="E69" s="360">
        <f>E65+E66+E67+E68</f>
        <v>0</v>
      </c>
      <c r="F69" s="360">
        <f>F65+F66+F67+F68</f>
        <v>0</v>
      </c>
      <c r="G69" s="360"/>
      <c r="H69" s="360">
        <f>H65+H66+H67+H68</f>
        <v>0</v>
      </c>
      <c r="T69" s="1126"/>
      <c r="U69" s="362" t="s">
        <v>176</v>
      </c>
      <c r="V69" s="363">
        <f>V64+V68-W68-X68</f>
        <v>342501</v>
      </c>
      <c r="W69" s="363"/>
      <c r="X69" s="363"/>
      <c r="Y69" s="363">
        <f>Y64+Y68-Z68-AA68</f>
        <v>369270</v>
      </c>
      <c r="Z69" s="363"/>
      <c r="AA69" s="363"/>
    </row>
    <row r="70" spans="1:27">
      <c r="A70" s="1125">
        <f>A65+1</f>
        <v>14</v>
      </c>
      <c r="B70" s="236"/>
      <c r="C70" s="236">
        <v>23132</v>
      </c>
      <c r="D70" s="236">
        <v>32860</v>
      </c>
      <c r="E70" s="236"/>
      <c r="F70" s="236"/>
      <c r="G70" s="236"/>
      <c r="H70" s="350"/>
      <c r="T70" s="1126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25"/>
      <c r="B71" s="236"/>
      <c r="C71" s="236">
        <v>23136</v>
      </c>
      <c r="D71" s="236">
        <v>26860</v>
      </c>
      <c r="E71" s="236"/>
      <c r="F71" s="236"/>
      <c r="G71" s="349"/>
      <c r="H71" s="350"/>
      <c r="T71" s="1126"/>
      <c r="U71" s="147"/>
      <c r="V71" s="236"/>
      <c r="W71" s="236"/>
      <c r="X71" s="236"/>
      <c r="Y71" s="236"/>
      <c r="Z71" s="236"/>
      <c r="AA71" s="236"/>
    </row>
    <row r="72" spans="1:27">
      <c r="A72" s="1125"/>
      <c r="B72" s="236"/>
      <c r="C72" s="236"/>
      <c r="D72" s="236"/>
      <c r="E72" s="236"/>
      <c r="F72" s="236"/>
      <c r="G72" s="349"/>
      <c r="H72" s="350"/>
      <c r="T72" s="1126"/>
      <c r="U72" s="147"/>
      <c r="V72" s="236"/>
      <c r="W72" s="236"/>
      <c r="X72" s="236"/>
      <c r="Y72" s="236"/>
      <c r="Z72" s="236"/>
      <c r="AA72" s="236"/>
    </row>
    <row r="73" spans="1:27">
      <c r="A73" s="1125"/>
      <c r="B73" s="236"/>
      <c r="C73" s="236"/>
      <c r="D73" s="236"/>
      <c r="E73" s="236"/>
      <c r="F73" s="236"/>
      <c r="G73" s="349"/>
      <c r="H73" s="350"/>
      <c r="T73" s="1126"/>
      <c r="U73" s="359" t="s">
        <v>129</v>
      </c>
      <c r="V73" s="360">
        <f>C74</f>
        <v>46268</v>
      </c>
      <c r="W73" s="360">
        <f>W69+W70+W71+W72</f>
        <v>0</v>
      </c>
      <c r="X73" s="360">
        <f>X69+X70+X71+X72</f>
        <v>0</v>
      </c>
      <c r="Y73" s="360">
        <f>D74</f>
        <v>59720</v>
      </c>
      <c r="Z73" s="360">
        <f>Z69+Z70+Z71+Z72</f>
        <v>0</v>
      </c>
      <c r="AA73" s="360">
        <f>AA69+AA70+AA71+AA72</f>
        <v>0</v>
      </c>
    </row>
    <row r="74" spans="1:27">
      <c r="A74" s="1125"/>
      <c r="B74" s="359" t="s">
        <v>129</v>
      </c>
      <c r="C74" s="360">
        <f>C70+C71+C72+C73</f>
        <v>46268</v>
      </c>
      <c r="D74" s="360">
        <f>D70+D71+D72+D73</f>
        <v>59720</v>
      </c>
      <c r="E74" s="360">
        <f>E70+E71+E72+E73</f>
        <v>0</v>
      </c>
      <c r="F74" s="360">
        <f>F70+F71+F72+F73</f>
        <v>0</v>
      </c>
      <c r="G74" s="374"/>
      <c r="H74" s="360">
        <f>H70+H71+H72+H73</f>
        <v>0</v>
      </c>
      <c r="T74" s="1126"/>
      <c r="U74" s="362" t="s">
        <v>176</v>
      </c>
      <c r="V74" s="363">
        <f>V69+V73-W73-X73</f>
        <v>388769</v>
      </c>
      <c r="W74" s="363"/>
      <c r="X74" s="363"/>
      <c r="Y74" s="363">
        <f>Y69+Y73-Z73-AA73</f>
        <v>428990</v>
      </c>
      <c r="Z74" s="363"/>
      <c r="AA74" s="363"/>
    </row>
    <row r="75" spans="1:27">
      <c r="A75" s="1125">
        <f>A70+1</f>
        <v>15</v>
      </c>
      <c r="B75" s="236"/>
      <c r="C75" s="236">
        <v>23149</v>
      </c>
      <c r="D75" s="236">
        <v>34440</v>
      </c>
      <c r="E75" s="236"/>
      <c r="F75" s="236"/>
      <c r="G75" s="52"/>
      <c r="H75" s="350"/>
      <c r="T75" s="1126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25"/>
      <c r="B76" s="236"/>
      <c r="C76" s="236">
        <v>23157</v>
      </c>
      <c r="D76" s="236">
        <v>33210</v>
      </c>
      <c r="E76" s="236"/>
      <c r="F76" s="236"/>
      <c r="G76" s="181"/>
      <c r="H76" s="350"/>
      <c r="T76" s="1126"/>
      <c r="U76" s="147"/>
      <c r="V76" s="236"/>
      <c r="W76" s="236"/>
      <c r="X76" s="236"/>
      <c r="Y76" s="236"/>
      <c r="Z76" s="236"/>
      <c r="AA76" s="236"/>
    </row>
    <row r="77" spans="1:27">
      <c r="A77" s="1125"/>
      <c r="B77" s="236"/>
      <c r="C77" s="236">
        <v>23158</v>
      </c>
      <c r="D77" s="236">
        <v>34600</v>
      </c>
      <c r="E77" s="236"/>
      <c r="F77" s="236"/>
      <c r="G77" s="181"/>
      <c r="H77" s="350"/>
      <c r="T77" s="1126"/>
      <c r="U77" s="147"/>
      <c r="V77" s="236"/>
      <c r="W77" s="236"/>
      <c r="X77" s="236"/>
      <c r="Y77" s="236"/>
      <c r="Z77" s="236"/>
      <c r="AA77" s="236"/>
    </row>
    <row r="78" spans="1:27">
      <c r="A78" s="1125"/>
      <c r="B78" s="236"/>
      <c r="C78" s="236"/>
      <c r="D78" s="236"/>
      <c r="E78" s="236"/>
      <c r="F78" s="236"/>
      <c r="G78" s="236"/>
      <c r="H78" s="350"/>
      <c r="T78" s="1126"/>
      <c r="U78" s="359" t="s">
        <v>129</v>
      </c>
      <c r="V78" s="360">
        <f>C79</f>
        <v>69464</v>
      </c>
      <c r="W78" s="360">
        <f>W74+W75+W76+W77</f>
        <v>0</v>
      </c>
      <c r="X78" s="360">
        <f>X74+X75+X76+X77</f>
        <v>0</v>
      </c>
      <c r="Y78" s="360">
        <f>D79</f>
        <v>102250</v>
      </c>
      <c r="Z78" s="360">
        <f>Z74+Z75+Z76+Z77</f>
        <v>0</v>
      </c>
      <c r="AA78" s="360">
        <f>AA74+AA75+AA76+AA77</f>
        <v>0</v>
      </c>
    </row>
    <row r="79" spans="1:27">
      <c r="A79" s="1125"/>
      <c r="B79" s="359" t="s">
        <v>129</v>
      </c>
      <c r="C79" s="360">
        <f>C75+C76+C77+C78</f>
        <v>69464</v>
      </c>
      <c r="D79" s="360">
        <f>D75+D76+D77+D78</f>
        <v>102250</v>
      </c>
      <c r="E79" s="360">
        <f>E75+E76+E77+E78</f>
        <v>0</v>
      </c>
      <c r="F79" s="360">
        <f>F75+F76+F77+F78</f>
        <v>0</v>
      </c>
      <c r="G79" s="360"/>
      <c r="H79" s="360">
        <f>H75+H76+H77+H78</f>
        <v>0</v>
      </c>
      <c r="T79" s="1126"/>
      <c r="U79" s="362" t="s">
        <v>176</v>
      </c>
      <c r="V79" s="363">
        <f>V74+V78-W78-X78</f>
        <v>458233</v>
      </c>
      <c r="W79" s="363"/>
      <c r="X79" s="363"/>
      <c r="Y79" s="363">
        <f>Y74+Y78-Z78-AA78</f>
        <v>531240</v>
      </c>
      <c r="Z79" s="363"/>
      <c r="AA79" s="363"/>
    </row>
    <row r="80" spans="1:27">
      <c r="A80" s="1125">
        <f>A75+1</f>
        <v>16</v>
      </c>
      <c r="B80" s="236"/>
      <c r="C80" s="236"/>
      <c r="D80" s="236"/>
      <c r="E80" s="236"/>
      <c r="F80" s="236"/>
      <c r="G80" s="236"/>
      <c r="H80" s="350"/>
      <c r="T80" s="1126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25"/>
      <c r="B81" s="236"/>
      <c r="C81" s="236"/>
      <c r="D81" s="236"/>
      <c r="E81" s="236"/>
      <c r="F81" s="236"/>
      <c r="G81" s="236"/>
      <c r="H81" s="350"/>
      <c r="T81" s="1126"/>
      <c r="U81" s="147"/>
      <c r="V81" s="236"/>
      <c r="W81" s="236"/>
      <c r="X81" s="236"/>
      <c r="Y81" s="236"/>
      <c r="Z81" s="236"/>
      <c r="AA81" s="236"/>
    </row>
    <row r="82" spans="1:27">
      <c r="A82" s="1125"/>
      <c r="B82" s="236"/>
      <c r="C82" s="236"/>
      <c r="D82" s="236"/>
      <c r="E82" s="236"/>
      <c r="F82" s="236"/>
      <c r="G82" s="236"/>
      <c r="H82" s="350"/>
      <c r="T82" s="1126"/>
      <c r="U82" s="147"/>
      <c r="V82" s="236"/>
      <c r="W82" s="236"/>
      <c r="X82" s="236"/>
      <c r="Y82" s="236"/>
      <c r="Z82" s="236"/>
      <c r="AA82" s="236"/>
    </row>
    <row r="83" spans="1:27">
      <c r="A83" s="1125"/>
      <c r="B83" s="236"/>
      <c r="C83" s="236"/>
      <c r="D83" s="236"/>
      <c r="E83" s="236"/>
      <c r="F83" s="236"/>
      <c r="G83" s="236"/>
      <c r="H83" s="350"/>
      <c r="T83" s="1126"/>
      <c r="U83" s="359" t="s">
        <v>129</v>
      </c>
      <c r="V83" s="360">
        <f>C84</f>
        <v>0</v>
      </c>
      <c r="W83" s="360">
        <f>W79+W80+W81+W82</f>
        <v>0</v>
      </c>
      <c r="X83" s="360">
        <f>X79+X80+X81+X82</f>
        <v>0</v>
      </c>
      <c r="Y83" s="360">
        <f>D84</f>
        <v>0</v>
      </c>
      <c r="Z83" s="360">
        <f>Z79+Z80+Z81+Z82</f>
        <v>0</v>
      </c>
      <c r="AA83" s="360">
        <f>AA79+AA80+AA81+AA82</f>
        <v>0</v>
      </c>
    </row>
    <row r="84" spans="1:27">
      <c r="A84" s="1125"/>
      <c r="B84" s="359" t="s">
        <v>129</v>
      </c>
      <c r="C84" s="360">
        <f>C80+C81+C82+C83</f>
        <v>0</v>
      </c>
      <c r="D84" s="360">
        <f>D80+D81+D82+D83</f>
        <v>0</v>
      </c>
      <c r="E84" s="360">
        <f>E80+E81+E82+E83</f>
        <v>0</v>
      </c>
      <c r="F84" s="360">
        <f>F80+F81+F82+F83</f>
        <v>0</v>
      </c>
      <c r="G84" s="360"/>
      <c r="H84" s="360">
        <f>H80+H81+H82+H83</f>
        <v>0</v>
      </c>
      <c r="T84" s="1126"/>
      <c r="U84" s="362" t="s">
        <v>176</v>
      </c>
      <c r="V84" s="363">
        <f>V79+V83-W83-X83</f>
        <v>458233</v>
      </c>
      <c r="W84" s="363"/>
      <c r="X84" s="363"/>
      <c r="Y84" s="363">
        <f>Y79+Y83-Z83-AA83</f>
        <v>531240</v>
      </c>
      <c r="Z84" s="363"/>
      <c r="AA84" s="363"/>
    </row>
    <row r="85" spans="1:27">
      <c r="A85" s="1125">
        <f>A80+1</f>
        <v>17</v>
      </c>
      <c r="B85" s="236">
        <v>23179</v>
      </c>
      <c r="C85" s="236"/>
      <c r="D85" s="236">
        <v>27070</v>
      </c>
      <c r="E85" s="236"/>
      <c r="F85" s="236"/>
      <c r="G85" s="236"/>
      <c r="H85" s="350"/>
      <c r="T85" s="1126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25"/>
      <c r="B86" s="236">
        <v>13185</v>
      </c>
      <c r="C86" s="236"/>
      <c r="D86" s="236">
        <v>33150</v>
      </c>
      <c r="E86" s="236"/>
      <c r="F86" s="236"/>
      <c r="G86" s="236"/>
      <c r="H86" s="350"/>
      <c r="T86" s="1126"/>
      <c r="U86" s="147"/>
      <c r="V86" s="236"/>
      <c r="W86" s="236"/>
      <c r="X86" s="236"/>
      <c r="Y86" s="236"/>
      <c r="Z86" s="236"/>
      <c r="AA86" s="236"/>
    </row>
    <row r="87" spans="1:27">
      <c r="A87" s="1125"/>
      <c r="B87" s="236">
        <v>13181</v>
      </c>
      <c r="C87" s="236"/>
      <c r="D87" s="236"/>
      <c r="E87" s="236">
        <v>26990</v>
      </c>
      <c r="F87" s="236"/>
      <c r="G87" s="236"/>
      <c r="H87" s="350"/>
      <c r="T87" s="1126"/>
      <c r="U87" s="147"/>
      <c r="V87" s="236"/>
      <c r="W87" s="236"/>
      <c r="X87" s="236"/>
      <c r="Y87" s="236"/>
      <c r="Z87" s="236"/>
      <c r="AA87" s="236"/>
    </row>
    <row r="88" spans="1:27">
      <c r="A88" s="1125"/>
      <c r="B88" s="236"/>
      <c r="C88" s="236"/>
      <c r="D88" s="236"/>
      <c r="E88" s="236"/>
      <c r="F88" s="236"/>
      <c r="G88" s="236"/>
      <c r="H88" s="350"/>
      <c r="T88" s="1126"/>
      <c r="U88" s="359" t="s">
        <v>129</v>
      </c>
      <c r="V88" s="360">
        <f>C89</f>
        <v>0</v>
      </c>
      <c r="W88" s="360">
        <f>W84+W85+W86+W87</f>
        <v>0</v>
      </c>
      <c r="X88" s="360">
        <f>X84+X85+X86+X87</f>
        <v>0</v>
      </c>
      <c r="Y88" s="360">
        <f>D89</f>
        <v>60220</v>
      </c>
      <c r="Z88" s="360">
        <f>Z84+Z85+Z86+Z87</f>
        <v>0</v>
      </c>
      <c r="AA88" s="360">
        <f>AA84+AA85+AA86+AA87</f>
        <v>0</v>
      </c>
    </row>
    <row r="89" spans="1:27">
      <c r="A89" s="1125"/>
      <c r="B89" s="359" t="s">
        <v>129</v>
      </c>
      <c r="C89" s="360">
        <f>C85+C86+C87+C88</f>
        <v>0</v>
      </c>
      <c r="D89" s="360">
        <f>D85+D86+D87+D88</f>
        <v>60220</v>
      </c>
      <c r="E89" s="360">
        <f>E85+E86+E87+E88</f>
        <v>26990</v>
      </c>
      <c r="F89" s="360">
        <f>F85+F86+F87+F88</f>
        <v>0</v>
      </c>
      <c r="G89" s="361"/>
      <c r="H89" s="360">
        <f>H85+H86+H87+H88</f>
        <v>0</v>
      </c>
      <c r="T89" s="1126"/>
      <c r="U89" s="362" t="s">
        <v>176</v>
      </c>
      <c r="V89" s="363">
        <f>V84+V88-W88-X88</f>
        <v>458233</v>
      </c>
      <c r="W89" s="363"/>
      <c r="X89" s="363"/>
      <c r="Y89" s="363">
        <f>Y84+Y88-Z88-AA88</f>
        <v>591460</v>
      </c>
      <c r="Z89" s="363"/>
      <c r="AA89" s="363"/>
    </row>
    <row r="90" spans="1:27">
      <c r="A90" s="1125">
        <f>A85+1</f>
        <v>18</v>
      </c>
      <c r="B90" s="236">
        <v>23203</v>
      </c>
      <c r="C90" s="236">
        <v>33200</v>
      </c>
      <c r="D90" s="236"/>
      <c r="E90" s="236"/>
      <c r="F90" s="236"/>
      <c r="G90" s="349"/>
      <c r="H90" s="350"/>
      <c r="T90" s="1126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25"/>
      <c r="B91" s="236">
        <v>23221</v>
      </c>
      <c r="C91" s="236">
        <v>34640</v>
      </c>
      <c r="D91" s="236"/>
      <c r="E91" s="236"/>
      <c r="F91" s="236"/>
      <c r="G91" s="349"/>
      <c r="H91" s="350"/>
      <c r="T91" s="1126"/>
      <c r="U91" s="147"/>
      <c r="V91" s="236"/>
      <c r="W91" s="236"/>
      <c r="X91" s="236"/>
      <c r="Y91" s="236"/>
      <c r="Z91" s="236"/>
      <c r="AA91" s="236"/>
    </row>
    <row r="92" spans="1:27">
      <c r="A92" s="1125"/>
      <c r="B92" s="236">
        <v>23202</v>
      </c>
      <c r="C92" s="236">
        <v>34620</v>
      </c>
      <c r="D92" s="236"/>
      <c r="E92" s="236"/>
      <c r="F92" s="236"/>
      <c r="G92" s="349"/>
      <c r="H92" s="350"/>
      <c r="T92" s="1126"/>
      <c r="U92" s="147"/>
      <c r="V92" s="236"/>
      <c r="W92" s="236"/>
      <c r="X92" s="236"/>
      <c r="Y92" s="236"/>
      <c r="Z92" s="236"/>
      <c r="AA92" s="236"/>
    </row>
    <row r="93" spans="1:27">
      <c r="A93" s="1125"/>
      <c r="B93" s="236"/>
      <c r="C93" s="236"/>
      <c r="D93" s="236"/>
      <c r="E93" s="236"/>
      <c r="F93" s="236"/>
      <c r="G93" s="349"/>
      <c r="H93" s="350"/>
      <c r="T93" s="1126"/>
      <c r="U93" s="359" t="s">
        <v>129</v>
      </c>
      <c r="V93" s="360">
        <f>C94</f>
        <v>102460</v>
      </c>
      <c r="W93" s="360">
        <f>W89+W90+W91+W92</f>
        <v>0</v>
      </c>
      <c r="X93" s="360">
        <f>X89+X90+X91+X92</f>
        <v>0</v>
      </c>
      <c r="Y93" s="360">
        <f>D94</f>
        <v>0</v>
      </c>
      <c r="Z93" s="360">
        <f>Z89+Z90+Z91+Z92</f>
        <v>0</v>
      </c>
      <c r="AA93" s="360">
        <f>AA89+AA90+AA91+AA92</f>
        <v>0</v>
      </c>
    </row>
    <row r="94" spans="1:27">
      <c r="A94" s="1125"/>
      <c r="B94" s="376" t="s">
        <v>129</v>
      </c>
      <c r="C94" s="360">
        <f>C90+C91+C92+C93</f>
        <v>102460</v>
      </c>
      <c r="D94" s="360">
        <f>D90+D91+D92+D93</f>
        <v>0</v>
      </c>
      <c r="E94" s="360">
        <f>E90+E91+E92+E93</f>
        <v>0</v>
      </c>
      <c r="F94" s="360">
        <f>F90+F91+F92+F93</f>
        <v>0</v>
      </c>
      <c r="G94" s="374"/>
      <c r="H94" s="360">
        <f>H90+H91+H92+H93</f>
        <v>0</v>
      </c>
      <c r="T94" s="1126"/>
      <c r="U94" s="362" t="s">
        <v>176</v>
      </c>
      <c r="V94" s="363">
        <f>V89+V93-W93-X93</f>
        <v>560693</v>
      </c>
      <c r="W94" s="363"/>
      <c r="X94" s="363"/>
      <c r="Y94" s="363">
        <f>Y89+Y93-Z93-AA93</f>
        <v>591460</v>
      </c>
      <c r="Z94" s="363"/>
      <c r="AA94" s="363"/>
    </row>
    <row r="95" spans="1:27">
      <c r="A95" s="1125">
        <f>A90+1</f>
        <v>19</v>
      </c>
      <c r="B95" s="236">
        <v>23322</v>
      </c>
      <c r="C95" s="236"/>
      <c r="D95" s="236">
        <v>33140</v>
      </c>
      <c r="E95" s="236"/>
      <c r="F95" s="236"/>
      <c r="G95" s="236"/>
      <c r="H95" s="350"/>
      <c r="T95" s="1126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25"/>
      <c r="B96" s="236">
        <v>23224</v>
      </c>
      <c r="C96" s="236">
        <v>34500</v>
      </c>
      <c r="D96" s="236"/>
      <c r="E96" s="236"/>
      <c r="F96" s="236"/>
      <c r="G96" s="236"/>
      <c r="H96" s="350"/>
      <c r="T96" s="1126"/>
      <c r="U96" s="147"/>
      <c r="V96" s="236"/>
      <c r="W96" s="236"/>
      <c r="X96" s="236"/>
      <c r="Y96" s="236"/>
      <c r="Z96" s="236"/>
      <c r="AA96" s="236"/>
    </row>
    <row r="97" spans="1:27">
      <c r="A97" s="1125"/>
      <c r="B97" s="236"/>
      <c r="C97" s="236"/>
      <c r="D97" s="236"/>
      <c r="E97" s="236"/>
      <c r="F97" s="236"/>
      <c r="G97" s="236"/>
      <c r="H97" s="350"/>
      <c r="T97" s="1126"/>
      <c r="U97" s="147"/>
      <c r="V97" s="236"/>
      <c r="W97" s="236"/>
      <c r="X97" s="236"/>
      <c r="Y97" s="236"/>
      <c r="Z97" s="236"/>
      <c r="AA97" s="236"/>
    </row>
    <row r="98" spans="1:27">
      <c r="A98" s="1125"/>
      <c r="B98" s="236"/>
      <c r="C98" s="236"/>
      <c r="D98" s="236"/>
      <c r="E98" s="236"/>
      <c r="F98" s="236"/>
      <c r="G98" s="236"/>
      <c r="H98" s="350"/>
      <c r="T98" s="1126"/>
      <c r="U98" s="359" t="s">
        <v>129</v>
      </c>
      <c r="V98" s="360">
        <f>C99</f>
        <v>34500</v>
      </c>
      <c r="W98" s="360">
        <f>W94+W95+W96+W97</f>
        <v>0</v>
      </c>
      <c r="X98" s="360">
        <f>X94+X95+X96+X97</f>
        <v>0</v>
      </c>
      <c r="Y98" s="360">
        <f>D99</f>
        <v>33140</v>
      </c>
      <c r="Z98" s="360">
        <f>Z94+Z95+Z96+Z97</f>
        <v>0</v>
      </c>
      <c r="AA98" s="360">
        <f>AA94+AA95+AA96+AA97</f>
        <v>0</v>
      </c>
    </row>
    <row r="99" spans="1:27">
      <c r="A99" s="1125"/>
      <c r="B99" s="359" t="s">
        <v>129</v>
      </c>
      <c r="C99" s="360">
        <f>C95+C96+C97+C98</f>
        <v>34500</v>
      </c>
      <c r="D99" s="360">
        <f>D95+D96+D97+D98</f>
        <v>33140</v>
      </c>
      <c r="E99" s="360">
        <f>E95+E96+E97+E98</f>
        <v>0</v>
      </c>
      <c r="F99" s="360">
        <f>F95+F96+F97+F98</f>
        <v>0</v>
      </c>
      <c r="G99" s="360"/>
      <c r="H99" s="360">
        <f>H95+H96+H97+H98</f>
        <v>0</v>
      </c>
      <c r="T99" s="1126"/>
      <c r="U99" s="362" t="s">
        <v>176</v>
      </c>
      <c r="V99" s="363">
        <f>V94+V98-W98-X98</f>
        <v>595193</v>
      </c>
      <c r="W99" s="363"/>
      <c r="X99" s="363"/>
      <c r="Y99" s="363">
        <f>Y94+Y98-Z98-AA98</f>
        <v>624600</v>
      </c>
      <c r="Z99" s="363"/>
      <c r="AA99" s="363"/>
    </row>
    <row r="100" spans="1:27">
      <c r="A100" s="1125">
        <f>A95+1</f>
        <v>20</v>
      </c>
      <c r="B100" s="236"/>
      <c r="C100" s="236"/>
      <c r="D100" s="236"/>
      <c r="E100" s="236"/>
      <c r="F100" s="236"/>
      <c r="G100" s="236"/>
      <c r="H100" s="350"/>
      <c r="T100" s="1126">
        <f>T95+1</f>
        <v>20</v>
      </c>
      <c r="U100" s="147"/>
      <c r="V100" s="236"/>
      <c r="W100" s="236"/>
      <c r="X100" s="236"/>
      <c r="Y100" s="236"/>
      <c r="Z100" s="236"/>
      <c r="AA100" s="236"/>
    </row>
    <row r="101" spans="1:27">
      <c r="A101" s="1125"/>
      <c r="B101" s="236"/>
      <c r="C101" s="236"/>
      <c r="D101" s="236"/>
      <c r="E101" s="236"/>
      <c r="F101" s="236"/>
      <c r="G101" s="236"/>
      <c r="H101" s="350"/>
      <c r="T101" s="1126"/>
      <c r="U101" s="147"/>
      <c r="V101" s="236"/>
      <c r="W101" s="236"/>
      <c r="X101" s="236"/>
      <c r="Y101" s="236"/>
      <c r="Z101" s="236"/>
      <c r="AA101" s="236"/>
    </row>
    <row r="102" spans="1:27">
      <c r="A102" s="1125"/>
      <c r="B102" s="236"/>
      <c r="C102" s="236"/>
      <c r="D102" s="236"/>
      <c r="E102" s="236"/>
      <c r="F102" s="236"/>
      <c r="G102" s="349"/>
      <c r="H102" s="350"/>
      <c r="T102" s="1126"/>
      <c r="U102" s="147"/>
      <c r="V102" s="236"/>
      <c r="W102" s="236"/>
      <c r="X102" s="236"/>
      <c r="Y102" s="236"/>
      <c r="Z102" s="236"/>
      <c r="AA102" s="236"/>
    </row>
    <row r="103" spans="1:27">
      <c r="A103" s="1125"/>
      <c r="B103" s="236"/>
      <c r="C103" s="236"/>
      <c r="D103" s="236"/>
      <c r="E103" s="236"/>
      <c r="F103" s="236"/>
      <c r="G103" s="349"/>
      <c r="H103" s="350"/>
      <c r="T103" s="1126"/>
      <c r="U103" s="359" t="s">
        <v>129</v>
      </c>
      <c r="V103" s="360">
        <f>C105</f>
        <v>0</v>
      </c>
      <c r="W103" s="360">
        <f>W99+W100+W101+W102</f>
        <v>0</v>
      </c>
      <c r="X103" s="360">
        <f>X99+X100+X101+X102</f>
        <v>0</v>
      </c>
      <c r="Y103" s="360">
        <f>D105</f>
        <v>34430</v>
      </c>
      <c r="Z103" s="360">
        <f>Z99+Z100+Z101+Z102</f>
        <v>0</v>
      </c>
      <c r="AA103" s="360">
        <f>AA99+AA100+AA101+AA102</f>
        <v>0</v>
      </c>
    </row>
    <row r="104" spans="1:27">
      <c r="A104" s="1125"/>
      <c r="B104" s="359" t="s">
        <v>129</v>
      </c>
      <c r="C104" s="360">
        <f>C100+C101+C102+C103</f>
        <v>0</v>
      </c>
      <c r="D104" s="360">
        <f>D100+D101+D102+D103</f>
        <v>0</v>
      </c>
      <c r="E104" s="360">
        <f>E100+E101+E102+E103</f>
        <v>0</v>
      </c>
      <c r="F104" s="360">
        <f>F100+F101+F102+F103</f>
        <v>0</v>
      </c>
      <c r="G104" s="361"/>
      <c r="H104" s="360">
        <f>H100+H101+H102+H103</f>
        <v>0</v>
      </c>
      <c r="T104" s="1126"/>
      <c r="U104" s="362" t="s">
        <v>176</v>
      </c>
      <c r="V104" s="363">
        <f>V99+V103-W103-X103</f>
        <v>595193</v>
      </c>
      <c r="W104" s="363"/>
      <c r="X104" s="363"/>
      <c r="Y104" s="363">
        <f>Y99+Y103-Z103-AA103</f>
        <v>659030</v>
      </c>
      <c r="Z104" s="363"/>
      <c r="AA104" s="363"/>
    </row>
    <row r="105" spans="1:27">
      <c r="A105" s="1125">
        <f>A100+1</f>
        <v>21</v>
      </c>
      <c r="B105" s="236">
        <v>23232</v>
      </c>
      <c r="C105" s="236"/>
      <c r="D105" s="236">
        <v>34430</v>
      </c>
      <c r="E105" s="236"/>
      <c r="F105" s="236"/>
      <c r="G105" s="52"/>
      <c r="H105" s="350"/>
      <c r="T105" s="1126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25"/>
      <c r="B106" s="236">
        <v>23234</v>
      </c>
      <c r="C106" s="236"/>
      <c r="D106" s="236">
        <v>35600</v>
      </c>
      <c r="E106" s="236"/>
      <c r="F106" s="236"/>
      <c r="G106" s="52"/>
      <c r="H106" s="350"/>
      <c r="T106" s="1126"/>
      <c r="U106" s="147"/>
      <c r="V106" s="236"/>
      <c r="W106" s="236"/>
      <c r="X106" s="236"/>
      <c r="Y106" s="236"/>
      <c r="Z106" s="236"/>
      <c r="AA106" s="236"/>
    </row>
    <row r="107" spans="1:27">
      <c r="A107" s="1125"/>
      <c r="B107" s="236">
        <v>23235</v>
      </c>
      <c r="C107" s="236"/>
      <c r="D107" s="236"/>
      <c r="E107" s="236">
        <v>33210</v>
      </c>
      <c r="F107" s="236"/>
      <c r="G107" s="181"/>
      <c r="H107" s="350"/>
      <c r="T107" s="1126"/>
      <c r="U107" s="147"/>
      <c r="V107" s="236"/>
      <c r="W107" s="236"/>
      <c r="X107" s="236"/>
      <c r="Y107" s="236"/>
      <c r="Z107" s="236"/>
      <c r="AA107" s="236"/>
    </row>
    <row r="108" spans="1:27">
      <c r="A108" s="1125"/>
      <c r="B108" s="236"/>
      <c r="C108" s="236"/>
      <c r="D108" s="236"/>
      <c r="E108" s="236"/>
      <c r="F108" s="236"/>
      <c r="G108" s="181"/>
      <c r="H108" s="350"/>
      <c r="T108" s="1126"/>
      <c r="U108" s="359" t="s">
        <v>129</v>
      </c>
      <c r="V108" s="360">
        <f>C110</f>
        <v>33300</v>
      </c>
      <c r="W108" s="360">
        <f>W104+W105+W106+W107</f>
        <v>0</v>
      </c>
      <c r="X108" s="360">
        <f>X104+X105+X106+X107</f>
        <v>0</v>
      </c>
      <c r="Y108" s="360">
        <f>D110</f>
        <v>0</v>
      </c>
      <c r="Z108" s="360">
        <f>Z104+Z105+Z106+Z107</f>
        <v>0</v>
      </c>
      <c r="AA108" s="360">
        <f>AA104+AA105+AA106+AA107</f>
        <v>0</v>
      </c>
    </row>
    <row r="109" spans="1:27">
      <c r="A109" s="1125"/>
      <c r="B109" s="359" t="s">
        <v>129</v>
      </c>
      <c r="C109" s="360">
        <f>C105+C106+C107+C108</f>
        <v>0</v>
      </c>
      <c r="D109" s="360">
        <f>D105+D106+D107+D108</f>
        <v>70030</v>
      </c>
      <c r="E109" s="360">
        <f>E105+E106+E107+E108</f>
        <v>33210</v>
      </c>
      <c r="F109" s="360">
        <f>F105+F106+F107+F108</f>
        <v>0</v>
      </c>
      <c r="G109" s="360"/>
      <c r="H109" s="360">
        <f>H105+H106+H107+H108</f>
        <v>0</v>
      </c>
      <c r="T109" s="1126"/>
      <c r="U109" s="362" t="s">
        <v>176</v>
      </c>
      <c r="V109" s="363">
        <f>V104+V108-W108-X108</f>
        <v>628493</v>
      </c>
      <c r="W109" s="363"/>
      <c r="X109" s="363"/>
      <c r="Y109" s="363">
        <f>Y104+Y108-Z108-AA108</f>
        <v>659030</v>
      </c>
      <c r="Z109" s="363"/>
      <c r="AA109" s="363"/>
    </row>
    <row r="110" spans="1:27">
      <c r="A110" s="1125">
        <f>A105+1</f>
        <v>22</v>
      </c>
      <c r="B110" s="236">
        <v>23240</v>
      </c>
      <c r="C110" s="236">
        <v>33300</v>
      </c>
      <c r="D110" s="236"/>
      <c r="E110" s="236"/>
      <c r="F110" s="236"/>
      <c r="G110" s="236"/>
      <c r="H110" s="350"/>
      <c r="T110" s="1126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25"/>
      <c r="B111" s="236">
        <v>23238</v>
      </c>
      <c r="C111" s="236">
        <v>26980</v>
      </c>
      <c r="D111" s="236"/>
      <c r="E111" s="236"/>
      <c r="F111" s="236"/>
      <c r="G111" s="236"/>
      <c r="H111" s="350"/>
      <c r="T111" s="1126"/>
      <c r="U111" s="147"/>
      <c r="V111" s="236"/>
      <c r="W111" s="236"/>
      <c r="X111" s="236"/>
      <c r="Y111" s="236"/>
      <c r="Z111" s="236"/>
      <c r="AA111" s="236"/>
    </row>
    <row r="112" spans="1:27">
      <c r="A112" s="1125"/>
      <c r="B112" s="236">
        <v>23241</v>
      </c>
      <c r="C112" s="236">
        <v>34730</v>
      </c>
      <c r="D112" s="236"/>
      <c r="E112" s="236"/>
      <c r="F112" s="236"/>
      <c r="G112" s="236"/>
      <c r="H112" s="350"/>
      <c r="T112" s="1126"/>
      <c r="U112" s="147"/>
      <c r="V112" s="236"/>
      <c r="W112" s="236"/>
      <c r="X112" s="236"/>
      <c r="Y112" s="236"/>
      <c r="Z112" s="236"/>
      <c r="AA112" s="236"/>
    </row>
    <row r="113" spans="1:27">
      <c r="A113" s="1125"/>
      <c r="B113" s="236"/>
      <c r="C113" s="236"/>
      <c r="D113" s="236"/>
      <c r="E113" s="236"/>
      <c r="F113" s="236"/>
      <c r="G113" s="236"/>
      <c r="H113" s="350"/>
      <c r="T113" s="1126"/>
      <c r="U113" s="359" t="s">
        <v>129</v>
      </c>
      <c r="V113" s="360">
        <f>C115</f>
        <v>34500</v>
      </c>
      <c r="W113" s="360">
        <f>W109+W110+W111+W112</f>
        <v>0</v>
      </c>
      <c r="X113" s="360">
        <f>X109+X110+X111+X112</f>
        <v>0</v>
      </c>
      <c r="Y113" s="360">
        <f>D115</f>
        <v>0</v>
      </c>
      <c r="Z113" s="360">
        <f>Z109+Z110+Z111+Z112</f>
        <v>0</v>
      </c>
      <c r="AA113" s="360">
        <f>AA109+AA110+AA111+AA112</f>
        <v>0</v>
      </c>
    </row>
    <row r="114" spans="1:27">
      <c r="A114" s="1125"/>
      <c r="B114" s="359" t="s">
        <v>129</v>
      </c>
      <c r="C114" s="360">
        <f>C110+C111+C112+C113</f>
        <v>95010</v>
      </c>
      <c r="D114" s="360">
        <f>D110+D111+D112+D113</f>
        <v>0</v>
      </c>
      <c r="E114" s="360">
        <f>E110+E111+E112+E113</f>
        <v>0</v>
      </c>
      <c r="F114" s="360">
        <f>F110+F111+F112+F113</f>
        <v>0</v>
      </c>
      <c r="G114" s="360"/>
      <c r="H114" s="360">
        <f>H110+H111+H112+H113</f>
        <v>0</v>
      </c>
      <c r="T114" s="1126"/>
      <c r="U114" s="362" t="s">
        <v>176</v>
      </c>
      <c r="V114" s="363">
        <f>V109+V113-W113-X113</f>
        <v>662993</v>
      </c>
      <c r="W114" s="363"/>
      <c r="X114" s="363"/>
      <c r="Y114" s="363">
        <f>Y109+Y113-Z113-AA113</f>
        <v>659030</v>
      </c>
      <c r="Z114" s="363"/>
      <c r="AA114" s="363"/>
    </row>
    <row r="115" spans="1:27">
      <c r="A115" s="1125">
        <f>A110+1</f>
        <v>23</v>
      </c>
      <c r="B115" s="236">
        <v>23256</v>
      </c>
      <c r="C115" s="236">
        <v>34500</v>
      </c>
      <c r="D115" s="236"/>
      <c r="E115" s="236"/>
      <c r="F115" s="236"/>
      <c r="G115" s="236"/>
      <c r="H115" s="350"/>
      <c r="T115" s="1126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25"/>
      <c r="B116" s="236">
        <v>23257</v>
      </c>
      <c r="C116" s="236">
        <v>27900</v>
      </c>
      <c r="D116" s="236"/>
      <c r="E116" s="236"/>
      <c r="F116" s="236"/>
      <c r="G116" s="236"/>
      <c r="H116" s="350"/>
      <c r="T116" s="1126"/>
      <c r="U116" s="147"/>
      <c r="V116" s="236"/>
      <c r="W116" s="236"/>
      <c r="X116" s="236"/>
      <c r="Y116" s="236"/>
      <c r="Z116" s="236"/>
      <c r="AA116" s="236"/>
    </row>
    <row r="117" spans="1:27">
      <c r="A117" s="1125"/>
      <c r="B117" s="236">
        <v>23272</v>
      </c>
      <c r="C117" s="236">
        <v>34440</v>
      </c>
      <c r="D117" s="236"/>
      <c r="E117" s="236"/>
      <c r="F117" s="236"/>
      <c r="G117" s="236"/>
      <c r="H117" s="350"/>
      <c r="T117" s="1126"/>
      <c r="U117" s="147"/>
      <c r="V117" s="236"/>
      <c r="W117" s="236"/>
      <c r="X117" s="236"/>
      <c r="Y117" s="236"/>
      <c r="Z117" s="236"/>
      <c r="AA117" s="236"/>
    </row>
    <row r="118" spans="1:27">
      <c r="A118" s="1125"/>
      <c r="B118" s="236"/>
      <c r="C118" s="236"/>
      <c r="D118" s="236"/>
      <c r="E118" s="236"/>
      <c r="F118" s="236"/>
      <c r="G118" s="236"/>
      <c r="H118" s="350"/>
      <c r="T118" s="1126"/>
      <c r="U118" s="359" t="s">
        <v>129</v>
      </c>
      <c r="V118" s="360">
        <f>C120</f>
        <v>0</v>
      </c>
      <c r="W118" s="360">
        <f>W114+W115+W116+W117</f>
        <v>0</v>
      </c>
      <c r="X118" s="360">
        <f>X114+X115+X116+X117</f>
        <v>0</v>
      </c>
      <c r="Y118" s="360">
        <f>D120</f>
        <v>0</v>
      </c>
      <c r="Z118" s="360">
        <f>Z114+Z115+Z116+Z117</f>
        <v>0</v>
      </c>
      <c r="AA118" s="360">
        <f>AA114+AA115+AA116+AA117</f>
        <v>0</v>
      </c>
    </row>
    <row r="119" spans="1:27">
      <c r="A119" s="1125"/>
      <c r="B119" s="359" t="s">
        <v>129</v>
      </c>
      <c r="C119" s="360">
        <f>C115+C116+C117+C118</f>
        <v>96840</v>
      </c>
      <c r="D119" s="360">
        <f>D115+D116+D117+D118</f>
        <v>0</v>
      </c>
      <c r="E119" s="360">
        <f>E115+E116+E117+E118</f>
        <v>0</v>
      </c>
      <c r="F119" s="360">
        <f>F115+F116+F117+F118</f>
        <v>0</v>
      </c>
      <c r="G119" s="360"/>
      <c r="H119" s="360">
        <f>H115+H116+H117+H118</f>
        <v>0</v>
      </c>
      <c r="T119" s="1126"/>
      <c r="U119" s="362" t="s">
        <v>176</v>
      </c>
      <c r="V119" s="363">
        <f>V114+V118-W118-X118</f>
        <v>662993</v>
      </c>
      <c r="W119" s="363"/>
      <c r="X119" s="363"/>
      <c r="Y119" s="363">
        <f>Y114+Y118-Z118-AA118</f>
        <v>659030</v>
      </c>
      <c r="Z119" s="363"/>
      <c r="AA119" s="363"/>
    </row>
    <row r="120" spans="1:27">
      <c r="A120" s="1125">
        <f>A115+1</f>
        <v>24</v>
      </c>
      <c r="B120" s="236"/>
      <c r="C120" s="236"/>
      <c r="D120" s="236"/>
      <c r="E120" s="236"/>
      <c r="F120" s="236"/>
      <c r="G120" s="349"/>
      <c r="H120" s="350"/>
      <c r="T120" s="1126">
        <f>T115+1</f>
        <v>24</v>
      </c>
      <c r="U120" s="236"/>
      <c r="V120" s="236"/>
      <c r="W120" s="236"/>
      <c r="X120" s="236"/>
      <c r="Y120" s="236"/>
      <c r="Z120" s="236"/>
      <c r="AA120" s="236"/>
    </row>
    <row r="121" spans="1:27">
      <c r="A121" s="1125"/>
      <c r="B121" s="236"/>
      <c r="C121" s="236"/>
      <c r="D121" s="236"/>
      <c r="E121" s="236"/>
      <c r="F121" s="236"/>
      <c r="G121" s="349"/>
      <c r="H121" s="350"/>
      <c r="T121" s="1126"/>
      <c r="U121" s="236"/>
      <c r="V121" s="236"/>
      <c r="W121" s="236"/>
      <c r="X121" s="236"/>
      <c r="Y121" s="236"/>
      <c r="Z121" s="236"/>
      <c r="AA121" s="236"/>
    </row>
    <row r="122" spans="1:27">
      <c r="A122" s="1125"/>
      <c r="B122" s="236"/>
      <c r="C122" s="236"/>
      <c r="D122" s="236"/>
      <c r="E122" s="236"/>
      <c r="F122" s="236"/>
      <c r="G122" s="349"/>
      <c r="H122" s="350"/>
      <c r="T122" s="1126"/>
      <c r="U122" s="236"/>
      <c r="V122" s="236"/>
      <c r="W122" s="236"/>
      <c r="X122" s="236"/>
      <c r="Y122" s="236"/>
      <c r="Z122" s="236"/>
      <c r="AA122" s="236"/>
    </row>
    <row r="123" spans="1:27">
      <c r="A123" s="1125"/>
      <c r="B123" s="236"/>
      <c r="C123" s="236"/>
      <c r="D123" s="236"/>
      <c r="E123" s="236"/>
      <c r="F123" s="236"/>
      <c r="G123" s="52"/>
      <c r="H123" s="350"/>
      <c r="T123" s="1126"/>
      <c r="U123" s="359" t="s">
        <v>129</v>
      </c>
      <c r="V123" s="360">
        <f>C125</f>
        <v>0</v>
      </c>
      <c r="W123" s="360">
        <f>W119+W120+W121+W122</f>
        <v>0</v>
      </c>
      <c r="X123" s="360">
        <f>X119+X120+X121+X122</f>
        <v>0</v>
      </c>
      <c r="Y123" s="360">
        <f>D125</f>
        <v>0</v>
      </c>
      <c r="Z123" s="360">
        <f>Z119+Z120+Z121+Z122</f>
        <v>0</v>
      </c>
      <c r="AA123" s="360">
        <f>AA119+AA120+AA121+AA122</f>
        <v>0</v>
      </c>
    </row>
    <row r="124" spans="1:27">
      <c r="A124" s="1125"/>
      <c r="B124" s="359" t="s">
        <v>129</v>
      </c>
      <c r="C124" s="360">
        <f>C120+C121+C122+C123</f>
        <v>0</v>
      </c>
      <c r="D124" s="360">
        <f>D120+D121+D122+D123</f>
        <v>0</v>
      </c>
      <c r="E124" s="360">
        <f>E120+E121+E122+E123</f>
        <v>0</v>
      </c>
      <c r="F124" s="360">
        <f>F120+F121+F122+F123</f>
        <v>0</v>
      </c>
      <c r="G124" s="360"/>
      <c r="H124" s="360">
        <f>H120+H121+H122+H123</f>
        <v>0</v>
      </c>
      <c r="T124" s="1126"/>
      <c r="U124" s="362" t="s">
        <v>176</v>
      </c>
      <c r="V124" s="363">
        <f>V119+V123-W123-X123</f>
        <v>662993</v>
      </c>
      <c r="W124" s="363"/>
      <c r="X124" s="363"/>
      <c r="Y124" s="363">
        <f>Y123+Y119-Z123-AA123</f>
        <v>659030</v>
      </c>
      <c r="Z124" s="363"/>
      <c r="AA124" s="363"/>
    </row>
    <row r="125" spans="1:27">
      <c r="A125" s="1125">
        <f>A120+1</f>
        <v>25</v>
      </c>
      <c r="B125" s="236"/>
      <c r="C125" s="236"/>
      <c r="D125" s="236"/>
      <c r="E125" s="236"/>
      <c r="F125" s="236"/>
      <c r="G125" s="181"/>
      <c r="H125" s="350"/>
      <c r="T125" s="1126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25"/>
      <c r="B126" s="236"/>
      <c r="C126" s="236"/>
      <c r="D126" s="236"/>
      <c r="E126" s="236"/>
      <c r="F126" s="236"/>
      <c r="G126" s="181"/>
      <c r="H126" s="350"/>
      <c r="T126" s="1126"/>
      <c r="U126" s="236"/>
      <c r="V126" s="236"/>
      <c r="W126" s="236"/>
      <c r="X126" s="236"/>
      <c r="Y126" s="236"/>
      <c r="Z126" s="236"/>
      <c r="AA126" s="236"/>
    </row>
    <row r="127" spans="1:27">
      <c r="A127" s="1125"/>
      <c r="B127" s="236"/>
      <c r="C127" s="236"/>
      <c r="D127" s="236"/>
      <c r="E127" s="236"/>
      <c r="F127" s="236"/>
      <c r="G127" s="236"/>
      <c r="H127" s="350"/>
      <c r="T127" s="1126"/>
      <c r="U127" s="236"/>
      <c r="V127" s="236"/>
      <c r="W127" s="236"/>
      <c r="X127" s="236"/>
      <c r="Y127" s="236"/>
      <c r="Z127" s="236"/>
      <c r="AA127" s="236"/>
    </row>
    <row r="128" spans="1:27">
      <c r="A128" s="1125"/>
      <c r="B128" s="236"/>
      <c r="C128" s="236"/>
      <c r="D128" s="236"/>
      <c r="E128" s="236"/>
      <c r="F128" s="236"/>
      <c r="G128" s="236"/>
      <c r="H128" s="350"/>
      <c r="T128" s="1126"/>
      <c r="U128" s="359" t="s">
        <v>129</v>
      </c>
      <c r="V128" s="360">
        <f>C130</f>
        <v>34860</v>
      </c>
      <c r="W128" s="360">
        <f>W124+W125+W126+W127</f>
        <v>0</v>
      </c>
      <c r="X128" s="360">
        <f>X124+X125+X126+X127</f>
        <v>0</v>
      </c>
      <c r="Y128" s="360">
        <f>D130</f>
        <v>0</v>
      </c>
      <c r="Z128" s="360">
        <f>Z124+Z125+Z126+Z127</f>
        <v>0</v>
      </c>
      <c r="AA128" s="360">
        <f>AA124+AA125+AA126+AA127</f>
        <v>0</v>
      </c>
    </row>
    <row r="129" spans="1:27">
      <c r="A129" s="1125"/>
      <c r="B129" s="359" t="s">
        <v>129</v>
      </c>
      <c r="C129" s="360">
        <f>C125+C126+C127+C128</f>
        <v>0</v>
      </c>
      <c r="D129" s="360">
        <f>D125+D126+D127+D128</f>
        <v>0</v>
      </c>
      <c r="E129" s="360">
        <f>E125+E126+E127+E128</f>
        <v>0</v>
      </c>
      <c r="F129" s="360">
        <f>F125+F126+F127+F128</f>
        <v>0</v>
      </c>
      <c r="G129" s="360"/>
      <c r="H129" s="360">
        <f>H125+H126+H127+H128</f>
        <v>0</v>
      </c>
      <c r="T129" s="1126"/>
      <c r="U129" s="362" t="s">
        <v>176</v>
      </c>
      <c r="V129" s="363">
        <f>V124+V128-W128-X128</f>
        <v>697853</v>
      </c>
      <c r="W129" s="363"/>
      <c r="X129" s="363"/>
      <c r="Y129" s="363">
        <f>Y124+Y128-Z128-AA128</f>
        <v>659030</v>
      </c>
      <c r="Z129" s="363"/>
      <c r="AA129" s="363"/>
    </row>
    <row r="130" spans="1:27">
      <c r="A130" s="1125">
        <f>A125+1</f>
        <v>26</v>
      </c>
      <c r="B130" s="236">
        <v>23288</v>
      </c>
      <c r="C130" s="236">
        <v>34860</v>
      </c>
      <c r="D130" s="236"/>
      <c r="E130" s="236"/>
      <c r="F130" s="236"/>
      <c r="G130" s="236"/>
      <c r="H130" s="350"/>
      <c r="T130" s="1126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25"/>
      <c r="B131" s="236">
        <v>23336</v>
      </c>
      <c r="C131" s="236">
        <v>34630</v>
      </c>
      <c r="D131" s="236"/>
      <c r="E131" s="236"/>
      <c r="F131" s="236"/>
      <c r="G131" s="236"/>
      <c r="H131" s="350"/>
      <c r="T131" s="1126"/>
      <c r="U131" s="236"/>
      <c r="V131" s="236"/>
      <c r="W131" s="236"/>
      <c r="X131" s="236"/>
      <c r="Y131" s="236"/>
      <c r="Z131" s="236"/>
      <c r="AA131" s="236"/>
    </row>
    <row r="132" spans="1:27">
      <c r="A132" s="1125"/>
      <c r="B132" s="236"/>
      <c r="C132" s="236"/>
      <c r="D132" s="236"/>
      <c r="E132" s="236"/>
      <c r="F132" s="236"/>
      <c r="G132" s="236"/>
      <c r="H132" s="350"/>
      <c r="T132" s="1126"/>
      <c r="U132" s="236"/>
      <c r="V132" s="236"/>
      <c r="W132" s="236"/>
      <c r="X132" s="236"/>
      <c r="Y132" s="236"/>
      <c r="Z132" s="236"/>
      <c r="AA132" s="236"/>
    </row>
    <row r="133" spans="1:27">
      <c r="A133" s="1125"/>
      <c r="B133" s="236"/>
      <c r="C133" s="236"/>
      <c r="D133" s="236"/>
      <c r="E133" s="236"/>
      <c r="F133" s="236"/>
      <c r="G133" s="236"/>
      <c r="H133" s="350"/>
      <c r="T133" s="1126"/>
      <c r="U133" s="359" t="s">
        <v>129</v>
      </c>
      <c r="V133" s="360">
        <f>C135</f>
        <v>0</v>
      </c>
      <c r="W133" s="360">
        <f>W129+W130+W131+W132</f>
        <v>0</v>
      </c>
      <c r="X133" s="360">
        <f>X129+X130+X131+X132</f>
        <v>0</v>
      </c>
      <c r="Y133" s="360">
        <f>D135</f>
        <v>0</v>
      </c>
      <c r="Z133" s="360">
        <f>Z129+Z130+Z131+Z132</f>
        <v>0</v>
      </c>
      <c r="AA133" s="360">
        <f>AA129+AA130+AA131+AA132</f>
        <v>0</v>
      </c>
    </row>
    <row r="134" spans="1:27">
      <c r="A134" s="1125"/>
      <c r="B134" s="359" t="s">
        <v>129</v>
      </c>
      <c r="C134" s="360">
        <f>C130+C131+C132+C133</f>
        <v>69490</v>
      </c>
      <c r="D134" s="360">
        <f>D130+D131+D132+D133</f>
        <v>0</v>
      </c>
      <c r="E134" s="360">
        <f>E130+E131+E132+E133</f>
        <v>0</v>
      </c>
      <c r="F134" s="360">
        <f>F130+F131+F132+F133</f>
        <v>0</v>
      </c>
      <c r="G134" s="360"/>
      <c r="H134" s="360">
        <f>H130+H131+H132+H133</f>
        <v>0</v>
      </c>
      <c r="T134" s="1126"/>
      <c r="U134" s="362" t="s">
        <v>176</v>
      </c>
      <c r="V134" s="363">
        <f>V129+V133-W133-X133</f>
        <v>697853</v>
      </c>
      <c r="W134" s="363"/>
      <c r="X134" s="363"/>
      <c r="Y134" s="363">
        <f>Y129+Y133-Z133-AA133</f>
        <v>659030</v>
      </c>
      <c r="Z134" s="363"/>
      <c r="AA134" s="363"/>
    </row>
    <row r="135" spans="1:27">
      <c r="A135" s="1125">
        <f>A130+1</f>
        <v>27</v>
      </c>
      <c r="B135" s="236"/>
      <c r="C135" s="236"/>
      <c r="D135" s="236"/>
      <c r="E135" s="236"/>
      <c r="F135" s="236"/>
      <c r="G135" s="236"/>
      <c r="H135" s="350"/>
      <c r="T135" s="1126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25"/>
      <c r="B136" s="236"/>
      <c r="C136" s="236"/>
      <c r="D136" s="236"/>
      <c r="E136" s="236"/>
      <c r="F136" s="236"/>
      <c r="G136" s="236"/>
      <c r="H136" s="350"/>
      <c r="T136" s="1126"/>
      <c r="U136" s="236"/>
      <c r="V136" s="236"/>
      <c r="W136" s="236"/>
      <c r="X136" s="236"/>
      <c r="Y136" s="236"/>
      <c r="Z136" s="236"/>
      <c r="AA136" s="236"/>
    </row>
    <row r="137" spans="1:27">
      <c r="A137" s="1125"/>
      <c r="B137" s="236"/>
      <c r="C137" s="236"/>
      <c r="D137" s="236"/>
      <c r="E137" s="236"/>
      <c r="F137" s="236"/>
      <c r="G137" s="236"/>
      <c r="H137" s="350"/>
      <c r="T137" s="1126"/>
      <c r="U137" s="236"/>
      <c r="V137" s="236"/>
      <c r="W137" s="236"/>
      <c r="X137" s="236"/>
      <c r="Y137" s="236"/>
      <c r="Z137" s="236"/>
      <c r="AA137" s="236"/>
    </row>
    <row r="138" spans="1:27">
      <c r="A138" s="1125"/>
      <c r="B138" s="236"/>
      <c r="C138" s="236"/>
      <c r="D138" s="236"/>
      <c r="E138" s="236"/>
      <c r="F138" s="236"/>
      <c r="G138" s="349"/>
      <c r="H138" s="350"/>
      <c r="T138" s="1126"/>
      <c r="U138" s="359" t="s">
        <v>129</v>
      </c>
      <c r="V138" s="360">
        <f>C140</f>
        <v>0</v>
      </c>
      <c r="W138" s="360">
        <f>W134+W135+W136+W137</f>
        <v>0</v>
      </c>
      <c r="X138" s="360">
        <f>X134+X135+X136+X137</f>
        <v>0</v>
      </c>
      <c r="Y138" s="360">
        <f>D140</f>
        <v>0</v>
      </c>
      <c r="Z138" s="360">
        <f>Z134+Z135+Z136+Z137</f>
        <v>0</v>
      </c>
      <c r="AA138" s="360">
        <f>AA134+AA135+AA136+AA137</f>
        <v>0</v>
      </c>
    </row>
    <row r="139" spans="1:27">
      <c r="A139" s="1125"/>
      <c r="B139" s="359" t="s">
        <v>129</v>
      </c>
      <c r="C139" s="360">
        <f>C135+C136+C137+C138</f>
        <v>0</v>
      </c>
      <c r="D139" s="360">
        <f>D135+D136+D137+D138</f>
        <v>0</v>
      </c>
      <c r="E139" s="360">
        <f>E135+E136+E137+E138</f>
        <v>0</v>
      </c>
      <c r="F139" s="360">
        <f>F135+F136+F137+F138</f>
        <v>0</v>
      </c>
      <c r="G139" s="360"/>
      <c r="H139" s="360">
        <f>H135+H136+H137+H138</f>
        <v>0</v>
      </c>
      <c r="T139" s="1126"/>
      <c r="U139" s="362" t="s">
        <v>176</v>
      </c>
      <c r="V139" s="363">
        <f>V134+V138-W138-X138</f>
        <v>697853</v>
      </c>
      <c r="W139" s="363"/>
      <c r="X139" s="363"/>
      <c r="Y139" s="363">
        <f>Y134+Y138-Z138-AA138</f>
        <v>659030</v>
      </c>
      <c r="Z139" s="363"/>
      <c r="AA139" s="363"/>
    </row>
    <row r="140" spans="1:27">
      <c r="A140" s="1125">
        <f>A135+1</f>
        <v>28</v>
      </c>
      <c r="B140" s="236"/>
      <c r="C140" s="236"/>
      <c r="D140" s="236"/>
      <c r="E140" s="236"/>
      <c r="F140" s="236"/>
      <c r="G140" s="236"/>
      <c r="H140" s="350"/>
      <c r="T140" s="1126">
        <f>T135+1</f>
        <v>28</v>
      </c>
      <c r="U140" s="236"/>
      <c r="V140" s="236"/>
      <c r="W140" s="236"/>
      <c r="X140" s="236"/>
      <c r="Y140" s="236"/>
      <c r="Z140" s="236"/>
      <c r="AA140" s="236"/>
    </row>
    <row r="141" spans="1:27">
      <c r="A141" s="1125"/>
      <c r="B141" s="236"/>
      <c r="C141" s="236"/>
      <c r="D141" s="236"/>
      <c r="E141" s="236"/>
      <c r="F141" s="236"/>
      <c r="G141" s="236"/>
      <c r="H141" s="350"/>
      <c r="T141" s="1126"/>
      <c r="U141" s="236"/>
      <c r="V141" s="236"/>
      <c r="W141" s="236"/>
      <c r="X141" s="236"/>
      <c r="Y141" s="236"/>
      <c r="Z141" s="236"/>
      <c r="AA141" s="236"/>
    </row>
    <row r="142" spans="1:27">
      <c r="A142" s="1125"/>
      <c r="B142" s="236"/>
      <c r="C142" s="236"/>
      <c r="D142" s="236"/>
      <c r="E142" s="236"/>
      <c r="F142" s="236"/>
      <c r="G142" s="236"/>
      <c r="H142" s="350"/>
      <c r="T142" s="1126"/>
      <c r="U142" s="236"/>
      <c r="V142" s="236"/>
      <c r="W142" s="236"/>
      <c r="X142" s="236"/>
      <c r="Y142" s="236"/>
      <c r="Z142" s="236"/>
      <c r="AA142" s="236"/>
    </row>
    <row r="143" spans="1:27">
      <c r="A143" s="1125"/>
      <c r="B143" s="236"/>
      <c r="C143" s="236"/>
      <c r="D143" s="236"/>
      <c r="E143" s="236"/>
      <c r="F143" s="236"/>
      <c r="G143" s="349"/>
      <c r="H143" s="350"/>
      <c r="T143" s="1126"/>
      <c r="U143" s="359" t="s">
        <v>129</v>
      </c>
      <c r="V143" s="360">
        <f>C145</f>
        <v>0</v>
      </c>
      <c r="W143" s="360">
        <f>W139+W140+W141+W142</f>
        <v>0</v>
      </c>
      <c r="X143" s="360">
        <f>X139+X140+X141+X142</f>
        <v>0</v>
      </c>
      <c r="Y143" s="360">
        <f>D145</f>
        <v>0</v>
      </c>
      <c r="Z143" s="360">
        <f>Z139+Z140+Z141+Z142</f>
        <v>0</v>
      </c>
      <c r="AA143" s="360">
        <f>AA139+AA140+AA141+AA142</f>
        <v>0</v>
      </c>
    </row>
    <row r="144" spans="1:27">
      <c r="A144" s="1125"/>
      <c r="B144" s="359" t="s">
        <v>129</v>
      </c>
      <c r="C144" s="360">
        <f>C140+C141+C142+C143</f>
        <v>0</v>
      </c>
      <c r="D144" s="360">
        <f>D140+D141+D142+D143</f>
        <v>0</v>
      </c>
      <c r="E144" s="360">
        <f>E140+E141+E142+E143</f>
        <v>0</v>
      </c>
      <c r="F144" s="360">
        <f>F140+F141+F142+F143</f>
        <v>0</v>
      </c>
      <c r="G144" s="360"/>
      <c r="H144" s="360">
        <f>H140+H141+H142+H143</f>
        <v>0</v>
      </c>
      <c r="T144" s="1126"/>
      <c r="U144" s="362" t="s">
        <v>176</v>
      </c>
      <c r="V144" s="363">
        <f>V139+V143-W143-X143</f>
        <v>697853</v>
      </c>
      <c r="W144" s="363"/>
      <c r="X144" s="363"/>
      <c r="Y144" s="363">
        <f>Y139+Y143-Z143-AA143</f>
        <v>659030</v>
      </c>
      <c r="Z144" s="363"/>
      <c r="AA144" s="363"/>
    </row>
    <row r="145" spans="1:27">
      <c r="A145" s="1125">
        <f>A140+1</f>
        <v>29</v>
      </c>
      <c r="B145" s="236">
        <v>23306</v>
      </c>
      <c r="C145" s="236"/>
      <c r="D145" s="236"/>
      <c r="E145" s="236">
        <v>26900</v>
      </c>
      <c r="F145" s="236"/>
      <c r="G145" s="236"/>
      <c r="H145" s="350"/>
      <c r="T145" s="1126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25"/>
      <c r="B146" s="236">
        <v>23302</v>
      </c>
      <c r="C146" s="236">
        <v>27800</v>
      </c>
      <c r="D146" s="236"/>
      <c r="E146" s="236"/>
      <c r="F146" s="236"/>
      <c r="G146" s="236"/>
      <c r="H146" s="350"/>
      <c r="T146" s="1126"/>
      <c r="U146" s="236"/>
      <c r="V146" s="236"/>
      <c r="W146" s="236"/>
      <c r="X146" s="236"/>
      <c r="Y146" s="236"/>
      <c r="Z146" s="236"/>
      <c r="AA146" s="236"/>
    </row>
    <row r="147" spans="1:27">
      <c r="A147" s="1125"/>
      <c r="B147" s="236">
        <v>23310</v>
      </c>
      <c r="C147" s="236">
        <v>34620</v>
      </c>
      <c r="D147" s="236"/>
      <c r="E147" s="236"/>
      <c r="F147" s="236"/>
      <c r="G147" s="236"/>
      <c r="H147" s="350"/>
      <c r="T147" s="1126"/>
      <c r="U147" s="236"/>
      <c r="V147" s="236"/>
      <c r="W147" s="236"/>
      <c r="X147" s="236"/>
      <c r="Y147" s="236"/>
      <c r="Z147" s="236"/>
      <c r="AA147" s="236"/>
    </row>
    <row r="148" spans="1:27">
      <c r="A148" s="1125"/>
      <c r="B148" s="236"/>
      <c r="C148" s="236"/>
      <c r="D148" s="236"/>
      <c r="E148" s="236"/>
      <c r="F148" s="236"/>
      <c r="G148" s="236"/>
      <c r="H148" s="350"/>
      <c r="T148" s="1126"/>
      <c r="U148" s="359" t="s">
        <v>129</v>
      </c>
      <c r="V148" s="360">
        <f>C150</f>
        <v>34700</v>
      </c>
      <c r="W148" s="360">
        <f>W144+W145+W146+W147</f>
        <v>0</v>
      </c>
      <c r="X148" s="360">
        <f>X144+X145+X146+X147</f>
        <v>0</v>
      </c>
      <c r="Y148" s="360">
        <f>D150</f>
        <v>0</v>
      </c>
      <c r="Z148" s="360">
        <f>Z144+Z145+Z146+Z147</f>
        <v>0</v>
      </c>
      <c r="AA148" s="360">
        <f>AA144+AA145+AA146+AA147</f>
        <v>0</v>
      </c>
    </row>
    <row r="149" spans="1:27">
      <c r="A149" s="1125"/>
      <c r="B149" s="359" t="s">
        <v>129</v>
      </c>
      <c r="C149" s="360">
        <f>C145+C146+C147+C148</f>
        <v>62420</v>
      </c>
      <c r="D149" s="360">
        <f>D145+D146+D147+D148</f>
        <v>0</v>
      </c>
      <c r="E149" s="360">
        <f>E145+E146+E147+E148</f>
        <v>26900</v>
      </c>
      <c r="F149" s="360">
        <f>F145+F146+F147+F148</f>
        <v>0</v>
      </c>
      <c r="G149" s="360"/>
      <c r="H149" s="360">
        <f>H145+H146+H147+H148</f>
        <v>0</v>
      </c>
      <c r="T149" s="1126"/>
      <c r="U149" s="362" t="s">
        <v>176</v>
      </c>
      <c r="V149" s="363">
        <f>V144+V148-W148-X148</f>
        <v>732553</v>
      </c>
      <c r="W149" s="363"/>
      <c r="X149" s="363"/>
      <c r="Y149" s="363">
        <f>Y144+Y148-Z148-AA148</f>
        <v>659030</v>
      </c>
      <c r="Z149" s="363"/>
      <c r="AA149" s="363"/>
    </row>
    <row r="150" spans="1:27">
      <c r="A150" s="1125">
        <f>A145+1</f>
        <v>30</v>
      </c>
      <c r="B150" s="236">
        <v>23330</v>
      </c>
      <c r="C150" s="236">
        <v>34700</v>
      </c>
      <c r="D150" s="236"/>
      <c r="E150" s="236"/>
      <c r="F150" s="236"/>
      <c r="G150" s="236"/>
      <c r="H150" s="350"/>
      <c r="T150" s="1126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25"/>
      <c r="B151" s="236"/>
      <c r="C151" s="236"/>
      <c r="D151" s="236"/>
      <c r="E151" s="236"/>
      <c r="F151" s="236"/>
      <c r="G151" s="236"/>
      <c r="H151" s="350"/>
      <c r="T151" s="1126"/>
      <c r="U151" s="236"/>
      <c r="V151" s="236"/>
      <c r="W151" s="236"/>
      <c r="X151" s="236"/>
      <c r="Y151" s="236"/>
      <c r="Z151" s="236"/>
      <c r="AA151" s="236"/>
    </row>
    <row r="152" spans="1:27">
      <c r="A152" s="1125"/>
      <c r="B152" s="236"/>
      <c r="C152" s="236"/>
      <c r="D152" s="236"/>
      <c r="E152" s="236"/>
      <c r="F152" s="236"/>
      <c r="G152" s="236"/>
      <c r="H152" s="350"/>
      <c r="T152" s="1126"/>
      <c r="U152" s="236"/>
      <c r="V152" s="236"/>
      <c r="W152" s="236"/>
      <c r="X152" s="236"/>
      <c r="Y152" s="236"/>
      <c r="Z152" s="236"/>
      <c r="AA152" s="236"/>
    </row>
    <row r="153" spans="1:27">
      <c r="A153" s="1125"/>
      <c r="B153" s="236"/>
      <c r="C153" s="236"/>
      <c r="D153" s="236"/>
      <c r="E153" s="236"/>
      <c r="F153" s="236"/>
      <c r="G153" s="236"/>
      <c r="H153" s="350"/>
      <c r="T153" s="1126"/>
      <c r="U153" s="359" t="s">
        <v>129</v>
      </c>
      <c r="V153" s="360">
        <f>C155</f>
        <v>0</v>
      </c>
      <c r="W153" s="360">
        <f>W149+W150+W151+W152</f>
        <v>0</v>
      </c>
      <c r="X153" s="360">
        <f>X149+X150+X151+X152</f>
        <v>0</v>
      </c>
      <c r="Y153" s="360">
        <f>D155</f>
        <v>0</v>
      </c>
      <c r="Z153" s="360">
        <f>Z149+Z150+Z151+Z152</f>
        <v>0</v>
      </c>
      <c r="AA153" s="360">
        <f>AA149+AA150+AA151+AA152</f>
        <v>0</v>
      </c>
    </row>
    <row r="154" spans="1:27">
      <c r="A154" s="1125"/>
      <c r="B154" s="359" t="s">
        <v>129</v>
      </c>
      <c r="C154" s="360">
        <f>C150+C151+C152+C153</f>
        <v>34700</v>
      </c>
      <c r="D154" s="360">
        <f>D150+D151+D152+D153</f>
        <v>0</v>
      </c>
      <c r="E154" s="360">
        <f>E150+E151+E152+E153</f>
        <v>0</v>
      </c>
      <c r="F154" s="360">
        <f>F150+F151+F152+F153</f>
        <v>0</v>
      </c>
      <c r="G154" s="360"/>
      <c r="H154" s="360">
        <f>H150+H151+H152+H153</f>
        <v>0</v>
      </c>
      <c r="T154" s="1126"/>
      <c r="U154" s="362" t="s">
        <v>176</v>
      </c>
      <c r="V154" s="363">
        <f>V149+V153-W153-X153</f>
        <v>732553</v>
      </c>
      <c r="W154" s="363"/>
      <c r="X154" s="363"/>
      <c r="Y154" s="363">
        <f>Y149+Y153-Z153-AA153</f>
        <v>659030</v>
      </c>
      <c r="Z154" s="363"/>
      <c r="AA154" s="363"/>
    </row>
    <row r="155" spans="1:27">
      <c r="A155" s="1125">
        <f>A150+1</f>
        <v>31</v>
      </c>
      <c r="B155" s="236"/>
      <c r="C155" s="236"/>
      <c r="D155" s="236"/>
      <c r="E155" s="236"/>
      <c r="F155" s="236"/>
      <c r="G155" s="236"/>
      <c r="H155" s="350"/>
      <c r="T155" s="1126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25"/>
      <c r="B156" s="236"/>
      <c r="C156" s="236"/>
      <c r="D156" s="236"/>
      <c r="E156" s="236"/>
      <c r="F156" s="236"/>
      <c r="G156" s="236"/>
      <c r="H156" s="350"/>
      <c r="T156" s="1126"/>
      <c r="U156" s="236"/>
      <c r="V156" s="236"/>
      <c r="W156" s="236"/>
      <c r="X156" s="236"/>
      <c r="Y156" s="236"/>
      <c r="Z156" s="236"/>
      <c r="AA156" s="236"/>
    </row>
    <row r="157" spans="1:27">
      <c r="A157" s="1125"/>
      <c r="B157" s="236"/>
      <c r="C157" s="236"/>
      <c r="D157" s="236"/>
      <c r="E157" s="236"/>
      <c r="F157" s="236"/>
      <c r="G157" s="236"/>
      <c r="H157" s="350"/>
      <c r="T157" s="1126"/>
      <c r="U157" s="236"/>
      <c r="V157" s="236"/>
      <c r="W157" s="236"/>
      <c r="X157" s="236"/>
      <c r="Y157" s="236"/>
      <c r="Z157" s="236"/>
      <c r="AA157" s="236"/>
    </row>
    <row r="158" spans="1:27">
      <c r="A158" s="1125"/>
      <c r="B158" s="236"/>
      <c r="C158" s="236"/>
      <c r="D158" s="236"/>
      <c r="E158" s="236"/>
      <c r="F158" s="236"/>
      <c r="G158" s="236"/>
      <c r="H158" s="350"/>
      <c r="T158" s="1126"/>
      <c r="U158" s="359" t="s">
        <v>129</v>
      </c>
      <c r="V158" s="360">
        <f>C160</f>
        <v>953653</v>
      </c>
      <c r="W158" s="360">
        <f>W154+W155+W156+W157</f>
        <v>0</v>
      </c>
      <c r="X158" s="360">
        <f>X154+X155+X156+X157</f>
        <v>0</v>
      </c>
      <c r="Y158" s="360">
        <f>D160</f>
        <v>694630</v>
      </c>
      <c r="Z158" s="360">
        <f>Z154+Z155+Z156+Z157</f>
        <v>0</v>
      </c>
      <c r="AA158" s="360">
        <f>AA154+AA155+AA156+AA157</f>
        <v>0</v>
      </c>
    </row>
    <row r="159" spans="1:27">
      <c r="A159" s="1125"/>
      <c r="B159" s="359" t="s">
        <v>129</v>
      </c>
      <c r="C159" s="360">
        <f>C155+C156+C157+C158</f>
        <v>0</v>
      </c>
      <c r="D159" s="360">
        <f>D155+D156+D157+D158</f>
        <v>0</v>
      </c>
      <c r="E159" s="360">
        <f>E155+E156+E157+E158</f>
        <v>0</v>
      </c>
      <c r="F159" s="360">
        <f>F155+F156+F157+F158</f>
        <v>0</v>
      </c>
      <c r="G159" s="360"/>
      <c r="H159" s="360">
        <f>H155+H156+H157+H158</f>
        <v>0</v>
      </c>
      <c r="T159" s="1126"/>
      <c r="U159" s="362" t="s">
        <v>176</v>
      </c>
      <c r="V159" s="363">
        <f>V154+V158-W158-X158</f>
        <v>1686206</v>
      </c>
      <c r="W159" s="363"/>
      <c r="X159" s="363"/>
      <c r="Y159" s="363">
        <f>Y154+Y158-Z158-AA158</f>
        <v>1353660</v>
      </c>
      <c r="Z159" s="363"/>
      <c r="AA159" s="363"/>
    </row>
    <row r="160" spans="1:27" ht="31.15" customHeight="1">
      <c r="A160" s="1128" t="s">
        <v>179</v>
      </c>
      <c r="B160" s="1128"/>
      <c r="C160" s="378">
        <f>C9+C14+C19+C24+C29+C34+C39+C44+C49+C54+C59+C64+C69+C74+C79+C84+C89+C94+C99+C104+C109+C114+C119+C124+C129+C134+C139+C144+C149+C154+C159</f>
        <v>953653</v>
      </c>
      <c r="D160" s="378">
        <f>D9+D14+D19+D24+D29+D34+D39+D44+D49+D54+D59+D64+D69+D74+D79+D84+D89+D94+D99+D104+D109+D114+D119+D124+D129+D134+D139+D144+D149+D154+D159</f>
        <v>694630</v>
      </c>
      <c r="E160" s="378">
        <f>E9+E14+E19+E24+E29+E34+E39+E44+E49+E54+E59+E64+E69+E74+E79+E84+E89+E94+E99+E104+E109+E114+E119+E124+E129+E134+E139+E144+E149+E154+E159</f>
        <v>87100</v>
      </c>
      <c r="F160" s="378">
        <f>F9+F14+F19+F24+F29+F34+F39+F44+F49+F54+F59+F64+F69+F74+F79+F84+F89+F94+F99+F104+F109+F114+F119+F124+F129+F134+F139+F144+F149+F154+F159</f>
        <v>0</v>
      </c>
      <c r="G160" s="1129">
        <f>H9+H14+H19+H24+H29+H34+H39+H44+H49+H54+H59+H64+H69+H74+H79+H84+H89+H94+H94+H99+H104+H109+H114+H119+H124+H129+H134+H139+H129+H134+H139+H144+H149+H154+H159</f>
        <v>0</v>
      </c>
      <c r="H160" s="1129">
        <f>H9+H14+H19+H24+H29+H34+H39+H44+H49+H54+H59+H64+H69+H74+H79+H84+H89+H94+H94+H99+H104+H109+H114+H119+H124+H129+H134+H139+H129+H134+H139</f>
        <v>0</v>
      </c>
      <c r="T160" s="1128" t="s">
        <v>180</v>
      </c>
      <c r="U160" s="1128"/>
      <c r="V160" s="378">
        <f>V138</f>
        <v>0</v>
      </c>
      <c r="W160" s="378">
        <f>W137</f>
        <v>0</v>
      </c>
      <c r="X160" s="378">
        <f>X137</f>
        <v>0</v>
      </c>
      <c r="Y160" s="378">
        <f>Y138</f>
        <v>0</v>
      </c>
      <c r="Z160" s="378">
        <f>Z137</f>
        <v>0</v>
      </c>
      <c r="AA160" s="378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topLeftCell="A97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0" t="s">
        <v>181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</row>
    <row r="2" spans="1:11">
      <c r="A2" s="1131" t="s">
        <v>182</v>
      </c>
      <c r="B2" s="1131"/>
      <c r="C2" s="1131"/>
      <c r="D2" s="1131"/>
      <c r="E2" s="1131"/>
      <c r="F2" s="1131"/>
      <c r="G2" s="1131"/>
      <c r="H2" s="1131"/>
      <c r="I2" s="1131"/>
      <c r="J2" s="1131"/>
      <c r="K2" s="1131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2" t="s">
        <v>163</v>
      </c>
      <c r="B4" s="1132" t="s">
        <v>183</v>
      </c>
      <c r="C4" s="1133" t="s">
        <v>40</v>
      </c>
      <c r="D4" s="1133"/>
      <c r="E4" s="1133"/>
      <c r="F4" s="1133"/>
      <c r="G4" s="1132" t="s">
        <v>184</v>
      </c>
      <c r="H4" s="1132"/>
      <c r="I4" s="1132"/>
      <c r="J4" s="1132"/>
      <c r="K4" s="1132"/>
    </row>
    <row r="5" spans="1:11" ht="26.25">
      <c r="A5" s="1132"/>
      <c r="B5" s="1132"/>
      <c r="C5" s="379" t="s">
        <v>185</v>
      </c>
      <c r="D5" s="379" t="s">
        <v>186</v>
      </c>
      <c r="E5" s="379" t="s">
        <v>187</v>
      </c>
      <c r="F5" s="379" t="s">
        <v>188</v>
      </c>
      <c r="G5" s="379" t="s">
        <v>185</v>
      </c>
      <c r="H5" s="379" t="s">
        <v>186</v>
      </c>
      <c r="I5" s="379" t="s">
        <v>189</v>
      </c>
      <c r="J5" s="379" t="s">
        <v>187</v>
      </c>
      <c r="K5" s="379" t="s">
        <v>188</v>
      </c>
    </row>
    <row r="6" spans="1:11">
      <c r="A6" s="1132"/>
      <c r="B6" s="1132"/>
      <c r="C6" s="380" t="s">
        <v>190</v>
      </c>
      <c r="D6" s="380" t="s">
        <v>191</v>
      </c>
      <c r="E6" s="380" t="s">
        <v>192</v>
      </c>
      <c r="F6" s="380" t="s">
        <v>192</v>
      </c>
      <c r="G6" s="380" t="s">
        <v>190</v>
      </c>
      <c r="H6" s="380" t="s">
        <v>191</v>
      </c>
      <c r="I6" s="380" t="s">
        <v>192</v>
      </c>
      <c r="J6" s="380" t="s">
        <v>192</v>
      </c>
      <c r="K6" s="380" t="s">
        <v>192</v>
      </c>
    </row>
    <row r="7" spans="1:11">
      <c r="A7" s="381"/>
      <c r="B7" s="382"/>
      <c r="C7" s="382"/>
      <c r="D7" s="382"/>
      <c r="E7" s="382"/>
      <c r="F7" s="382"/>
      <c r="G7" s="382"/>
      <c r="H7" s="382"/>
      <c r="I7" s="382"/>
      <c r="J7" s="382"/>
      <c r="K7" s="382"/>
    </row>
    <row r="8" spans="1:11">
      <c r="A8" s="1134">
        <v>1</v>
      </c>
      <c r="B8" s="383" t="s">
        <v>193</v>
      </c>
      <c r="C8" s="384">
        <f>'1'!B7</f>
        <v>1100</v>
      </c>
      <c r="D8" s="384">
        <f>'1'!F7</f>
        <v>342</v>
      </c>
      <c r="E8" s="385" t="s">
        <v>194</v>
      </c>
      <c r="F8" s="385" t="s">
        <v>194</v>
      </c>
      <c r="G8" s="384">
        <f>'1'!E7</f>
        <v>5</v>
      </c>
      <c r="H8" s="384">
        <f>'1'!I7</f>
        <v>0.92</v>
      </c>
      <c r="I8" s="384">
        <f>'1'!O7</f>
        <v>3.2</v>
      </c>
      <c r="J8" s="385" t="s">
        <v>194</v>
      </c>
      <c r="K8" s="385" t="s">
        <v>194</v>
      </c>
    </row>
    <row r="9" spans="1:11">
      <c r="A9" s="1134"/>
      <c r="B9" s="383" t="s">
        <v>195</v>
      </c>
      <c r="C9" s="384">
        <f>'1'!B11</f>
        <v>1100</v>
      </c>
      <c r="D9" s="384">
        <f>'1'!F11</f>
        <v>286</v>
      </c>
      <c r="E9" s="384">
        <f>'1'!F37</f>
        <v>4</v>
      </c>
      <c r="F9" s="384">
        <f>'1'!I37</f>
        <v>0.3</v>
      </c>
      <c r="G9" s="384">
        <f>'1'!E11</f>
        <v>2.5</v>
      </c>
      <c r="H9" s="384">
        <f>'1'!I11</f>
        <v>1.2</v>
      </c>
      <c r="I9" s="384">
        <f>'1'!O11</f>
        <v>3.8</v>
      </c>
      <c r="J9" s="384">
        <f>'1'!H37</f>
        <v>0.2</v>
      </c>
      <c r="K9" s="384">
        <f>'1'!K37</f>
        <v>0.1</v>
      </c>
    </row>
    <row r="10" spans="1:11">
      <c r="A10" s="1134"/>
      <c r="B10" s="386" t="s">
        <v>196</v>
      </c>
      <c r="C10" s="384">
        <f>'1'!B15</f>
        <v>1100</v>
      </c>
      <c r="D10" s="384">
        <f>'1'!F15</f>
        <v>265</v>
      </c>
      <c r="E10" s="385" t="s">
        <v>194</v>
      </c>
      <c r="F10" s="385" t="s">
        <v>194</v>
      </c>
      <c r="G10" s="384">
        <f>'1'!E15</f>
        <v>2.5</v>
      </c>
      <c r="H10" s="384">
        <f>'1'!I15</f>
        <v>1</v>
      </c>
      <c r="I10" s="384">
        <f>'1'!O15</f>
        <v>3.8</v>
      </c>
      <c r="J10" s="385" t="s">
        <v>194</v>
      </c>
      <c r="K10" s="385" t="s">
        <v>194</v>
      </c>
    </row>
    <row r="11" spans="1:11">
      <c r="A11" s="381"/>
      <c r="B11" s="382"/>
      <c r="C11" s="382"/>
      <c r="D11" s="382"/>
      <c r="E11" s="382"/>
      <c r="F11" s="382"/>
      <c r="G11" s="382"/>
      <c r="H11" s="382"/>
      <c r="I11" s="382"/>
      <c r="J11" s="382"/>
      <c r="K11" s="382"/>
    </row>
    <row r="12" spans="1:11">
      <c r="A12" s="1134">
        <f>A8+1</f>
        <v>2</v>
      </c>
      <c r="B12" s="387" t="s">
        <v>193</v>
      </c>
      <c r="C12" s="384">
        <f>'2'!B7</f>
        <v>800</v>
      </c>
      <c r="D12" s="384">
        <f>'2'!F7</f>
        <v>211</v>
      </c>
      <c r="E12" s="385" t="s">
        <v>194</v>
      </c>
      <c r="F12" s="385" t="s">
        <v>194</v>
      </c>
      <c r="G12" s="384">
        <f>'2'!E7</f>
        <v>2.5</v>
      </c>
      <c r="H12" s="384">
        <f>'2'!I7</f>
        <v>1.1000000000000001</v>
      </c>
      <c r="I12" s="384">
        <f>'2'!O7</f>
        <v>3.8</v>
      </c>
      <c r="J12" s="385" t="s">
        <v>194</v>
      </c>
      <c r="K12" s="385" t="s">
        <v>194</v>
      </c>
    </row>
    <row r="13" spans="1:11">
      <c r="A13" s="1134"/>
      <c r="B13" s="383" t="s">
        <v>195</v>
      </c>
      <c r="C13" s="384">
        <f>'2'!B11</f>
        <v>800</v>
      </c>
      <c r="D13" s="384">
        <f>'2'!F11</f>
        <v>196</v>
      </c>
      <c r="E13" s="384">
        <f>'2'!F37</f>
        <v>3</v>
      </c>
      <c r="F13" s="384">
        <f>'2'!I37</f>
        <v>0.3</v>
      </c>
      <c r="G13" s="384">
        <f>'2'!E11</f>
        <v>2.5</v>
      </c>
      <c r="H13" s="384">
        <f>'2'!I11</f>
        <v>1.1000000000000001</v>
      </c>
      <c r="I13" s="384">
        <f>'2'!O11</f>
        <v>3.8</v>
      </c>
      <c r="J13" s="384">
        <f>'2'!H37</f>
        <v>0.2</v>
      </c>
      <c r="K13" s="384">
        <f>'2'!K37</f>
        <v>0.06</v>
      </c>
    </row>
    <row r="14" spans="1:11">
      <c r="A14" s="1134"/>
      <c r="B14" s="386" t="s">
        <v>196</v>
      </c>
      <c r="C14" s="384">
        <f>'2'!B15</f>
        <v>750</v>
      </c>
      <c r="D14" s="384">
        <f>'2'!F15</f>
        <v>184</v>
      </c>
      <c r="E14" s="385" t="s">
        <v>194</v>
      </c>
      <c r="F14" s="385" t="s">
        <v>194</v>
      </c>
      <c r="G14" s="384">
        <f>'2'!E15</f>
        <v>2.5</v>
      </c>
      <c r="H14" s="384">
        <f>'2'!I15</f>
        <v>0.97</v>
      </c>
      <c r="I14" s="384">
        <f>'2'!O15</f>
        <v>2.7</v>
      </c>
      <c r="J14" s="385" t="s">
        <v>194</v>
      </c>
      <c r="K14" s="385" t="s">
        <v>194</v>
      </c>
    </row>
    <row r="15" spans="1:11">
      <c r="A15" s="388"/>
    </row>
    <row r="16" spans="1:11">
      <c r="A16" s="1134">
        <f>A12+1</f>
        <v>3</v>
      </c>
      <c r="B16" s="387" t="s">
        <v>193</v>
      </c>
      <c r="C16" s="384">
        <f>'3'!B7</f>
        <v>700</v>
      </c>
      <c r="D16" s="384">
        <f>'3'!F7</f>
        <v>166</v>
      </c>
      <c r="E16" s="385" t="s">
        <v>194</v>
      </c>
      <c r="F16" s="385" t="s">
        <v>194</v>
      </c>
      <c r="G16" s="384">
        <f>'3'!E7</f>
        <v>2.5</v>
      </c>
      <c r="H16" s="384">
        <f>'3'!I7</f>
        <v>0.95</v>
      </c>
      <c r="I16" s="384">
        <f>'3'!O7</f>
        <v>3.5</v>
      </c>
      <c r="J16" s="385" t="s">
        <v>194</v>
      </c>
      <c r="K16" s="385" t="s">
        <v>194</v>
      </c>
    </row>
    <row r="17" spans="1:11">
      <c r="A17" s="1134"/>
      <c r="B17" s="383" t="s">
        <v>195</v>
      </c>
      <c r="C17" s="384">
        <f>'3'!B11</f>
        <v>700</v>
      </c>
      <c r="D17" s="384">
        <f>'3'!F11</f>
        <v>152</v>
      </c>
      <c r="E17" s="384">
        <f>'3'!F37</f>
        <v>2.8</v>
      </c>
      <c r="F17" s="384">
        <f>'3'!I37</f>
        <v>0.3</v>
      </c>
      <c r="G17" s="384">
        <f>'3'!E11</f>
        <v>2.5</v>
      </c>
      <c r="H17" s="384">
        <f>'3'!I11</f>
        <v>0.93</v>
      </c>
      <c r="I17" s="384">
        <f>'3'!O11</f>
        <v>3.5</v>
      </c>
      <c r="J17" s="384">
        <f>'3'!H37</f>
        <v>0.2</v>
      </c>
      <c r="K17" s="384">
        <f>'3'!K37</f>
        <v>0.06</v>
      </c>
    </row>
    <row r="18" spans="1:11">
      <c r="A18" s="1134"/>
      <c r="B18" s="386" t="s">
        <v>196</v>
      </c>
      <c r="C18" s="384">
        <f>'3'!B15</f>
        <v>700</v>
      </c>
      <c r="D18" s="384">
        <f>'3'!F15</f>
        <v>152</v>
      </c>
      <c r="E18" s="385" t="s">
        <v>194</v>
      </c>
      <c r="F18" s="385" t="s">
        <v>194</v>
      </c>
      <c r="G18" s="384">
        <f>'3'!E15</f>
        <v>5</v>
      </c>
      <c r="H18" s="384">
        <f>'3'!I15</f>
        <v>1.21</v>
      </c>
      <c r="I18" s="384">
        <f>'3'!O15</f>
        <v>3.3</v>
      </c>
      <c r="J18" s="385" t="s">
        <v>194</v>
      </c>
      <c r="K18" s="385" t="s">
        <v>194</v>
      </c>
    </row>
    <row r="19" spans="1:11">
      <c r="A19" s="388"/>
    </row>
    <row r="20" spans="1:11">
      <c r="A20" s="1134">
        <f>A16+1</f>
        <v>4</v>
      </c>
      <c r="B20" s="387" t="s">
        <v>193</v>
      </c>
      <c r="C20" s="384">
        <f>'4'!B7</f>
        <v>700</v>
      </c>
      <c r="D20" s="384">
        <f>'4'!F7</f>
        <v>140</v>
      </c>
      <c r="E20" s="385" t="s">
        <v>194</v>
      </c>
      <c r="F20" s="385" t="s">
        <v>194</v>
      </c>
      <c r="G20" s="384">
        <f>'4'!E7</f>
        <v>2.5</v>
      </c>
      <c r="H20" s="384" t="str">
        <f>'4'!I7</f>
        <v>,9+3</v>
      </c>
      <c r="I20" s="384">
        <f>'4'!O7</f>
        <v>3.2</v>
      </c>
      <c r="J20" s="385" t="s">
        <v>194</v>
      </c>
      <c r="K20" s="385" t="s">
        <v>194</v>
      </c>
    </row>
    <row r="21" spans="1:11">
      <c r="A21" s="1134"/>
      <c r="B21" s="383" t="s">
        <v>195</v>
      </c>
      <c r="C21" s="389">
        <f>'4'!B11</f>
        <v>650</v>
      </c>
      <c r="D21" s="389">
        <f>'4'!F11</f>
        <v>126</v>
      </c>
      <c r="E21" s="389">
        <f>'4'!F37</f>
        <v>2.8</v>
      </c>
      <c r="F21" s="389">
        <f>'4'!I37</f>
        <v>0.25</v>
      </c>
      <c r="G21" s="389">
        <f>'4'!E11</f>
        <v>2.5</v>
      </c>
      <c r="H21" s="389">
        <f>'4'!I11</f>
        <v>0.81</v>
      </c>
      <c r="I21" s="389">
        <f>'4'!O11</f>
        <v>2.8</v>
      </c>
      <c r="J21" s="389">
        <f>'4'!H37</f>
        <v>0.2</v>
      </c>
      <c r="K21" s="389">
        <f>'4'!K37</f>
        <v>0.06</v>
      </c>
    </row>
    <row r="22" spans="1:11">
      <c r="A22" s="1134"/>
      <c r="B22" s="386" t="s">
        <v>196</v>
      </c>
      <c r="C22" s="384">
        <f>'4'!B15</f>
        <v>650</v>
      </c>
      <c r="D22" s="384">
        <f>'4'!F15</f>
        <v>125</v>
      </c>
      <c r="E22" s="385" t="s">
        <v>194</v>
      </c>
      <c r="F22" s="385" t="s">
        <v>194</v>
      </c>
      <c r="G22" s="384">
        <f>'4'!E15</f>
        <v>5</v>
      </c>
      <c r="H22" s="384">
        <f>'4'!I15</f>
        <v>0.7</v>
      </c>
      <c r="I22" s="384">
        <f>'4'!O15</f>
        <v>2.5</v>
      </c>
      <c r="J22" s="385" t="s">
        <v>194</v>
      </c>
      <c r="K22" s="385" t="s">
        <v>194</v>
      </c>
    </row>
    <row r="23" spans="1:11">
      <c r="A23" s="388"/>
    </row>
    <row r="24" spans="1:11">
      <c r="A24" s="1134">
        <f>A20+1</f>
        <v>5</v>
      </c>
      <c r="B24" s="387" t="s">
        <v>193</v>
      </c>
      <c r="C24" s="390">
        <f>'5'!B7</f>
        <v>650</v>
      </c>
      <c r="D24" s="390">
        <f>'5'!F7</f>
        <v>127</v>
      </c>
      <c r="E24" s="385" t="s">
        <v>194</v>
      </c>
      <c r="F24" s="385" t="s">
        <v>194</v>
      </c>
      <c r="G24" s="390">
        <f>'5'!E7</f>
        <v>2.5</v>
      </c>
      <c r="H24" s="390">
        <f>'5'!I7</f>
        <v>0.7</v>
      </c>
      <c r="I24" s="390">
        <f>'5'!O7</f>
        <v>3.8</v>
      </c>
      <c r="J24" s="385" t="s">
        <v>194</v>
      </c>
      <c r="K24" s="385" t="s">
        <v>194</v>
      </c>
    </row>
    <row r="25" spans="1:11">
      <c r="A25" s="1134"/>
      <c r="B25" s="383" t="s">
        <v>195</v>
      </c>
      <c r="C25" s="384">
        <f>'5'!B11</f>
        <v>550</v>
      </c>
      <c r="D25" s="384">
        <f>'5'!F11</f>
        <v>130</v>
      </c>
      <c r="E25" s="384">
        <f>'5'!F37</f>
        <v>3.6</v>
      </c>
      <c r="F25" s="384">
        <f>'5'!I37</f>
        <v>0.3</v>
      </c>
      <c r="G25" s="384">
        <f>'5'!E11</f>
        <v>5</v>
      </c>
      <c r="H25" s="384">
        <f>'5'!I11</f>
        <v>0.65</v>
      </c>
      <c r="I25" s="384">
        <f>'5'!O11</f>
        <v>3.7</v>
      </c>
      <c r="J25" s="384">
        <f>'5'!H37</f>
        <v>0.3</v>
      </c>
      <c r="K25" s="384">
        <f>'5'!K37</f>
        <v>0.1</v>
      </c>
    </row>
    <row r="26" spans="1:11">
      <c r="A26" s="1134"/>
      <c r="B26" s="386" t="s">
        <v>196</v>
      </c>
      <c r="C26" s="391">
        <f>'5'!B15</f>
        <v>550</v>
      </c>
      <c r="D26" s="391">
        <f>'5'!F15</f>
        <v>129</v>
      </c>
      <c r="E26" s="385" t="s">
        <v>194</v>
      </c>
      <c r="F26" s="385" t="s">
        <v>194</v>
      </c>
      <c r="G26" s="391">
        <f>'5'!E15</f>
        <v>2.5</v>
      </c>
      <c r="H26" s="391">
        <f>'5'!I15</f>
        <v>0.87</v>
      </c>
      <c r="I26" s="391">
        <f>'5'!O15</f>
        <v>3.7</v>
      </c>
      <c r="J26" s="385" t="s">
        <v>194</v>
      </c>
      <c r="K26" s="385" t="s">
        <v>194</v>
      </c>
    </row>
    <row r="27" spans="1:11">
      <c r="A27" s="388"/>
    </row>
    <row r="28" spans="1:11">
      <c r="A28" s="1134">
        <f>A24+1</f>
        <v>6</v>
      </c>
      <c r="B28" s="383" t="s">
        <v>193</v>
      </c>
      <c r="C28" s="390">
        <f>'6'!B7</f>
        <v>550</v>
      </c>
      <c r="D28" s="390">
        <f>'6'!F7</f>
        <v>124</v>
      </c>
      <c r="E28" s="385" t="s">
        <v>194</v>
      </c>
      <c r="F28" s="385" t="s">
        <v>194</v>
      </c>
      <c r="G28" s="390">
        <f>'6'!E7</f>
        <v>2.5</v>
      </c>
      <c r="H28" s="390">
        <f>'6'!I7</f>
        <v>0.82</v>
      </c>
      <c r="I28" s="390">
        <f>'6'!O7</f>
        <v>3.7</v>
      </c>
      <c r="J28" s="385" t="s">
        <v>194</v>
      </c>
      <c r="K28" s="385" t="s">
        <v>194</v>
      </c>
    </row>
    <row r="29" spans="1:11">
      <c r="A29" s="1134"/>
      <c r="B29" s="383" t="s">
        <v>195</v>
      </c>
      <c r="C29" s="384">
        <f>'6'!B11</f>
        <v>550</v>
      </c>
      <c r="D29" s="384">
        <f>'6'!F11</f>
        <v>131</v>
      </c>
      <c r="E29" s="384">
        <f>'6'!F37</f>
        <v>3.2</v>
      </c>
      <c r="F29" s="384">
        <f>'6'!I37</f>
        <v>0.2</v>
      </c>
      <c r="G29" s="384">
        <f>'6'!E11</f>
        <v>2.5</v>
      </c>
      <c r="H29" s="384">
        <f>'6'!I11</f>
        <v>0.81</v>
      </c>
      <c r="I29" s="384">
        <f>'6'!O11</f>
        <v>3.6</v>
      </c>
      <c r="J29" s="384">
        <f>'6'!H37</f>
        <v>0</v>
      </c>
      <c r="K29" s="384">
        <f>'6'!K37</f>
        <v>0.1</v>
      </c>
    </row>
    <row r="30" spans="1:11">
      <c r="A30" s="1134"/>
      <c r="B30" s="386" t="s">
        <v>196</v>
      </c>
      <c r="C30" s="391">
        <f>'6'!B15</f>
        <v>550</v>
      </c>
      <c r="D30" s="391">
        <f>'6'!F15</f>
        <v>127</v>
      </c>
      <c r="E30" s="385" t="s">
        <v>194</v>
      </c>
      <c r="F30" s="385" t="s">
        <v>194</v>
      </c>
      <c r="G30" s="391">
        <f>'6'!E15</f>
        <v>2.5</v>
      </c>
      <c r="H30" s="391">
        <f>'6'!I15</f>
        <v>0.81</v>
      </c>
      <c r="I30" s="391">
        <f>'6'!O15</f>
        <v>3.6</v>
      </c>
      <c r="J30" s="385" t="s">
        <v>194</v>
      </c>
      <c r="K30" s="385" t="s">
        <v>194</v>
      </c>
    </row>
    <row r="31" spans="1:11">
      <c r="A31" s="388"/>
    </row>
    <row r="32" spans="1:11">
      <c r="A32" s="1134">
        <f>A28+1</f>
        <v>7</v>
      </c>
      <c r="B32" s="383" t="s">
        <v>193</v>
      </c>
      <c r="C32" s="390">
        <f>'7'!B7</f>
        <v>550</v>
      </c>
      <c r="D32" s="390">
        <f>'7'!F7</f>
        <v>125</v>
      </c>
      <c r="E32" s="385" t="s">
        <v>194</v>
      </c>
      <c r="F32" s="385" t="s">
        <v>194</v>
      </c>
      <c r="G32" s="390">
        <f>'7'!E7</f>
        <v>2.5</v>
      </c>
      <c r="H32" s="390">
        <f>'7'!I7</f>
        <v>0.72</v>
      </c>
      <c r="I32" s="390">
        <f>'7'!O7</f>
        <v>3.6</v>
      </c>
      <c r="J32" s="385" t="s">
        <v>194</v>
      </c>
      <c r="K32" s="385" t="s">
        <v>194</v>
      </c>
    </row>
    <row r="33" spans="1:11">
      <c r="A33" s="1134"/>
      <c r="B33" s="383" t="s">
        <v>195</v>
      </c>
      <c r="C33" s="384">
        <f>'7'!B11</f>
        <v>550</v>
      </c>
      <c r="D33" s="384">
        <f>'7'!F11</f>
        <v>118</v>
      </c>
      <c r="E33" s="384">
        <f>'7'!F37</f>
        <v>3</v>
      </c>
      <c r="F33" s="384">
        <f>'7'!I37</f>
        <v>0.2</v>
      </c>
      <c r="G33" s="384">
        <f>'7'!E11</f>
        <v>2.5</v>
      </c>
      <c r="H33" s="384">
        <f>'7'!I11</f>
        <v>0.75</v>
      </c>
      <c r="I33" s="384">
        <f>'7'!O11</f>
        <v>3.6</v>
      </c>
      <c r="J33" s="384">
        <f>'7'!H37</f>
        <v>0.1</v>
      </c>
      <c r="K33" s="384">
        <f>'7'!K37</f>
        <v>0.06</v>
      </c>
    </row>
    <row r="34" spans="1:11">
      <c r="A34" s="1134"/>
      <c r="B34" s="386" t="s">
        <v>196</v>
      </c>
      <c r="C34" s="391">
        <f>'7'!B15</f>
        <v>500</v>
      </c>
      <c r="D34" s="391">
        <f>'7'!F15</f>
        <v>113</v>
      </c>
      <c r="E34" s="385" t="s">
        <v>194</v>
      </c>
      <c r="F34" s="385" t="s">
        <v>194</v>
      </c>
      <c r="G34" s="391">
        <f>'7'!E15</f>
        <v>2.5</v>
      </c>
      <c r="H34" s="391">
        <f>'7'!I15</f>
        <v>0.75</v>
      </c>
      <c r="I34" s="391">
        <f>'7'!O15</f>
        <v>3.5</v>
      </c>
      <c r="J34" s="385" t="s">
        <v>194</v>
      </c>
      <c r="K34" s="385" t="s">
        <v>194</v>
      </c>
    </row>
    <row r="35" spans="1:11">
      <c r="A35" s="388"/>
    </row>
    <row r="36" spans="1:11">
      <c r="A36" s="1134">
        <f>A32+1</f>
        <v>8</v>
      </c>
      <c r="B36" s="383" t="s">
        <v>193</v>
      </c>
      <c r="C36" s="390">
        <f>'8'!B7</f>
        <v>400</v>
      </c>
      <c r="D36" s="390">
        <f>'8'!F7</f>
        <v>106</v>
      </c>
      <c r="E36" s="385" t="s">
        <v>194</v>
      </c>
      <c r="F36" s="385" t="s">
        <v>194</v>
      </c>
      <c r="G36" s="390">
        <f>'8'!E7</f>
        <v>2.5</v>
      </c>
      <c r="H36" s="390">
        <f>'8'!I7</f>
        <v>0.85</v>
      </c>
      <c r="I36" s="390">
        <f>'8'!O7</f>
        <v>3.6</v>
      </c>
      <c r="J36" s="385" t="s">
        <v>194</v>
      </c>
      <c r="K36" s="385" t="s">
        <v>194</v>
      </c>
    </row>
    <row r="37" spans="1:11">
      <c r="A37" s="1134"/>
      <c r="B37" s="383" t="s">
        <v>195</v>
      </c>
      <c r="C37" s="384">
        <f>'8'!B11</f>
        <v>250</v>
      </c>
      <c r="D37" s="384">
        <f>'8'!F11</f>
        <v>94</v>
      </c>
      <c r="E37" s="384">
        <f>'8'!F37</f>
        <v>3.4</v>
      </c>
      <c r="F37" s="384">
        <f>'8'!I37</f>
        <v>0.3</v>
      </c>
      <c r="G37" s="384">
        <f>'8'!E11</f>
        <v>2.5</v>
      </c>
      <c r="H37" s="384">
        <f>'8'!I11</f>
        <v>0.77</v>
      </c>
      <c r="I37" s="384">
        <f>'8'!O11</f>
        <v>3.8</v>
      </c>
      <c r="J37" s="384">
        <f>'8'!H37</f>
        <v>0.2</v>
      </c>
      <c r="K37" s="384">
        <f>'8'!K37</f>
        <v>0.06</v>
      </c>
    </row>
    <row r="38" spans="1:11">
      <c r="A38" s="1134"/>
      <c r="B38" s="386" t="s">
        <v>196</v>
      </c>
      <c r="C38" s="391">
        <f>'8'!B15</f>
        <v>250</v>
      </c>
      <c r="D38" s="391">
        <f>'8'!F15</f>
        <v>94</v>
      </c>
      <c r="E38" s="385" t="s">
        <v>194</v>
      </c>
      <c r="F38" s="385" t="s">
        <v>194</v>
      </c>
      <c r="G38" s="391">
        <f>'8'!E15</f>
        <v>2.5</v>
      </c>
      <c r="H38" s="391">
        <f>'8'!I15</f>
        <v>0.85</v>
      </c>
      <c r="I38" s="391">
        <f>'8'!O15</f>
        <v>3.6</v>
      </c>
      <c r="J38" s="385" t="s">
        <v>194</v>
      </c>
      <c r="K38" s="385" t="s">
        <v>194</v>
      </c>
    </row>
    <row r="39" spans="1:11">
      <c r="A39" s="388"/>
    </row>
    <row r="40" spans="1:11">
      <c r="A40" s="1134">
        <f>A36+1</f>
        <v>9</v>
      </c>
      <c r="B40" s="383" t="s">
        <v>193</v>
      </c>
      <c r="C40" s="390">
        <f>'9'!B7</f>
        <v>250</v>
      </c>
      <c r="D40" s="390">
        <f>'9'!F7</f>
        <v>99</v>
      </c>
      <c r="E40" s="385" t="s">
        <v>194</v>
      </c>
      <c r="F40" s="385" t="s">
        <v>194</v>
      </c>
      <c r="G40" s="390">
        <f>'9'!E7</f>
        <v>2.5</v>
      </c>
      <c r="H40" s="390">
        <f>'9'!I7</f>
        <v>0.8</v>
      </c>
      <c r="I40" s="390">
        <f>'9'!O7</f>
        <v>3.7</v>
      </c>
      <c r="J40" s="385" t="s">
        <v>194</v>
      </c>
      <c r="K40" s="385" t="s">
        <v>194</v>
      </c>
    </row>
    <row r="41" spans="1:11">
      <c r="A41" s="1134"/>
      <c r="B41" s="383" t="s">
        <v>195</v>
      </c>
      <c r="C41" s="384">
        <f>'9'!B11</f>
        <v>250</v>
      </c>
      <c r="D41" s="384">
        <f>'9'!F11</f>
        <v>85</v>
      </c>
      <c r="E41" s="384">
        <f>'9'!F37</f>
        <v>3.4</v>
      </c>
      <c r="F41" s="384">
        <f>'9'!I37</f>
        <v>0.2</v>
      </c>
      <c r="G41" s="384">
        <f>'9'!E11</f>
        <v>2.5</v>
      </c>
      <c r="H41" s="384">
        <f>'9'!I11</f>
        <v>0.91</v>
      </c>
      <c r="I41" s="384">
        <f>'9'!O11</f>
        <v>3.6</v>
      </c>
      <c r="J41" s="384">
        <f>'9'!H37</f>
        <v>0</v>
      </c>
      <c r="K41" s="384">
        <f>'9'!K37</f>
        <v>0.06</v>
      </c>
    </row>
    <row r="42" spans="1:11">
      <c r="A42" s="1134"/>
      <c r="B42" s="386" t="s">
        <v>196</v>
      </c>
      <c r="C42" s="391">
        <f>'9'!B15</f>
        <v>250</v>
      </c>
      <c r="D42" s="391">
        <f>'9'!F15</f>
        <v>81</v>
      </c>
      <c r="E42" s="385" t="s">
        <v>194</v>
      </c>
      <c r="F42" s="385" t="s">
        <v>194</v>
      </c>
      <c r="G42" s="391">
        <f>'9'!E15</f>
        <v>2.5</v>
      </c>
      <c r="H42" s="391">
        <f>'9'!I15</f>
        <v>0.83</v>
      </c>
      <c r="I42" s="391">
        <f>'9'!O15</f>
        <v>3.2</v>
      </c>
      <c r="J42" s="385" t="s">
        <v>194</v>
      </c>
      <c r="K42" s="385" t="s">
        <v>194</v>
      </c>
    </row>
    <row r="43" spans="1:11">
      <c r="A43" s="388"/>
    </row>
    <row r="44" spans="1:11">
      <c r="A44" s="1134">
        <f>A40+1</f>
        <v>10</v>
      </c>
      <c r="B44" s="383" t="s">
        <v>193</v>
      </c>
      <c r="C44" s="390">
        <f>'10'!B7</f>
        <v>250</v>
      </c>
      <c r="D44" s="390">
        <f>'10'!F7</f>
        <v>80</v>
      </c>
      <c r="E44" s="385" t="s">
        <v>194</v>
      </c>
      <c r="F44" s="385" t="s">
        <v>194</v>
      </c>
      <c r="G44" s="390">
        <f>'10'!E7</f>
        <v>2.5</v>
      </c>
      <c r="H44" s="390">
        <f>'10'!I7</f>
        <v>0.81</v>
      </c>
      <c r="I44" s="390">
        <f>'10'!O7</f>
        <v>3.2</v>
      </c>
      <c r="J44" s="385" t="s">
        <v>194</v>
      </c>
      <c r="K44" s="385" t="s">
        <v>194</v>
      </c>
    </row>
    <row r="45" spans="1:11">
      <c r="A45" s="1134"/>
      <c r="B45" s="383" t="s">
        <v>195</v>
      </c>
      <c r="C45" s="384">
        <f>'10'!B11</f>
        <v>250</v>
      </c>
      <c r="D45" s="384">
        <f>'10'!F11</f>
        <v>72</v>
      </c>
      <c r="E45" s="384">
        <f>'10'!F37</f>
        <v>3.4</v>
      </c>
      <c r="F45" s="384">
        <f>'10'!I37</f>
        <v>0.2</v>
      </c>
      <c r="G45" s="384">
        <f>'10'!E11</f>
        <v>2.5</v>
      </c>
      <c r="H45" s="384">
        <f>'10'!I11</f>
        <v>0.95</v>
      </c>
      <c r="I45" s="384">
        <f>'10'!O11</f>
        <v>3.5</v>
      </c>
      <c r="J45" s="384">
        <f>'10'!H37</f>
        <v>0.2</v>
      </c>
      <c r="K45" s="384">
        <f>'10'!K37</f>
        <v>0.1</v>
      </c>
    </row>
    <row r="46" spans="1:11">
      <c r="A46" s="1134"/>
      <c r="B46" s="386" t="s">
        <v>196</v>
      </c>
      <c r="C46" s="391">
        <f>'10'!B15</f>
        <v>250</v>
      </c>
      <c r="D46" s="391">
        <f>'10'!F15</f>
        <v>66</v>
      </c>
      <c r="E46" s="385" t="s">
        <v>194</v>
      </c>
      <c r="F46" s="385" t="s">
        <v>194</v>
      </c>
      <c r="G46" s="391">
        <f>'10'!E15</f>
        <v>2.5</v>
      </c>
      <c r="H46" s="391">
        <f>'10'!I15</f>
        <v>0.9</v>
      </c>
      <c r="I46" s="391">
        <f>'10'!O15</f>
        <v>3.5</v>
      </c>
      <c r="J46" s="385" t="s">
        <v>194</v>
      </c>
      <c r="K46" s="385" t="s">
        <v>194</v>
      </c>
    </row>
    <row r="47" spans="1:11">
      <c r="A47" s="388"/>
    </row>
    <row r="48" spans="1:11">
      <c r="A48" s="1134">
        <f>A44+1</f>
        <v>11</v>
      </c>
      <c r="B48" s="383" t="s">
        <v>193</v>
      </c>
      <c r="C48" s="390">
        <f>'11'!B7</f>
        <v>250</v>
      </c>
      <c r="D48" s="390">
        <f>'11'!F7</f>
        <v>77</v>
      </c>
      <c r="E48" s="385" t="s">
        <v>194</v>
      </c>
      <c r="F48" s="385" t="s">
        <v>194</v>
      </c>
      <c r="G48" s="390">
        <f>'11'!E7</f>
        <v>2.5</v>
      </c>
      <c r="H48" s="390">
        <f>'11'!I7</f>
        <v>1.6</v>
      </c>
      <c r="I48" s="390">
        <f>'11'!O7</f>
        <v>3.5</v>
      </c>
      <c r="J48" s="385" t="s">
        <v>194</v>
      </c>
      <c r="K48" s="385" t="s">
        <v>194</v>
      </c>
    </row>
    <row r="49" spans="1:11">
      <c r="A49" s="1134"/>
      <c r="B49" s="383" t="s">
        <v>195</v>
      </c>
      <c r="C49" s="384">
        <f>'11'!B11</f>
        <v>250</v>
      </c>
      <c r="D49" s="384">
        <f>'11'!F11</f>
        <v>62</v>
      </c>
      <c r="E49" s="384">
        <f>'11'!F37</f>
        <v>2.4</v>
      </c>
      <c r="F49" s="384">
        <f>'11'!I37</f>
        <v>0.15</v>
      </c>
      <c r="G49" s="384">
        <f>'11'!E11</f>
        <v>2.5</v>
      </c>
      <c r="H49" s="384">
        <f>'11'!I11</f>
        <v>1.1000000000000001</v>
      </c>
      <c r="I49" s="384">
        <f>'11'!O11</f>
        <v>3.5</v>
      </c>
      <c r="J49" s="384">
        <f>'11'!H37</f>
        <v>0</v>
      </c>
      <c r="K49" s="384">
        <f>'11'!K37</f>
        <v>0.03</v>
      </c>
    </row>
    <row r="50" spans="1:11">
      <c r="A50" s="1134"/>
      <c r="B50" s="386" t="s">
        <v>196</v>
      </c>
      <c r="C50" s="391">
        <f>'11'!B15</f>
        <v>250</v>
      </c>
      <c r="D50" s="391">
        <f>'11'!F15</f>
        <v>61</v>
      </c>
      <c r="E50" s="385" t="s">
        <v>194</v>
      </c>
      <c r="F50" s="385" t="s">
        <v>194</v>
      </c>
      <c r="G50" s="391">
        <f>'11'!E15</f>
        <v>2.5</v>
      </c>
      <c r="H50" s="391">
        <f>'11'!I15</f>
        <v>1.2</v>
      </c>
      <c r="I50" s="391">
        <f>'11'!O15</f>
        <v>3.5</v>
      </c>
      <c r="J50" s="385" t="s">
        <v>194</v>
      </c>
      <c r="K50" s="385" t="s">
        <v>194</v>
      </c>
    </row>
    <row r="51" spans="1:11">
      <c r="A51" s="388"/>
    </row>
    <row r="52" spans="1:11">
      <c r="A52" s="1134">
        <f>A48+1</f>
        <v>12</v>
      </c>
      <c r="B52" s="383" t="s">
        <v>193</v>
      </c>
      <c r="C52" s="390">
        <f>'12'!B7</f>
        <v>250</v>
      </c>
      <c r="D52" s="390">
        <f>'12'!F7</f>
        <v>59</v>
      </c>
      <c r="E52" s="385" t="s">
        <v>194</v>
      </c>
      <c r="F52" s="385" t="s">
        <v>194</v>
      </c>
      <c r="G52" s="390">
        <f>'12'!E7</f>
        <v>2.5</v>
      </c>
      <c r="H52" s="390">
        <f>'12'!I7</f>
        <v>1.19</v>
      </c>
      <c r="I52" s="390">
        <f>'12'!O7</f>
        <v>3.5</v>
      </c>
      <c r="J52" s="385" t="s">
        <v>194</v>
      </c>
      <c r="K52" s="385" t="s">
        <v>194</v>
      </c>
    </row>
    <row r="53" spans="1:11">
      <c r="A53" s="1134"/>
      <c r="B53" s="383" t="s">
        <v>195</v>
      </c>
      <c r="C53" s="384">
        <f>'12'!B11</f>
        <v>250</v>
      </c>
      <c r="D53" s="384">
        <f>'12'!F11</f>
        <v>55</v>
      </c>
      <c r="E53" s="384">
        <f>'12'!F37</f>
        <v>3</v>
      </c>
      <c r="F53" s="384">
        <f>'12'!I37</f>
        <v>0.2</v>
      </c>
      <c r="G53" s="384">
        <f>'12'!E11</f>
        <v>2.5</v>
      </c>
      <c r="H53" s="384">
        <f>'12'!I11</f>
        <v>1.05</v>
      </c>
      <c r="I53" s="384">
        <f>'12'!O11</f>
        <v>3.8</v>
      </c>
      <c r="J53" s="384">
        <f>'12'!H37</f>
        <v>0.1</v>
      </c>
      <c r="K53" s="384">
        <f>'12'!K37</f>
        <v>0.03</v>
      </c>
    </row>
    <row r="54" spans="1:11">
      <c r="A54" s="1134"/>
      <c r="B54" s="386" t="s">
        <v>196</v>
      </c>
      <c r="C54" s="391">
        <f>'12'!B15</f>
        <v>220</v>
      </c>
      <c r="D54" s="391">
        <f>'12'!F15</f>
        <v>53</v>
      </c>
      <c r="E54" s="385" t="s">
        <v>194</v>
      </c>
      <c r="F54" s="385" t="s">
        <v>194</v>
      </c>
      <c r="G54" s="391">
        <f>'12'!E15</f>
        <v>2.5</v>
      </c>
      <c r="H54" s="391">
        <f>'12'!I15</f>
        <v>0.85</v>
      </c>
      <c r="I54" s="391">
        <f>'12'!O15</f>
        <v>3.5</v>
      </c>
      <c r="J54" s="385" t="s">
        <v>194</v>
      </c>
      <c r="K54" s="385" t="s">
        <v>194</v>
      </c>
    </row>
    <row r="55" spans="1:11">
      <c r="A55" s="388"/>
    </row>
    <row r="56" spans="1:11">
      <c r="A56" s="1134">
        <f>A52+1</f>
        <v>13</v>
      </c>
      <c r="B56" s="383" t="s">
        <v>193</v>
      </c>
      <c r="C56" s="390">
        <f>'13'!B7</f>
        <v>220</v>
      </c>
      <c r="D56" s="390">
        <f>'13'!F7</f>
        <v>50</v>
      </c>
      <c r="E56" s="385" t="s">
        <v>194</v>
      </c>
      <c r="F56" s="385" t="s">
        <v>194</v>
      </c>
      <c r="G56" s="390">
        <f>'13'!E7</f>
        <v>2.5</v>
      </c>
      <c r="H56" s="390">
        <f>'13'!I7</f>
        <v>0.73</v>
      </c>
      <c r="I56" s="390">
        <f>'13'!O7</f>
        <v>3.6</v>
      </c>
      <c r="J56" s="385" t="s">
        <v>194</v>
      </c>
      <c r="K56" s="385" t="s">
        <v>194</v>
      </c>
    </row>
    <row r="57" spans="1:11">
      <c r="A57" s="1134"/>
      <c r="B57" s="383" t="s">
        <v>195</v>
      </c>
      <c r="C57" s="384">
        <f>'13'!B11</f>
        <v>240</v>
      </c>
      <c r="D57" s="384">
        <f>'13'!F11</f>
        <v>49</v>
      </c>
      <c r="E57" s="384">
        <f>'13'!F37</f>
        <v>2.8</v>
      </c>
      <c r="F57" s="384">
        <f>'13'!I37</f>
        <v>2.4</v>
      </c>
      <c r="G57" s="384">
        <f>'13'!E11</f>
        <v>2.5</v>
      </c>
      <c r="H57" s="384">
        <f>'13'!I11</f>
        <v>0.62</v>
      </c>
      <c r="I57" s="384">
        <f>'13'!O11</f>
        <v>3.7</v>
      </c>
      <c r="J57" s="384">
        <f>'13'!H37</f>
        <v>0.2</v>
      </c>
      <c r="K57" s="384">
        <f>'13'!K37</f>
        <v>0</v>
      </c>
    </row>
    <row r="58" spans="1:11">
      <c r="A58" s="1134"/>
      <c r="B58" s="386" t="s">
        <v>196</v>
      </c>
      <c r="C58" s="391">
        <f>'13'!B15</f>
        <v>240</v>
      </c>
      <c r="D58" s="391">
        <f>'13'!F15</f>
        <v>45</v>
      </c>
      <c r="E58" s="385" t="s">
        <v>194</v>
      </c>
      <c r="F58" s="385" t="s">
        <v>194</v>
      </c>
      <c r="G58" s="391">
        <f>'13'!E15</f>
        <v>2.5</v>
      </c>
      <c r="H58" s="391">
        <f>'13'!I15</f>
        <v>0.64</v>
      </c>
      <c r="I58" s="391">
        <f>'13'!O15</f>
        <v>3.8</v>
      </c>
      <c r="J58" s="385" t="s">
        <v>194</v>
      </c>
      <c r="K58" s="385" t="s">
        <v>194</v>
      </c>
    </row>
    <row r="59" spans="1:11">
      <c r="A59" s="388"/>
    </row>
    <row r="60" spans="1:11">
      <c r="A60" s="1134">
        <f>A56+1</f>
        <v>14</v>
      </c>
      <c r="B60" s="383" t="s">
        <v>193</v>
      </c>
      <c r="C60" s="390">
        <f>'14'!B7</f>
        <v>240</v>
      </c>
      <c r="D60" s="390">
        <f>'14'!F7</f>
        <v>43</v>
      </c>
      <c r="E60" s="385" t="s">
        <v>194</v>
      </c>
      <c r="F60" s="385" t="s">
        <v>194</v>
      </c>
      <c r="G60" s="390">
        <f>'14'!E7</f>
        <v>2.5</v>
      </c>
      <c r="H60" s="390">
        <f>'14'!I7</f>
        <v>0.88</v>
      </c>
      <c r="I60" s="390">
        <f>'14'!O7</f>
        <v>3.8</v>
      </c>
      <c r="J60" s="385" t="s">
        <v>194</v>
      </c>
      <c r="K60" s="385" t="s">
        <v>194</v>
      </c>
    </row>
    <row r="61" spans="1:11">
      <c r="A61" s="1134"/>
      <c r="B61" s="383" t="s">
        <v>195</v>
      </c>
      <c r="C61" s="384">
        <f>'14'!B11</f>
        <v>240</v>
      </c>
      <c r="D61" s="384">
        <f>'14'!F11</f>
        <v>44</v>
      </c>
      <c r="E61" s="384">
        <f>'14'!F37</f>
        <v>2.8</v>
      </c>
      <c r="F61" s="384">
        <f>'14'!I37</f>
        <v>0.2</v>
      </c>
      <c r="G61" s="384">
        <f>'14'!E11</f>
        <v>2.5</v>
      </c>
      <c r="H61" s="384">
        <f>'14'!I11</f>
        <v>0.8</v>
      </c>
      <c r="I61" s="384">
        <f>'14'!O11</f>
        <v>3.5</v>
      </c>
      <c r="J61" s="384">
        <f>'14'!H37</f>
        <v>0.1</v>
      </c>
      <c r="K61" s="384">
        <f>'14'!K37</f>
        <v>0.03</v>
      </c>
    </row>
    <row r="62" spans="1:11">
      <c r="A62" s="1134"/>
      <c r="B62" s="386" t="s">
        <v>196</v>
      </c>
      <c r="C62" s="391">
        <f>'14'!B15</f>
        <v>240</v>
      </c>
      <c r="D62" s="391">
        <f>'14'!F15</f>
        <v>43</v>
      </c>
      <c r="E62" s="385" t="s">
        <v>194</v>
      </c>
      <c r="F62" s="385" t="s">
        <v>194</v>
      </c>
      <c r="G62" s="391">
        <f>'14'!E15</f>
        <v>2.5</v>
      </c>
      <c r="H62" s="391">
        <f>'14'!I15</f>
        <v>0.9</v>
      </c>
      <c r="I62" s="391">
        <f>'14'!O15</f>
        <v>3.5</v>
      </c>
      <c r="J62" s="385" t="s">
        <v>194</v>
      </c>
      <c r="K62" s="385" t="s">
        <v>194</v>
      </c>
    </row>
    <row r="63" spans="1:11">
      <c r="A63" s="388"/>
    </row>
    <row r="64" spans="1:11">
      <c r="A64" s="1134">
        <f>A60+1</f>
        <v>15</v>
      </c>
      <c r="B64" s="383" t="s">
        <v>193</v>
      </c>
      <c r="C64" s="390">
        <f>'15'!B7</f>
        <v>240</v>
      </c>
      <c r="D64" s="390">
        <f>'15'!F7</f>
        <v>44</v>
      </c>
      <c r="E64" s="385" t="s">
        <v>194</v>
      </c>
      <c r="F64" s="385" t="s">
        <v>194</v>
      </c>
      <c r="G64" s="390">
        <f>'15'!E7</f>
        <v>2.5</v>
      </c>
      <c r="H64" s="390">
        <f>'15'!I7</f>
        <v>1.1000000000000001</v>
      </c>
      <c r="I64" s="390">
        <f>'15'!O7</f>
        <v>3.2</v>
      </c>
      <c r="J64" s="385" t="s">
        <v>194</v>
      </c>
      <c r="K64" s="385" t="s">
        <v>194</v>
      </c>
    </row>
    <row r="65" spans="1:11">
      <c r="A65" s="1134"/>
      <c r="B65" s="383" t="s">
        <v>195</v>
      </c>
      <c r="C65" s="384">
        <f>'15'!B11</f>
        <v>240</v>
      </c>
      <c r="D65" s="384">
        <f>'15'!F11</f>
        <v>40</v>
      </c>
      <c r="E65" s="384">
        <f>'15'!F37</f>
        <v>2.8</v>
      </c>
      <c r="F65" s="384">
        <f>'15'!I37</f>
        <v>0.25</v>
      </c>
      <c r="G65" s="384">
        <f>'15'!E11</f>
        <v>2.5</v>
      </c>
      <c r="H65" s="384">
        <f>'15'!I11</f>
        <v>0.7</v>
      </c>
      <c r="I65" s="384">
        <f>'15'!O11</f>
        <v>3.5</v>
      </c>
      <c r="J65" s="384">
        <f>'15'!H37</f>
        <v>0</v>
      </c>
      <c r="K65" s="384">
        <f>'15'!K37</f>
        <v>0.06</v>
      </c>
    </row>
    <row r="66" spans="1:11">
      <c r="A66" s="1134"/>
      <c r="B66" s="386" t="s">
        <v>196</v>
      </c>
      <c r="C66" s="391">
        <f>'15'!B15</f>
        <v>240</v>
      </c>
      <c r="D66" s="391">
        <f>'15'!F15</f>
        <v>40</v>
      </c>
      <c r="E66" s="385" t="s">
        <v>194</v>
      </c>
      <c r="F66" s="385" t="s">
        <v>194</v>
      </c>
      <c r="G66" s="391">
        <f>'15'!E15</f>
        <v>2.5</v>
      </c>
      <c r="H66" s="391">
        <f>'15'!I15</f>
        <v>0.8</v>
      </c>
      <c r="I66" s="391">
        <f>'15'!O15</f>
        <v>3</v>
      </c>
      <c r="J66" s="385" t="s">
        <v>194</v>
      </c>
      <c r="K66" s="385" t="s">
        <v>194</v>
      </c>
    </row>
    <row r="67" spans="1:11">
      <c r="A67" s="388"/>
    </row>
    <row r="68" spans="1:11">
      <c r="A68" s="1134">
        <f>A64+1</f>
        <v>16</v>
      </c>
      <c r="B68" s="383" t="s">
        <v>193</v>
      </c>
      <c r="C68" s="390">
        <f>'16'!B7</f>
        <v>240</v>
      </c>
      <c r="D68" s="390">
        <f>'16'!F7</f>
        <v>44</v>
      </c>
      <c r="E68" s="385" t="s">
        <v>194</v>
      </c>
      <c r="F68" s="385" t="s">
        <v>194</v>
      </c>
      <c r="G68" s="390">
        <f>'16'!E7</f>
        <v>2.5</v>
      </c>
      <c r="H68" s="390">
        <f>'16'!I7</f>
        <v>0.9</v>
      </c>
      <c r="I68" s="390">
        <f>'16'!O7</f>
        <v>3.2</v>
      </c>
      <c r="J68" s="385" t="s">
        <v>194</v>
      </c>
      <c r="K68" s="385" t="s">
        <v>194</v>
      </c>
    </row>
    <row r="69" spans="1:11">
      <c r="A69" s="1134"/>
      <c r="B69" s="383" t="s">
        <v>195</v>
      </c>
      <c r="C69" s="384">
        <f>'16'!B11</f>
        <v>240</v>
      </c>
      <c r="D69" s="384">
        <f>'16'!F11</f>
        <v>43</v>
      </c>
      <c r="E69" s="384">
        <f>'16'!F37</f>
        <v>2.6</v>
      </c>
      <c r="F69" s="384">
        <f>'16'!I37</f>
        <v>0.2</v>
      </c>
      <c r="G69" s="384">
        <f>'16'!E11</f>
        <v>2.5</v>
      </c>
      <c r="H69" s="384">
        <f>'16'!I11</f>
        <v>0.9</v>
      </c>
      <c r="I69" s="384">
        <f>'16'!O11</f>
        <v>3.2</v>
      </c>
      <c r="J69" s="384">
        <f>'16'!H37</f>
        <v>0.1</v>
      </c>
      <c r="K69" s="384">
        <f>'16'!K37</f>
        <v>0.03</v>
      </c>
    </row>
    <row r="70" spans="1:11">
      <c r="A70" s="1134"/>
      <c r="B70" s="386" t="s">
        <v>196</v>
      </c>
      <c r="C70" s="391">
        <f>'16'!B15</f>
        <v>200</v>
      </c>
      <c r="D70" s="391">
        <f>'16'!F15</f>
        <v>38</v>
      </c>
      <c r="E70" s="385" t="s">
        <v>194</v>
      </c>
      <c r="F70" s="385" t="s">
        <v>194</v>
      </c>
      <c r="G70" s="391">
        <f>'16'!E15</f>
        <v>2.5</v>
      </c>
      <c r="H70" s="391">
        <f>'16'!I15</f>
        <v>0.82</v>
      </c>
      <c r="I70" s="391">
        <f>'16'!O15</f>
        <v>3</v>
      </c>
      <c r="J70" s="385" t="s">
        <v>194</v>
      </c>
      <c r="K70" s="385" t="s">
        <v>194</v>
      </c>
    </row>
    <row r="71" spans="1:11">
      <c r="A71" s="388"/>
    </row>
    <row r="72" spans="1:11">
      <c r="A72" s="1134">
        <f>A68+1</f>
        <v>17</v>
      </c>
      <c r="B72" s="383" t="s">
        <v>193</v>
      </c>
      <c r="C72" s="390">
        <f>'17'!B7</f>
        <v>135</v>
      </c>
      <c r="D72" s="390">
        <f>'17'!F7</f>
        <v>36</v>
      </c>
      <c r="E72" s="385" t="s">
        <v>194</v>
      </c>
      <c r="F72" s="385" t="s">
        <v>194</v>
      </c>
      <c r="G72" s="390">
        <f>'17'!E7</f>
        <v>6</v>
      </c>
      <c r="H72" s="390">
        <f>'17'!I7</f>
        <v>0.59</v>
      </c>
      <c r="I72" s="390">
        <f>'17'!O7</f>
        <v>3.5</v>
      </c>
      <c r="J72" s="385" t="s">
        <v>194</v>
      </c>
      <c r="K72" s="385" t="s">
        <v>194</v>
      </c>
    </row>
    <row r="73" spans="1:11">
      <c r="A73" s="1134"/>
      <c r="B73" s="383" t="s">
        <v>195</v>
      </c>
      <c r="C73" s="384">
        <f>'17'!B11</f>
        <v>105</v>
      </c>
      <c r="D73" s="384">
        <f>'17'!F11</f>
        <v>2.8</v>
      </c>
      <c r="E73" s="384">
        <f>'17'!F37</f>
        <v>1.8</v>
      </c>
      <c r="F73" s="384">
        <f>'17'!I37</f>
        <v>0.15</v>
      </c>
      <c r="G73" s="384">
        <f>'17'!E11</f>
        <v>5.6</v>
      </c>
      <c r="H73" s="384">
        <f>'17'!I11</f>
        <v>0.49</v>
      </c>
      <c r="I73" s="384">
        <f>'17'!O11</f>
        <v>3.6</v>
      </c>
      <c r="J73" s="384">
        <f>'17'!H37</f>
        <v>0.2</v>
      </c>
      <c r="K73" s="384">
        <f>'17'!K37</f>
        <v>0</v>
      </c>
    </row>
    <row r="74" spans="1:11">
      <c r="A74" s="1134"/>
      <c r="B74" s="386" t="s">
        <v>196</v>
      </c>
      <c r="C74" s="391">
        <f>'17'!B15</f>
        <v>133</v>
      </c>
      <c r="D74" s="391">
        <f>'17'!F15</f>
        <v>35</v>
      </c>
      <c r="E74" s="385" t="s">
        <v>194</v>
      </c>
      <c r="F74" s="385" t="s">
        <v>194</v>
      </c>
      <c r="G74" s="391">
        <f>'17'!E15</f>
        <v>6.5</v>
      </c>
      <c r="H74" s="391">
        <f>'17'!I15</f>
        <v>0.57999999999999996</v>
      </c>
      <c r="I74" s="391">
        <f>'17'!O15</f>
        <v>3.7</v>
      </c>
      <c r="J74" s="385" t="s">
        <v>194</v>
      </c>
      <c r="K74" s="385" t="s">
        <v>194</v>
      </c>
    </row>
    <row r="75" spans="1:11">
      <c r="A75" s="388"/>
    </row>
    <row r="76" spans="1:11">
      <c r="A76" s="1134">
        <f>A72+1</f>
        <v>18</v>
      </c>
      <c r="B76" s="383" t="s">
        <v>193</v>
      </c>
      <c r="C76" s="390">
        <f>'18'!B7</f>
        <v>131</v>
      </c>
      <c r="D76" s="390">
        <f>'18'!F7</f>
        <v>34</v>
      </c>
      <c r="E76" s="385" t="s">
        <v>194</v>
      </c>
      <c r="F76" s="385" t="s">
        <v>194</v>
      </c>
      <c r="G76" s="390">
        <f>'18'!E7</f>
        <v>6</v>
      </c>
      <c r="H76" s="390">
        <f>'18'!I7</f>
        <v>0.57999999999999996</v>
      </c>
      <c r="I76" s="390">
        <f>'18'!O7</f>
        <v>4</v>
      </c>
      <c r="J76" s="385" t="s">
        <v>194</v>
      </c>
      <c r="K76" s="385" t="s">
        <v>194</v>
      </c>
    </row>
    <row r="77" spans="1:11">
      <c r="A77" s="1134"/>
      <c r="B77" s="383" t="s">
        <v>195</v>
      </c>
      <c r="C77" s="384">
        <f>'18'!B11</f>
        <v>129</v>
      </c>
      <c r="D77" s="384">
        <f>'18'!F11</f>
        <v>38</v>
      </c>
      <c r="E77" s="384">
        <f>'18'!F37</f>
        <v>1.6</v>
      </c>
      <c r="F77" s="384">
        <f>'18'!I37</f>
        <v>0.15</v>
      </c>
      <c r="G77" s="384">
        <f>'18'!E11</f>
        <v>6</v>
      </c>
      <c r="H77" s="384">
        <f>'18'!I11</f>
        <v>0.82</v>
      </c>
      <c r="I77" s="384">
        <f>'18'!O11</f>
        <v>3.8</v>
      </c>
      <c r="J77" s="384">
        <f>'18'!H37</f>
        <v>0.2</v>
      </c>
      <c r="K77" s="384">
        <f>'18'!K37</f>
        <v>0</v>
      </c>
    </row>
    <row r="78" spans="1:11">
      <c r="A78" s="1134"/>
      <c r="B78" s="386" t="s">
        <v>196</v>
      </c>
      <c r="C78" s="391">
        <f>'18'!B15</f>
        <v>129</v>
      </c>
      <c r="D78" s="391">
        <f>'18'!F15</f>
        <v>37</v>
      </c>
      <c r="E78" s="385" t="s">
        <v>194</v>
      </c>
      <c r="F78" s="385" t="s">
        <v>194</v>
      </c>
      <c r="G78" s="391">
        <f>'18'!E15</f>
        <v>9.1999999999999993</v>
      </c>
      <c r="H78" s="391">
        <f>'18'!I15</f>
        <v>1.2</v>
      </c>
      <c r="I78" s="391">
        <f>'18'!O15</f>
        <v>3.5</v>
      </c>
      <c r="J78" s="385" t="s">
        <v>194</v>
      </c>
      <c r="K78" s="385" t="s">
        <v>194</v>
      </c>
    </row>
    <row r="79" spans="1:11">
      <c r="A79" s="388"/>
    </row>
    <row r="80" spans="1:11">
      <c r="A80" s="1134">
        <f>A76+1</f>
        <v>19</v>
      </c>
      <c r="B80" s="383" t="s">
        <v>193</v>
      </c>
      <c r="C80" s="390">
        <f>'19'!B7</f>
        <v>132</v>
      </c>
      <c r="D80" s="390">
        <f>'19'!F7</f>
        <v>40</v>
      </c>
      <c r="E80" s="385" t="s">
        <v>194</v>
      </c>
      <c r="F80" s="385" t="s">
        <v>194</v>
      </c>
      <c r="G80" s="390">
        <f>'19'!E7</f>
        <v>7.3</v>
      </c>
      <c r="H80" s="390">
        <f>'19'!I7</f>
        <v>0.9</v>
      </c>
      <c r="I80" s="390">
        <f>'19'!O7</f>
        <v>3.5</v>
      </c>
      <c r="J80" s="385" t="s">
        <v>194</v>
      </c>
      <c r="K80" s="385" t="s">
        <v>194</v>
      </c>
    </row>
    <row r="81" spans="1:11">
      <c r="A81" s="1134"/>
      <c r="B81" s="383" t="s">
        <v>195</v>
      </c>
      <c r="C81" s="384">
        <f>'19'!B11</f>
        <v>135</v>
      </c>
      <c r="D81" s="384">
        <f>'19'!F11</f>
        <v>39</v>
      </c>
      <c r="E81" s="384">
        <f>'19'!F37</f>
        <v>1.2</v>
      </c>
      <c r="F81" s="384">
        <f>'19'!I37</f>
        <v>0.2</v>
      </c>
      <c r="G81" s="384">
        <f>'19'!E11</f>
        <v>3.4</v>
      </c>
      <c r="H81" s="384">
        <f>'19'!I11</f>
        <v>1</v>
      </c>
      <c r="I81" s="384">
        <f>'19'!O11</f>
        <v>3.5</v>
      </c>
      <c r="J81" s="384">
        <f>'19'!H37</f>
        <v>0</v>
      </c>
      <c r="K81" s="384">
        <f>'19'!K37</f>
        <v>0</v>
      </c>
    </row>
    <row r="82" spans="1:11">
      <c r="A82" s="1134"/>
      <c r="B82" s="386" t="s">
        <v>196</v>
      </c>
      <c r="C82" s="391">
        <f>'19'!B15</f>
        <v>139</v>
      </c>
      <c r="D82" s="391">
        <f>'19'!F15</f>
        <v>37</v>
      </c>
      <c r="E82" s="385" t="s">
        <v>194</v>
      </c>
      <c r="F82" s="385" t="s">
        <v>194</v>
      </c>
      <c r="G82" s="391">
        <f>'19'!E15</f>
        <v>3.9</v>
      </c>
      <c r="H82" s="391">
        <f>'19'!I15</f>
        <v>1.1000000000000001</v>
      </c>
      <c r="I82" s="391">
        <f>'19'!O15</f>
        <v>3.2</v>
      </c>
      <c r="J82" s="385" t="s">
        <v>194</v>
      </c>
      <c r="K82" s="385" t="s">
        <v>194</v>
      </c>
    </row>
    <row r="83" spans="1:11">
      <c r="A83" s="388"/>
    </row>
    <row r="84" spans="1:11">
      <c r="A84" s="1134">
        <f>A80+1</f>
        <v>20</v>
      </c>
      <c r="B84" s="383" t="s">
        <v>193</v>
      </c>
      <c r="C84" s="390">
        <f>'20'!B7</f>
        <v>138</v>
      </c>
      <c r="D84" s="390">
        <f>'20'!F7</f>
        <v>38</v>
      </c>
      <c r="E84" s="385" t="s">
        <v>194</v>
      </c>
      <c r="F84" s="385" t="s">
        <v>194</v>
      </c>
      <c r="G84" s="390">
        <f>'20'!E7</f>
        <v>5.5</v>
      </c>
      <c r="H84" s="390">
        <f>'20'!I7</f>
        <v>1</v>
      </c>
      <c r="I84" s="390">
        <f>'20'!O7</f>
        <v>3.2</v>
      </c>
      <c r="J84" s="385" t="s">
        <v>194</v>
      </c>
      <c r="K84" s="385" t="s">
        <v>194</v>
      </c>
    </row>
    <row r="85" spans="1:11">
      <c r="A85" s="1134"/>
      <c r="B85" s="383" t="s">
        <v>195</v>
      </c>
      <c r="C85" s="384">
        <f>'20'!B11</f>
        <v>125</v>
      </c>
      <c r="D85" s="384">
        <f>'20'!F11</f>
        <v>32</v>
      </c>
      <c r="E85" s="384">
        <f>'20'!F37</f>
        <v>1.6</v>
      </c>
      <c r="F85" s="384">
        <f>'20'!I37</f>
        <v>0.2</v>
      </c>
      <c r="G85" s="384">
        <f>'20'!E11</f>
        <v>5</v>
      </c>
      <c r="H85" s="384">
        <f>'20'!I11</f>
        <v>0.8</v>
      </c>
      <c r="I85" s="384">
        <f>'20'!O11</f>
        <v>2.6</v>
      </c>
      <c r="J85" s="384">
        <f>'20'!H37</f>
        <v>0.1</v>
      </c>
      <c r="K85" s="384">
        <f>'20'!K37</f>
        <v>0.03</v>
      </c>
    </row>
    <row r="86" spans="1:11">
      <c r="A86" s="1134"/>
      <c r="B86" s="386" t="s">
        <v>196</v>
      </c>
      <c r="C86" s="391">
        <f>'20'!B15</f>
        <v>128</v>
      </c>
      <c r="D86" s="391">
        <f>'20'!F15</f>
        <v>33</v>
      </c>
      <c r="E86" s="385" t="s">
        <v>194</v>
      </c>
      <c r="F86" s="385" t="s">
        <v>194</v>
      </c>
      <c r="G86" s="391">
        <f>'20'!E15</f>
        <v>6</v>
      </c>
      <c r="H86" s="391">
        <f>'20'!I15</f>
        <v>0.8</v>
      </c>
      <c r="I86" s="391">
        <f>'20'!O15</f>
        <v>2.6</v>
      </c>
      <c r="J86" s="385" t="s">
        <v>194</v>
      </c>
      <c r="K86" s="385" t="s">
        <v>194</v>
      </c>
    </row>
    <row r="87" spans="1:11">
      <c r="A87" s="388"/>
    </row>
    <row r="88" spans="1:11">
      <c r="A88" s="1134">
        <f>A84+1</f>
        <v>21</v>
      </c>
      <c r="B88" s="383" t="s">
        <v>193</v>
      </c>
      <c r="C88" s="390">
        <f>'21'!B7</f>
        <v>140</v>
      </c>
      <c r="D88" s="390">
        <f>'21'!F7</f>
        <v>35</v>
      </c>
      <c r="E88" s="385" t="s">
        <v>194</v>
      </c>
      <c r="F88" s="385" t="s">
        <v>194</v>
      </c>
      <c r="G88" s="390">
        <f>'21'!E7</f>
        <v>5</v>
      </c>
      <c r="H88" s="390">
        <f>'21'!I7</f>
        <v>0.7</v>
      </c>
      <c r="I88" s="390">
        <f>'21'!O7</f>
        <v>3</v>
      </c>
      <c r="J88" s="385" t="s">
        <v>194</v>
      </c>
      <c r="K88" s="385" t="s">
        <v>194</v>
      </c>
    </row>
    <row r="89" spans="1:11">
      <c r="A89" s="1134"/>
      <c r="B89" s="383" t="s">
        <v>195</v>
      </c>
      <c r="C89" s="384">
        <f>'21'!B11</f>
        <v>127</v>
      </c>
      <c r="D89" s="384">
        <f>'21'!F11</f>
        <v>34</v>
      </c>
      <c r="E89" s="384">
        <f>'21'!F37</f>
        <v>1.8</v>
      </c>
      <c r="F89" s="384">
        <f>'21'!I37</f>
        <v>0.15</v>
      </c>
      <c r="G89" s="384">
        <f>'21'!E11</f>
        <v>4</v>
      </c>
      <c r="H89" s="384">
        <f>'21'!I11</f>
        <v>0.6</v>
      </c>
      <c r="I89" s="384">
        <f>'21'!O11</f>
        <v>3.2</v>
      </c>
      <c r="J89" s="384">
        <f>'21'!H37</f>
        <v>0.2</v>
      </c>
      <c r="K89" s="384">
        <f>'21'!K37</f>
        <v>0</v>
      </c>
    </row>
    <row r="90" spans="1:11">
      <c r="A90" s="1134"/>
      <c r="B90" s="386" t="s">
        <v>196</v>
      </c>
      <c r="C90" s="391">
        <f>'21'!B15</f>
        <v>140</v>
      </c>
      <c r="D90" s="391">
        <f>'21'!F15</f>
        <v>38</v>
      </c>
      <c r="E90" s="385" t="s">
        <v>194</v>
      </c>
      <c r="F90" s="385" t="s">
        <v>194</v>
      </c>
      <c r="G90" s="391">
        <f>'21'!E15</f>
        <v>8</v>
      </c>
      <c r="H90" s="391">
        <f>'21'!I15</f>
        <v>0.6</v>
      </c>
      <c r="I90" s="391">
        <f>'21'!O15</f>
        <v>3.4</v>
      </c>
      <c r="J90" s="385" t="s">
        <v>194</v>
      </c>
      <c r="K90" s="385" t="s">
        <v>194</v>
      </c>
    </row>
    <row r="91" spans="1:11">
      <c r="A91" s="388"/>
    </row>
    <row r="92" spans="1:11">
      <c r="A92" s="1134">
        <f>A88+1</f>
        <v>22</v>
      </c>
      <c r="B92" s="383" t="s">
        <v>193</v>
      </c>
      <c r="C92" s="390">
        <f>'22'!B7</f>
        <v>129</v>
      </c>
      <c r="D92" s="390">
        <f>'22'!F7</f>
        <v>33</v>
      </c>
      <c r="E92" s="385" t="s">
        <v>194</v>
      </c>
      <c r="F92" s="385" t="s">
        <v>194</v>
      </c>
      <c r="G92" s="390">
        <f>'22'!E7</f>
        <v>7</v>
      </c>
      <c r="H92" s="390">
        <f>'22'!I7</f>
        <v>0.7</v>
      </c>
      <c r="I92" s="390">
        <f>'22'!O7</f>
        <v>3</v>
      </c>
      <c r="J92" s="385" t="s">
        <v>194</v>
      </c>
      <c r="K92" s="385" t="s">
        <v>194</v>
      </c>
    </row>
    <row r="93" spans="1:11">
      <c r="A93" s="1134"/>
      <c r="B93" s="383" t="s">
        <v>195</v>
      </c>
      <c r="C93" s="384">
        <f>'22'!B11</f>
        <v>121</v>
      </c>
      <c r="D93" s="384">
        <f>'22'!F11</f>
        <v>31</v>
      </c>
      <c r="E93" s="384">
        <f>'22'!F37</f>
        <v>1.6</v>
      </c>
      <c r="F93" s="384">
        <f>'22'!I37</f>
        <v>0.15</v>
      </c>
      <c r="G93" s="384">
        <f>'22'!E11</f>
        <v>4.8</v>
      </c>
      <c r="H93" s="384">
        <f>'22'!I11</f>
        <v>0.8</v>
      </c>
      <c r="I93" s="384">
        <f>'22'!O11</f>
        <v>3</v>
      </c>
      <c r="J93" s="384">
        <f>'22'!H37</f>
        <v>0.2</v>
      </c>
      <c r="K93" s="384">
        <f>'22'!K37</f>
        <v>0.03</v>
      </c>
    </row>
    <row r="94" spans="1:11">
      <c r="A94" s="1134"/>
      <c r="B94" s="386" t="s">
        <v>196</v>
      </c>
      <c r="C94" s="391">
        <f>'22'!B15</f>
        <v>127</v>
      </c>
      <c r="D94" s="391">
        <f>'22'!F15</f>
        <v>37</v>
      </c>
      <c r="E94" s="385" t="s">
        <v>194</v>
      </c>
      <c r="F94" s="385" t="s">
        <v>194</v>
      </c>
      <c r="G94" s="391">
        <f>'22'!E15</f>
        <v>4.5999999999999996</v>
      </c>
      <c r="H94" s="391">
        <f>'22'!I15</f>
        <v>0.9</v>
      </c>
      <c r="I94" s="391">
        <f>'22'!O15</f>
        <v>3</v>
      </c>
      <c r="J94" s="385" t="s">
        <v>194</v>
      </c>
      <c r="K94" s="385" t="s">
        <v>194</v>
      </c>
    </row>
    <row r="95" spans="1:11">
      <c r="A95" s="388"/>
    </row>
    <row r="96" spans="1:11">
      <c r="A96" s="1134">
        <f>A92+1</f>
        <v>23</v>
      </c>
      <c r="B96" s="383" t="s">
        <v>193</v>
      </c>
      <c r="C96" s="390">
        <f>'23'!B7</f>
        <v>129</v>
      </c>
      <c r="D96" s="390">
        <f>'23'!F7</f>
        <v>37</v>
      </c>
      <c r="E96" s="385" t="s">
        <v>194</v>
      </c>
      <c r="F96" s="385" t="s">
        <v>194</v>
      </c>
      <c r="G96" s="390">
        <f>'23'!E7</f>
        <v>4.8</v>
      </c>
      <c r="H96" s="390">
        <f>'23'!I7</f>
        <v>1</v>
      </c>
      <c r="I96" s="390">
        <f>'23'!O7</f>
        <v>3.2</v>
      </c>
      <c r="J96" s="385" t="s">
        <v>194</v>
      </c>
      <c r="K96" s="385" t="s">
        <v>194</v>
      </c>
    </row>
    <row r="97" spans="1:11">
      <c r="A97" s="1134"/>
      <c r="B97" s="383" t="s">
        <v>195</v>
      </c>
      <c r="C97" s="384">
        <f>'23'!B11</f>
        <v>135</v>
      </c>
      <c r="D97" s="384">
        <f>'23'!F11</f>
        <v>38</v>
      </c>
      <c r="E97" s="384">
        <f>'23'!F37</f>
        <v>1.4</v>
      </c>
      <c r="F97" s="384">
        <f>'23'!I37</f>
        <v>0.2</v>
      </c>
      <c r="G97" s="384">
        <f>'23'!E11</f>
        <v>6.4</v>
      </c>
      <c r="H97" s="384">
        <f>'23'!I11</f>
        <v>0.8</v>
      </c>
      <c r="I97" s="384">
        <f>'23'!O11</f>
        <v>2.8</v>
      </c>
      <c r="J97" s="384">
        <f>'23'!H37</f>
        <v>0.2</v>
      </c>
      <c r="K97" s="384">
        <f>'23'!K37</f>
        <v>0.06</v>
      </c>
    </row>
    <row r="98" spans="1:11">
      <c r="A98" s="1134"/>
      <c r="B98" s="386" t="s">
        <v>196</v>
      </c>
      <c r="C98" s="391">
        <f>'23'!B15</f>
        <v>147</v>
      </c>
      <c r="D98" s="391">
        <f>'23'!F15</f>
        <v>42</v>
      </c>
      <c r="E98" s="385" t="s">
        <v>194</v>
      </c>
      <c r="F98" s="385" t="s">
        <v>194</v>
      </c>
      <c r="G98" s="391">
        <f>'23'!E15</f>
        <v>7.1</v>
      </c>
      <c r="H98" s="391">
        <f>'23'!I15</f>
        <v>0.8</v>
      </c>
      <c r="I98" s="391">
        <f>'23'!O15</f>
        <v>2.5</v>
      </c>
      <c r="J98" s="385" t="s">
        <v>194</v>
      </c>
      <c r="K98" s="385" t="s">
        <v>194</v>
      </c>
    </row>
    <row r="99" spans="1:11">
      <c r="A99" s="388"/>
    </row>
    <row r="100" spans="1:11">
      <c r="A100" s="1134">
        <f>A96+1</f>
        <v>24</v>
      </c>
      <c r="B100" s="383" t="s">
        <v>193</v>
      </c>
      <c r="C100" s="390">
        <f>'24'!B7</f>
        <v>142</v>
      </c>
      <c r="D100" s="390">
        <f>'24'!F7</f>
        <v>38</v>
      </c>
      <c r="E100" s="385" t="s">
        <v>194</v>
      </c>
      <c r="F100" s="385" t="s">
        <v>194</v>
      </c>
      <c r="G100" s="390">
        <f>'24'!E7</f>
        <v>4.5999999999999996</v>
      </c>
      <c r="H100" s="390">
        <f>'24'!I7</f>
        <v>0.8</v>
      </c>
      <c r="I100" s="390">
        <f>'24'!O7</f>
        <v>3</v>
      </c>
      <c r="J100" s="385" t="s">
        <v>194</v>
      </c>
      <c r="K100" s="385" t="s">
        <v>194</v>
      </c>
    </row>
    <row r="101" spans="1:11">
      <c r="A101" s="1134"/>
      <c r="B101" s="383" t="s">
        <v>195</v>
      </c>
      <c r="C101" s="384">
        <f>'24'!B11</f>
        <v>133</v>
      </c>
      <c r="D101" s="384">
        <f>'24'!F11</f>
        <v>35</v>
      </c>
      <c r="E101" s="384">
        <f>'24'!F37</f>
        <v>1.6</v>
      </c>
      <c r="F101" s="384">
        <f>'24'!I37</f>
        <v>0.2</v>
      </c>
      <c r="G101" s="384">
        <f>'24'!E11</f>
        <v>5</v>
      </c>
      <c r="H101" s="384">
        <f>'24'!I11</f>
        <v>0.7</v>
      </c>
      <c r="I101" s="384">
        <f>'24'!O11</f>
        <v>3.2</v>
      </c>
      <c r="J101" s="384">
        <f>'24'!H37</f>
        <v>0.1</v>
      </c>
      <c r="K101" s="384">
        <f>'24'!K37</f>
        <v>0.03</v>
      </c>
    </row>
    <row r="102" spans="1:11">
      <c r="A102" s="1134"/>
      <c r="B102" s="386" t="s">
        <v>196</v>
      </c>
      <c r="C102" s="391">
        <f>'24'!B15</f>
        <v>145</v>
      </c>
      <c r="D102" s="391">
        <f>'24'!F15</f>
        <v>40</v>
      </c>
      <c r="E102" s="385" t="s">
        <v>194</v>
      </c>
      <c r="F102" s="385" t="s">
        <v>194</v>
      </c>
      <c r="G102" s="391">
        <f>'24'!E15</f>
        <v>5</v>
      </c>
      <c r="H102" s="391">
        <f>'24'!I15</f>
        <v>0.7</v>
      </c>
      <c r="I102" s="391">
        <f>'24'!O15</f>
        <v>3.2</v>
      </c>
      <c r="J102" s="385" t="s">
        <v>194</v>
      </c>
      <c r="K102" s="385" t="s">
        <v>194</v>
      </c>
    </row>
    <row r="103" spans="1:11">
      <c r="A103" s="388"/>
    </row>
    <row r="104" spans="1:11">
      <c r="A104" s="1134">
        <f>A100+1</f>
        <v>25</v>
      </c>
      <c r="B104" s="383" t="s">
        <v>193</v>
      </c>
      <c r="C104" s="390">
        <f>'25'!B7</f>
        <v>1580</v>
      </c>
      <c r="D104" s="390">
        <f>'25'!F7</f>
        <v>45</v>
      </c>
      <c r="E104" s="385" t="s">
        <v>194</v>
      </c>
      <c r="F104" s="385" t="s">
        <v>194</v>
      </c>
      <c r="G104" s="390">
        <f>'25'!E7</f>
        <v>5</v>
      </c>
      <c r="H104" s="390">
        <f>'25'!I7</f>
        <v>0.6</v>
      </c>
      <c r="I104" s="390">
        <f>'25'!O7</f>
        <v>3.4</v>
      </c>
      <c r="J104" s="385" t="s">
        <v>194</v>
      </c>
      <c r="K104" s="385" t="s">
        <v>194</v>
      </c>
    </row>
    <row r="105" spans="1:11">
      <c r="A105" s="1134"/>
      <c r="B105" s="383" t="s">
        <v>195</v>
      </c>
      <c r="C105" s="384">
        <f>'25'!B11</f>
        <v>174</v>
      </c>
      <c r="D105" s="384">
        <f>'25'!F11</f>
        <v>70</v>
      </c>
      <c r="E105" s="384">
        <f>'25'!F37</f>
        <v>2.8</v>
      </c>
      <c r="F105" s="384">
        <f>'25'!I37</f>
        <v>0.15</v>
      </c>
      <c r="G105" s="384">
        <f>'25'!E11</f>
        <v>7</v>
      </c>
      <c r="H105" s="384">
        <f>'25'!I11</f>
        <v>0.7</v>
      </c>
      <c r="I105" s="384">
        <f>'25'!O11</f>
        <v>3.4</v>
      </c>
      <c r="J105" s="384">
        <f>'25'!H37</f>
        <v>0.2</v>
      </c>
      <c r="K105" s="384">
        <f>'25'!K37</f>
        <v>0</v>
      </c>
    </row>
    <row r="106" spans="1:11">
      <c r="A106" s="1134"/>
      <c r="B106" s="386" t="s">
        <v>196</v>
      </c>
      <c r="C106" s="391">
        <f>'25'!B15</f>
        <v>180</v>
      </c>
      <c r="D106" s="391">
        <f>'25'!F15</f>
        <v>121</v>
      </c>
      <c r="E106" s="385" t="s">
        <v>194</v>
      </c>
      <c r="F106" s="385" t="s">
        <v>194</v>
      </c>
      <c r="G106" s="391">
        <f>'25'!E15</f>
        <v>5</v>
      </c>
      <c r="H106" s="391">
        <f>'25'!I15</f>
        <v>0.6</v>
      </c>
      <c r="I106" s="391">
        <f>'25'!O15</f>
        <v>3.4</v>
      </c>
      <c r="J106" s="385" t="s">
        <v>194</v>
      </c>
      <c r="K106" s="385" t="s">
        <v>194</v>
      </c>
    </row>
    <row r="107" spans="1:11">
      <c r="A107" s="388"/>
    </row>
    <row r="108" spans="1:11">
      <c r="A108" s="1134">
        <f>A104+1</f>
        <v>26</v>
      </c>
      <c r="B108" s="383" t="s">
        <v>193</v>
      </c>
      <c r="C108" s="390">
        <f>'26'!B7</f>
        <v>181</v>
      </c>
      <c r="D108" s="390">
        <f>'26'!F7</f>
        <v>123</v>
      </c>
      <c r="E108" s="385" t="s">
        <v>194</v>
      </c>
      <c r="F108" s="385" t="s">
        <v>194</v>
      </c>
      <c r="G108" s="390">
        <f>'26'!E7</f>
        <v>7</v>
      </c>
      <c r="H108" s="390">
        <f>'26'!I7</f>
        <v>0.7</v>
      </c>
      <c r="I108" s="390">
        <f>'26'!O7</f>
        <v>3.6</v>
      </c>
      <c r="J108" s="385" t="s">
        <v>194</v>
      </c>
      <c r="K108" s="385" t="s">
        <v>194</v>
      </c>
    </row>
    <row r="109" spans="1:11">
      <c r="A109" s="1134"/>
      <c r="B109" s="383" t="s">
        <v>195</v>
      </c>
      <c r="C109" s="384">
        <f>'26'!B11</f>
        <v>173</v>
      </c>
      <c r="D109" s="384">
        <f>'26'!F11</f>
        <v>80</v>
      </c>
      <c r="E109" s="384">
        <f>'26'!F37</f>
        <v>2.4</v>
      </c>
      <c r="F109" s="384">
        <f>'26'!I37</f>
        <v>0.2</v>
      </c>
      <c r="G109" s="384">
        <f>'26'!E11</f>
        <v>4.8</v>
      </c>
      <c r="H109" s="384">
        <f>'26'!I11</f>
        <v>0.7</v>
      </c>
      <c r="I109" s="384">
        <f>'26'!O11</f>
        <v>3.6</v>
      </c>
      <c r="J109" s="384">
        <f>'26'!H37</f>
        <v>0.2</v>
      </c>
      <c r="K109" s="384">
        <f>'26'!K37</f>
        <v>0.03</v>
      </c>
    </row>
    <row r="110" spans="1:11">
      <c r="A110" s="1134"/>
      <c r="B110" s="386" t="s">
        <v>196</v>
      </c>
      <c r="C110" s="391">
        <f>'26'!B15</f>
        <v>180</v>
      </c>
      <c r="D110" s="391">
        <f>'26'!F15</f>
        <v>94</v>
      </c>
      <c r="E110" s="385" t="s">
        <v>194</v>
      </c>
      <c r="F110" s="385" t="s">
        <v>194</v>
      </c>
      <c r="G110" s="391">
        <f>'26'!E15</f>
        <v>5.3</v>
      </c>
      <c r="H110" s="391">
        <f>'26'!I15</f>
        <v>0.6</v>
      </c>
      <c r="I110" s="391">
        <f>'26'!O15</f>
        <v>3.3</v>
      </c>
      <c r="J110" s="385" t="s">
        <v>194</v>
      </c>
      <c r="K110" s="385" t="s">
        <v>194</v>
      </c>
    </row>
    <row r="111" spans="1:11">
      <c r="A111" s="388"/>
    </row>
    <row r="112" spans="1:11">
      <c r="A112" s="1134">
        <f>A108+1</f>
        <v>27</v>
      </c>
      <c r="B112" s="383" t="s">
        <v>193</v>
      </c>
      <c r="C112" s="390">
        <f>'27'!B7</f>
        <v>177</v>
      </c>
      <c r="D112" s="390">
        <f>'27'!F7</f>
        <v>83</v>
      </c>
      <c r="E112" s="385" t="s">
        <v>194</v>
      </c>
      <c r="F112" s="385" t="s">
        <v>194</v>
      </c>
      <c r="G112" s="390">
        <f>'27'!E7</f>
        <v>6.3</v>
      </c>
      <c r="H112" s="390">
        <f>'27'!I7</f>
        <v>0.8</v>
      </c>
      <c r="I112" s="390">
        <f>'27'!O7</f>
        <v>3.5</v>
      </c>
      <c r="J112" s="385" t="s">
        <v>194</v>
      </c>
      <c r="K112" s="385" t="s">
        <v>194</v>
      </c>
    </row>
    <row r="113" spans="1:11">
      <c r="A113" s="1134"/>
      <c r="B113" s="383" t="s">
        <v>195</v>
      </c>
      <c r="C113" s="384">
        <f>'27'!B11</f>
        <v>166</v>
      </c>
      <c r="D113" s="384">
        <f>'27'!F11</f>
        <v>65</v>
      </c>
      <c r="E113" s="384">
        <f>'27'!F37</f>
        <v>1.8</v>
      </c>
      <c r="F113" s="384">
        <f>'27'!I37</f>
        <v>0.2</v>
      </c>
      <c r="G113" s="384">
        <f>'27'!E11</f>
        <v>1.7</v>
      </c>
      <c r="H113" s="384">
        <f>'27'!I11</f>
        <v>0.8</v>
      </c>
      <c r="I113" s="384">
        <f>'27'!O11</f>
        <v>3.5</v>
      </c>
      <c r="J113" s="384">
        <f>'27'!H37</f>
        <v>0.1</v>
      </c>
      <c r="K113" s="384">
        <f>'27'!K37</f>
        <v>0.03</v>
      </c>
    </row>
    <row r="114" spans="1:11">
      <c r="A114" s="1134"/>
      <c r="B114" s="386" t="s">
        <v>196</v>
      </c>
      <c r="C114" s="391">
        <f>'27'!B15</f>
        <v>170</v>
      </c>
      <c r="D114" s="391">
        <f>'27'!F15</f>
        <v>74</v>
      </c>
      <c r="E114" s="385" t="s">
        <v>194</v>
      </c>
      <c r="F114" s="385" t="s">
        <v>194</v>
      </c>
      <c r="G114" s="391">
        <f>'27'!E15</f>
        <v>4.5999999999999996</v>
      </c>
      <c r="H114" s="391">
        <f>'27'!I15</f>
        <v>1</v>
      </c>
      <c r="I114" s="391">
        <f>'27'!O15</f>
        <v>3.5</v>
      </c>
      <c r="J114" s="385" t="s">
        <v>194</v>
      </c>
      <c r="K114" s="385" t="s">
        <v>194</v>
      </c>
    </row>
    <row r="115" spans="1:11">
      <c r="A115" s="388"/>
    </row>
    <row r="116" spans="1:11">
      <c r="A116" s="1134">
        <f>A112+1</f>
        <v>28</v>
      </c>
      <c r="B116" s="383" t="s">
        <v>193</v>
      </c>
      <c r="C116" s="390">
        <f>'28'!B7</f>
        <v>250</v>
      </c>
      <c r="D116" s="390">
        <f>'28'!F7</f>
        <v>72</v>
      </c>
      <c r="E116" s="385" t="s">
        <v>194</v>
      </c>
      <c r="F116" s="385" t="s">
        <v>194</v>
      </c>
      <c r="G116" s="390">
        <f>'28'!E7</f>
        <v>2.5</v>
      </c>
      <c r="H116" s="390">
        <f>'28'!I7</f>
        <v>0.9</v>
      </c>
      <c r="I116" s="390">
        <f>'28'!O7</f>
        <v>3.5</v>
      </c>
      <c r="J116" s="385" t="s">
        <v>194</v>
      </c>
      <c r="K116" s="385" t="s">
        <v>194</v>
      </c>
    </row>
    <row r="117" spans="1:11">
      <c r="A117" s="1134"/>
      <c r="B117" s="383" t="s">
        <v>195</v>
      </c>
      <c r="C117" s="384">
        <f>'28'!B11</f>
        <v>158</v>
      </c>
      <c r="D117" s="384">
        <f>'28'!F11</f>
        <v>56</v>
      </c>
      <c r="E117" s="384">
        <f>'28'!F37</f>
        <v>2</v>
      </c>
      <c r="F117" s="384">
        <f>'28'!I37</f>
        <v>0.2</v>
      </c>
      <c r="G117" s="384">
        <f>'28'!E11</f>
        <v>6</v>
      </c>
      <c r="H117" s="384">
        <f>'28'!I11</f>
        <v>1</v>
      </c>
      <c r="I117" s="384">
        <f>'28'!O11</f>
        <v>3.5</v>
      </c>
      <c r="J117" s="384">
        <f>'28'!H37</f>
        <v>0.1</v>
      </c>
      <c r="K117" s="384">
        <f>'28'!K37</f>
        <v>0.03</v>
      </c>
    </row>
    <row r="118" spans="1:11">
      <c r="A118" s="1134"/>
      <c r="B118" s="386" t="s">
        <v>196</v>
      </c>
      <c r="C118" s="391">
        <f>'28'!B15</f>
        <v>160</v>
      </c>
      <c r="D118" s="391">
        <f>'28'!F15</f>
        <v>53</v>
      </c>
      <c r="E118" s="385" t="s">
        <v>194</v>
      </c>
      <c r="F118" s="385" t="s">
        <v>194</v>
      </c>
      <c r="G118" s="391">
        <f>'28'!E15</f>
        <v>6</v>
      </c>
      <c r="H118" s="391">
        <f>'28'!I15</f>
        <v>0.6</v>
      </c>
      <c r="I118" s="391">
        <f>'28'!O15</f>
        <v>2.8</v>
      </c>
      <c r="J118" s="385" t="s">
        <v>194</v>
      </c>
      <c r="K118" s="385" t="s">
        <v>194</v>
      </c>
    </row>
    <row r="119" spans="1:11">
      <c r="A119" s="388"/>
    </row>
    <row r="120" spans="1:11">
      <c r="A120" s="1134">
        <f>A116+1</f>
        <v>29</v>
      </c>
      <c r="B120" s="383" t="s">
        <v>193</v>
      </c>
      <c r="C120" s="390">
        <f>'29'!B7</f>
        <v>164</v>
      </c>
      <c r="D120" s="390">
        <f>'29'!F7</f>
        <v>56</v>
      </c>
      <c r="E120" s="385" t="s">
        <v>194</v>
      </c>
      <c r="F120" s="385" t="s">
        <v>194</v>
      </c>
      <c r="G120" s="390">
        <f>'29'!E7</f>
        <v>6</v>
      </c>
      <c r="H120" s="390">
        <f>'29'!I7</f>
        <v>0.6</v>
      </c>
      <c r="I120" s="390">
        <f>'29'!O7</f>
        <v>3.4</v>
      </c>
      <c r="J120" s="385" t="s">
        <v>194</v>
      </c>
      <c r="K120" s="385" t="s">
        <v>194</v>
      </c>
    </row>
    <row r="121" spans="1:11">
      <c r="A121" s="1134"/>
      <c r="B121" s="383" t="s">
        <v>195</v>
      </c>
      <c r="C121" s="384">
        <f>'29'!B11</f>
        <v>150</v>
      </c>
      <c r="D121" s="384">
        <f>'29'!F11</f>
        <v>44</v>
      </c>
      <c r="E121" s="384">
        <f>'29'!F37</f>
        <v>2.2000000000000002</v>
      </c>
      <c r="F121" s="384">
        <f>'29'!I37</f>
        <v>0.15</v>
      </c>
      <c r="G121" s="384">
        <f>'29'!E11</f>
        <v>7</v>
      </c>
      <c r="H121" s="384">
        <f>'29'!I11</f>
        <v>0.8</v>
      </c>
      <c r="I121" s="384">
        <f>'29'!O11</f>
        <v>4</v>
      </c>
      <c r="J121" s="384">
        <f>'29'!H37</f>
        <v>0.2</v>
      </c>
      <c r="K121" s="384">
        <f>'29'!K37</f>
        <v>0</v>
      </c>
    </row>
    <row r="122" spans="1:11">
      <c r="A122" s="1134"/>
      <c r="B122" s="386" t="s">
        <v>196</v>
      </c>
      <c r="C122" s="391">
        <f>'29'!B15</f>
        <v>150</v>
      </c>
      <c r="D122" s="391">
        <f>'29'!F15</f>
        <v>42</v>
      </c>
      <c r="E122" s="385" t="s">
        <v>194</v>
      </c>
      <c r="F122" s="385" t="s">
        <v>194</v>
      </c>
      <c r="G122" s="391">
        <f>'29'!E15</f>
        <v>7</v>
      </c>
      <c r="H122" s="391">
        <f>'29'!I15</f>
        <v>0.7</v>
      </c>
      <c r="I122" s="391">
        <f>'29'!O15</f>
        <v>4</v>
      </c>
      <c r="J122" s="385" t="s">
        <v>194</v>
      </c>
      <c r="K122" s="385" t="s">
        <v>194</v>
      </c>
    </row>
    <row r="123" spans="1:11">
      <c r="A123" s="388"/>
    </row>
    <row r="124" spans="1:11">
      <c r="A124" s="1134">
        <f>A120+1</f>
        <v>30</v>
      </c>
      <c r="B124" s="383" t="s">
        <v>193</v>
      </c>
      <c r="C124" s="390">
        <f>'30'!B7</f>
        <v>165</v>
      </c>
      <c r="D124" s="390">
        <f>'30'!F7</f>
        <v>52</v>
      </c>
      <c r="E124" s="385" t="s">
        <v>194</v>
      </c>
      <c r="F124" s="385" t="s">
        <v>194</v>
      </c>
      <c r="G124" s="390">
        <f>'30'!E7</f>
        <v>9</v>
      </c>
      <c r="H124" s="390">
        <f>'30'!I7</f>
        <v>0.9</v>
      </c>
      <c r="I124" s="390">
        <f>'30'!O7</f>
        <v>4</v>
      </c>
      <c r="J124" s="385" t="s">
        <v>194</v>
      </c>
      <c r="K124" s="385" t="s">
        <v>194</v>
      </c>
    </row>
    <row r="125" spans="1:11">
      <c r="A125" s="1134"/>
      <c r="B125" s="383" t="s">
        <v>195</v>
      </c>
      <c r="C125" s="384">
        <f>'30'!B11</f>
        <v>143</v>
      </c>
      <c r="D125" s="384">
        <f>'30'!F11</f>
        <v>39</v>
      </c>
      <c r="E125" s="384">
        <f>'30'!F37</f>
        <v>2.4</v>
      </c>
      <c r="F125" s="384">
        <f>'30'!I37</f>
        <v>0.15</v>
      </c>
      <c r="G125" s="384">
        <f>'30'!E11</f>
        <v>9.4</v>
      </c>
      <c r="H125" s="384">
        <f>'30'!I11</f>
        <v>1</v>
      </c>
      <c r="I125" s="384">
        <f>'30'!O11</f>
        <v>4</v>
      </c>
      <c r="J125" s="384">
        <f>'30'!H37</f>
        <v>0.2</v>
      </c>
      <c r="K125" s="384">
        <f>'30'!K37</f>
        <v>0</v>
      </c>
    </row>
    <row r="126" spans="1:11">
      <c r="A126" s="1134"/>
      <c r="B126" s="386" t="s">
        <v>196</v>
      </c>
      <c r="C126" s="391">
        <f>'30'!B15</f>
        <v>146</v>
      </c>
      <c r="D126" s="391">
        <f>'30'!F15</f>
        <v>37</v>
      </c>
      <c r="E126" s="385" t="s">
        <v>194</v>
      </c>
      <c r="F126" s="385" t="s">
        <v>194</v>
      </c>
      <c r="G126" s="391">
        <f>'30'!E15</f>
        <v>7.1</v>
      </c>
      <c r="H126" s="391">
        <f>'30'!I15</f>
        <v>1</v>
      </c>
      <c r="I126" s="391">
        <f>'30'!O15</f>
        <v>3.5</v>
      </c>
      <c r="J126" s="385" t="s">
        <v>194</v>
      </c>
      <c r="K126" s="385" t="s">
        <v>194</v>
      </c>
    </row>
    <row r="127" spans="1:11">
      <c r="A127" s="388"/>
    </row>
    <row r="128" spans="1:11">
      <c r="A128" s="1134">
        <f>A124+1</f>
        <v>31</v>
      </c>
      <c r="B128" s="383" t="s">
        <v>193</v>
      </c>
      <c r="C128" s="390">
        <f>'31'!B7</f>
        <v>142</v>
      </c>
      <c r="D128" s="390">
        <f>'31'!F7</f>
        <v>40</v>
      </c>
      <c r="E128" s="385" t="s">
        <v>194</v>
      </c>
      <c r="F128" s="385" t="s">
        <v>194</v>
      </c>
      <c r="G128" s="390">
        <f>'31'!E7</f>
        <v>9.1</v>
      </c>
      <c r="H128" s="390">
        <f>'31'!I7</f>
        <v>1.1000000000000001</v>
      </c>
      <c r="I128" s="390">
        <f>'31'!O7</f>
        <v>3.5</v>
      </c>
      <c r="J128" s="385" t="s">
        <v>194</v>
      </c>
      <c r="K128" s="385" t="s">
        <v>194</v>
      </c>
    </row>
    <row r="129" spans="1:11">
      <c r="A129" s="1134"/>
      <c r="B129" s="383" t="s">
        <v>195</v>
      </c>
      <c r="C129" s="384">
        <f>'31'!B11</f>
        <v>0</v>
      </c>
      <c r="D129" s="384">
        <f>'31'!F11</f>
        <v>0</v>
      </c>
      <c r="E129" s="384">
        <f>'31'!F37</f>
        <v>2.6</v>
      </c>
      <c r="F129" s="384">
        <f>'31'!I37</f>
        <v>0.3</v>
      </c>
      <c r="G129" s="384">
        <f>'31'!E11</f>
        <v>0</v>
      </c>
      <c r="H129" s="384">
        <f>'31'!I11</f>
        <v>0</v>
      </c>
      <c r="I129" s="384">
        <f>'31'!O11</f>
        <v>0</v>
      </c>
      <c r="J129" s="384">
        <f>'31'!H37</f>
        <v>0.2</v>
      </c>
      <c r="K129" s="384">
        <f>'31'!K37</f>
        <v>0.03</v>
      </c>
    </row>
    <row r="130" spans="1:11">
      <c r="A130" s="1134"/>
      <c r="B130" s="386" t="s">
        <v>196</v>
      </c>
      <c r="C130" s="391">
        <f>'31'!B15</f>
        <v>0</v>
      </c>
      <c r="D130" s="391">
        <f>'31'!F15</f>
        <v>0</v>
      </c>
      <c r="E130" s="385" t="s">
        <v>194</v>
      </c>
      <c r="F130" s="385" t="s">
        <v>194</v>
      </c>
      <c r="G130" s="391">
        <f>'31'!E15</f>
        <v>0</v>
      </c>
      <c r="H130" s="391">
        <f>'31'!I15</f>
        <v>0</v>
      </c>
      <c r="I130" s="391">
        <f>'31'!O15</f>
        <v>0</v>
      </c>
      <c r="J130" s="385" t="s">
        <v>194</v>
      </c>
      <c r="K130" s="385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2" customWidth="1"/>
    <col min="2" max="14" width="6.140625" style="392" customWidth="1"/>
    <col min="15" max="15" width="6.28515625" style="392" customWidth="1"/>
    <col min="16" max="19" width="6.140625" style="392" customWidth="1"/>
    <col min="20" max="20" width="34.85546875" style="392" customWidth="1"/>
    <col min="21" max="1023" width="6.28515625" style="392" customWidth="1"/>
    <col min="1024" max="1025" width="6.140625" customWidth="1"/>
  </cols>
  <sheetData>
    <row r="1" spans="1:20">
      <c r="A1" s="1135" t="s">
        <v>197</v>
      </c>
      <c r="B1" s="1136" t="s">
        <v>78</v>
      </c>
      <c r="C1" s="1136"/>
      <c r="D1" s="1136"/>
      <c r="E1" s="1136"/>
      <c r="F1" s="1136"/>
      <c r="G1" s="1136"/>
      <c r="H1" s="1136"/>
      <c r="I1" s="1136"/>
      <c r="J1" s="1137" t="s">
        <v>198</v>
      </c>
      <c r="K1" s="1137"/>
      <c r="L1" s="1137"/>
      <c r="M1" s="1137"/>
      <c r="N1" s="1137"/>
      <c r="O1" s="1137"/>
      <c r="P1" s="1137"/>
      <c r="Q1" s="1137"/>
      <c r="R1" s="1137"/>
      <c r="S1" s="1137"/>
      <c r="T1" s="1138">
        <f>ESCALA!A3</f>
        <v>44317</v>
      </c>
    </row>
    <row r="2" spans="1:20">
      <c r="A2" s="1135"/>
      <c r="B2" s="1136" t="s">
        <v>199</v>
      </c>
      <c r="C2" s="1136"/>
      <c r="D2" s="1136"/>
      <c r="E2" s="1136"/>
      <c r="F2" s="1135" t="s">
        <v>200</v>
      </c>
      <c r="G2" s="1135"/>
      <c r="H2" s="1135"/>
      <c r="I2" s="1135"/>
      <c r="J2" s="1137" t="s">
        <v>199</v>
      </c>
      <c r="K2" s="1137"/>
      <c r="L2" s="1137"/>
      <c r="M2" s="1137"/>
      <c r="N2" s="1137"/>
      <c r="O2" s="1135" t="s">
        <v>200</v>
      </c>
      <c r="P2" s="1135"/>
      <c r="Q2" s="1135"/>
      <c r="R2" s="1135"/>
      <c r="S2" s="1135"/>
      <c r="T2" s="1138"/>
    </row>
    <row r="3" spans="1:20" ht="13.9" customHeight="1">
      <c r="A3" s="1135"/>
      <c r="B3" s="1136" t="s">
        <v>201</v>
      </c>
      <c r="C3" s="1136"/>
      <c r="D3" s="1136" t="s">
        <v>202</v>
      </c>
      <c r="E3" s="1136"/>
      <c r="F3" s="1135" t="s">
        <v>201</v>
      </c>
      <c r="G3" s="1135"/>
      <c r="H3" s="1135" t="s">
        <v>202</v>
      </c>
      <c r="I3" s="1135"/>
      <c r="J3" s="1139" t="s">
        <v>203</v>
      </c>
      <c r="K3" s="1137" t="s">
        <v>201</v>
      </c>
      <c r="L3" s="1137"/>
      <c r="M3" s="1137" t="s">
        <v>202</v>
      </c>
      <c r="N3" s="1137"/>
      <c r="O3" s="1140" t="s">
        <v>203</v>
      </c>
      <c r="P3" s="1135" t="s">
        <v>201</v>
      </c>
      <c r="Q3" s="1135"/>
      <c r="R3" s="1135" t="s">
        <v>202</v>
      </c>
      <c r="S3" s="1135"/>
      <c r="T3" s="1138"/>
    </row>
    <row r="4" spans="1:20" ht="45">
      <c r="A4" s="1135"/>
      <c r="B4" s="394" t="s">
        <v>7</v>
      </c>
      <c r="C4" s="397" t="s">
        <v>204</v>
      </c>
      <c r="D4" s="397" t="s">
        <v>7</v>
      </c>
      <c r="E4" s="397" t="s">
        <v>204</v>
      </c>
      <c r="F4" s="393" t="s">
        <v>7</v>
      </c>
      <c r="G4" s="396" t="s">
        <v>204</v>
      </c>
      <c r="H4" s="393" t="s">
        <v>7</v>
      </c>
      <c r="I4" s="396" t="s">
        <v>204</v>
      </c>
      <c r="J4" s="1139"/>
      <c r="K4" s="395" t="s">
        <v>7</v>
      </c>
      <c r="L4" s="395" t="s">
        <v>204</v>
      </c>
      <c r="M4" s="395" t="s">
        <v>7</v>
      </c>
      <c r="N4" s="395" t="s">
        <v>204</v>
      </c>
      <c r="O4" s="1140"/>
      <c r="P4" s="393" t="s">
        <v>7</v>
      </c>
      <c r="Q4" s="396" t="s">
        <v>204</v>
      </c>
      <c r="R4" s="393" t="s">
        <v>7</v>
      </c>
      <c r="S4" s="396" t="s">
        <v>204</v>
      </c>
      <c r="T4" s="393" t="s">
        <v>205</v>
      </c>
    </row>
    <row r="5" spans="1:20">
      <c r="A5" s="398">
        <v>1</v>
      </c>
      <c r="B5" s="399"/>
      <c r="C5" s="400"/>
      <c r="D5" s="399"/>
      <c r="E5" s="400"/>
      <c r="F5" s="401"/>
      <c r="G5" s="402"/>
      <c r="H5" s="401"/>
      <c r="I5" s="402"/>
      <c r="J5" s="403"/>
      <c r="K5" s="404"/>
      <c r="L5" s="405"/>
      <c r="M5" s="404"/>
      <c r="N5" s="405"/>
      <c r="O5" s="402"/>
      <c r="P5" s="401"/>
      <c r="Q5" s="402"/>
      <c r="R5" s="401"/>
      <c r="S5" s="402"/>
      <c r="T5" s="406"/>
    </row>
    <row r="6" spans="1:20">
      <c r="A6" s="398">
        <v>2</v>
      </c>
      <c r="B6" s="399"/>
      <c r="C6" s="400"/>
      <c r="D6" s="399"/>
      <c r="E6" s="400"/>
      <c r="F6" s="401"/>
      <c r="G6" s="402"/>
      <c r="H6" s="401"/>
      <c r="I6" s="402"/>
      <c r="J6" s="403"/>
      <c r="K6" s="404"/>
      <c r="L6" s="405"/>
      <c r="M6" s="404"/>
      <c r="N6" s="405"/>
      <c r="O6" s="402"/>
      <c r="P6" s="401"/>
      <c r="Q6" s="402"/>
      <c r="R6" s="401"/>
      <c r="S6" s="402"/>
      <c r="T6" s="406"/>
    </row>
    <row r="7" spans="1:20">
      <c r="A7" s="398">
        <v>3</v>
      </c>
      <c r="B7" s="399"/>
      <c r="C7" s="400"/>
      <c r="D7" s="399"/>
      <c r="E7" s="400"/>
      <c r="F7" s="401"/>
      <c r="G7" s="402"/>
      <c r="H7" s="401"/>
      <c r="I7" s="402"/>
      <c r="J7" s="403"/>
      <c r="K7" s="404"/>
      <c r="L7" s="405"/>
      <c r="M7" s="404"/>
      <c r="N7" s="405"/>
      <c r="O7" s="402"/>
      <c r="P7" s="401"/>
      <c r="Q7" s="402"/>
      <c r="R7" s="401"/>
      <c r="S7" s="402"/>
      <c r="T7" s="406"/>
    </row>
    <row r="8" spans="1:20">
      <c r="A8" s="398">
        <v>4</v>
      </c>
      <c r="B8" s="399"/>
      <c r="C8" s="400"/>
      <c r="D8" s="399"/>
      <c r="E8" s="400"/>
      <c r="F8" s="401"/>
      <c r="G8" s="402"/>
      <c r="H8" s="401"/>
      <c r="I8" s="402"/>
      <c r="J8" s="403"/>
      <c r="K8" s="404"/>
      <c r="L8" s="405"/>
      <c r="M8" s="404"/>
      <c r="N8" s="405"/>
      <c r="O8" s="402"/>
      <c r="P8" s="401"/>
      <c r="Q8" s="402"/>
      <c r="R8" s="401"/>
      <c r="S8" s="402"/>
      <c r="T8" s="406"/>
    </row>
    <row r="9" spans="1:20">
      <c r="A9" s="398">
        <v>5</v>
      </c>
      <c r="B9" s="399"/>
      <c r="C9" s="400"/>
      <c r="D9" s="399"/>
      <c r="E9" s="400"/>
      <c r="F9" s="401"/>
      <c r="G9" s="402"/>
      <c r="H9" s="401"/>
      <c r="I9" s="402"/>
      <c r="J9" s="403"/>
      <c r="K9" s="404"/>
      <c r="L9" s="405"/>
      <c r="M9" s="404"/>
      <c r="N9" s="405"/>
      <c r="O9" s="402"/>
      <c r="P9" s="401"/>
      <c r="Q9" s="402"/>
      <c r="R9" s="401"/>
      <c r="S9" s="402"/>
      <c r="T9" s="406"/>
    </row>
    <row r="10" spans="1:20">
      <c r="A10" s="398">
        <v>6</v>
      </c>
      <c r="B10" s="399"/>
      <c r="C10" s="400"/>
      <c r="D10" s="399"/>
      <c r="E10" s="400"/>
      <c r="F10" s="401"/>
      <c r="G10" s="402"/>
      <c r="H10" s="401"/>
      <c r="I10" s="402"/>
      <c r="J10" s="403"/>
      <c r="K10" s="404"/>
      <c r="L10" s="405"/>
      <c r="M10" s="404"/>
      <c r="N10" s="405"/>
      <c r="O10" s="402"/>
      <c r="P10" s="401"/>
      <c r="Q10" s="402"/>
      <c r="R10" s="401"/>
      <c r="S10" s="402"/>
      <c r="T10" s="406"/>
    </row>
    <row r="11" spans="1:20">
      <c r="A11" s="398">
        <v>7</v>
      </c>
      <c r="B11" s="399"/>
      <c r="C11" s="400"/>
      <c r="D11" s="399"/>
      <c r="E11" s="400"/>
      <c r="F11" s="401"/>
      <c r="G11" s="402"/>
      <c r="H11" s="401"/>
      <c r="I11" s="402"/>
      <c r="J11" s="403"/>
      <c r="K11" s="404"/>
      <c r="L11" s="405"/>
      <c r="M11" s="404"/>
      <c r="N11" s="405"/>
      <c r="O11" s="402"/>
      <c r="P11" s="401"/>
      <c r="Q11" s="402"/>
      <c r="R11" s="401"/>
      <c r="S11" s="402"/>
      <c r="T11" s="406"/>
    </row>
    <row r="12" spans="1:20">
      <c r="A12" s="398">
        <v>8</v>
      </c>
      <c r="B12" s="399"/>
      <c r="C12" s="400"/>
      <c r="D12" s="399"/>
      <c r="E12" s="400"/>
      <c r="F12" s="401"/>
      <c r="G12" s="402"/>
      <c r="H12" s="401"/>
      <c r="I12" s="402"/>
      <c r="J12" s="403"/>
      <c r="K12" s="404"/>
      <c r="L12" s="405"/>
      <c r="M12" s="404"/>
      <c r="N12" s="405"/>
      <c r="O12" s="402"/>
      <c r="P12" s="401"/>
      <c r="Q12" s="402"/>
      <c r="R12" s="401"/>
      <c r="S12" s="402"/>
      <c r="T12" s="406"/>
    </row>
    <row r="13" spans="1:20">
      <c r="A13" s="398">
        <v>9</v>
      </c>
      <c r="B13" s="399"/>
      <c r="C13" s="400"/>
      <c r="D13" s="399"/>
      <c r="E13" s="400"/>
      <c r="F13" s="401"/>
      <c r="G13" s="402"/>
      <c r="H13" s="401"/>
      <c r="I13" s="402"/>
      <c r="J13" s="403"/>
      <c r="K13" s="404"/>
      <c r="L13" s="405"/>
      <c r="M13" s="404"/>
      <c r="N13" s="405"/>
      <c r="O13" s="402"/>
      <c r="P13" s="401"/>
      <c r="Q13" s="402"/>
      <c r="R13" s="401"/>
      <c r="S13" s="402"/>
      <c r="T13" s="406"/>
    </row>
    <row r="14" spans="1:20">
      <c r="A14" s="398">
        <v>10</v>
      </c>
      <c r="B14" s="399"/>
      <c r="C14" s="400"/>
      <c r="D14" s="399"/>
      <c r="E14" s="400"/>
      <c r="F14" s="401"/>
      <c r="G14" s="402"/>
      <c r="H14" s="401"/>
      <c r="I14" s="402"/>
      <c r="J14" s="403"/>
      <c r="K14" s="404"/>
      <c r="L14" s="405"/>
      <c r="M14" s="404"/>
      <c r="N14" s="405"/>
      <c r="O14" s="402"/>
      <c r="P14" s="401"/>
      <c r="Q14" s="402"/>
      <c r="R14" s="401"/>
      <c r="S14" s="402"/>
      <c r="T14" s="406"/>
    </row>
    <row r="15" spans="1:20">
      <c r="A15" s="398">
        <v>11</v>
      </c>
      <c r="B15" s="399"/>
      <c r="C15" s="400"/>
      <c r="D15" s="399"/>
      <c r="E15" s="400"/>
      <c r="F15" s="401"/>
      <c r="G15" s="402"/>
      <c r="H15" s="401"/>
      <c r="I15" s="402"/>
      <c r="J15" s="403"/>
      <c r="K15" s="404"/>
      <c r="L15" s="405"/>
      <c r="M15" s="404"/>
      <c r="N15" s="405"/>
      <c r="O15" s="402"/>
      <c r="P15" s="401"/>
      <c r="Q15" s="402"/>
      <c r="R15" s="401"/>
      <c r="S15" s="402"/>
      <c r="T15" s="406"/>
    </row>
    <row r="16" spans="1:20">
      <c r="A16" s="398">
        <v>12</v>
      </c>
      <c r="B16" s="399"/>
      <c r="C16" s="400"/>
      <c r="D16" s="399"/>
      <c r="E16" s="400"/>
      <c r="F16" s="401"/>
      <c r="G16" s="402"/>
      <c r="H16" s="401"/>
      <c r="I16" s="402"/>
      <c r="J16" s="403"/>
      <c r="K16" s="404"/>
      <c r="L16" s="405"/>
      <c r="M16" s="404"/>
      <c r="N16" s="405"/>
      <c r="O16" s="402"/>
      <c r="P16" s="401"/>
      <c r="Q16" s="402"/>
      <c r="R16" s="401"/>
      <c r="S16" s="402"/>
      <c r="T16" s="406"/>
    </row>
    <row r="17" spans="1:20">
      <c r="A17" s="398">
        <v>13</v>
      </c>
      <c r="B17" s="399"/>
      <c r="C17" s="400"/>
      <c r="D17" s="399"/>
      <c r="E17" s="400"/>
      <c r="F17" s="401"/>
      <c r="G17" s="402"/>
      <c r="H17" s="401"/>
      <c r="I17" s="402"/>
      <c r="J17" s="403"/>
      <c r="K17" s="404"/>
      <c r="L17" s="405"/>
      <c r="M17" s="404"/>
      <c r="N17" s="405"/>
      <c r="O17" s="402"/>
      <c r="P17" s="401"/>
      <c r="Q17" s="402"/>
      <c r="R17" s="401"/>
      <c r="S17" s="402"/>
      <c r="T17" s="406"/>
    </row>
    <row r="18" spans="1:20">
      <c r="A18" s="398">
        <v>14</v>
      </c>
      <c r="B18" s="399"/>
      <c r="C18" s="400"/>
      <c r="D18" s="399"/>
      <c r="E18" s="400"/>
      <c r="F18" s="401"/>
      <c r="G18" s="402"/>
      <c r="H18" s="401"/>
      <c r="I18" s="402"/>
      <c r="J18" s="403"/>
      <c r="K18" s="404"/>
      <c r="L18" s="405"/>
      <c r="M18" s="404"/>
      <c r="N18" s="405"/>
      <c r="O18" s="402"/>
      <c r="P18" s="401"/>
      <c r="Q18" s="402"/>
      <c r="R18" s="401"/>
      <c r="S18" s="402"/>
      <c r="T18" s="406"/>
    </row>
    <row r="19" spans="1:20">
      <c r="A19" s="398">
        <v>15</v>
      </c>
      <c r="B19" s="399"/>
      <c r="C19" s="400"/>
      <c r="D19" s="399"/>
      <c r="E19" s="400"/>
      <c r="F19" s="401"/>
      <c r="G19" s="402"/>
      <c r="H19" s="401"/>
      <c r="I19" s="402"/>
      <c r="J19" s="403"/>
      <c r="K19" s="404"/>
      <c r="L19" s="405"/>
      <c r="M19" s="404"/>
      <c r="N19" s="405"/>
      <c r="O19" s="402"/>
      <c r="P19" s="401"/>
      <c r="Q19" s="402"/>
      <c r="R19" s="401"/>
      <c r="S19" s="402"/>
      <c r="T19" s="406"/>
    </row>
    <row r="20" spans="1:20">
      <c r="A20" s="398">
        <v>16</v>
      </c>
      <c r="B20" s="399"/>
      <c r="C20" s="400"/>
      <c r="D20" s="399"/>
      <c r="E20" s="400"/>
      <c r="F20" s="401"/>
      <c r="G20" s="402"/>
      <c r="H20" s="401"/>
      <c r="I20" s="402"/>
      <c r="J20" s="403"/>
      <c r="K20" s="404"/>
      <c r="L20" s="405"/>
      <c r="M20" s="404"/>
      <c r="N20" s="405"/>
      <c r="O20" s="402"/>
      <c r="P20" s="401"/>
      <c r="Q20" s="402"/>
      <c r="R20" s="401"/>
      <c r="S20" s="402"/>
      <c r="T20" s="406"/>
    </row>
    <row r="21" spans="1:20">
      <c r="A21" s="398">
        <v>17</v>
      </c>
      <c r="B21" s="399"/>
      <c r="C21" s="400"/>
      <c r="D21" s="399"/>
      <c r="E21" s="400"/>
      <c r="F21" s="401"/>
      <c r="G21" s="402"/>
      <c r="H21" s="401"/>
      <c r="I21" s="402"/>
      <c r="J21" s="403"/>
      <c r="K21" s="404"/>
      <c r="L21" s="405"/>
      <c r="M21" s="404"/>
      <c r="N21" s="405"/>
      <c r="O21" s="402"/>
      <c r="P21" s="401"/>
      <c r="Q21" s="402"/>
      <c r="R21" s="401"/>
      <c r="S21" s="402"/>
      <c r="T21" s="406"/>
    </row>
    <row r="22" spans="1:20">
      <c r="A22" s="398">
        <v>18</v>
      </c>
      <c r="B22" s="399"/>
      <c r="C22" s="400"/>
      <c r="D22" s="399"/>
      <c r="E22" s="400"/>
      <c r="F22" s="401"/>
      <c r="G22" s="402"/>
      <c r="H22" s="401"/>
      <c r="I22" s="402"/>
      <c r="J22" s="403"/>
      <c r="K22" s="404"/>
      <c r="L22" s="405"/>
      <c r="M22" s="404"/>
      <c r="N22" s="405"/>
      <c r="O22" s="402"/>
      <c r="P22" s="401"/>
      <c r="Q22" s="402"/>
      <c r="R22" s="401"/>
      <c r="S22" s="402"/>
      <c r="T22" s="406"/>
    </row>
    <row r="23" spans="1:20">
      <c r="A23" s="398">
        <v>19</v>
      </c>
      <c r="B23" s="399"/>
      <c r="C23" s="400"/>
      <c r="D23" s="399"/>
      <c r="E23" s="400"/>
      <c r="F23" s="401"/>
      <c r="G23" s="402"/>
      <c r="H23" s="401"/>
      <c r="I23" s="402"/>
      <c r="J23" s="403"/>
      <c r="K23" s="404"/>
      <c r="L23" s="405"/>
      <c r="M23" s="404"/>
      <c r="N23" s="405"/>
      <c r="O23" s="402"/>
      <c r="P23" s="401"/>
      <c r="Q23" s="402"/>
      <c r="R23" s="401"/>
      <c r="S23" s="402"/>
      <c r="T23" s="406"/>
    </row>
    <row r="24" spans="1:20">
      <c r="A24" s="398">
        <v>20</v>
      </c>
      <c r="B24" s="399"/>
      <c r="C24" s="400"/>
      <c r="D24" s="399"/>
      <c r="E24" s="400"/>
      <c r="F24" s="401"/>
      <c r="G24" s="402"/>
      <c r="H24" s="401"/>
      <c r="I24" s="402"/>
      <c r="J24" s="403"/>
      <c r="K24" s="404"/>
      <c r="L24" s="405"/>
      <c r="M24" s="404"/>
      <c r="N24" s="405"/>
      <c r="O24" s="402"/>
      <c r="P24" s="401"/>
      <c r="Q24" s="402"/>
      <c r="R24" s="401"/>
      <c r="S24" s="402"/>
      <c r="T24" s="406"/>
    </row>
    <row r="25" spans="1:20">
      <c r="A25" s="398">
        <v>21</v>
      </c>
      <c r="B25" s="399"/>
      <c r="C25" s="400"/>
      <c r="D25" s="399"/>
      <c r="E25" s="400"/>
      <c r="F25" s="401"/>
      <c r="G25" s="402"/>
      <c r="H25" s="401"/>
      <c r="I25" s="402"/>
      <c r="J25" s="403"/>
      <c r="K25" s="404"/>
      <c r="L25" s="405"/>
      <c r="M25" s="404"/>
      <c r="N25" s="405"/>
      <c r="O25" s="402"/>
      <c r="P25" s="401"/>
      <c r="Q25" s="402"/>
      <c r="R25" s="401"/>
      <c r="S25" s="402"/>
      <c r="T25" s="406"/>
    </row>
    <row r="26" spans="1:20">
      <c r="A26" s="398">
        <v>22</v>
      </c>
      <c r="B26" s="399"/>
      <c r="C26" s="400"/>
      <c r="D26" s="399"/>
      <c r="E26" s="400"/>
      <c r="F26" s="401"/>
      <c r="G26" s="402"/>
      <c r="H26" s="401"/>
      <c r="I26" s="402"/>
      <c r="J26" s="403"/>
      <c r="K26" s="404"/>
      <c r="L26" s="405"/>
      <c r="M26" s="404"/>
      <c r="N26" s="405"/>
      <c r="O26" s="402"/>
      <c r="P26" s="401"/>
      <c r="Q26" s="402"/>
      <c r="R26" s="401"/>
      <c r="S26" s="402"/>
      <c r="T26" s="406"/>
    </row>
    <row r="27" spans="1:20">
      <c r="A27" s="398">
        <v>23</v>
      </c>
      <c r="B27" s="399"/>
      <c r="C27" s="400"/>
      <c r="D27" s="399"/>
      <c r="E27" s="400"/>
      <c r="F27" s="401"/>
      <c r="G27" s="402"/>
      <c r="H27" s="401"/>
      <c r="I27" s="402"/>
      <c r="J27" s="403"/>
      <c r="K27" s="404"/>
      <c r="L27" s="405"/>
      <c r="M27" s="404"/>
      <c r="N27" s="405"/>
      <c r="O27" s="402"/>
      <c r="P27" s="401"/>
      <c r="Q27" s="402"/>
      <c r="R27" s="401"/>
      <c r="S27" s="402"/>
      <c r="T27" s="406"/>
    </row>
    <row r="28" spans="1:20">
      <c r="A28" s="398">
        <v>24</v>
      </c>
      <c r="B28" s="399"/>
      <c r="C28" s="400"/>
      <c r="D28" s="399"/>
      <c r="E28" s="400"/>
      <c r="F28" s="401"/>
      <c r="G28" s="402"/>
      <c r="H28" s="401"/>
      <c r="I28" s="402"/>
      <c r="J28" s="403"/>
      <c r="K28" s="404"/>
      <c r="L28" s="405"/>
      <c r="M28" s="404"/>
      <c r="N28" s="405"/>
      <c r="O28" s="402"/>
      <c r="P28" s="401"/>
      <c r="Q28" s="402"/>
      <c r="R28" s="401"/>
      <c r="S28" s="402"/>
      <c r="T28" s="406"/>
    </row>
    <row r="29" spans="1:20">
      <c r="A29" s="398">
        <v>25</v>
      </c>
      <c r="B29" s="399"/>
      <c r="C29" s="400"/>
      <c r="D29" s="399"/>
      <c r="E29" s="400"/>
      <c r="F29" s="401"/>
      <c r="G29" s="402"/>
      <c r="H29" s="401"/>
      <c r="I29" s="402"/>
      <c r="J29" s="403"/>
      <c r="K29" s="404"/>
      <c r="L29" s="405"/>
      <c r="M29" s="404"/>
      <c r="N29" s="405"/>
      <c r="O29" s="402"/>
      <c r="P29" s="401"/>
      <c r="Q29" s="402"/>
      <c r="R29" s="401"/>
      <c r="S29" s="402"/>
      <c r="T29" s="406"/>
    </row>
    <row r="30" spans="1:20">
      <c r="A30" s="398">
        <v>26</v>
      </c>
      <c r="B30" s="399"/>
      <c r="C30" s="400"/>
      <c r="D30" s="399"/>
      <c r="E30" s="400"/>
      <c r="F30" s="401"/>
      <c r="G30" s="402"/>
      <c r="H30" s="401"/>
      <c r="I30" s="402"/>
      <c r="J30" s="403"/>
      <c r="K30" s="404"/>
      <c r="L30" s="405"/>
      <c r="M30" s="404"/>
      <c r="N30" s="405"/>
      <c r="O30" s="402"/>
      <c r="P30" s="401"/>
      <c r="Q30" s="402"/>
      <c r="R30" s="401"/>
      <c r="S30" s="402"/>
      <c r="T30" s="406"/>
    </row>
    <row r="31" spans="1:20">
      <c r="A31" s="398">
        <v>27</v>
      </c>
      <c r="B31" s="399"/>
      <c r="C31" s="400"/>
      <c r="D31" s="399"/>
      <c r="E31" s="400"/>
      <c r="F31" s="401"/>
      <c r="G31" s="402"/>
      <c r="H31" s="401"/>
      <c r="I31" s="402"/>
      <c r="J31" s="403"/>
      <c r="K31" s="404"/>
      <c r="L31" s="405"/>
      <c r="M31" s="404"/>
      <c r="N31" s="405"/>
      <c r="O31" s="402"/>
      <c r="P31" s="401"/>
      <c r="Q31" s="402"/>
      <c r="R31" s="401"/>
      <c r="S31" s="402"/>
      <c r="T31" s="406"/>
    </row>
    <row r="32" spans="1:20">
      <c r="A32" s="398">
        <v>28</v>
      </c>
      <c r="B32" s="399"/>
      <c r="C32" s="400"/>
      <c r="D32" s="399"/>
      <c r="E32" s="400"/>
      <c r="F32" s="401"/>
      <c r="G32" s="402"/>
      <c r="H32" s="401"/>
      <c r="I32" s="402"/>
      <c r="J32" s="407"/>
      <c r="K32" s="404"/>
      <c r="L32" s="405"/>
      <c r="M32" s="404"/>
      <c r="N32" s="405"/>
      <c r="O32" s="402"/>
      <c r="P32" s="401"/>
      <c r="Q32" s="402"/>
      <c r="R32" s="401"/>
      <c r="S32" s="402"/>
      <c r="T32" s="406"/>
    </row>
    <row r="33" spans="1:20">
      <c r="A33" s="398">
        <v>29</v>
      </c>
      <c r="B33" s="399"/>
      <c r="C33" s="400"/>
      <c r="D33" s="399"/>
      <c r="E33" s="400"/>
      <c r="F33" s="401"/>
      <c r="G33" s="402"/>
      <c r="H33" s="401"/>
      <c r="I33" s="402"/>
      <c r="J33" s="407"/>
      <c r="K33" s="404"/>
      <c r="L33" s="405"/>
      <c r="M33" s="404"/>
      <c r="N33" s="405"/>
      <c r="O33" s="402"/>
      <c r="P33" s="401"/>
      <c r="Q33" s="402"/>
      <c r="R33" s="401"/>
      <c r="S33" s="402"/>
      <c r="T33" s="406"/>
    </row>
    <row r="34" spans="1:20">
      <c r="A34" s="398">
        <v>30</v>
      </c>
      <c r="B34" s="399"/>
      <c r="C34" s="400"/>
      <c r="D34" s="399"/>
      <c r="E34" s="400"/>
      <c r="F34" s="401"/>
      <c r="G34" s="402"/>
      <c r="H34" s="401"/>
      <c r="I34" s="402"/>
      <c r="J34" s="407"/>
      <c r="K34" s="404"/>
      <c r="L34" s="405"/>
      <c r="M34" s="404"/>
      <c r="N34" s="405"/>
      <c r="O34" s="402"/>
      <c r="P34" s="401"/>
      <c r="Q34" s="402"/>
      <c r="R34" s="401"/>
      <c r="S34" s="402"/>
      <c r="T34" s="406"/>
    </row>
    <row r="35" spans="1:20">
      <c r="A35" s="398">
        <v>31</v>
      </c>
      <c r="B35" s="399"/>
      <c r="C35" s="400"/>
      <c r="D35" s="399"/>
      <c r="E35" s="400"/>
      <c r="F35" s="401"/>
      <c r="G35" s="402"/>
      <c r="H35" s="401"/>
      <c r="I35" s="402"/>
      <c r="J35" s="407"/>
      <c r="K35" s="404"/>
      <c r="L35" s="405"/>
      <c r="M35" s="404"/>
      <c r="N35" s="405"/>
      <c r="O35" s="402"/>
      <c r="P35" s="401"/>
      <c r="Q35" s="402"/>
      <c r="R35" s="401"/>
      <c r="S35" s="402"/>
      <c r="T35" s="406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08"/>
      <c r="B1" s="409"/>
      <c r="C1" s="409"/>
      <c r="D1" s="409"/>
      <c r="E1" s="409"/>
      <c r="F1" s="410"/>
      <c r="G1" s="1141" t="s">
        <v>206</v>
      </c>
      <c r="H1" s="1141"/>
      <c r="I1" s="1141"/>
      <c r="J1" s="1141"/>
      <c r="K1" s="1141"/>
      <c r="L1" s="1141"/>
      <c r="M1" s="1141"/>
      <c r="N1" s="1141"/>
      <c r="O1" s="1141"/>
      <c r="P1" s="1141"/>
      <c r="Q1" s="1141"/>
      <c r="R1" s="1141"/>
      <c r="S1" s="1141"/>
      <c r="T1" s="1141"/>
      <c r="U1" s="1141"/>
      <c r="V1" s="1141"/>
      <c r="W1" s="1142" t="s">
        <v>207</v>
      </c>
      <c r="X1" s="1142"/>
      <c r="Y1" s="1142"/>
      <c r="Z1" s="1142"/>
      <c r="AA1" s="1142"/>
      <c r="AB1" s="1142"/>
      <c r="AC1" s="1142"/>
      <c r="AD1" s="1142"/>
      <c r="AE1" s="1142"/>
    </row>
    <row r="2" spans="1:31" ht="18" customHeight="1">
      <c r="A2" s="411"/>
      <c r="B2" s="412"/>
      <c r="C2" s="412"/>
      <c r="D2" s="412"/>
      <c r="E2" s="412"/>
      <c r="F2" s="413"/>
      <c r="G2" s="1141"/>
      <c r="H2" s="1141"/>
      <c r="I2" s="1141"/>
      <c r="J2" s="1141"/>
      <c r="K2" s="1141"/>
      <c r="L2" s="1141"/>
      <c r="M2" s="1141"/>
      <c r="N2" s="1141"/>
      <c r="O2" s="1141"/>
      <c r="P2" s="1141"/>
      <c r="Q2" s="1141"/>
      <c r="R2" s="1141"/>
      <c r="S2" s="1141"/>
      <c r="T2" s="1141"/>
      <c r="U2" s="1141"/>
      <c r="V2" s="1141"/>
      <c r="W2" s="1142">
        <f>'1'!$U$25</f>
        <v>44317</v>
      </c>
      <c r="X2" s="1142">
        <f>'1'!$B$20</f>
        <v>1100</v>
      </c>
      <c r="Y2" s="1142">
        <f>'1'!$B$20</f>
        <v>1100</v>
      </c>
      <c r="Z2" s="1142"/>
      <c r="AA2" s="1142"/>
      <c r="AB2" s="1142"/>
      <c r="AC2" s="1142">
        <f>'1'!$B$20</f>
        <v>1100</v>
      </c>
      <c r="AD2" s="1142">
        <f>'1'!$B$20</f>
        <v>1100</v>
      </c>
      <c r="AE2" s="1142">
        <f>'1'!$B$20</f>
        <v>1100</v>
      </c>
    </row>
    <row r="3" spans="1:31" ht="2.25" customHeight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</row>
    <row r="4" spans="1:31" s="415" customFormat="1" ht="27.75" customHeight="1">
      <c r="A4" s="1143" t="s">
        <v>208</v>
      </c>
      <c r="B4" s="1144" t="s">
        <v>209</v>
      </c>
      <c r="C4" s="1144"/>
      <c r="D4" s="1144"/>
      <c r="E4" s="1144"/>
      <c r="F4" s="1144"/>
      <c r="G4" s="1144"/>
      <c r="H4" s="1144"/>
      <c r="I4" s="1144"/>
      <c r="J4" s="1144"/>
      <c r="K4" s="1145" t="s">
        <v>210</v>
      </c>
      <c r="L4" s="1145"/>
      <c r="M4" s="1145"/>
      <c r="N4" s="1145"/>
      <c r="O4" s="1145"/>
      <c r="P4" s="1145"/>
      <c r="Q4" s="1145"/>
      <c r="R4" s="1145"/>
      <c r="S4" s="1145"/>
      <c r="T4" s="1145"/>
      <c r="U4" s="1145"/>
      <c r="V4" s="1145"/>
      <c r="W4" s="1146" t="s">
        <v>211</v>
      </c>
      <c r="X4" s="1146"/>
      <c r="Y4" s="1146"/>
      <c r="Z4" s="1146"/>
      <c r="AA4" s="1146"/>
      <c r="AB4" s="1146"/>
      <c r="AC4" s="1146"/>
      <c r="AD4" s="1146"/>
      <c r="AE4" s="1146"/>
    </row>
    <row r="5" spans="1:31" ht="30" customHeight="1">
      <c r="A5" s="1143"/>
      <c r="B5" s="1147" t="s">
        <v>212</v>
      </c>
      <c r="C5" s="1147"/>
      <c r="D5" s="1147"/>
      <c r="E5" s="1148" t="s">
        <v>213</v>
      </c>
      <c r="F5" s="1148"/>
      <c r="G5" s="1148"/>
      <c r="H5" s="1149" t="s">
        <v>214</v>
      </c>
      <c r="I5" s="1149"/>
      <c r="J5" s="1149"/>
      <c r="K5" s="1150" t="s">
        <v>212</v>
      </c>
      <c r="L5" s="1150"/>
      <c r="M5" s="1150"/>
      <c r="N5" s="1148" t="s">
        <v>213</v>
      </c>
      <c r="O5" s="1148"/>
      <c r="P5" s="1148"/>
      <c r="Q5" s="1148" t="s">
        <v>214</v>
      </c>
      <c r="R5" s="1148"/>
      <c r="S5" s="1148"/>
      <c r="T5" s="1151" t="s">
        <v>215</v>
      </c>
      <c r="U5" s="1151"/>
      <c r="V5" s="1151"/>
      <c r="W5" s="1147" t="s">
        <v>212</v>
      </c>
      <c r="X5" s="1147"/>
      <c r="Y5" s="1147"/>
      <c r="Z5" s="1148" t="s">
        <v>213</v>
      </c>
      <c r="AA5" s="1148"/>
      <c r="AB5" s="1148"/>
      <c r="AC5" s="1151" t="s">
        <v>214</v>
      </c>
      <c r="AD5" s="1151"/>
      <c r="AE5" s="1151"/>
    </row>
    <row r="6" spans="1:31" ht="17.25" customHeight="1">
      <c r="A6" s="1143"/>
      <c r="B6" s="417" t="s">
        <v>216</v>
      </c>
      <c r="C6" s="418" t="s">
        <v>217</v>
      </c>
      <c r="D6" s="418" t="s">
        <v>218</v>
      </c>
      <c r="E6" s="418" t="s">
        <v>216</v>
      </c>
      <c r="F6" s="418" t="s">
        <v>217</v>
      </c>
      <c r="G6" s="418" t="s">
        <v>218</v>
      </c>
      <c r="H6" s="418" t="s">
        <v>216</v>
      </c>
      <c r="I6" s="418" t="s">
        <v>217</v>
      </c>
      <c r="J6" s="419" t="s">
        <v>218</v>
      </c>
      <c r="K6" s="420" t="s">
        <v>216</v>
      </c>
      <c r="L6" s="418" t="s">
        <v>217</v>
      </c>
      <c r="M6" s="418" t="s">
        <v>218</v>
      </c>
      <c r="N6" s="421" t="s">
        <v>216</v>
      </c>
      <c r="O6" s="421" t="s">
        <v>217</v>
      </c>
      <c r="P6" s="421" t="s">
        <v>218</v>
      </c>
      <c r="Q6" s="421" t="s">
        <v>216</v>
      </c>
      <c r="R6" s="421" t="s">
        <v>217</v>
      </c>
      <c r="S6" s="421" t="s">
        <v>218</v>
      </c>
      <c r="T6" s="418" t="s">
        <v>216</v>
      </c>
      <c r="U6" s="418" t="s">
        <v>217</v>
      </c>
      <c r="V6" s="422" t="s">
        <v>218</v>
      </c>
      <c r="W6" s="417" t="s">
        <v>216</v>
      </c>
      <c r="X6" s="418" t="s">
        <v>217</v>
      </c>
      <c r="Y6" s="418" t="s">
        <v>218</v>
      </c>
      <c r="Z6" s="421" t="s">
        <v>216</v>
      </c>
      <c r="AA6" s="421" t="s">
        <v>217</v>
      </c>
      <c r="AB6" s="421" t="s">
        <v>218</v>
      </c>
      <c r="AC6" s="418" t="s">
        <v>216</v>
      </c>
      <c r="AD6" s="418" t="s">
        <v>217</v>
      </c>
      <c r="AE6" s="422" t="s">
        <v>218</v>
      </c>
    </row>
    <row r="7" spans="1:31" ht="18.75" customHeight="1">
      <c r="A7" s="423">
        <v>1</v>
      </c>
      <c r="B7" s="424">
        <f>'1'!$B$20</f>
        <v>1100</v>
      </c>
      <c r="C7" s="425">
        <f>'1'!$B$21</f>
        <v>1100</v>
      </c>
      <c r="D7" s="425">
        <f>'1'!$B$19</f>
        <v>1100</v>
      </c>
      <c r="E7" s="426">
        <f>AVERAGE('1'!$C$20,'1'!$D$20)</f>
        <v>80</v>
      </c>
      <c r="F7" s="426">
        <f>AVERAGE('1'!$C$21,'1'!$D$21)</f>
        <v>8.75</v>
      </c>
      <c r="G7" s="426">
        <f>AVERAGE('1'!$C$19,'1'!$D$19)</f>
        <v>22.395833333333336</v>
      </c>
      <c r="H7" s="427">
        <f>'1'!$E$20</f>
        <v>7.5</v>
      </c>
      <c r="I7" s="427">
        <f>'1'!$E$21</f>
        <v>2.5</v>
      </c>
      <c r="J7" s="428">
        <f>'1'!$E$19</f>
        <v>3.75</v>
      </c>
      <c r="K7" s="429">
        <f>'1'!$F$20</f>
        <v>342</v>
      </c>
      <c r="L7" s="427">
        <f>'1'!$F$21</f>
        <v>212</v>
      </c>
      <c r="M7" s="427">
        <f>'1'!$F$19</f>
        <v>287.16666666666669</v>
      </c>
      <c r="N7" s="426">
        <f>AVERAGE('1'!$G$20,'1'!$H$20)</f>
        <v>77</v>
      </c>
      <c r="O7" s="426">
        <f>AVERAGE('1'!$G$21,'1'!$H$21)</f>
        <v>2.3499999999999996</v>
      </c>
      <c r="P7" s="426">
        <f>AVERAGE('1'!$G$19,'1'!$H$19)</f>
        <v>15.670833333333334</v>
      </c>
      <c r="Q7" s="430">
        <f>'1'!$I$20</f>
        <v>2.54</v>
      </c>
      <c r="R7" s="430">
        <f>'1'!$I$21</f>
        <v>0.8</v>
      </c>
      <c r="S7" s="430">
        <f>'1'!$I$19</f>
        <v>1.3375000000000001</v>
      </c>
      <c r="T7" s="430">
        <f>'1'!$J$20</f>
        <v>3.4</v>
      </c>
      <c r="U7" s="430">
        <f>'1'!$J$21</f>
        <v>1</v>
      </c>
      <c r="V7" s="431">
        <f>'1'!$J$19</f>
        <v>1.9249999999999998</v>
      </c>
      <c r="W7" s="432">
        <f>'1'!$K$20</f>
        <v>7</v>
      </c>
      <c r="X7" s="430">
        <f>'1'!$K$21</f>
        <v>6.8</v>
      </c>
      <c r="Y7" s="430">
        <f>'1'!$K$19</f>
        <v>6.9333333333333336</v>
      </c>
      <c r="Z7" s="430">
        <f>AVERAGE('1'!$L$20,'1'!$M$20)</f>
        <v>5.85</v>
      </c>
      <c r="AA7" s="430">
        <f>AVERAGE('1'!$L$21,'1'!$M$21)</f>
        <v>4.8</v>
      </c>
      <c r="AB7" s="430">
        <f>AVERAGE('1'!$L$19,'1'!$M$19)</f>
        <v>5.1124999999999989</v>
      </c>
      <c r="AC7" s="430">
        <f>'1'!$N$20</f>
        <v>5.7</v>
      </c>
      <c r="AD7" s="430">
        <f>'1'!$N$21</f>
        <v>5.5</v>
      </c>
      <c r="AE7" s="431">
        <f>'1'!$N$19</f>
        <v>5.6333333333333337</v>
      </c>
    </row>
    <row r="8" spans="1:31" ht="18.75" customHeight="1">
      <c r="A8" s="433">
        <v>2</v>
      </c>
      <c r="B8" s="434">
        <f>'2'!$B$20</f>
        <v>800</v>
      </c>
      <c r="C8" s="435">
        <f>'2'!$B$21</f>
        <v>650</v>
      </c>
      <c r="D8" s="435">
        <f>'2'!$B$19</f>
        <v>770.83333333333337</v>
      </c>
      <c r="E8" s="426">
        <f>AVERAGE('2'!$C$20,'2'!$D$20)</f>
        <v>10</v>
      </c>
      <c r="F8" s="426">
        <f>AVERAGE('2'!$C$21,'2'!$D$21)</f>
        <v>6.25</v>
      </c>
      <c r="G8" s="426">
        <f>AVERAGE('2'!$C$19,'2'!$D$19)</f>
        <v>8.2291666666666679</v>
      </c>
      <c r="H8" s="426">
        <f>'2'!$E$20</f>
        <v>2.5</v>
      </c>
      <c r="I8" s="426">
        <f>'2'!$E$21</f>
        <v>2.5</v>
      </c>
      <c r="J8" s="436">
        <f>'2'!$E$19</f>
        <v>2.5</v>
      </c>
      <c r="K8" s="437">
        <f>'2'!$F$20</f>
        <v>211</v>
      </c>
      <c r="L8" s="426">
        <f>'2'!$F$21</f>
        <v>166</v>
      </c>
      <c r="M8" s="426">
        <f>'2'!$F$19</f>
        <v>192.83333333333334</v>
      </c>
      <c r="N8" s="426">
        <f>AVERAGE('2'!$G$20,'2'!$H$20)</f>
        <v>4.95</v>
      </c>
      <c r="O8" s="426">
        <f>AVERAGE('2'!$G$21,'2'!$H$21)</f>
        <v>1.75</v>
      </c>
      <c r="P8" s="426">
        <f>AVERAGE('2'!$G$19,'2'!$H$19)</f>
        <v>3.166666666666667</v>
      </c>
      <c r="Q8" s="438">
        <f>'2'!$I$20</f>
        <v>1.1000000000000001</v>
      </c>
      <c r="R8" s="438">
        <f>'2'!$I$21</f>
        <v>0.97</v>
      </c>
      <c r="S8" s="438">
        <f>'2'!$I$19</f>
        <v>1.0275000000000003</v>
      </c>
      <c r="T8" s="438">
        <f>'2'!$J$20</f>
        <v>1.5</v>
      </c>
      <c r="U8" s="438">
        <f>'2'!$J$21</f>
        <v>1.2</v>
      </c>
      <c r="V8" s="439">
        <f>'2'!$J$19</f>
        <v>1.3</v>
      </c>
      <c r="W8" s="440">
        <f>'2'!$K$20</f>
        <v>6.8</v>
      </c>
      <c r="X8" s="438">
        <f>'2'!$K$21</f>
        <v>6.8</v>
      </c>
      <c r="Y8" s="438">
        <f>'2'!$K$19</f>
        <v>6.799999999999998</v>
      </c>
      <c r="Z8" s="430">
        <f>AVERAGE('2'!$L$20,'2'!$M$20)</f>
        <v>4.8</v>
      </c>
      <c r="AA8" s="430">
        <f>AVERAGE('2'!$L$21,'2'!$M$21)</f>
        <v>4.6899999999999995</v>
      </c>
      <c r="AB8" s="430">
        <f>AVERAGE('2'!$L$19,'2'!$M$19)</f>
        <v>4.7266666666666657</v>
      </c>
      <c r="AC8" s="438">
        <f>'2'!$N$20</f>
        <v>5.7</v>
      </c>
      <c r="AD8" s="438">
        <f>'2'!$N$21</f>
        <v>5.3</v>
      </c>
      <c r="AE8" s="439">
        <f>'2'!$N$19</f>
        <v>5.4333333333333327</v>
      </c>
    </row>
    <row r="9" spans="1:31" ht="18.75" customHeight="1">
      <c r="A9" s="433">
        <v>3</v>
      </c>
      <c r="B9" s="434">
        <f>'3'!$B$20</f>
        <v>700</v>
      </c>
      <c r="C9" s="435">
        <f>'3'!$B$21</f>
        <v>700</v>
      </c>
      <c r="D9" s="435">
        <f>'3'!$B$19</f>
        <v>700</v>
      </c>
      <c r="E9" s="426">
        <f>AVERAGE('3'!$C$20,'3'!$D$20)</f>
        <v>12.5</v>
      </c>
      <c r="F9" s="426">
        <f>AVERAGE('3'!$C$21,'3'!$D$21)</f>
        <v>7.5</v>
      </c>
      <c r="G9" s="426">
        <f>AVERAGE('3'!$C$19,'3'!$D$19)</f>
        <v>9.7916666666666679</v>
      </c>
      <c r="H9" s="426">
        <f>'3'!$E$20</f>
        <v>5</v>
      </c>
      <c r="I9" s="426">
        <f>'3'!$E$21</f>
        <v>2.5</v>
      </c>
      <c r="J9" s="436">
        <f>'3'!$E$19</f>
        <v>3.75</v>
      </c>
      <c r="K9" s="437">
        <f>'3'!$F$20</f>
        <v>166</v>
      </c>
      <c r="L9" s="426">
        <f>'3'!$F$21</f>
        <v>146</v>
      </c>
      <c r="M9" s="426">
        <f>'3'!$F$19</f>
        <v>153.91666666666666</v>
      </c>
      <c r="N9" s="426">
        <f>AVERAGE('3'!$G$20,'3'!$H$20)</f>
        <v>4.25</v>
      </c>
      <c r="O9" s="426">
        <f>AVERAGE('3'!$G$21,'3'!$H$21)</f>
        <v>2.9000000000000004</v>
      </c>
      <c r="P9" s="426">
        <f>AVERAGE('3'!$G$19,'3'!$H$19)</f>
        <v>3.3583333333333334</v>
      </c>
      <c r="Q9" s="438">
        <f>'3'!$I$20</f>
        <v>1.21</v>
      </c>
      <c r="R9" s="438">
        <f>'3'!$I$21</f>
        <v>0.74</v>
      </c>
      <c r="S9" s="438">
        <f>'3'!$I$19</f>
        <v>0.98583333333333334</v>
      </c>
      <c r="T9" s="438">
        <f>'3'!$J$20</f>
        <v>2.0499999999999998</v>
      </c>
      <c r="U9" s="438">
        <f>'3'!$J$21</f>
        <v>0.83</v>
      </c>
      <c r="V9" s="439">
        <f>'3'!$J$19</f>
        <v>1.5158333333333334</v>
      </c>
      <c r="W9" s="440">
        <f>'3'!$K$20</f>
        <v>6.8</v>
      </c>
      <c r="X9" s="438">
        <f>'3'!$K$21</f>
        <v>6.8</v>
      </c>
      <c r="Y9" s="438">
        <f>'3'!$K$19</f>
        <v>6.799999999999998</v>
      </c>
      <c r="Z9" s="430">
        <f>AVERAGE('3'!$L$20,'3'!$M$20)</f>
        <v>4.8</v>
      </c>
      <c r="AA9" s="430">
        <f>AVERAGE('3'!$L$21,'3'!$M$21)</f>
        <v>4.8</v>
      </c>
      <c r="AB9" s="430">
        <f>AVERAGE('3'!$L$19,'3'!$M$19)</f>
        <v>4.7999999999999989</v>
      </c>
      <c r="AC9" s="438">
        <f>'3'!$N$20</f>
        <v>5.3</v>
      </c>
      <c r="AD9" s="438">
        <f>'3'!$N$21</f>
        <v>4.5</v>
      </c>
      <c r="AE9" s="439">
        <f>'3'!$N$19</f>
        <v>4.9416666666666664</v>
      </c>
    </row>
    <row r="10" spans="1:31" ht="18.75" customHeight="1">
      <c r="A10" s="433">
        <v>4</v>
      </c>
      <c r="B10" s="434">
        <f>'4'!$B$20</f>
        <v>700</v>
      </c>
      <c r="C10" s="435">
        <f>'4'!$B$21</f>
        <v>650</v>
      </c>
      <c r="D10" s="435">
        <f>'4'!$B$19</f>
        <v>700</v>
      </c>
      <c r="E10" s="426">
        <f>AVERAGE('4'!$C$20,'4'!$D$20)</f>
        <v>10</v>
      </c>
      <c r="F10" s="426">
        <f>AVERAGE('4'!$C$21,'4'!$D$21)</f>
        <v>7.5</v>
      </c>
      <c r="G10" s="426">
        <f>AVERAGE('4'!$C$19,'4'!$D$19)</f>
        <v>9.7916666666666679</v>
      </c>
      <c r="H10" s="426">
        <f>'4'!$E$20</f>
        <v>5</v>
      </c>
      <c r="I10" s="426">
        <f>'4'!$E$21</f>
        <v>2.5</v>
      </c>
      <c r="J10" s="436">
        <f>'4'!$E$19</f>
        <v>3.75</v>
      </c>
      <c r="K10" s="437">
        <f>'4'!$F$20</f>
        <v>130</v>
      </c>
      <c r="L10" s="426">
        <f>'4'!$F$21</f>
        <v>124</v>
      </c>
      <c r="M10" s="426">
        <f>'4'!$F$19</f>
        <v>153.91666666666666</v>
      </c>
      <c r="N10" s="426">
        <f>AVERAGE('4'!$G$20,'4'!$H$20)</f>
        <v>5.5</v>
      </c>
      <c r="O10" s="426">
        <f>AVERAGE('4'!$G$21,'4'!$H$21)</f>
        <v>2.6</v>
      </c>
      <c r="P10" s="426">
        <f>AVERAGE('4'!$G$19,'4'!$H$19)</f>
        <v>3.3583333333333334</v>
      </c>
      <c r="Q10" s="438">
        <f>'4'!$I$20</f>
        <v>0.87</v>
      </c>
      <c r="R10" s="438">
        <f>'4'!$I$21</f>
        <v>0.69</v>
      </c>
      <c r="S10" s="438">
        <f>'4'!$I$19</f>
        <v>0.98583333333333334</v>
      </c>
      <c r="T10" s="438">
        <f>'4'!$J$20</f>
        <v>1.8</v>
      </c>
      <c r="U10" s="438">
        <f>'4'!$J$21</f>
        <v>1.1000000000000001</v>
      </c>
      <c r="V10" s="439">
        <f>'4'!$J$19</f>
        <v>1.5158333333333334</v>
      </c>
      <c r="W10" s="440">
        <f>'4'!$K$20</f>
        <v>7</v>
      </c>
      <c r="X10" s="438">
        <f>'4'!$K$21</f>
        <v>6.8</v>
      </c>
      <c r="Y10" s="438">
        <f>'4'!$K$19</f>
        <v>6.799999999999998</v>
      </c>
      <c r="Z10" s="430">
        <f>AVERAGE('4'!$L$20,'4'!$M$20)</f>
        <v>4.8</v>
      </c>
      <c r="AA10" s="430">
        <f>AVERAGE('4'!$L$21,'4'!$M$21)</f>
        <v>4.8</v>
      </c>
      <c r="AB10" s="430">
        <f>AVERAGE('4'!$L$19,'4'!$M$19)</f>
        <v>4.7999999999999989</v>
      </c>
      <c r="AC10" s="438">
        <f>'4'!$N$20</f>
        <v>5.7</v>
      </c>
      <c r="AD10" s="438">
        <f>'4'!$N$21</f>
        <v>4.5</v>
      </c>
      <c r="AE10" s="439">
        <f>'4'!$N$19</f>
        <v>4.9416666666666664</v>
      </c>
    </row>
    <row r="11" spans="1:31" ht="18.75" customHeight="1">
      <c r="A11" s="433">
        <v>5</v>
      </c>
      <c r="B11" s="434">
        <f>'5'!$B$20</f>
        <v>650</v>
      </c>
      <c r="C11" s="435">
        <f>'5'!$B$21</f>
        <v>550</v>
      </c>
      <c r="D11" s="435">
        <f>'5'!$B$19</f>
        <v>583.33333333333337</v>
      </c>
      <c r="E11" s="426">
        <f>AVERAGE('5'!$C$20,'5'!$D$20)</f>
        <v>35</v>
      </c>
      <c r="F11" s="426">
        <f>AVERAGE('5'!$C$21,'5'!$D$21)</f>
        <v>6.25</v>
      </c>
      <c r="G11" s="426">
        <f>AVERAGE('5'!$C$19,'5'!$D$19)</f>
        <v>14.895833333333332</v>
      </c>
      <c r="H11" s="426">
        <f>'5'!$E$20</f>
        <v>5</v>
      </c>
      <c r="I11" s="426">
        <f>'5'!$E$21</f>
        <v>2.5</v>
      </c>
      <c r="J11" s="436">
        <f>'5'!$E$19</f>
        <v>3.125</v>
      </c>
      <c r="K11" s="437">
        <f>'5'!$F$20</f>
        <v>130</v>
      </c>
      <c r="L11" s="426">
        <f>'5'!$F$21</f>
        <v>124</v>
      </c>
      <c r="M11" s="426">
        <f>'5'!$F$19</f>
        <v>127.41666666666667</v>
      </c>
      <c r="N11" s="426">
        <f>AVERAGE('5'!$G$20,'5'!$H$20)</f>
        <v>5.5</v>
      </c>
      <c r="O11" s="426">
        <f>AVERAGE('5'!$G$21,'5'!$H$21)</f>
        <v>1.85</v>
      </c>
      <c r="P11" s="426">
        <f>AVERAGE('5'!$G$19,'5'!$H$19)</f>
        <v>3.5583333333333327</v>
      </c>
      <c r="Q11" s="438">
        <f>'5'!$I$20</f>
        <v>0.87</v>
      </c>
      <c r="R11" s="438">
        <f>'5'!$I$21</f>
        <v>0.64</v>
      </c>
      <c r="S11" s="438">
        <f>'5'!$I$19</f>
        <v>0.72666666666666668</v>
      </c>
      <c r="T11" s="438">
        <f>'5'!$J$20</f>
        <v>1.8</v>
      </c>
      <c r="U11" s="438">
        <f>'5'!$J$21</f>
        <v>1.1000000000000001</v>
      </c>
      <c r="V11" s="439">
        <f>'5'!$J$19</f>
        <v>1.5416666666666667</v>
      </c>
      <c r="W11" s="440">
        <f>'5'!$K$20</f>
        <v>7</v>
      </c>
      <c r="X11" s="438">
        <f>'5'!$K$21</f>
        <v>6.8</v>
      </c>
      <c r="Y11" s="438">
        <f>'5'!$K$19</f>
        <v>6.9333333333333336</v>
      </c>
      <c r="Z11" s="430">
        <f>AVERAGE('5'!$L$20,'5'!$M$20)</f>
        <v>4.8</v>
      </c>
      <c r="AA11" s="430">
        <f>AVERAGE('5'!$L$21,'5'!$M$21)</f>
        <v>4.8</v>
      </c>
      <c r="AB11" s="430">
        <f>AVERAGE('5'!$L$19,'5'!$M$19)</f>
        <v>4.7999999999999989</v>
      </c>
      <c r="AC11" s="438">
        <f>'5'!$N$20</f>
        <v>5.7</v>
      </c>
      <c r="AD11" s="438">
        <f>'5'!$N$21</f>
        <v>5</v>
      </c>
      <c r="AE11" s="439">
        <f>'5'!$N$19</f>
        <v>5.4666666666666677</v>
      </c>
    </row>
    <row r="12" spans="1:31" ht="18.75" customHeight="1">
      <c r="A12" s="433">
        <v>6</v>
      </c>
      <c r="B12" s="434">
        <f>'6'!$B$20</f>
        <v>550</v>
      </c>
      <c r="C12" s="435">
        <f>'6'!$B$21</f>
        <v>550</v>
      </c>
      <c r="D12" s="435">
        <f>'6'!$B$19</f>
        <v>550</v>
      </c>
      <c r="E12" s="426">
        <f>AVERAGE('6'!$C$20,'6'!$D$20)</f>
        <v>8.75</v>
      </c>
      <c r="F12" s="426">
        <f>AVERAGE('6'!$C$21,'6'!$D$21)</f>
        <v>6.25</v>
      </c>
      <c r="G12" s="426">
        <f>AVERAGE('6'!$C$19,'6'!$D$19)</f>
        <v>8.0208333333333321</v>
      </c>
      <c r="H12" s="426">
        <f>'6'!$E$20</f>
        <v>2.5</v>
      </c>
      <c r="I12" s="426">
        <f>'6'!$E$21</f>
        <v>2.5</v>
      </c>
      <c r="J12" s="436">
        <f>'6'!$E$19</f>
        <v>2.5</v>
      </c>
      <c r="K12" s="437">
        <f>'6'!$F$20</f>
        <v>136</v>
      </c>
      <c r="L12" s="426">
        <f>'6'!$F$21</f>
        <v>124</v>
      </c>
      <c r="M12" s="426">
        <f>'6'!$F$19</f>
        <v>128.75</v>
      </c>
      <c r="N12" s="426">
        <f>AVERAGE('6'!$G$20,'6'!$H$20)</f>
        <v>3.65</v>
      </c>
      <c r="O12" s="426">
        <f>AVERAGE('6'!$G$21,'6'!$H$21)</f>
        <v>2.75</v>
      </c>
      <c r="P12" s="426">
        <f>AVERAGE('6'!$G$19,'6'!$H$19)</f>
        <v>3.2166666666666672</v>
      </c>
      <c r="Q12" s="438">
        <f>'6'!$I$20</f>
        <v>0.82</v>
      </c>
      <c r="R12" s="438">
        <f>'6'!$I$21</f>
        <v>0.73</v>
      </c>
      <c r="S12" s="438">
        <f>'6'!$I$19</f>
        <v>0.79333333333333333</v>
      </c>
      <c r="T12" s="438">
        <f>'6'!$J$20</f>
        <v>1.88</v>
      </c>
      <c r="U12" s="438">
        <f>'6'!$J$21</f>
        <v>1.56</v>
      </c>
      <c r="V12" s="439">
        <f>'6'!$J$19</f>
        <v>1.7150000000000001</v>
      </c>
      <c r="W12" s="440">
        <f>'6'!$K$20</f>
        <v>7</v>
      </c>
      <c r="X12" s="438">
        <f>'6'!$K$21</f>
        <v>7</v>
      </c>
      <c r="Y12" s="438">
        <f>'6'!$K$19</f>
        <v>7</v>
      </c>
      <c r="Z12" s="430">
        <f>AVERAGE('6'!$L$20,'6'!$M$20)</f>
        <v>5</v>
      </c>
      <c r="AA12" s="430">
        <f>AVERAGE('6'!$L$21,'6'!$M$21)</f>
        <v>4.8</v>
      </c>
      <c r="AB12" s="430">
        <f>AVERAGE('6'!$L$19,'6'!$M$19)</f>
        <v>4.833333333333333</v>
      </c>
      <c r="AC12" s="438">
        <f>'6'!$N$20</f>
        <v>5.7</v>
      </c>
      <c r="AD12" s="438">
        <f>'6'!$N$21</f>
        <v>4.5</v>
      </c>
      <c r="AE12" s="439">
        <f>'6'!$N$19</f>
        <v>4.9416666666666664</v>
      </c>
    </row>
    <row r="13" spans="1:31" ht="18.75" customHeight="1">
      <c r="A13" s="433">
        <v>7</v>
      </c>
      <c r="B13" s="434">
        <f>'7'!$B$20</f>
        <v>550</v>
      </c>
      <c r="C13" s="435">
        <f>'7'!$B$21</f>
        <v>400</v>
      </c>
      <c r="D13" s="435">
        <f>'7'!$B$19</f>
        <v>512.5</v>
      </c>
      <c r="E13" s="426">
        <f>AVERAGE('7'!$C$20,'7'!$D$20)</f>
        <v>16.25</v>
      </c>
      <c r="F13" s="426">
        <f>AVERAGE('7'!$C$21,'7'!$D$21)</f>
        <v>7.5</v>
      </c>
      <c r="G13" s="426">
        <f>AVERAGE('7'!$C$19,'7'!$D$19)</f>
        <v>10.104166666666668</v>
      </c>
      <c r="H13" s="426">
        <f>'7'!$E$20</f>
        <v>2.5</v>
      </c>
      <c r="I13" s="426">
        <f>'7'!$E$21</f>
        <v>2.5</v>
      </c>
      <c r="J13" s="436">
        <f>'7'!$E$19</f>
        <v>2.5</v>
      </c>
      <c r="K13" s="437">
        <f>'6'!$F$20</f>
        <v>136</v>
      </c>
      <c r="L13" s="426">
        <f>'6'!$F$21</f>
        <v>124</v>
      </c>
      <c r="M13" s="426">
        <f>'7'!$F$19</f>
        <v>116.58333333333333</v>
      </c>
      <c r="N13" s="426">
        <f>AVERAGE('7'!$G$20,'7'!$H$20)</f>
        <v>6</v>
      </c>
      <c r="O13" s="426">
        <f>AVERAGE('7'!$G$21,'7'!$H$21)</f>
        <v>2.6</v>
      </c>
      <c r="P13" s="426">
        <f>AVERAGE('7'!$G$19,'7'!$H$19)</f>
        <v>4.0958333333333332</v>
      </c>
      <c r="Q13" s="438">
        <f>'7'!$I$20</f>
        <v>0.85</v>
      </c>
      <c r="R13" s="438">
        <f>'7'!$I$21</f>
        <v>0.68</v>
      </c>
      <c r="S13" s="438">
        <f>'7'!$I$19</f>
        <v>0.74916666666666665</v>
      </c>
      <c r="T13" s="438">
        <f>'7'!$J$20</f>
        <v>1.8</v>
      </c>
      <c r="U13" s="438">
        <f>'7'!$J$21</f>
        <v>1.3</v>
      </c>
      <c r="V13" s="439">
        <f>'7'!$J$19</f>
        <v>1.6033333333333333</v>
      </c>
      <c r="W13" s="440">
        <f>'7'!$K$20</f>
        <v>7</v>
      </c>
      <c r="X13" s="438">
        <f>'7'!$K$21</f>
        <v>7</v>
      </c>
      <c r="Y13" s="438">
        <f>'7'!$K$19</f>
        <v>7</v>
      </c>
      <c r="Z13" s="430">
        <f>AVERAGE('7'!$L$20,'7'!$M$20)</f>
        <v>5</v>
      </c>
      <c r="AA13" s="430">
        <f>AVERAGE('7'!$L$21,'7'!$M$21)</f>
        <v>5</v>
      </c>
      <c r="AB13" s="430">
        <f>AVERAGE('7'!$L$19,'7'!$M$19)</f>
        <v>5</v>
      </c>
      <c r="AC13" s="438">
        <f>'7'!$N$20</f>
        <v>4.5</v>
      </c>
      <c r="AD13" s="438">
        <f>'7'!$N$21</f>
        <v>4.5</v>
      </c>
      <c r="AE13" s="439">
        <f>'7'!$N$19</f>
        <v>4.5</v>
      </c>
    </row>
    <row r="14" spans="1:31" ht="18.75" customHeight="1">
      <c r="A14" s="433">
        <v>8</v>
      </c>
      <c r="B14" s="434">
        <f>'8'!$B$20</f>
        <v>400</v>
      </c>
      <c r="C14" s="435">
        <f>'8'!$B$21</f>
        <v>250</v>
      </c>
      <c r="D14" s="435">
        <f>'8'!$B$19</f>
        <v>300</v>
      </c>
      <c r="E14" s="426">
        <f>AVERAGE('8'!$C$20,'8'!$D$20)</f>
        <v>7.5</v>
      </c>
      <c r="F14" s="426">
        <f>AVERAGE('8'!$C$21,'8'!$D$21)</f>
        <v>5</v>
      </c>
      <c r="G14" s="426">
        <f>AVERAGE('8'!$C$19,'8'!$D$19)</f>
        <v>6.666666666666667</v>
      </c>
      <c r="H14" s="426">
        <f>'8'!$E$20</f>
        <v>2.5</v>
      </c>
      <c r="I14" s="426">
        <f>'8'!$E$21</f>
        <v>2.5</v>
      </c>
      <c r="J14" s="436">
        <f>'8'!$E$19</f>
        <v>2.5</v>
      </c>
      <c r="K14" s="437">
        <f>'8'!$F$20</f>
        <v>106</v>
      </c>
      <c r="L14" s="426">
        <f>'8'!$F$21</f>
        <v>94</v>
      </c>
      <c r="M14" s="426">
        <f>'8'!$F$19</f>
        <v>98.583333333333329</v>
      </c>
      <c r="N14" s="426">
        <f>AVERAGE('8'!$G$20,'8'!$H$20)</f>
        <v>3</v>
      </c>
      <c r="O14" s="426">
        <f>AVERAGE('8'!$G$21,'8'!$H$21)</f>
        <v>2.2000000000000002</v>
      </c>
      <c r="P14" s="426">
        <f>AVERAGE('8'!$G$19,'8'!$H$19)</f>
        <v>2.5249999999999999</v>
      </c>
      <c r="Q14" s="438">
        <f>'8'!$I$20</f>
        <v>0.89</v>
      </c>
      <c r="R14" s="438">
        <f>'8'!$I$21</f>
        <v>0.77</v>
      </c>
      <c r="S14" s="438">
        <f>'8'!$I$19</f>
        <v>0.83416666666666661</v>
      </c>
      <c r="T14" s="438">
        <f>'8'!$J$20</f>
        <v>2</v>
      </c>
      <c r="U14" s="438">
        <f>'8'!$J$21</f>
        <v>1.3</v>
      </c>
      <c r="V14" s="439">
        <f>'8'!$J$19</f>
        <v>1.6083333333333332</v>
      </c>
      <c r="W14" s="440">
        <f>'8'!$K$20</f>
        <v>7.3</v>
      </c>
      <c r="X14" s="438">
        <f>'8'!$K$21</f>
        <v>7</v>
      </c>
      <c r="Y14" s="438">
        <f>'8'!$K$19</f>
        <v>7.1999999999999984</v>
      </c>
      <c r="Z14" s="430">
        <f>AVERAGE('8'!$L$20,'8'!$M$20)</f>
        <v>5.8</v>
      </c>
      <c r="AA14" s="430">
        <f>AVERAGE('8'!$L$21,'8'!$M$21)</f>
        <v>5</v>
      </c>
      <c r="AB14" s="430">
        <f>AVERAGE('8'!$L$19,'8'!$M$19)</f>
        <v>5.5333333333333323</v>
      </c>
      <c r="AC14" s="438">
        <f>'8'!$N$20</f>
        <v>6</v>
      </c>
      <c r="AD14" s="438">
        <f>'8'!$N$21</f>
        <v>4.5</v>
      </c>
      <c r="AE14" s="439">
        <f>'8'!$N$19</f>
        <v>5.5</v>
      </c>
    </row>
    <row r="15" spans="1:31" ht="18.75" customHeight="1">
      <c r="A15" s="433">
        <v>9</v>
      </c>
      <c r="B15" s="434">
        <f>'9'!$B$20</f>
        <v>250</v>
      </c>
      <c r="C15" s="435">
        <f>'9'!$B$21</f>
        <v>250</v>
      </c>
      <c r="D15" s="435">
        <f>'9'!$B$19</f>
        <v>250</v>
      </c>
      <c r="E15" s="426">
        <f>AVERAGE('9'!$C$20,'9'!$D$20)</f>
        <v>6.25</v>
      </c>
      <c r="F15" s="426">
        <f>AVERAGE('9'!$C$21,'9'!$D$21)</f>
        <v>6.25</v>
      </c>
      <c r="G15" s="426">
        <f>AVERAGE('9'!$C$19,'9'!$D$19)</f>
        <v>6.25</v>
      </c>
      <c r="H15" s="426">
        <f>'9'!$E$20</f>
        <v>2.5</v>
      </c>
      <c r="I15" s="426">
        <f>'9'!$E$21</f>
        <v>2.5</v>
      </c>
      <c r="J15" s="436">
        <f>'9'!$E$19</f>
        <v>2.5</v>
      </c>
      <c r="K15" s="437">
        <f>'9'!$F$20</f>
        <v>99</v>
      </c>
      <c r="L15" s="426">
        <f>'9'!$F$21</f>
        <v>80</v>
      </c>
      <c r="M15" s="426">
        <f>'9'!$F$19</f>
        <v>85.916666666666671</v>
      </c>
      <c r="N15" s="426">
        <f>AVERAGE('9'!$G$20,'9'!$H$20)</f>
        <v>2.8</v>
      </c>
      <c r="O15" s="426">
        <f>AVERAGE('9'!$G$21,'9'!$H$21)</f>
        <v>2.25</v>
      </c>
      <c r="P15" s="426">
        <f>AVERAGE('9'!$G$19,'9'!$H$19)</f>
        <v>2.5083333333333333</v>
      </c>
      <c r="Q15" s="438">
        <f>'9'!$I$20</f>
        <v>1</v>
      </c>
      <c r="R15" s="438">
        <f>'9'!$I$21</f>
        <v>0.8</v>
      </c>
      <c r="S15" s="438">
        <f>'9'!$I$19</f>
        <v>0.86249999999999993</v>
      </c>
      <c r="T15" s="438">
        <f>'9'!$J$20</f>
        <v>1.85</v>
      </c>
      <c r="U15" s="438">
        <f>'9'!$J$21</f>
        <v>0.8</v>
      </c>
      <c r="V15" s="439">
        <f>'9'!$J$19</f>
        <v>1.3458333333333334</v>
      </c>
      <c r="W15" s="440">
        <f>'9'!$K$20</f>
        <v>7.3</v>
      </c>
      <c r="X15" s="438">
        <f>'9'!$K$21</f>
        <v>7.3</v>
      </c>
      <c r="Y15" s="438">
        <f>'9'!$K$19</f>
        <v>7.299999999999998</v>
      </c>
      <c r="Z15" s="430">
        <f>AVERAGE('9'!$L$20,'9'!$M$20)</f>
        <v>5.8</v>
      </c>
      <c r="AA15" s="430">
        <f>AVERAGE('9'!$L$21,'9'!$M$21)</f>
        <v>5.5</v>
      </c>
      <c r="AB15" s="430">
        <f>AVERAGE('9'!$L$19,'9'!$M$19)</f>
        <v>5.6000000000000005</v>
      </c>
      <c r="AC15" s="438">
        <f>'9'!$N$20</f>
        <v>6</v>
      </c>
      <c r="AD15" s="438">
        <f>'9'!$N$21</f>
        <v>5</v>
      </c>
      <c r="AE15" s="439">
        <f>'9'!$N$19</f>
        <v>5.333333333333333</v>
      </c>
    </row>
    <row r="16" spans="1:31" ht="18.75" customHeight="1">
      <c r="A16" s="433">
        <v>10</v>
      </c>
      <c r="B16" s="434">
        <f>'10'!$B$20</f>
        <v>250</v>
      </c>
      <c r="C16" s="435">
        <f>'10'!$B$21</f>
        <v>250</v>
      </c>
      <c r="D16" s="435">
        <f>'10'!$B$19</f>
        <v>250</v>
      </c>
      <c r="E16" s="426">
        <f>AVERAGE('10'!$C$20,'10'!$D$20)</f>
        <v>5</v>
      </c>
      <c r="F16" s="426">
        <f>AVERAGE('10'!$C$21,'10'!$D$21)</f>
        <v>5</v>
      </c>
      <c r="G16" s="426">
        <f>AVERAGE('10'!$C$19,'10'!$D$19)</f>
        <v>5</v>
      </c>
      <c r="H16" s="426">
        <f>'10'!$E$20</f>
        <v>2.5</v>
      </c>
      <c r="I16" s="426">
        <f>'10'!$E$21</f>
        <v>2.5</v>
      </c>
      <c r="J16" s="436">
        <f>'10'!$E$19</f>
        <v>2.5</v>
      </c>
      <c r="K16" s="437">
        <f>'10'!$F$20</f>
        <v>80</v>
      </c>
      <c r="L16" s="426">
        <f>'10'!$F$21</f>
        <v>64</v>
      </c>
      <c r="M16" s="426">
        <f>'10'!$F$19</f>
        <v>70.75</v>
      </c>
      <c r="N16" s="426">
        <f>AVERAGE('10'!$G$20,'10'!$H$20)</f>
        <v>5</v>
      </c>
      <c r="O16" s="426">
        <f>AVERAGE('10'!$G$21,'10'!$H$21)</f>
        <v>1.1949999999999998</v>
      </c>
      <c r="P16" s="426">
        <f>AVERAGE('10'!$G$19,'10'!$H$19)</f>
        <v>2.8620833333333335</v>
      </c>
      <c r="Q16" s="438">
        <f>'10'!$I$20</f>
        <v>1.6</v>
      </c>
      <c r="R16" s="438">
        <f>'10'!$I$21</f>
        <v>0.81</v>
      </c>
      <c r="S16" s="438">
        <f>'10'!$I$19</f>
        <v>0.98750000000000016</v>
      </c>
      <c r="T16" s="438">
        <f>'10'!$J$20</f>
        <v>1.8</v>
      </c>
      <c r="U16" s="438">
        <f>'10'!$J$21</f>
        <v>1.38</v>
      </c>
      <c r="V16" s="439">
        <f>'10'!$J$19</f>
        <v>1.6183333333333332</v>
      </c>
      <c r="W16" s="440">
        <f>'10'!$K$20</f>
        <v>7.3</v>
      </c>
      <c r="X16" s="438">
        <f>'10'!$K$21</f>
        <v>7.3</v>
      </c>
      <c r="Y16" s="438">
        <f>'10'!$K$19</f>
        <v>7.299999999999998</v>
      </c>
      <c r="Z16" s="430">
        <f>AVERAGE('10'!$L$20,'10'!$M$20)</f>
        <v>5.8</v>
      </c>
      <c r="AA16" s="430">
        <f>AVERAGE('10'!$L$21,'10'!$M$21)</f>
        <v>5.5</v>
      </c>
      <c r="AB16" s="430">
        <f>AVERAGE('10'!$L$19,'10'!$M$19)</f>
        <v>5.5499999999999989</v>
      </c>
      <c r="AC16" s="438">
        <f>'10'!$N$20</f>
        <v>5.2</v>
      </c>
      <c r="AD16" s="438">
        <f>'10'!$N$21</f>
        <v>5</v>
      </c>
      <c r="AE16" s="439">
        <f>'10'!$N$19</f>
        <v>5.0500000000000007</v>
      </c>
    </row>
    <row r="17" spans="1:31" ht="18.75" customHeight="1">
      <c r="A17" s="433">
        <v>11</v>
      </c>
      <c r="B17" s="434">
        <f>'11'!$B$20</f>
        <v>250</v>
      </c>
      <c r="C17" s="435">
        <f>'11'!$B$21</f>
        <v>250</v>
      </c>
      <c r="D17" s="435">
        <f>'11'!$B$19</f>
        <v>250</v>
      </c>
      <c r="E17" s="426">
        <f>AVERAGE('11'!$C$20,'11'!$D$20)</f>
        <v>6.25</v>
      </c>
      <c r="F17" s="426">
        <f>AVERAGE('11'!$C$21,'11'!$D$21)</f>
        <v>5</v>
      </c>
      <c r="G17" s="426">
        <f>AVERAGE('11'!$C$19,'11'!$D$19)</f>
        <v>5.8333333333333339</v>
      </c>
      <c r="H17" s="426">
        <f>'11'!$E$20</f>
        <v>2.5</v>
      </c>
      <c r="I17" s="426">
        <f>'11'!$E$21</f>
        <v>2.5</v>
      </c>
      <c r="J17" s="436">
        <f>'11'!$E$19</f>
        <v>2.5</v>
      </c>
      <c r="K17" s="437">
        <f>'11'!$F$20</f>
        <v>77</v>
      </c>
      <c r="L17" s="426">
        <f>'11'!$F$21</f>
        <v>60</v>
      </c>
      <c r="M17" s="426">
        <f>'11'!$F$19</f>
        <v>63.916666666666664</v>
      </c>
      <c r="N17" s="426">
        <f>AVERAGE('11'!$G$20,'11'!$H$20)</f>
        <v>3.8499999999999996</v>
      </c>
      <c r="O17" s="426">
        <f>AVERAGE('11'!$G$21,'11'!$H$21)</f>
        <v>2.35</v>
      </c>
      <c r="P17" s="426">
        <f>AVERAGE('11'!$G$19,'11'!$H$19)</f>
        <v>2.8791666666666669</v>
      </c>
      <c r="Q17" s="438">
        <f>'11'!$I$20</f>
        <v>1.7</v>
      </c>
      <c r="R17" s="438">
        <f>'11'!$I$21</f>
        <v>0.94</v>
      </c>
      <c r="S17" s="438">
        <f>'11'!$I$19</f>
        <v>1.2466666666666664</v>
      </c>
      <c r="T17" s="438">
        <f>'11'!$J$20</f>
        <v>2</v>
      </c>
      <c r="U17" s="438">
        <f>'11'!$J$21</f>
        <v>0.94</v>
      </c>
      <c r="V17" s="439">
        <f>'11'!$J$19</f>
        <v>1.575833333333333</v>
      </c>
      <c r="W17" s="440">
        <f>'11'!$K$20</f>
        <v>7.3</v>
      </c>
      <c r="X17" s="438">
        <f>'11'!$K$21</f>
        <v>7.3</v>
      </c>
      <c r="Y17" s="438">
        <f>'11'!$K$19</f>
        <v>7.299999999999998</v>
      </c>
      <c r="Z17" s="430">
        <f>AVERAGE('11'!$L$20,'11'!$M$20)</f>
        <v>5.8</v>
      </c>
      <c r="AA17" s="430">
        <f>AVERAGE('11'!$L$21,'11'!$M$21)</f>
        <v>5.8</v>
      </c>
      <c r="AB17" s="430">
        <f>AVERAGE('11'!$L$19,'11'!$M$19)</f>
        <v>5.799999999999998</v>
      </c>
      <c r="AC17" s="438">
        <f>'11'!$N$20</f>
        <v>5.2</v>
      </c>
      <c r="AD17" s="438">
        <f>'11'!$N$21</f>
        <v>5.2</v>
      </c>
      <c r="AE17" s="439">
        <f>'11'!$N$19</f>
        <v>5.2000000000000011</v>
      </c>
    </row>
    <row r="18" spans="1:31" ht="18.75" customHeight="1">
      <c r="A18" s="433">
        <v>12</v>
      </c>
      <c r="B18" s="434">
        <f>'12'!$B$20</f>
        <v>250</v>
      </c>
      <c r="C18" s="435">
        <f>'12'!$B$21</f>
        <v>220</v>
      </c>
      <c r="D18" s="435">
        <f>'12'!$B$19</f>
        <v>235</v>
      </c>
      <c r="E18" s="426">
        <f>AVERAGE('12'!$C$20,'12'!$D$20)</f>
        <v>6.25</v>
      </c>
      <c r="F18" s="426">
        <f>AVERAGE('12'!$C$21,'12'!$D$21)</f>
        <v>5</v>
      </c>
      <c r="G18" s="426">
        <f>AVERAGE('12'!$C$19,'12'!$D$19)</f>
        <v>6.0416666666666661</v>
      </c>
      <c r="H18" s="426">
        <f>'12'!$E$20</f>
        <v>2.5</v>
      </c>
      <c r="I18" s="426">
        <f>'12'!$E$21</f>
        <v>2.5</v>
      </c>
      <c r="J18" s="436">
        <f>'12'!$E$19</f>
        <v>2.5</v>
      </c>
      <c r="K18" s="437">
        <f>'12'!$F$20</f>
        <v>59</v>
      </c>
      <c r="L18" s="426">
        <f>'12'!$F$21</f>
        <v>51</v>
      </c>
      <c r="M18" s="426">
        <f>'12'!$F$19</f>
        <v>54.25</v>
      </c>
      <c r="N18" s="426">
        <f>AVERAGE('12'!$G$20,'12'!$H$20)</f>
        <v>3.2</v>
      </c>
      <c r="O18" s="426">
        <f>AVERAGE('12'!$G$21,'12'!$H$21)</f>
        <v>1.8</v>
      </c>
      <c r="P18" s="426">
        <f>AVERAGE('12'!$G$19,'12'!$H$19)</f>
        <v>2.5750000000000002</v>
      </c>
      <c r="Q18" s="438">
        <f>'12'!$I$20</f>
        <v>1.19</v>
      </c>
      <c r="R18" s="438">
        <f>'12'!$I$21</f>
        <v>0.75</v>
      </c>
      <c r="S18" s="438">
        <f>'12'!$I$19</f>
        <v>0.97000000000000008</v>
      </c>
      <c r="T18" s="438">
        <f>'12'!$J$20</f>
        <v>2.0299999999999998</v>
      </c>
      <c r="U18" s="438">
        <f>'12'!$J$21</f>
        <v>0.88</v>
      </c>
      <c r="V18" s="441">
        <f>'12'!$J$19</f>
        <v>1.5475000000000001</v>
      </c>
      <c r="W18" s="442">
        <f>'12'!$K$20</f>
        <v>7.3</v>
      </c>
      <c r="X18" s="438">
        <f>'12'!$K$21</f>
        <v>7.3</v>
      </c>
      <c r="Y18" s="438">
        <f>'12'!$K$19</f>
        <v>7.299999999999998</v>
      </c>
      <c r="Z18" s="430">
        <f>AVERAGE('12'!$L$20,'12'!$M$20)</f>
        <v>5.8</v>
      </c>
      <c r="AA18" s="430">
        <f>AVERAGE('12'!$L$21,'12'!$M$21)</f>
        <v>5.7</v>
      </c>
      <c r="AB18" s="430">
        <f>AVERAGE('12'!$L$19,'12'!$M$19)</f>
        <v>5.720833333333335</v>
      </c>
      <c r="AC18" s="438">
        <f>'12'!$N$20</f>
        <v>5.5</v>
      </c>
      <c r="AD18" s="438">
        <f>'12'!$N$21</f>
        <v>5.2</v>
      </c>
      <c r="AE18" s="439">
        <f>'12'!$N$19</f>
        <v>5.3999999999999995</v>
      </c>
    </row>
    <row r="19" spans="1:31" ht="18.75" customHeight="1">
      <c r="A19" s="433">
        <v>13</v>
      </c>
      <c r="B19" s="434">
        <f>'13'!$B$20</f>
        <v>240</v>
      </c>
      <c r="C19" s="435">
        <f>'13'!$B$21</f>
        <v>220</v>
      </c>
      <c r="D19" s="435">
        <f>'13'!$B$19</f>
        <v>233.33333333333334</v>
      </c>
      <c r="E19" s="426">
        <f>AVERAGE('13'!$C$20,'13'!$D$20)</f>
        <v>7.5</v>
      </c>
      <c r="F19" s="426">
        <f>AVERAGE('13'!$C$21,'13'!$D$21)</f>
        <v>5</v>
      </c>
      <c r="G19" s="426">
        <f>AVERAGE('13'!$C$19,'13'!$D$19)</f>
        <v>6.1458333333333339</v>
      </c>
      <c r="H19" s="426">
        <f>'13'!$E$20</f>
        <v>2.5</v>
      </c>
      <c r="I19" s="426">
        <f>'13'!$E$21</f>
        <v>2.5</v>
      </c>
      <c r="J19" s="436">
        <f>'13'!$E$19</f>
        <v>2.5</v>
      </c>
      <c r="K19" s="437">
        <f>'13'!$F$20</f>
        <v>50</v>
      </c>
      <c r="L19" s="426">
        <f>'13'!$F$21</f>
        <v>44</v>
      </c>
      <c r="M19" s="426">
        <f>'13'!$F$19</f>
        <v>46.916666666666664</v>
      </c>
      <c r="N19" s="426">
        <f>AVERAGE('13'!$G$20,'13'!$H$20)</f>
        <v>1.9</v>
      </c>
      <c r="O19" s="426">
        <f>AVERAGE('13'!$G$21,'13'!$H$21)</f>
        <v>1.4</v>
      </c>
      <c r="P19" s="426">
        <f>AVERAGE('13'!$G$19,'13'!$H$19)</f>
        <v>1.6375</v>
      </c>
      <c r="Q19" s="438">
        <f>'13'!$I$20</f>
        <v>0.99</v>
      </c>
      <c r="R19" s="438">
        <f>'13'!$I$21</f>
        <v>0.38</v>
      </c>
      <c r="S19" s="438">
        <f>'13'!$I$18</f>
        <v>0.95</v>
      </c>
      <c r="T19" s="438">
        <f>'13'!$J$20</f>
        <v>1.1000000000000001</v>
      </c>
      <c r="U19" s="438">
        <f>'13'!$J$21</f>
        <v>0.68</v>
      </c>
      <c r="V19" s="439">
        <f>'13'!$J$18</f>
        <v>0.95</v>
      </c>
      <c r="W19" s="440">
        <f>'13'!$K$20</f>
        <v>7.3</v>
      </c>
      <c r="X19" s="438">
        <f>'13'!$K$21</f>
        <v>7.3</v>
      </c>
      <c r="Y19" s="438">
        <f>'13'!$K$19</f>
        <v>7.299999999999998</v>
      </c>
      <c r="Z19" s="430">
        <f>AVERAGE('13'!$L$20,'13'!$M$20)</f>
        <v>6</v>
      </c>
      <c r="AA19" s="430">
        <f>AVERAGE('13'!$L$21,'13'!$M$21)</f>
        <v>6</v>
      </c>
      <c r="AB19" s="430">
        <f>AVERAGE('13'!$L$19,'13'!$M$19)</f>
        <v>6</v>
      </c>
      <c r="AC19" s="438">
        <f>'13'!$N$20</f>
        <v>5.8</v>
      </c>
      <c r="AD19" s="438">
        <f>'13'!$N$21</f>
        <v>5.5</v>
      </c>
      <c r="AE19" s="439">
        <f>'13'!$N$19</f>
        <v>5.6999999999999993</v>
      </c>
    </row>
    <row r="20" spans="1:31" ht="18.75" customHeight="1">
      <c r="A20" s="433">
        <v>14</v>
      </c>
      <c r="B20" s="434">
        <f>'14'!$B$20</f>
        <v>240</v>
      </c>
      <c r="C20" s="435">
        <f>'14'!$B$21</f>
        <v>240</v>
      </c>
      <c r="D20" s="435">
        <f>'14'!$B$19</f>
        <v>240</v>
      </c>
      <c r="E20" s="426">
        <f>AVERAGE('14'!$C$20,'14'!$D$20)</f>
        <v>7.5</v>
      </c>
      <c r="F20" s="426">
        <f>AVERAGE('14'!$C$21,'14'!$D$21)</f>
        <v>5</v>
      </c>
      <c r="G20" s="426">
        <f>AVERAGE('14'!$C$19,'14'!$D$19)</f>
        <v>5.7575757575757578</v>
      </c>
      <c r="H20" s="443">
        <f>'14'!$E$20</f>
        <v>2.5</v>
      </c>
      <c r="I20" s="426">
        <f>'14'!$E$21</f>
        <v>2.5</v>
      </c>
      <c r="J20" s="436">
        <f>'14'!$E$19</f>
        <v>2.5</v>
      </c>
      <c r="K20" s="437">
        <f>'14'!$F$20</f>
        <v>44</v>
      </c>
      <c r="L20" s="426">
        <f>'14'!$F$21</f>
        <v>40</v>
      </c>
      <c r="M20" s="426">
        <f>'14'!$F$19</f>
        <v>41.916666666666664</v>
      </c>
      <c r="N20" s="426">
        <f>AVERAGE('14'!$G$20,'14'!$H$20)</f>
        <v>2.5999999999999996</v>
      </c>
      <c r="O20" s="426">
        <f>AVERAGE('14'!$G$21,'14'!$H$21)</f>
        <v>1.7000000000000002</v>
      </c>
      <c r="P20" s="426">
        <f>AVERAGE('14'!$G$19,'14'!$H$19)</f>
        <v>2.0708333333333333</v>
      </c>
      <c r="Q20" s="438">
        <f>'14'!$I$20</f>
        <v>1.4</v>
      </c>
      <c r="R20" s="438">
        <f>'14'!$I$21</f>
        <v>0.8</v>
      </c>
      <c r="S20" s="438">
        <f>'14'!$I$19</f>
        <v>0.97166666666666679</v>
      </c>
      <c r="T20" s="438">
        <f>'14'!$J$20</f>
        <v>1.7</v>
      </c>
      <c r="U20" s="438">
        <f>'14'!$J$21</f>
        <v>0.8</v>
      </c>
      <c r="V20" s="439">
        <f>'14'!$J$19</f>
        <v>1.0558333333333334</v>
      </c>
      <c r="W20" s="440">
        <f>'14'!$K$20</f>
        <v>7.3</v>
      </c>
      <c r="X20" s="438">
        <f>'14'!$K$21</f>
        <v>7.3</v>
      </c>
      <c r="Y20" s="438">
        <f>'14'!$K$19</f>
        <v>7.299999999999998</v>
      </c>
      <c r="Z20" s="430">
        <f>AVERAGE('14'!$L$20,'14'!$M$20)</f>
        <v>6</v>
      </c>
      <c r="AA20" s="430">
        <f>AVERAGE('14'!$L$21,'14'!$M$21)</f>
        <v>6</v>
      </c>
      <c r="AB20" s="430">
        <f>AVERAGE('14'!$L$19,'14'!$M$19)</f>
        <v>6</v>
      </c>
      <c r="AC20" s="438">
        <f>'14'!$N$20</f>
        <v>5.8</v>
      </c>
      <c r="AD20" s="438">
        <f>'14'!$N$21</f>
        <v>5.8</v>
      </c>
      <c r="AE20" s="439">
        <f>'14'!$N$19</f>
        <v>5.799999999999998</v>
      </c>
    </row>
    <row r="21" spans="1:31" ht="18.75" customHeight="1">
      <c r="A21" s="433">
        <v>15</v>
      </c>
      <c r="B21" s="434">
        <f>'15'!$B$20</f>
        <v>240</v>
      </c>
      <c r="C21" s="435">
        <f>'15'!$B$21</f>
        <v>240</v>
      </c>
      <c r="D21" s="435">
        <f>'15'!$B$19</f>
        <v>240</v>
      </c>
      <c r="E21" s="426">
        <f>AVERAGE('15'!$C$20,'15'!$D$20)</f>
        <v>7.5</v>
      </c>
      <c r="F21" s="426">
        <f>AVERAGE('15'!$C$21,'15'!$D$21)</f>
        <v>5</v>
      </c>
      <c r="G21" s="426">
        <f>AVERAGE('15'!$C$19,'15'!$D$19)</f>
        <v>5.7291666666666661</v>
      </c>
      <c r="H21" s="426">
        <f>'15'!$E$20</f>
        <v>2.5</v>
      </c>
      <c r="I21" s="426">
        <f>'15'!$E$21</f>
        <v>2.5</v>
      </c>
      <c r="J21" s="436">
        <f>'15'!$E$19</f>
        <v>2.5</v>
      </c>
      <c r="K21" s="437">
        <f>'15'!$F$20</f>
        <v>45</v>
      </c>
      <c r="L21" s="426">
        <f>'15'!$F$21</f>
        <v>38</v>
      </c>
      <c r="M21" s="426">
        <f>'15'!$F$19</f>
        <v>40.583333333333336</v>
      </c>
      <c r="N21" s="426">
        <f>AVERAGE('15'!$G$20,'15'!$H$20)</f>
        <v>3.65</v>
      </c>
      <c r="O21" s="426">
        <f>AVERAGE('15'!$G$21,'15'!$H$21)</f>
        <v>1.75</v>
      </c>
      <c r="P21" s="426">
        <f>AVERAGE('15'!$G$19,'15'!$H$19)</f>
        <v>2.5958333333333332</v>
      </c>
      <c r="Q21" s="438">
        <f>'15'!$I$20</f>
        <v>1.1000000000000001</v>
      </c>
      <c r="R21" s="438">
        <f>'15'!$I$21</f>
        <v>0.7</v>
      </c>
      <c r="S21" s="438">
        <f>'15'!$I$19</f>
        <v>0.82750000000000001</v>
      </c>
      <c r="T21" s="438">
        <f>'15'!$J$20</f>
        <v>1.3</v>
      </c>
      <c r="U21" s="438">
        <f>'15'!$J$21</f>
        <v>0.8</v>
      </c>
      <c r="V21" s="439">
        <f>'15'!$J$19</f>
        <v>0.98333333333333339</v>
      </c>
      <c r="W21" s="440">
        <f>'15'!$K$20</f>
        <v>7.3</v>
      </c>
      <c r="X21" s="438">
        <f>'15'!$K$21</f>
        <v>7.3</v>
      </c>
      <c r="Y21" s="438">
        <f>'15'!$K$19</f>
        <v>7.299999999999998</v>
      </c>
      <c r="Z21" s="430">
        <f>AVERAGE('15'!$L$20,'15'!$M$20)</f>
        <v>6</v>
      </c>
      <c r="AA21" s="430">
        <f>AVERAGE('15'!$L$21,'15'!$M$21)</f>
        <v>6</v>
      </c>
      <c r="AB21" s="430">
        <f>AVERAGE('15'!$L$19,'15'!$M$19)</f>
        <v>6</v>
      </c>
      <c r="AC21" s="438">
        <f>'15'!$N$20</f>
        <v>5.8</v>
      </c>
      <c r="AD21" s="438">
        <f>'15'!$N$21</f>
        <v>5.8</v>
      </c>
      <c r="AE21" s="439">
        <f>'15'!$N$19</f>
        <v>5.799999999999998</v>
      </c>
    </row>
    <row r="22" spans="1:31" ht="18.75" customHeight="1">
      <c r="A22" s="433">
        <v>16</v>
      </c>
      <c r="B22" s="434">
        <f>'16'!$B$20</f>
        <v>240</v>
      </c>
      <c r="C22" s="435">
        <f>'16'!$B$21</f>
        <v>200</v>
      </c>
      <c r="D22" s="435">
        <f>'16'!$B$19</f>
        <v>221.66666666666666</v>
      </c>
      <c r="E22" s="426">
        <f>AVERAGE('16'!$C$20,'16'!$D$20)</f>
        <v>7.5</v>
      </c>
      <c r="F22" s="426">
        <f>AVERAGE('16'!$C$21,'16'!$D$21)</f>
        <v>5</v>
      </c>
      <c r="G22" s="426">
        <f>AVERAGE('16'!$C$19,'16'!$D$19)</f>
        <v>6.875</v>
      </c>
      <c r="H22" s="443">
        <f>'16'!$E$20</f>
        <v>2.5</v>
      </c>
      <c r="I22" s="426">
        <f>'16'!$E$21</f>
        <v>2.5</v>
      </c>
      <c r="J22" s="436">
        <f>'16'!$E$19</f>
        <v>2.5</v>
      </c>
      <c r="K22" s="437">
        <f>'16'!$F$20</f>
        <v>55</v>
      </c>
      <c r="L22" s="426">
        <f>'16'!$F$21</f>
        <v>36</v>
      </c>
      <c r="M22" s="426">
        <f>'16'!$D$18</f>
        <v>5</v>
      </c>
      <c r="N22" s="426">
        <f>AVERAGE('16'!$G$20,'16'!$H$20)</f>
        <v>3.75</v>
      </c>
      <c r="O22" s="426">
        <f>AVERAGE('16'!$G$21,'16'!$H$21)</f>
        <v>1.2999999999999998</v>
      </c>
      <c r="P22" s="426">
        <f>AVERAGE('16'!$G$19,'16'!$H$19)</f>
        <v>2.4874999999999998</v>
      </c>
      <c r="Q22" s="438">
        <f>'16'!$I$20</f>
        <v>0.96</v>
      </c>
      <c r="R22" s="438">
        <f>'16'!$I$21</f>
        <v>0.6</v>
      </c>
      <c r="S22" s="438">
        <f>'16'!$I$19</f>
        <v>0.83166666666666655</v>
      </c>
      <c r="T22" s="438">
        <f>'16'!$J$20</f>
        <v>1.04</v>
      </c>
      <c r="U22" s="438">
        <f>'16'!$J$21</f>
        <v>0.57999999999999996</v>
      </c>
      <c r="V22" s="439">
        <f>'16'!$H$19</f>
        <v>3.5249999999999999</v>
      </c>
      <c r="W22" s="440">
        <f>'16'!$K$20</f>
        <v>7.3</v>
      </c>
      <c r="X22" s="438">
        <f>'16'!$K$21</f>
        <v>7.3</v>
      </c>
      <c r="Y22" s="438">
        <f>'16'!$K$19</f>
        <v>7.299999999999998</v>
      </c>
      <c r="Z22" s="430">
        <f>AVERAGE('16'!$L$20,'16'!$M$20)</f>
        <v>6</v>
      </c>
      <c r="AA22" s="430">
        <f>AVERAGE('16'!$L$21,'16'!$M$21)</f>
        <v>6</v>
      </c>
      <c r="AB22" s="430">
        <f>AVERAGE('16'!$L$19,'16'!$M$19)</f>
        <v>6</v>
      </c>
      <c r="AC22" s="438">
        <f>'16'!$N$20</f>
        <v>5.8</v>
      </c>
      <c r="AD22" s="438">
        <f>'16'!$N$21</f>
        <v>5.8</v>
      </c>
      <c r="AE22" s="439">
        <f>'16'!$L$18</f>
        <v>6</v>
      </c>
    </row>
    <row r="23" spans="1:31" ht="18.75" customHeight="1">
      <c r="A23" s="433">
        <v>17</v>
      </c>
      <c r="B23" s="434">
        <f>'17'!$B$20</f>
        <v>135</v>
      </c>
      <c r="C23" s="435">
        <f>'17'!$B$21</f>
        <v>103</v>
      </c>
      <c r="D23" s="435">
        <f>'17'!$B$19</f>
        <v>125.66666666666667</v>
      </c>
      <c r="E23" s="426">
        <f>AVERAGE('17'!$C$20,'17'!$D$20)</f>
        <v>11.5</v>
      </c>
      <c r="F23" s="426">
        <f>AVERAGE('17'!$C$21,'17'!$D$21)</f>
        <v>5.8000000000000007</v>
      </c>
      <c r="G23" s="426">
        <f>AVERAGE('17'!$C$19,'17'!$D$19)</f>
        <v>8.3916666666666657</v>
      </c>
      <c r="H23" s="426">
        <f>'17'!$E$20</f>
        <v>7.5</v>
      </c>
      <c r="I23" s="426">
        <f>'17'!$E$21</f>
        <v>5</v>
      </c>
      <c r="J23" s="436">
        <f>'17'!$E$19</f>
        <v>5.9249999999999998</v>
      </c>
      <c r="K23" s="437">
        <f>'17'!$F$20</f>
        <v>36</v>
      </c>
      <c r="L23" s="426">
        <f>'17'!$F$21</f>
        <v>2.8</v>
      </c>
      <c r="M23" s="426">
        <f>'17'!$F$19</f>
        <v>29.05</v>
      </c>
      <c r="N23" s="426">
        <f>AVERAGE('17'!$G$20,'17'!$H$20)</f>
        <v>1.75</v>
      </c>
      <c r="O23" s="426">
        <f>AVERAGE('17'!$G$21,'17'!$H$21)</f>
        <v>1.4</v>
      </c>
      <c r="P23" s="426">
        <f>AVERAGE('17'!$G$19,'17'!$H$19)</f>
        <v>1.5693181818181818</v>
      </c>
      <c r="Q23" s="438">
        <f>'17'!$I$20</f>
        <v>0.61</v>
      </c>
      <c r="R23" s="438">
        <f>'17'!$I$21</f>
        <v>0.49</v>
      </c>
      <c r="S23" s="438">
        <f>'17'!$I$19</f>
        <v>0.56083333333333329</v>
      </c>
      <c r="T23" s="438">
        <f>'17'!$J$20</f>
        <v>0.67</v>
      </c>
      <c r="U23" s="438">
        <f>'17'!$J$21</f>
        <v>0.53</v>
      </c>
      <c r="V23" s="439">
        <f>'17'!$J$19</f>
        <v>0.59416666666666662</v>
      </c>
      <c r="W23" s="440">
        <f>'17'!$K$20</f>
        <v>7.3</v>
      </c>
      <c r="X23" s="438">
        <f>'17'!$K$21</f>
        <v>7.3</v>
      </c>
      <c r="Y23" s="438">
        <f>'17'!$K$19</f>
        <v>7.299999999999998</v>
      </c>
      <c r="Z23" s="430">
        <f>AVERAGE('17'!$L$20,'17'!$M$20)</f>
        <v>6.3</v>
      </c>
      <c r="AA23" s="430">
        <f>AVERAGE('17'!$L$21,'17'!$M$21)</f>
        <v>6</v>
      </c>
      <c r="AB23" s="430">
        <f>AVERAGE('17'!$L$19,'17'!$M$19)</f>
        <v>6.1999999999999993</v>
      </c>
      <c r="AC23" s="438">
        <f>'17'!$N$20</f>
        <v>6</v>
      </c>
      <c r="AD23" s="438">
        <f>'17'!$N$21</f>
        <v>5.8</v>
      </c>
      <c r="AE23" s="439">
        <f>'17'!$N$19</f>
        <v>5.9333333333333336</v>
      </c>
    </row>
    <row r="24" spans="1:31" ht="18.75" customHeight="1">
      <c r="A24" s="433">
        <v>18</v>
      </c>
      <c r="B24" s="434">
        <f>'18'!$B$20</f>
        <v>136</v>
      </c>
      <c r="C24" s="435">
        <f>'18'!$B$21</f>
        <v>127</v>
      </c>
      <c r="D24" s="435">
        <f>'18'!$B$19</f>
        <v>131.08333333333334</v>
      </c>
      <c r="E24" s="426">
        <f>AVERAGE('18'!$C$20,'18'!$D$20)</f>
        <v>12</v>
      </c>
      <c r="F24" s="426">
        <f>AVERAGE('18'!$C$21,'18'!$D$21)</f>
        <v>5.4</v>
      </c>
      <c r="G24" s="426">
        <f>AVERAGE('18'!$C$19,'18'!$D$19)</f>
        <v>8</v>
      </c>
      <c r="H24" s="426">
        <f>'18'!$E$20</f>
        <v>11</v>
      </c>
      <c r="I24" s="426">
        <f>'18'!$E$21</f>
        <v>5.9</v>
      </c>
      <c r="J24" s="436">
        <f>'18'!$E$19</f>
        <v>7.5583333333333336</v>
      </c>
      <c r="K24" s="437">
        <f>'18'!$F$20</f>
        <v>39</v>
      </c>
      <c r="L24" s="426">
        <f>'18'!$F$21</f>
        <v>34</v>
      </c>
      <c r="M24" s="426">
        <f>'18'!$F$19</f>
        <v>37.083333333333336</v>
      </c>
      <c r="N24" s="426">
        <f>AVERAGE('18'!$G$20,'18'!$H$20)</f>
        <v>2.35</v>
      </c>
      <c r="O24" s="426">
        <f>AVERAGE('18'!$G$21,'18'!$H$21)</f>
        <v>1.45</v>
      </c>
      <c r="P24" s="426">
        <f>AVERAGE('18'!$G$19,'18'!$H$19)</f>
        <v>1.8833333333333333</v>
      </c>
      <c r="Q24" s="438">
        <f>'18'!$I$20</f>
        <v>1.3</v>
      </c>
      <c r="R24" s="438">
        <f>'18'!$I$21</f>
        <v>0.57999999999999996</v>
      </c>
      <c r="S24" s="438">
        <f>'18'!$I$19</f>
        <v>0.86750000000000005</v>
      </c>
      <c r="T24" s="438">
        <f>'18'!$J$20</f>
        <v>1.6</v>
      </c>
      <c r="U24" s="438">
        <f>'18'!$J$21</f>
        <v>0.67</v>
      </c>
      <c r="V24" s="439">
        <f>'18'!$J$19</f>
        <v>1.1891666666666667</v>
      </c>
      <c r="W24" s="440">
        <f>'18'!$K$20</f>
        <v>7.3</v>
      </c>
      <c r="X24" s="438">
        <f>'18'!$K$21</f>
        <v>7.3</v>
      </c>
      <c r="Y24" s="438">
        <f>'18'!$K$19</f>
        <v>7.299999999999998</v>
      </c>
      <c r="Z24" s="430">
        <f>AVERAGE('18'!$L$20,'18'!$M$20)</f>
        <v>6.3</v>
      </c>
      <c r="AA24" s="430">
        <f>AVERAGE('18'!$L$21,'18'!$M$21)</f>
        <v>6.3</v>
      </c>
      <c r="AB24" s="430">
        <f>AVERAGE('18'!$L$19,'18'!$M$19)</f>
        <v>6.299999999999998</v>
      </c>
      <c r="AC24" s="438">
        <f>'18'!$N$20</f>
        <v>6</v>
      </c>
      <c r="AD24" s="438">
        <f>'18'!$N$21</f>
        <v>6</v>
      </c>
      <c r="AE24" s="439">
        <f>'18'!$N$19</f>
        <v>6</v>
      </c>
    </row>
    <row r="25" spans="1:31" ht="18.75" customHeight="1">
      <c r="A25" s="433">
        <v>19</v>
      </c>
      <c r="B25" s="434">
        <f>'19'!$B$20</f>
        <v>145</v>
      </c>
      <c r="C25" s="435">
        <f>'19'!$B$21</f>
        <v>128</v>
      </c>
      <c r="D25" s="435">
        <f>'19'!$B$19</f>
        <v>134.41666666666666</v>
      </c>
      <c r="E25" s="426">
        <f>AVERAGE('19'!$C$20,'19'!$D$20)</f>
        <v>20.149999999999999</v>
      </c>
      <c r="F25" s="426">
        <f>AVERAGE('19'!$C$21,'19'!$D$21)</f>
        <v>9.75</v>
      </c>
      <c r="G25" s="426">
        <f>AVERAGE('19'!$C$19,'19'!$D$19)</f>
        <v>14.237500000000001</v>
      </c>
      <c r="H25" s="426">
        <f>'19'!$E$20</f>
        <v>7.3</v>
      </c>
      <c r="I25" s="426">
        <f>'19'!$E$21</f>
        <v>1.7</v>
      </c>
      <c r="J25" s="436">
        <f>'19'!$E$19</f>
        <v>3.8083333333333322</v>
      </c>
      <c r="K25" s="437">
        <f>'19'!$F$20</f>
        <v>42</v>
      </c>
      <c r="L25" s="426">
        <f>'19'!$F$21</f>
        <v>37</v>
      </c>
      <c r="M25" s="426">
        <f>'19'!$F$19</f>
        <v>39</v>
      </c>
      <c r="N25" s="426">
        <f>AVERAGE('19'!$G$20,'19'!$H$20)</f>
        <v>3.5</v>
      </c>
      <c r="O25" s="426">
        <f>AVERAGE('19'!$G$21,'19'!$H$21)</f>
        <v>1.7999999999999998</v>
      </c>
      <c r="P25" s="426">
        <f>AVERAGE('19'!$G$19,'19'!$H$19)</f>
        <v>2.4500000000000002</v>
      </c>
      <c r="Q25" s="438">
        <f>'19'!$I$20</f>
        <v>1.3</v>
      </c>
      <c r="R25" s="438">
        <f>'19'!$I$21</f>
        <v>0.9</v>
      </c>
      <c r="S25" s="438">
        <f>'19'!$I$19</f>
        <v>1.0333333333333334</v>
      </c>
      <c r="T25" s="438">
        <f>'19'!$J$20</f>
        <v>1.4</v>
      </c>
      <c r="U25" s="438">
        <f>'19'!$J$21</f>
        <v>1.2</v>
      </c>
      <c r="V25" s="439">
        <f>'19'!$J$19</f>
        <v>1.2916666666666667</v>
      </c>
      <c r="W25" s="440">
        <f>'19'!$K$20</f>
        <v>7.3</v>
      </c>
      <c r="X25" s="438">
        <f>'19'!$K$21</f>
        <v>7.3</v>
      </c>
      <c r="Y25" s="438">
        <f>'19'!$K$19</f>
        <v>7.299999999999998</v>
      </c>
      <c r="Z25" s="430">
        <f>AVERAGE('19'!$L$20,'19'!$M$20)</f>
        <v>6.3</v>
      </c>
      <c r="AA25" s="430">
        <f>AVERAGE('19'!$L$21,'19'!$M$21)</f>
        <v>6.3</v>
      </c>
      <c r="AB25" s="430">
        <f>AVERAGE('19'!$L$19,'19'!$M$19)</f>
        <v>6.299999999999998</v>
      </c>
      <c r="AC25" s="438">
        <f>'19'!$N$20</f>
        <v>6</v>
      </c>
      <c r="AD25" s="438">
        <f>'19'!$N$21</f>
        <v>6</v>
      </c>
      <c r="AE25" s="439">
        <f>'19'!$N$19</f>
        <v>6</v>
      </c>
    </row>
    <row r="26" spans="1:31" ht="18.75" customHeight="1">
      <c r="A26" s="433">
        <v>20</v>
      </c>
      <c r="B26" s="434">
        <f>'20'!$B$20</f>
        <v>140</v>
      </c>
      <c r="C26" s="435">
        <f>'20'!$B$21</f>
        <v>120</v>
      </c>
      <c r="D26" s="435">
        <f>'20'!$B$19</f>
        <v>130.66666666666666</v>
      </c>
      <c r="E26" s="426">
        <f>AVERAGE('20'!$C$20,'20'!$D$20)</f>
        <v>15.5</v>
      </c>
      <c r="F26" s="426">
        <f>AVERAGE('20'!$C$21,'20'!$D$21)</f>
        <v>13.5</v>
      </c>
      <c r="G26" s="426">
        <f>AVERAGE('20'!$C$19,'20'!$D$19)</f>
        <v>14.4</v>
      </c>
      <c r="H26" s="426">
        <f>'20'!$E$20</f>
        <v>6</v>
      </c>
      <c r="I26" s="426">
        <f>'20'!$E$21</f>
        <v>4.9000000000000004</v>
      </c>
      <c r="J26" s="436">
        <f>'20'!$E$19</f>
        <v>5.3999999999999995</v>
      </c>
      <c r="K26" s="437">
        <f>'20'!$F$20</f>
        <v>38</v>
      </c>
      <c r="L26" s="426">
        <f>'20'!$F$21</f>
        <v>32</v>
      </c>
      <c r="M26" s="426">
        <f>'20'!$F$19</f>
        <v>33.833333333333336</v>
      </c>
      <c r="N26" s="426">
        <f>AVERAGE('20'!$G$20,'20'!$H$20)</f>
        <v>2.15</v>
      </c>
      <c r="O26" s="426">
        <f>AVERAGE('20'!$G$21,'20'!$H$21)</f>
        <v>1.8</v>
      </c>
      <c r="P26" s="426">
        <f>AVERAGE('20'!$G$19,'20'!$H$19)</f>
        <v>1.9333333333333333</v>
      </c>
      <c r="Q26" s="438">
        <f>'20'!$I$20</f>
        <v>1</v>
      </c>
      <c r="R26" s="438">
        <f>'20'!$I$21</f>
        <v>0.7</v>
      </c>
      <c r="S26" s="438">
        <f>'20'!$I$19</f>
        <v>0.80833333333333313</v>
      </c>
      <c r="T26" s="438">
        <f>'20'!$J$20</f>
        <v>1.1000000000000001</v>
      </c>
      <c r="U26" s="438">
        <f>'20'!$J$21</f>
        <v>0.7</v>
      </c>
      <c r="V26" s="439">
        <f>'20'!$J$19</f>
        <v>0.86666666666666681</v>
      </c>
      <c r="W26" s="440">
        <f>'20'!$K$20</f>
        <v>7.3</v>
      </c>
      <c r="X26" s="438">
        <f>'20'!$K$21</f>
        <v>7.3</v>
      </c>
      <c r="Y26" s="438">
        <f>'20'!$K$19</f>
        <v>7.299999999999998</v>
      </c>
      <c r="Z26" s="430">
        <f>AVERAGE('20'!$L$20,'20'!$M$20)</f>
        <v>6.3</v>
      </c>
      <c r="AA26" s="430">
        <f>AVERAGE('20'!$L$21,'20'!$M$21)</f>
        <v>6.3</v>
      </c>
      <c r="AB26" s="430">
        <f>AVERAGE('20'!$L$19,'20'!$M$19)</f>
        <v>6.299999999999998</v>
      </c>
      <c r="AC26" s="438">
        <f>'20'!$N$20</f>
        <v>6</v>
      </c>
      <c r="AD26" s="438">
        <f>'20'!$N$21</f>
        <v>6</v>
      </c>
      <c r="AE26" s="439">
        <f>'20'!$N$19</f>
        <v>6</v>
      </c>
    </row>
    <row r="27" spans="1:31" ht="18.75" customHeight="1">
      <c r="A27" s="433">
        <v>21</v>
      </c>
      <c r="B27" s="434">
        <f>'21'!$B$20</f>
        <v>141</v>
      </c>
      <c r="C27" s="435">
        <f>'21'!$B$21</f>
        <v>116</v>
      </c>
      <c r="D27" s="435">
        <f>'21'!$B$19</f>
        <v>129.08333333333334</v>
      </c>
      <c r="E27" s="426">
        <f>AVERAGE('21'!$C$20,'21'!$D$20)</f>
        <v>15</v>
      </c>
      <c r="F27" s="426">
        <f>AVERAGE('21'!$C$21,'21'!$D$21)</f>
        <v>11</v>
      </c>
      <c r="G27" s="426">
        <f>AVERAGE('21'!$C$19,'21'!$D$19)</f>
        <v>12.583333333333334</v>
      </c>
      <c r="H27" s="426">
        <f>'21'!$E$20</f>
        <v>8</v>
      </c>
      <c r="I27" s="426">
        <f>'21'!$E$21</f>
        <v>3</v>
      </c>
      <c r="J27" s="436">
        <f>'21'!$E$19</f>
        <v>5.333333333333333</v>
      </c>
      <c r="K27" s="437">
        <f>'21'!$F$20</f>
        <v>38</v>
      </c>
      <c r="L27" s="426">
        <f>'21'!$F$21</f>
        <v>29</v>
      </c>
      <c r="M27" s="426">
        <f>'21'!$F$19</f>
        <v>34.333333333333336</v>
      </c>
      <c r="N27" s="426">
        <f>AVERAGE('21'!$G$20,'21'!$H$20)</f>
        <v>2.4</v>
      </c>
      <c r="O27" s="426">
        <f>AVERAGE('21'!$G$21,'21'!$H$21)</f>
        <v>1.65</v>
      </c>
      <c r="P27" s="426">
        <f>AVERAGE('21'!$G$19,'21'!$H$19)</f>
        <v>2.0083333333333337</v>
      </c>
      <c r="Q27" s="438">
        <f>'21'!$I$20</f>
        <v>0.8</v>
      </c>
      <c r="R27" s="438">
        <f>'21'!$I$21</f>
        <v>0.4</v>
      </c>
      <c r="S27" s="438">
        <f>'21'!$I$19</f>
        <v>0.63333333333333341</v>
      </c>
      <c r="T27" s="438">
        <f>'21'!$J$20</f>
        <v>1</v>
      </c>
      <c r="U27" s="438">
        <f>'21'!$J$21</f>
        <v>0.6</v>
      </c>
      <c r="V27" s="439">
        <f>'21'!$J$19</f>
        <v>0.74166666666666659</v>
      </c>
      <c r="W27" s="440">
        <f>'21'!$K$20</f>
        <v>7.3</v>
      </c>
      <c r="X27" s="438">
        <f>'21'!$K$21</f>
        <v>7.3</v>
      </c>
      <c r="Y27" s="438">
        <f>'21'!$K$19</f>
        <v>7.299999999999998</v>
      </c>
      <c r="Z27" s="430">
        <f>AVERAGE('21'!$L$20,'21'!$M$20)</f>
        <v>6.5</v>
      </c>
      <c r="AA27" s="430">
        <f>AVERAGE('21'!$L$21,'21'!$M$21)</f>
        <v>6.3</v>
      </c>
      <c r="AB27" s="430">
        <f>AVERAGE('21'!$L$19,'21'!$M$19)</f>
        <v>6.4333333333333336</v>
      </c>
      <c r="AC27" s="438">
        <f>'21'!$N$20</f>
        <v>6.3</v>
      </c>
      <c r="AD27" s="438">
        <f>'21'!$N$21</f>
        <v>6</v>
      </c>
      <c r="AE27" s="439">
        <f>'21'!$N$19</f>
        <v>6.1999999999999993</v>
      </c>
    </row>
    <row r="28" spans="1:31" ht="18.75" customHeight="1">
      <c r="A28" s="433">
        <v>22</v>
      </c>
      <c r="B28" s="434">
        <f>'22'!$B$20</f>
        <v>129</v>
      </c>
      <c r="C28" s="435">
        <f>'22'!$B$21</f>
        <v>116</v>
      </c>
      <c r="D28" s="435">
        <f>'22'!$B$19</f>
        <v>124.91666666666667</v>
      </c>
      <c r="E28" s="426">
        <f>AVERAGE('22'!$C$20,'22'!$D$20)</f>
        <v>18.5</v>
      </c>
      <c r="F28" s="426">
        <f>AVERAGE('22'!$C$21,'22'!$D$21)</f>
        <v>11.5</v>
      </c>
      <c r="G28" s="426">
        <f>AVERAGE('22'!$C$19,'22'!$D$19)</f>
        <v>14.925000000000001</v>
      </c>
      <c r="H28" s="426">
        <f>'22'!$E$20</f>
        <v>8</v>
      </c>
      <c r="I28" s="426">
        <f>'22'!$E$21</f>
        <v>1.3</v>
      </c>
      <c r="J28" s="436">
        <f>'22'!$E$19</f>
        <v>5.0750000000000002</v>
      </c>
      <c r="K28" s="437">
        <f>'22'!$F$20</f>
        <v>37</v>
      </c>
      <c r="L28" s="426">
        <f>'22'!$F$21</f>
        <v>30</v>
      </c>
      <c r="M28" s="426">
        <f>'22'!$F$19</f>
        <v>33.333333333333336</v>
      </c>
      <c r="N28" s="426">
        <f>AVERAGE('22'!$G$20,'22'!$H$20)</f>
        <v>2.95</v>
      </c>
      <c r="O28" s="426">
        <f>AVERAGE('22'!$G$21,'22'!$H$21)</f>
        <v>1.65</v>
      </c>
      <c r="P28" s="426">
        <f>AVERAGE('22'!$G$19,'22'!$H$19)</f>
        <v>2.25</v>
      </c>
      <c r="Q28" s="438">
        <f>'22'!$I$20</f>
        <v>0.9</v>
      </c>
      <c r="R28" s="438">
        <f>'22'!$I$21</f>
        <v>0.7</v>
      </c>
      <c r="S28" s="438">
        <f>'22'!$I$19</f>
        <v>0.77500000000000002</v>
      </c>
      <c r="T28" s="438">
        <f>'22'!$J$20</f>
        <v>1.2</v>
      </c>
      <c r="U28" s="438">
        <f>'22'!$J$21</f>
        <v>1</v>
      </c>
      <c r="V28" s="439">
        <f>'22'!$J$19</f>
        <v>1.075</v>
      </c>
      <c r="W28" s="440">
        <f>'22'!$K$20</f>
        <v>7.3</v>
      </c>
      <c r="X28" s="438">
        <f>'22'!$K$21</f>
        <v>7.3</v>
      </c>
      <c r="Y28" s="438">
        <f>'22'!$K$19</f>
        <v>7.299999999999998</v>
      </c>
      <c r="Z28" s="430">
        <f>AVERAGE('22'!$L$20,'22'!$M$20)</f>
        <v>6.5</v>
      </c>
      <c r="AA28" s="430">
        <f>AVERAGE('22'!$L$21,'22'!$M$21)</f>
        <v>6.5</v>
      </c>
      <c r="AB28" s="430">
        <f>AVERAGE('22'!$L$19,'22'!$M$19)</f>
        <v>6.5</v>
      </c>
      <c r="AC28" s="438">
        <f>'22'!$N$20</f>
        <v>6.3</v>
      </c>
      <c r="AD28" s="438">
        <f>'22'!$N$21</f>
        <v>6.3</v>
      </c>
      <c r="AE28" s="439">
        <f>'22'!$N$19</f>
        <v>6.299999999999998</v>
      </c>
    </row>
    <row r="29" spans="1:31" ht="18.75" customHeight="1">
      <c r="A29" s="433">
        <v>23</v>
      </c>
      <c r="B29" s="434">
        <f>'23'!$B$20</f>
        <v>149</v>
      </c>
      <c r="C29" s="435">
        <f>'23'!$B$21</f>
        <v>129</v>
      </c>
      <c r="D29" s="435">
        <f>'23'!$B$19</f>
        <v>138.25</v>
      </c>
      <c r="E29" s="426">
        <f>AVERAGE('23'!$C$20,'23'!$D$20)</f>
        <v>16.5</v>
      </c>
      <c r="F29" s="426">
        <f>AVERAGE('23'!$C$21,'23'!$D$21)</f>
        <v>11</v>
      </c>
      <c r="G29" s="426">
        <f>AVERAGE('23'!$C$19,'23'!$D$19)</f>
        <v>12.958333333333332</v>
      </c>
      <c r="H29" s="426">
        <f>'23'!$E$20</f>
        <v>7.5</v>
      </c>
      <c r="I29" s="426">
        <f>'23'!$E$21</f>
        <v>4.8</v>
      </c>
      <c r="J29" s="436">
        <f>'23'!$E$19</f>
        <v>6.0166666666666666</v>
      </c>
      <c r="K29" s="437">
        <f>'23'!$F$20</f>
        <v>42</v>
      </c>
      <c r="L29" s="426">
        <f>'23'!$F$21</f>
        <v>36</v>
      </c>
      <c r="M29" s="426">
        <f>'23'!$F$19</f>
        <v>38.416666666666664</v>
      </c>
      <c r="N29" s="426">
        <f>AVERAGE('23'!$G$20,'23'!$H$20)</f>
        <v>1.25</v>
      </c>
      <c r="O29" s="426">
        <f>AVERAGE('23'!$G$21,'23'!$H$21)</f>
        <v>1.25</v>
      </c>
      <c r="P29" s="426">
        <f>AVERAGE('23'!$G$19,'23'!$H$19)</f>
        <v>1.6875</v>
      </c>
      <c r="Q29" s="438">
        <f>'23'!$I$20</f>
        <v>1.1000000000000001</v>
      </c>
      <c r="R29" s="438">
        <f>'23'!$I$21</f>
        <v>0.7</v>
      </c>
      <c r="S29" s="438">
        <f>'23'!$I$19</f>
        <v>0.84166666666666679</v>
      </c>
      <c r="T29" s="438">
        <f>'23'!$J$20</f>
        <v>1.4</v>
      </c>
      <c r="U29" s="438">
        <f>'23'!$J$21</f>
        <v>0.9</v>
      </c>
      <c r="V29" s="439">
        <f>'23'!$J$19</f>
        <v>1.075</v>
      </c>
      <c r="W29" s="440">
        <f>'23'!$K$20</f>
        <v>7.3</v>
      </c>
      <c r="X29" s="438">
        <f>'23'!$K$21</f>
        <v>7.3</v>
      </c>
      <c r="Y29" s="438">
        <f>'23'!$K$19</f>
        <v>7.299999999999998</v>
      </c>
      <c r="Z29" s="430">
        <f>AVERAGE('23'!$L$20,'23'!$M$20)</f>
        <v>6.5</v>
      </c>
      <c r="AA29" s="430">
        <f>AVERAGE('23'!$L$21,'23'!$M$21)</f>
        <v>6.3</v>
      </c>
      <c r="AB29" s="430">
        <f>AVERAGE('23'!$L$19,'23'!$M$19)</f>
        <v>6.3666666666666645</v>
      </c>
      <c r="AC29" s="438">
        <f>'23'!$N$20</f>
        <v>6.3</v>
      </c>
      <c r="AD29" s="438">
        <f>'23'!$N$21</f>
        <v>6</v>
      </c>
      <c r="AE29" s="439">
        <f>'23'!$N$19</f>
        <v>6.1000000000000005</v>
      </c>
    </row>
    <row r="30" spans="1:31" ht="18.75" customHeight="1">
      <c r="A30" s="433">
        <v>24</v>
      </c>
      <c r="B30" s="434">
        <f>'24'!$B$20</f>
        <v>150</v>
      </c>
      <c r="C30" s="435">
        <f>'24'!$B$21</f>
        <v>130</v>
      </c>
      <c r="D30" s="435">
        <f>'24'!$B$19</f>
        <v>140.08333333333334</v>
      </c>
      <c r="E30" s="426">
        <f>AVERAGE('24'!$C$20,'24'!$D$20)</f>
        <v>13</v>
      </c>
      <c r="F30" s="426">
        <f>AVERAGE('24'!$C$21,'24'!$D$21)</f>
        <v>8</v>
      </c>
      <c r="G30" s="426">
        <f>AVERAGE('24'!$C$19,'24'!$D$19)</f>
        <v>11.125</v>
      </c>
      <c r="H30" s="426">
        <f>'24'!$E$20</f>
        <v>5</v>
      </c>
      <c r="I30" s="426">
        <f>'24'!$E$21</f>
        <v>4.2</v>
      </c>
      <c r="J30" s="436">
        <f>'24'!$E$19</f>
        <v>4.8</v>
      </c>
      <c r="K30" s="437">
        <f>'24'!$F$20</f>
        <v>43</v>
      </c>
      <c r="L30" s="426">
        <f>'24'!$F$21</f>
        <v>33</v>
      </c>
      <c r="M30" s="426">
        <f>'24'!$F$19</f>
        <v>38</v>
      </c>
      <c r="N30" s="426">
        <f>AVERAGE('24'!$G$20,'24'!$H$20)</f>
        <v>1.5</v>
      </c>
      <c r="O30" s="426">
        <f>AVERAGE('24'!$G$21,'24'!$H$21)</f>
        <v>1.25</v>
      </c>
      <c r="P30" s="426">
        <f>AVERAGE('24'!$G$19,'24'!$H$19)</f>
        <v>1.4041666666666668</v>
      </c>
      <c r="Q30" s="438">
        <f>'24'!$I$20</f>
        <v>0.8</v>
      </c>
      <c r="R30" s="438">
        <f>'24'!$I$21</f>
        <v>0.6</v>
      </c>
      <c r="S30" s="438">
        <f>'24'!$I$19</f>
        <v>0.69166666666666676</v>
      </c>
      <c r="T30" s="438">
        <f>'24'!$J$20</f>
        <v>1</v>
      </c>
      <c r="U30" s="438">
        <f>'24'!$J$21</f>
        <v>0.7</v>
      </c>
      <c r="V30" s="439">
        <f>'24'!$J$19</f>
        <v>0.81666666666666643</v>
      </c>
      <c r="W30" s="440">
        <f>'24'!$K$20</f>
        <v>7.3</v>
      </c>
      <c r="X30" s="438">
        <f>'24'!$K$21</f>
        <v>7.3</v>
      </c>
      <c r="Y30" s="438">
        <f>'24'!$K$19</f>
        <v>7.299999999999998</v>
      </c>
      <c r="Z30" s="430">
        <f>AVERAGE('24'!$L$20,'24'!$M$20)</f>
        <v>6.3</v>
      </c>
      <c r="AA30" s="430">
        <f>AVERAGE('24'!$L$21,'24'!$M$21)</f>
        <v>6.3</v>
      </c>
      <c r="AB30" s="430">
        <f>AVERAGE('24'!$L$19,'24'!$M$19)</f>
        <v>6.299999999999998</v>
      </c>
      <c r="AC30" s="438">
        <f>'24'!$N$20</f>
        <v>6</v>
      </c>
      <c r="AD30" s="438">
        <f>'24'!$N$21</f>
        <v>6</v>
      </c>
      <c r="AE30" s="439">
        <f>'24'!$N$19</f>
        <v>6</v>
      </c>
    </row>
    <row r="31" spans="1:31" ht="18.75" customHeight="1">
      <c r="A31" s="433">
        <v>25</v>
      </c>
      <c r="B31" s="434">
        <f>'25'!$B$20</f>
        <v>1580</v>
      </c>
      <c r="C31" s="435">
        <f>'25'!$B$21</f>
        <v>152</v>
      </c>
      <c r="D31" s="435">
        <f>'25'!$B$19</f>
        <v>288.58333333333331</v>
      </c>
      <c r="E31" s="426">
        <f>AVERAGE('25'!$C$20,'25'!$D$20)</f>
        <v>15</v>
      </c>
      <c r="F31" s="426">
        <f>AVERAGE('25'!$C$21,'25'!$D$21)</f>
        <v>9</v>
      </c>
      <c r="G31" s="426">
        <f>AVERAGE('25'!$C$19,'25'!$D$19)</f>
        <v>10.875</v>
      </c>
      <c r="H31" s="426">
        <f>'25'!$E$20</f>
        <v>7.5</v>
      </c>
      <c r="I31" s="426">
        <f>'25'!$E$21</f>
        <v>4</v>
      </c>
      <c r="J31" s="436">
        <f>'25'!$E$19</f>
        <v>5.916666666666667</v>
      </c>
      <c r="K31" s="437">
        <f>'25'!$F$20</f>
        <v>132</v>
      </c>
      <c r="L31" s="426">
        <f>'25'!$F$21</f>
        <v>45</v>
      </c>
      <c r="M31" s="426">
        <f>'25'!$F$19</f>
        <v>87.583333333333329</v>
      </c>
      <c r="N31" s="426">
        <f>AVERAGE('25'!$G$20,'25'!$H$20)</f>
        <v>2.4000000000000004</v>
      </c>
      <c r="O31" s="426">
        <f>AVERAGE('25'!$G$21,'25'!$H$21)</f>
        <v>1.4500000000000002</v>
      </c>
      <c r="P31" s="426">
        <f>AVERAGE('25'!$G$19,'25'!$H$19)</f>
        <v>1.8791666666666667</v>
      </c>
      <c r="Q31" s="438">
        <f>'25'!$I$20</f>
        <v>0.7</v>
      </c>
      <c r="R31" s="438">
        <f>'25'!$I$21</f>
        <v>0.5</v>
      </c>
      <c r="S31" s="438">
        <f>'25'!$I$19</f>
        <v>0.61666666666666659</v>
      </c>
      <c r="T31" s="438">
        <f>'25'!$J$20</f>
        <v>1.1000000000000001</v>
      </c>
      <c r="U31" s="438">
        <f>'25'!$J$21</f>
        <v>0.7</v>
      </c>
      <c r="V31" s="439">
        <f>'25'!$J$19</f>
        <v>0.84166666666666667</v>
      </c>
      <c r="W31" s="440">
        <f>'25'!$K$20</f>
        <v>7.3</v>
      </c>
      <c r="X31" s="438">
        <f>'25'!$K$21</f>
        <v>7.3</v>
      </c>
      <c r="Y31" s="438">
        <f>'25'!$K$19</f>
        <v>7.299999999999998</v>
      </c>
      <c r="Z31" s="430">
        <f>AVERAGE('25'!$L$20,'25'!$M$20)</f>
        <v>6.3</v>
      </c>
      <c r="AA31" s="430">
        <f>AVERAGE('25'!$L$21,'25'!$M$21)</f>
        <v>6.3</v>
      </c>
      <c r="AB31" s="430">
        <f>AVERAGE('25'!$L$19,'25'!$M$19)</f>
        <v>6.299999999999998</v>
      </c>
      <c r="AC31" s="438">
        <f>'25'!$N$20</f>
        <v>6</v>
      </c>
      <c r="AD31" s="438">
        <f>'25'!$N$21</f>
        <v>6</v>
      </c>
      <c r="AE31" s="439">
        <f>'25'!$N$19</f>
        <v>6</v>
      </c>
    </row>
    <row r="32" spans="1:31" ht="18.75" customHeight="1">
      <c r="A32" s="433">
        <v>26</v>
      </c>
      <c r="B32" s="434">
        <f>'26'!$B$20</f>
        <v>181</v>
      </c>
      <c r="C32" s="435">
        <f>'26'!$B$21</f>
        <v>171</v>
      </c>
      <c r="D32" s="435">
        <f>'26'!$B$19</f>
        <v>177.75</v>
      </c>
      <c r="E32" s="426">
        <f>AVERAGE('26'!$C$20,'26'!$D$20)</f>
        <v>14.5</v>
      </c>
      <c r="F32" s="426">
        <f>AVERAGE('26'!$C$21,'26'!$D$21)</f>
        <v>8.5</v>
      </c>
      <c r="G32" s="426">
        <f>AVERAGE('26'!$C$19,'26'!$D$19)</f>
        <v>11.125</v>
      </c>
      <c r="H32" s="426">
        <f>'26'!$E$20</f>
        <v>8.3000000000000007</v>
      </c>
      <c r="I32" s="426">
        <f>'26'!$E$21</f>
        <v>3.8</v>
      </c>
      <c r="J32" s="436">
        <f>'26'!$E$19</f>
        <v>5.7749999999999995</v>
      </c>
      <c r="K32" s="437">
        <f>'26'!$F$20</f>
        <v>123</v>
      </c>
      <c r="L32" s="426">
        <f>'26'!$F$21</f>
        <v>78</v>
      </c>
      <c r="M32" s="426">
        <f>'26'!$F$19</f>
        <v>93.666666666666671</v>
      </c>
      <c r="N32" s="426">
        <f>AVERAGE('26'!$G$20,'26'!$H$20)</f>
        <v>2.0499999999999998</v>
      </c>
      <c r="O32" s="426">
        <f>AVERAGE('26'!$G$21,'26'!$H$21)</f>
        <v>1.5</v>
      </c>
      <c r="P32" s="426">
        <f>AVERAGE('26'!$G$19,'26'!$H$19)</f>
        <v>1.7333333333333334</v>
      </c>
      <c r="Q32" s="438">
        <f>'26'!$I$20</f>
        <v>0.8</v>
      </c>
      <c r="R32" s="438">
        <f>'26'!$I$21</f>
        <v>0.6</v>
      </c>
      <c r="S32" s="438">
        <f>'26'!$I$19</f>
        <v>0.7</v>
      </c>
      <c r="T32" s="438">
        <f>'26'!$J$20</f>
        <v>0.9</v>
      </c>
      <c r="U32" s="438">
        <f>'26'!$J$21</f>
        <v>0.7</v>
      </c>
      <c r="V32" s="439">
        <f>'26'!$J$19</f>
        <v>0.79090909090909089</v>
      </c>
      <c r="W32" s="440">
        <f>'26'!$K$20</f>
        <v>7.3</v>
      </c>
      <c r="X32" s="438">
        <f>'26'!$K$21</f>
        <v>7.3</v>
      </c>
      <c r="Y32" s="438">
        <f>'26'!$K$19</f>
        <v>7.299999999999998</v>
      </c>
      <c r="Z32" s="430">
        <f>AVERAGE('26'!$L$20,'26'!$M$20)</f>
        <v>6.3</v>
      </c>
      <c r="AA32" s="430">
        <f>AVERAGE('26'!$L$21,'26'!$M$21)</f>
        <v>6.3</v>
      </c>
      <c r="AB32" s="430">
        <f>AVERAGE('26'!$L$19,'26'!$M$19)</f>
        <v>6.299999999999998</v>
      </c>
      <c r="AC32" s="438">
        <f>'26'!$N$20</f>
        <v>6</v>
      </c>
      <c r="AD32" s="438">
        <f>'26'!$N$21</f>
        <v>6</v>
      </c>
      <c r="AE32" s="439">
        <f>'26'!$N$19</f>
        <v>6</v>
      </c>
    </row>
    <row r="33" spans="1:39" ht="18.75" customHeight="1">
      <c r="A33" s="433">
        <v>27</v>
      </c>
      <c r="B33" s="434">
        <f>'27'!$B$20</f>
        <v>177</v>
      </c>
      <c r="C33" s="435">
        <f>'27'!$B$21</f>
        <v>166</v>
      </c>
      <c r="D33" s="435">
        <f>'27'!$B$19</f>
        <v>171.16666666666666</v>
      </c>
      <c r="E33" s="426">
        <f>AVERAGE('27'!$C$20,'27'!$D$20)</f>
        <v>15</v>
      </c>
      <c r="F33" s="426">
        <f>AVERAGE('27'!$C$21,'27'!$D$21)</f>
        <v>8.0500000000000007</v>
      </c>
      <c r="G33" s="426">
        <f>AVERAGE('27'!$C$19,'27'!$D$19)</f>
        <v>11.525</v>
      </c>
      <c r="H33" s="426">
        <f>'27'!$E$20</f>
        <v>6.3</v>
      </c>
      <c r="I33" s="426">
        <f>'27'!$E$21</f>
        <v>1.7</v>
      </c>
      <c r="J33" s="436">
        <f>'27'!$E$19</f>
        <v>4.4249999999999998</v>
      </c>
      <c r="K33" s="437">
        <f>'27'!$F$20</f>
        <v>83</v>
      </c>
      <c r="L33" s="426">
        <f>'27'!$F$21</f>
        <v>65</v>
      </c>
      <c r="M33" s="426">
        <f>'27'!$F$19</f>
        <v>73</v>
      </c>
      <c r="N33" s="426">
        <f>AVERAGE('27'!$G$20,'27'!$H$20)</f>
        <v>2.5499999999999998</v>
      </c>
      <c r="O33" s="426">
        <f>AVERAGE('27'!$G$21,'27'!$H$21)</f>
        <v>1.8</v>
      </c>
      <c r="P33" s="426">
        <f>AVERAGE('27'!$G$19,'27'!$H$19)</f>
        <v>2.1416666666666666</v>
      </c>
      <c r="Q33" s="438">
        <f>'27'!$I$20</f>
        <v>1</v>
      </c>
      <c r="R33" s="438">
        <f>'27'!$I$21</f>
        <v>0.8</v>
      </c>
      <c r="S33" s="438">
        <f>'27'!$I$19</f>
        <v>0.8666666666666667</v>
      </c>
      <c r="T33" s="438">
        <f>'27'!$J$20</f>
        <v>1.4</v>
      </c>
      <c r="U33" s="438">
        <f>'27'!$J$21</f>
        <v>0.9</v>
      </c>
      <c r="V33" s="439">
        <f>'27'!$J$19</f>
        <v>1.1333333333333333</v>
      </c>
      <c r="W33" s="440">
        <f>'27'!$K$20</f>
        <v>7.3</v>
      </c>
      <c r="X33" s="438">
        <f>'27'!$K$21</f>
        <v>7.3</v>
      </c>
      <c r="Y33" s="438">
        <f>'27'!$K$19</f>
        <v>7.299999999999998</v>
      </c>
      <c r="Z33" s="430">
        <f>AVERAGE('27'!$L$20,'27'!$M$20)</f>
        <v>6.3</v>
      </c>
      <c r="AA33" s="430">
        <f>AVERAGE('27'!$L$21,'27'!$M$21)</f>
        <v>6</v>
      </c>
      <c r="AB33" s="430">
        <f>AVERAGE('27'!$L$19,'27'!$M$19)</f>
        <v>6.0545454545454538</v>
      </c>
      <c r="AC33" s="438">
        <f>'27'!$N$20</f>
        <v>6</v>
      </c>
      <c r="AD33" s="438">
        <f>'27'!$N$21</f>
        <v>5.8</v>
      </c>
      <c r="AE33" s="439">
        <f>'27'!$N$19</f>
        <v>5.8363636363636351</v>
      </c>
    </row>
    <row r="34" spans="1:39" ht="18.75" customHeight="1">
      <c r="A34" s="433">
        <v>28</v>
      </c>
      <c r="B34" s="434">
        <f>'28'!$B$20</f>
        <v>250</v>
      </c>
      <c r="C34" s="435">
        <f>'28'!$B$21</f>
        <v>158</v>
      </c>
      <c r="D34" s="435">
        <f>'28'!$B$19</f>
        <v>184</v>
      </c>
      <c r="E34" s="426">
        <f>AVERAGE('28'!$C$20,'28'!$D$20)</f>
        <v>12</v>
      </c>
      <c r="F34" s="426">
        <f>AVERAGE('28'!$C$21,'28'!$D$21)</f>
        <v>5</v>
      </c>
      <c r="G34" s="426">
        <f>AVERAGE('28'!$C$19,'28'!$D$19)</f>
        <v>9.2624999999999993</v>
      </c>
      <c r="H34" s="426">
        <f>'28'!$E$20</f>
        <v>6</v>
      </c>
      <c r="I34" s="426">
        <f>'28'!$E$21</f>
        <v>1.7</v>
      </c>
      <c r="J34" s="436">
        <f>'28'!$E$19</f>
        <v>4.7666666666666666</v>
      </c>
      <c r="K34" s="437">
        <f>'28'!$F$20</f>
        <v>72</v>
      </c>
      <c r="L34" s="426">
        <f>'28'!$F$21</f>
        <v>53</v>
      </c>
      <c r="M34" s="426">
        <f>'28'!$F$19</f>
        <v>59.5</v>
      </c>
      <c r="N34" s="426">
        <f>AVERAGE('28'!$G$20,'28'!$H$20)</f>
        <v>2.6</v>
      </c>
      <c r="O34" s="426">
        <f>AVERAGE('28'!$G$21,'28'!$H$21)</f>
        <v>1.8499999999999999</v>
      </c>
      <c r="P34" s="426">
        <f>AVERAGE('28'!$G$19,'28'!$H$19)</f>
        <v>2.0499999999999998</v>
      </c>
      <c r="Q34" s="438">
        <f>'28'!$I$20</f>
        <v>1</v>
      </c>
      <c r="R34" s="438">
        <f>'28'!$I$21</f>
        <v>0.6</v>
      </c>
      <c r="S34" s="438">
        <f>'28'!$I$19</f>
        <v>0.77499999999999991</v>
      </c>
      <c r="T34" s="438">
        <f>'28'!$J$20</f>
        <v>1.6</v>
      </c>
      <c r="U34" s="438">
        <f>'28'!$J$21</f>
        <v>0.6</v>
      </c>
      <c r="V34" s="439">
        <f>'28'!$J$19</f>
        <v>1.0916666666666666</v>
      </c>
      <c r="W34" s="440">
        <f>'28'!$K$20</f>
        <v>7.3</v>
      </c>
      <c r="X34" s="438">
        <f>'28'!$K$21</f>
        <v>7.3</v>
      </c>
      <c r="Y34" s="438">
        <f>'28'!$K$19</f>
        <v>7.299999999999998</v>
      </c>
      <c r="Z34" s="430">
        <f>AVERAGE('28'!$L$20,'28'!$M$20)</f>
        <v>6.3</v>
      </c>
      <c r="AA34" s="430">
        <f>AVERAGE('28'!$L$21,'28'!$M$21)</f>
        <v>6.3</v>
      </c>
      <c r="AB34" s="430">
        <f>AVERAGE('28'!$L$19,'28'!$M$19)</f>
        <v>6.299999999999998</v>
      </c>
      <c r="AC34" s="438">
        <f>'28'!$N$20</f>
        <v>6</v>
      </c>
      <c r="AD34" s="438">
        <f>'28'!$N$21</f>
        <v>6</v>
      </c>
      <c r="AE34" s="439">
        <f>'28'!$N$19</f>
        <v>6</v>
      </c>
    </row>
    <row r="35" spans="1:39" ht="18.75" customHeight="1">
      <c r="A35" s="433">
        <v>29</v>
      </c>
      <c r="B35" s="434">
        <f>'29'!$B$20</f>
        <v>172</v>
      </c>
      <c r="C35" s="435">
        <f>'29'!$B$21</f>
        <v>148</v>
      </c>
      <c r="D35" s="435">
        <f>'29'!$B$19</f>
        <v>154</v>
      </c>
      <c r="E35" s="426">
        <f>AVERAGE('29'!$C$20,'29'!$D$20)</f>
        <v>20</v>
      </c>
      <c r="F35" s="426">
        <f>AVERAGE('29'!$C$21,'29'!$D$21)</f>
        <v>11</v>
      </c>
      <c r="G35" s="426">
        <f>AVERAGE('29'!$C$19,'29'!$D$19)</f>
        <v>14.291666666666666</v>
      </c>
      <c r="H35" s="426">
        <f>'29'!$E$20</f>
        <v>9</v>
      </c>
      <c r="I35" s="426">
        <f>'29'!$E$21</f>
        <v>6</v>
      </c>
      <c r="J35" s="436">
        <f>'29'!$E$19</f>
        <v>6.75</v>
      </c>
      <c r="K35" s="437">
        <f>'29'!$F$20</f>
        <v>56</v>
      </c>
      <c r="L35" s="426">
        <f>'29'!$F$21</f>
        <v>42</v>
      </c>
      <c r="M35" s="426">
        <f>'29'!$F$19</f>
        <v>47.25</v>
      </c>
      <c r="N35" s="426">
        <f>AVERAGE('29'!$G$20,'29'!$H$20)</f>
        <v>4.4000000000000004</v>
      </c>
      <c r="O35" s="426">
        <f>AVERAGE('29'!$G$21,'29'!$H$21)</f>
        <v>1.5</v>
      </c>
      <c r="P35" s="426">
        <f>AVERAGE('29'!$G$19,'29'!$H$19)</f>
        <v>2.5458333333333334</v>
      </c>
      <c r="Q35" s="438">
        <f>'29'!$I$20</f>
        <v>0.8</v>
      </c>
      <c r="R35" s="438">
        <f>'29'!$I$21</f>
        <v>0.6</v>
      </c>
      <c r="S35" s="438">
        <f>'29'!$I$19</f>
        <v>0.75</v>
      </c>
      <c r="T35" s="438">
        <f>'29'!$J$20</f>
        <v>1.4</v>
      </c>
      <c r="U35" s="438">
        <f>'29'!$J$21</f>
        <v>0.7</v>
      </c>
      <c r="V35" s="439">
        <f>'29'!$J$19</f>
        <v>0.93333333333333346</v>
      </c>
      <c r="W35" s="440">
        <f>'29'!$K$20</f>
        <v>7.3</v>
      </c>
      <c r="X35" s="438">
        <f>'29'!$K$21</f>
        <v>7.3</v>
      </c>
      <c r="Y35" s="438">
        <f>'29'!$K$19</f>
        <v>7.299999999999998</v>
      </c>
      <c r="Z35" s="430">
        <f>AVERAGE('29'!$L$20,'29'!$M$20)</f>
        <v>6.3</v>
      </c>
      <c r="AA35" s="430">
        <f>AVERAGE('29'!$L$21,'29'!$M$21)</f>
        <v>6.3</v>
      </c>
      <c r="AB35" s="430">
        <f>AVERAGE('29'!$L$19,'29'!$M$19)</f>
        <v>6.299999999999998</v>
      </c>
      <c r="AC35" s="438">
        <f>'29'!$N$20</f>
        <v>6</v>
      </c>
      <c r="AD35" s="438">
        <f>'29'!$N$21</f>
        <v>5.8</v>
      </c>
      <c r="AE35" s="439">
        <f>'29'!$N$19</f>
        <v>5.8666666666666663</v>
      </c>
    </row>
    <row r="36" spans="1:39" ht="18.75" customHeight="1">
      <c r="A36" s="433">
        <v>30</v>
      </c>
      <c r="B36" s="434">
        <f>'30'!$B$20</f>
        <v>165</v>
      </c>
      <c r="C36" s="435">
        <f>'30'!$B$21</f>
        <v>139</v>
      </c>
      <c r="D36" s="435">
        <f>'30'!$B$19</f>
        <v>148.16666666666666</v>
      </c>
      <c r="E36" s="426">
        <f>AVERAGE('30'!$C$20,'30'!$D$20)</f>
        <v>19.5</v>
      </c>
      <c r="F36" s="426">
        <f>AVERAGE('30'!$C$21,'30'!$D$21)</f>
        <v>11.4</v>
      </c>
      <c r="G36" s="426">
        <f>AVERAGE('30'!$C$19,'30'!$D$19)</f>
        <v>14.741666666666667</v>
      </c>
      <c r="H36" s="426">
        <f>'30'!$E$20</f>
        <v>14</v>
      </c>
      <c r="I36" s="426">
        <f>'30'!$E$21</f>
        <v>6.8</v>
      </c>
      <c r="J36" s="436">
        <f>'30'!$E$19</f>
        <v>9.4333333333333336</v>
      </c>
      <c r="K36" s="437">
        <f>'30'!$F$20</f>
        <v>52</v>
      </c>
      <c r="L36" s="426">
        <f>'30'!$F$21</f>
        <v>4.3</v>
      </c>
      <c r="M36" s="426">
        <f>'30'!$F$19</f>
        <v>28.15</v>
      </c>
      <c r="N36" s="426">
        <f>AVERAGE('30'!$G$20,'30'!$H$20)</f>
        <v>3</v>
      </c>
      <c r="O36" s="426">
        <f>AVERAGE('30'!$G$21,'30'!$H$21)</f>
        <v>1.9</v>
      </c>
      <c r="P36" s="426">
        <f>AVERAGE('30'!$G$19,'30'!$H$19)</f>
        <v>2.3333333333333335</v>
      </c>
      <c r="Q36" s="438">
        <f>'30'!$I$20</f>
        <v>1.1000000000000001</v>
      </c>
      <c r="R36" s="438">
        <f>'30'!$I$21</f>
        <v>0.9</v>
      </c>
      <c r="S36" s="438">
        <f>'30'!$I$19</f>
        <v>0.98333333333333328</v>
      </c>
      <c r="T36" s="438">
        <f>'30'!$J$20</f>
        <v>1.4</v>
      </c>
      <c r="U36" s="438">
        <f>'30'!$J$21</f>
        <v>0.9</v>
      </c>
      <c r="V36" s="439">
        <f>'30'!$J$19</f>
        <v>1.1666666666666667</v>
      </c>
      <c r="W36" s="440">
        <f>'30'!$K$20</f>
        <v>7.3</v>
      </c>
      <c r="X36" s="438">
        <f>'30'!$K$21</f>
        <v>7.3</v>
      </c>
      <c r="Y36" s="438">
        <f>'30'!$K$19</f>
        <v>7.299999999999998</v>
      </c>
      <c r="Z36" s="430">
        <f>AVERAGE('30'!$L$20,'30'!$M$20)</f>
        <v>6.3</v>
      </c>
      <c r="AA36" s="430">
        <f>AVERAGE('30'!$L$21,'30'!$M$21)</f>
        <v>6.3</v>
      </c>
      <c r="AB36" s="430">
        <f>AVERAGE('30'!$L$19,'30'!$M$19)</f>
        <v>6.299999999999998</v>
      </c>
      <c r="AC36" s="438">
        <f>'30'!$N$20</f>
        <v>6</v>
      </c>
      <c r="AD36" s="438">
        <f>'30'!$N$21</f>
        <v>5.8</v>
      </c>
      <c r="AE36" s="439">
        <f>'30'!$N$19</f>
        <v>5.916666666666667</v>
      </c>
    </row>
    <row r="37" spans="1:39" ht="18.75" customHeight="1">
      <c r="A37" s="444">
        <v>31</v>
      </c>
      <c r="B37" s="434">
        <f>'31'!$B$20</f>
        <v>142</v>
      </c>
      <c r="C37" s="435">
        <f>'31'!$B$21</f>
        <v>134</v>
      </c>
      <c r="D37" s="445">
        <f>'31'!$B$19</f>
        <v>138</v>
      </c>
      <c r="E37" s="426">
        <f>AVERAGE('31'!$C$20,'31'!$D$20)</f>
        <v>15</v>
      </c>
      <c r="F37" s="426">
        <f>AVERAGE('31'!$C$21,'31'!$D$21)</f>
        <v>11.4</v>
      </c>
      <c r="G37" s="426">
        <f>AVERAGE('31'!$C$19,'31'!$D$19)</f>
        <v>12.85</v>
      </c>
      <c r="H37" s="446">
        <f>'31'!$E$20</f>
        <v>9.1</v>
      </c>
      <c r="I37" s="446">
        <f>'31'!$E$21</f>
        <v>3.2</v>
      </c>
      <c r="J37" s="447">
        <f>'31'!$E$19</f>
        <v>5.8999999999999995</v>
      </c>
      <c r="K37" s="437">
        <f>'31'!$F$20</f>
        <v>41</v>
      </c>
      <c r="L37" s="426">
        <f>'31'!$F$21</f>
        <v>39</v>
      </c>
      <c r="M37" s="426">
        <f>'31'!$F$19</f>
        <v>40</v>
      </c>
      <c r="N37" s="426">
        <f>AVERAGE('31'!$G$20,'31'!$H$20)</f>
        <v>2.5499999999999998</v>
      </c>
      <c r="O37" s="426">
        <f>AVERAGE('31'!$G$21,'31'!$H$21)</f>
        <v>2.35</v>
      </c>
      <c r="P37" s="426">
        <f>AVERAGE('31'!$G$19,'31'!$H$19)</f>
        <v>2.4500000000000002</v>
      </c>
      <c r="Q37" s="438">
        <f>'31'!$I$20</f>
        <v>1.1000000000000001</v>
      </c>
      <c r="R37" s="438">
        <f>'31'!$I$21</f>
        <v>1</v>
      </c>
      <c r="S37" s="438">
        <f>'31'!$I$19</f>
        <v>1.0249999999999999</v>
      </c>
      <c r="T37" s="438">
        <f>'31'!$J$20</f>
        <v>1.4</v>
      </c>
      <c r="U37" s="438">
        <f>'31'!$J$21</f>
        <v>1.3</v>
      </c>
      <c r="V37" s="439">
        <f>'31'!$J$19</f>
        <v>1.325</v>
      </c>
      <c r="W37" s="440">
        <f>'31'!$K$20</f>
        <v>7.3</v>
      </c>
      <c r="X37" s="438">
        <f>'31'!$K$21</f>
        <v>7.3</v>
      </c>
      <c r="Y37" s="438">
        <f>'31'!$K$19</f>
        <v>7.3</v>
      </c>
      <c r="Z37" s="430">
        <f>AVERAGE('31'!$L$20,'31'!$M$20)</f>
        <v>6.3</v>
      </c>
      <c r="AA37" s="430">
        <f>AVERAGE('31'!$L$21,'31'!$M$21)</f>
        <v>6.3</v>
      </c>
      <c r="AB37" s="430">
        <f>AVERAGE('31'!$L$19,'31'!$M$19)</f>
        <v>6.3</v>
      </c>
      <c r="AC37" s="438">
        <f>'31'!$N$20</f>
        <v>6</v>
      </c>
      <c r="AD37" s="438">
        <f>'31'!$N$21</f>
        <v>6</v>
      </c>
      <c r="AE37" s="439">
        <f>'31'!$N$19</f>
        <v>6</v>
      </c>
    </row>
    <row r="38" spans="1:39" ht="18.75" customHeight="1">
      <c r="A38" s="448"/>
      <c r="B38" s="449" t="s">
        <v>216</v>
      </c>
      <c r="C38" s="450" t="s">
        <v>219</v>
      </c>
      <c r="D38" s="451" t="s">
        <v>218</v>
      </c>
      <c r="E38" s="449" t="s">
        <v>216</v>
      </c>
      <c r="F38" s="450" t="s">
        <v>219</v>
      </c>
      <c r="G38" s="451" t="s">
        <v>218</v>
      </c>
      <c r="H38" s="452" t="s">
        <v>216</v>
      </c>
      <c r="I38" s="453" t="s">
        <v>219</v>
      </c>
      <c r="J38" s="454" t="s">
        <v>218</v>
      </c>
      <c r="K38" s="452" t="s">
        <v>216</v>
      </c>
      <c r="L38" s="453" t="s">
        <v>219</v>
      </c>
      <c r="M38" s="454" t="s">
        <v>218</v>
      </c>
      <c r="N38" s="452" t="s">
        <v>216</v>
      </c>
      <c r="O38" s="453" t="s">
        <v>219</v>
      </c>
      <c r="P38" s="454" t="s">
        <v>218</v>
      </c>
      <c r="Q38" s="452" t="s">
        <v>216</v>
      </c>
      <c r="R38" s="453" t="s">
        <v>219</v>
      </c>
      <c r="S38" s="454" t="s">
        <v>218</v>
      </c>
      <c r="T38" s="452" t="s">
        <v>216</v>
      </c>
      <c r="U38" s="453" t="s">
        <v>219</v>
      </c>
      <c r="V38" s="454" t="s">
        <v>218</v>
      </c>
      <c r="W38" s="452" t="s">
        <v>216</v>
      </c>
      <c r="X38" s="453" t="s">
        <v>219</v>
      </c>
      <c r="Y38" s="454" t="s">
        <v>218</v>
      </c>
      <c r="Z38" s="452" t="s">
        <v>216</v>
      </c>
      <c r="AA38" s="453" t="s">
        <v>219</v>
      </c>
      <c r="AB38" s="454" t="s">
        <v>218</v>
      </c>
      <c r="AC38" s="452" t="s">
        <v>216</v>
      </c>
      <c r="AD38" s="453" t="s">
        <v>219</v>
      </c>
      <c r="AE38" s="454" t="s">
        <v>218</v>
      </c>
    </row>
    <row r="39" spans="1:39" ht="19.5" customHeight="1">
      <c r="A39" s="455" t="s">
        <v>220</v>
      </c>
      <c r="B39" s="456">
        <f>MAX('Parte 1'!B7:B36)</f>
        <v>1580</v>
      </c>
      <c r="C39" s="457">
        <f>MIN('Parte 1'!C7:C36)</f>
        <v>103</v>
      </c>
      <c r="D39" s="457">
        <f>AVERAGE('Parte 1'!D7:D36)</f>
        <v>310.48333333333335</v>
      </c>
      <c r="E39" s="456">
        <f>MAX('Parte 1'!E7:E36)</f>
        <v>80</v>
      </c>
      <c r="F39" s="457">
        <f>MIN('Parte 1'!F7:F36)</f>
        <v>5</v>
      </c>
      <c r="G39" s="457">
        <f>AVERAGE('Parte 1'!G7:G36)</f>
        <v>10.199002525252528</v>
      </c>
      <c r="H39" s="458">
        <f>MAX('Parte 1'!H7:H36)</f>
        <v>14</v>
      </c>
      <c r="I39" s="459">
        <f>MIN('Parte 1'!I7:I36)</f>
        <v>1.3</v>
      </c>
      <c r="J39" s="459">
        <f>AVERAGE('Parte 1'!J7:J36)</f>
        <v>4.1786111111111115</v>
      </c>
      <c r="K39" s="458">
        <f>MAX('Parte 1'!K7:K36)</f>
        <v>342</v>
      </c>
      <c r="L39" s="459">
        <f>MIN('Parte 1'!L7:L36)</f>
        <v>2.8</v>
      </c>
      <c r="M39" s="459">
        <f>AVERAGE('Parte 1'!M7:M36)</f>
        <v>78.020555555555546</v>
      </c>
      <c r="N39" s="458">
        <f>MAX('Parte 1'!N7:N36)</f>
        <v>77</v>
      </c>
      <c r="O39" s="459">
        <f>MIN('Parte 1'!O7:O36)</f>
        <v>1.1949999999999998</v>
      </c>
      <c r="P39" s="459">
        <f>AVERAGE('Parte 1'!P7:P36)</f>
        <v>2.881185606060606</v>
      </c>
      <c r="Q39" s="458">
        <f>MAX('Parte 1'!Q7:Q36)</f>
        <v>2.54</v>
      </c>
      <c r="R39" s="459">
        <f>MIN('Parte 1'!R7:R36)</f>
        <v>0.38</v>
      </c>
      <c r="S39" s="459">
        <f>AVERAGE('Parte 1'!S7:S36)</f>
        <v>0.86636111111111114</v>
      </c>
      <c r="T39" s="458">
        <f>MAX('Parte 1'!T7:T36)</f>
        <v>3.4</v>
      </c>
      <c r="U39" s="459">
        <f>MIN('Parte 1'!U7:U36)</f>
        <v>0.53</v>
      </c>
      <c r="V39" s="459">
        <f>AVERAGE('Parte 1'!V7:V36)</f>
        <v>1.2978080808080805</v>
      </c>
      <c r="W39" s="458">
        <f>MAX('Parte 1'!W7:W36)</f>
        <v>7.3</v>
      </c>
      <c r="X39" s="459">
        <f>MIN('Parte 1'!X7:X36)</f>
        <v>6.8</v>
      </c>
      <c r="Y39" s="459">
        <f>AVERAGE('Parte 1'!Y7:Y36)</f>
        <v>7.2022222222222263</v>
      </c>
      <c r="Z39" s="458">
        <f>MAX('Parte 1'!Z7:Z36)</f>
        <v>6.5</v>
      </c>
      <c r="AA39" s="459">
        <f>MIN('Parte 1'!AA7:AA36)</f>
        <v>4.6899999999999995</v>
      </c>
      <c r="AB39" s="459">
        <f>AVERAGE('Parte 1'!AB7:AB36)</f>
        <v>5.8177070707070726</v>
      </c>
      <c r="AC39" s="458">
        <f>MAX('Parte 1'!AC7:AC36)</f>
        <v>6.3</v>
      </c>
      <c r="AD39" s="459">
        <f>MIN('Parte 1'!AD7:AD36)</f>
        <v>4.5</v>
      </c>
      <c r="AE39" s="459">
        <f>AVERAGE('Parte 1'!AE7:AE36)</f>
        <v>5.6598232323232329</v>
      </c>
    </row>
    <row r="40" spans="1:39" ht="11.25" customHeight="1">
      <c r="A40" s="460" t="s">
        <v>221</v>
      </c>
      <c r="B40" s="461"/>
      <c r="C40" s="461" t="s">
        <v>222</v>
      </c>
      <c r="D40" s="1152"/>
      <c r="E40" s="1152"/>
      <c r="F40" s="1152"/>
      <c r="G40" s="1152"/>
      <c r="H40" s="1152"/>
      <c r="I40" s="1152"/>
      <c r="J40" s="1152"/>
      <c r="K40" s="1152"/>
      <c r="L40" s="1152"/>
      <c r="M40" s="1152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  <c r="X40" s="1153"/>
      <c r="Y40" s="1153"/>
      <c r="Z40" s="1153"/>
      <c r="AA40" s="1153"/>
      <c r="AB40" s="1153"/>
      <c r="AC40" s="1153"/>
      <c r="AD40" s="1153"/>
      <c r="AE40" s="1153"/>
    </row>
    <row r="41" spans="1:39" ht="12.75" customHeight="1">
      <c r="A41" s="1154" t="s">
        <v>223</v>
      </c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62"/>
      <c r="O41" s="462"/>
      <c r="P41" s="462" t="s">
        <v>224</v>
      </c>
      <c r="Q41" s="462"/>
      <c r="R41" s="462"/>
      <c r="S41" s="462"/>
      <c r="T41" s="462"/>
      <c r="U41" s="463"/>
      <c r="V41" s="463"/>
      <c r="W41" s="463"/>
      <c r="X41" s="462"/>
      <c r="Y41" s="462"/>
      <c r="Z41" s="462"/>
      <c r="AA41" s="462"/>
      <c r="AB41" s="462"/>
      <c r="AC41" s="462"/>
      <c r="AD41" s="462"/>
      <c r="AE41" s="464"/>
    </row>
    <row r="42" spans="1:39" ht="11.25" customHeight="1">
      <c r="A42" s="1155" t="s">
        <v>225</v>
      </c>
      <c r="B42" s="1155"/>
      <c r="C42" s="1155"/>
      <c r="D42" s="1155"/>
      <c r="E42" s="1155"/>
      <c r="F42" s="1155"/>
      <c r="G42" s="1155"/>
      <c r="H42" s="1155"/>
      <c r="I42" s="1155"/>
      <c r="J42" s="1155"/>
      <c r="K42" s="1155"/>
      <c r="L42" s="1155"/>
      <c r="M42" s="1155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  <c r="X42" s="1156"/>
      <c r="Y42" s="1156"/>
      <c r="Z42" s="1156"/>
      <c r="AA42" s="1156"/>
      <c r="AB42" s="1156"/>
      <c r="AC42" s="1156"/>
      <c r="AD42" s="1156"/>
      <c r="AE42" s="1156"/>
    </row>
    <row r="43" spans="1:39" ht="11.25" customHeight="1">
      <c r="A43" s="465"/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6"/>
      <c r="N43" s="467"/>
      <c r="O43" s="468"/>
      <c r="P43" s="468"/>
      <c r="Q43" s="468"/>
      <c r="R43" s="468"/>
      <c r="S43" s="469"/>
      <c r="T43" s="470"/>
      <c r="U43" s="471"/>
      <c r="V43" s="471"/>
      <c r="W43" s="471"/>
      <c r="X43" s="471"/>
      <c r="Y43" s="471"/>
      <c r="Z43" s="471"/>
      <c r="AA43" s="471"/>
      <c r="AB43" s="471"/>
      <c r="AC43" s="472"/>
      <c r="AD43" s="473"/>
      <c r="AE43" s="474"/>
    </row>
    <row r="44" spans="1:39" ht="12" customHeight="1">
      <c r="A44" s="475"/>
      <c r="B44" s="468"/>
      <c r="C44" s="468"/>
      <c r="D44" s="468"/>
      <c r="E44" s="476"/>
      <c r="F44" s="468"/>
      <c r="G44" s="468"/>
      <c r="H44" s="468"/>
      <c r="I44" s="468"/>
      <c r="J44" s="468"/>
      <c r="K44" s="468"/>
      <c r="L44" s="468"/>
      <c r="M44" s="468"/>
      <c r="N44" s="1157"/>
      <c r="O44" s="1157"/>
      <c r="P44" s="1157"/>
      <c r="Q44" s="1157"/>
      <c r="R44" s="1157"/>
      <c r="S44" s="1157"/>
      <c r="T44" s="1157"/>
      <c r="U44" s="1157"/>
      <c r="V44" s="1157"/>
      <c r="W44" s="1157"/>
      <c r="X44" s="1157"/>
      <c r="Y44" s="1157"/>
      <c r="Z44" s="1157"/>
      <c r="AA44" s="1157"/>
      <c r="AB44" s="1157"/>
      <c r="AC44" s="1157"/>
      <c r="AD44" s="1157"/>
      <c r="AE44" s="1157"/>
    </row>
    <row r="45" spans="1:39" ht="15.75" customHeight="1">
      <c r="B45" s="1158" t="s">
        <v>226</v>
      </c>
      <c r="C45" s="1158"/>
      <c r="D45" s="1158"/>
      <c r="F45" s="1159" t="s">
        <v>227</v>
      </c>
      <c r="G45" s="1159"/>
      <c r="H45" s="1159"/>
      <c r="I45" s="1159"/>
      <c r="J45" s="1159"/>
      <c r="K45" s="478"/>
      <c r="L45" s="1159" t="s">
        <v>228</v>
      </c>
      <c r="M45" s="1159"/>
      <c r="N45" s="1159"/>
      <c r="O45" s="1159"/>
      <c r="P45" s="1160" t="s">
        <v>229</v>
      </c>
      <c r="Q45" s="1160"/>
      <c r="R45" s="1160"/>
      <c r="S45" s="1160"/>
      <c r="T45" s="1160"/>
      <c r="U45" s="479"/>
      <c r="V45" s="1159" t="s">
        <v>230</v>
      </c>
      <c r="W45" s="1159"/>
      <c r="X45" s="1159"/>
      <c r="Y45" s="1159"/>
      <c r="Z45" s="1159"/>
      <c r="AA45" s="1159"/>
      <c r="AB45" s="1159"/>
      <c r="AC45" s="1159"/>
      <c r="AE45" s="1159" t="s">
        <v>231</v>
      </c>
      <c r="AF45" s="1159"/>
      <c r="AG45" s="1159"/>
      <c r="AH45" s="1159"/>
      <c r="AJ45" s="1159" t="s">
        <v>232</v>
      </c>
      <c r="AK45" s="1159"/>
      <c r="AL45" s="1159"/>
      <c r="AM45" s="1159"/>
    </row>
    <row r="46" spans="1:39" ht="12" customHeight="1">
      <c r="A46" s="423">
        <v>1</v>
      </c>
      <c r="B46" s="424">
        <f>'Parte 1'!B7</f>
        <v>1100</v>
      </c>
      <c r="C46" s="425">
        <f>'Parte 1'!C7</f>
        <v>1100</v>
      </c>
      <c r="D46" s="425">
        <f>'Parte 1'!D7</f>
        <v>1100</v>
      </c>
      <c r="H46" s="427">
        <v>2.5</v>
      </c>
      <c r="I46" s="427">
        <v>2.5</v>
      </c>
      <c r="J46" s="428">
        <v>2.5</v>
      </c>
      <c r="L46" s="429">
        <v>9</v>
      </c>
      <c r="M46" s="427">
        <v>8</v>
      </c>
      <c r="N46" s="427">
        <v>8.3083333333333407</v>
      </c>
      <c r="Q46" s="480">
        <v>0.4</v>
      </c>
      <c r="R46" s="480">
        <v>0.4</v>
      </c>
      <c r="S46" s="480">
        <v>0.4</v>
      </c>
      <c r="V46" s="481">
        <v>0.4</v>
      </c>
      <c r="W46" s="481">
        <v>0.3</v>
      </c>
      <c r="X46" s="481">
        <v>0.33333333333333298</v>
      </c>
      <c r="AE46" s="481">
        <v>6.8</v>
      </c>
      <c r="AF46" s="481">
        <v>6.7</v>
      </c>
      <c r="AG46" s="481">
        <v>6.7</v>
      </c>
      <c r="AJ46" s="481">
        <v>7.2</v>
      </c>
      <c r="AK46" s="481">
        <v>7.2</v>
      </c>
      <c r="AL46" s="481">
        <v>7.2</v>
      </c>
    </row>
    <row r="47" spans="1:39" ht="12" customHeight="1">
      <c r="A47" s="433">
        <v>2</v>
      </c>
      <c r="B47" s="434">
        <f>'Parte 1'!B8</f>
        <v>800</v>
      </c>
      <c r="C47" s="435">
        <f>'Parte 1'!C8</f>
        <v>650</v>
      </c>
      <c r="D47" s="435">
        <f>'Parte 1'!D8</f>
        <v>770.83333333333337</v>
      </c>
      <c r="H47" s="426">
        <v>2.5</v>
      </c>
      <c r="I47" s="426">
        <v>2.5</v>
      </c>
      <c r="J47" s="436">
        <v>2.5</v>
      </c>
      <c r="L47" s="437">
        <v>8.5</v>
      </c>
      <c r="M47" s="426">
        <v>6.6</v>
      </c>
      <c r="N47" s="426">
        <v>7.6166666666666698</v>
      </c>
      <c r="Q47" s="480">
        <v>0.5</v>
      </c>
      <c r="R47" s="480">
        <v>0.3</v>
      </c>
      <c r="S47" s="480">
        <v>0.40833333333333299</v>
      </c>
      <c r="V47" s="480">
        <v>0.4</v>
      </c>
      <c r="W47" s="480">
        <v>0.3</v>
      </c>
      <c r="X47" s="480">
        <v>0.35</v>
      </c>
      <c r="AE47" s="480">
        <v>6.7</v>
      </c>
      <c r="AF47" s="480">
        <v>6.7</v>
      </c>
      <c r="AG47" s="480">
        <v>6.7</v>
      </c>
      <c r="AJ47" s="480">
        <v>7.2</v>
      </c>
      <c r="AK47" s="480">
        <v>7.2</v>
      </c>
      <c r="AL47" s="480">
        <v>7.2</v>
      </c>
    </row>
    <row r="48" spans="1:39" ht="12" customHeight="1">
      <c r="A48" s="433">
        <v>3</v>
      </c>
      <c r="B48" s="434">
        <f>'Parte 1'!B9</f>
        <v>700</v>
      </c>
      <c r="C48" s="435">
        <f>'Parte 1'!C9</f>
        <v>700</v>
      </c>
      <c r="D48" s="435">
        <f>'Parte 1'!D9</f>
        <v>700</v>
      </c>
      <c r="H48" s="426">
        <v>2.5</v>
      </c>
      <c r="I48" s="426">
        <v>2.5</v>
      </c>
      <c r="J48" s="436">
        <v>2.5</v>
      </c>
      <c r="L48" s="437">
        <v>6.5</v>
      </c>
      <c r="M48" s="426">
        <v>5.0999999999999996</v>
      </c>
      <c r="N48" s="426">
        <v>5.8416666666666703</v>
      </c>
      <c r="Q48" s="480">
        <v>0.7</v>
      </c>
      <c r="R48" s="480">
        <v>0.4</v>
      </c>
      <c r="S48" s="480">
        <v>0.45833333333333298</v>
      </c>
      <c r="V48" s="480">
        <v>0.4</v>
      </c>
      <c r="W48" s="480">
        <v>0.3</v>
      </c>
      <c r="X48" s="480">
        <v>0.38333333333333303</v>
      </c>
      <c r="AE48" s="480">
        <v>6.7</v>
      </c>
      <c r="AF48" s="480">
        <v>6.2</v>
      </c>
      <c r="AG48" s="480">
        <v>6.4083333333333403</v>
      </c>
      <c r="AJ48" s="480">
        <v>7.2</v>
      </c>
      <c r="AK48" s="480">
        <v>6.7</v>
      </c>
      <c r="AL48" s="480">
        <v>6.9083333333333403</v>
      </c>
    </row>
    <row r="49" spans="1:38" ht="12" customHeight="1">
      <c r="A49" s="433">
        <v>4</v>
      </c>
      <c r="B49" s="434">
        <f>'Parte 1'!B10</f>
        <v>700</v>
      </c>
      <c r="C49" s="435">
        <f>'Parte 1'!C10</f>
        <v>650</v>
      </c>
      <c r="D49" s="435">
        <f>'Parte 1'!D10</f>
        <v>700</v>
      </c>
      <c r="H49" s="426">
        <v>2.5</v>
      </c>
      <c r="I49" s="426">
        <v>2.5</v>
      </c>
      <c r="J49" s="436">
        <v>2.5</v>
      </c>
      <c r="L49" s="437">
        <v>5.0999999999999996</v>
      </c>
      <c r="M49" s="426">
        <v>4.5999999999999996</v>
      </c>
      <c r="N49" s="426">
        <v>4.8333333333333304</v>
      </c>
      <c r="Q49" s="480">
        <v>0.5</v>
      </c>
      <c r="R49" s="480">
        <v>0.4</v>
      </c>
      <c r="S49" s="480">
        <v>0.47499999999999998</v>
      </c>
      <c r="V49" s="480">
        <v>0.4</v>
      </c>
      <c r="W49" s="480">
        <v>0.4</v>
      </c>
      <c r="X49" s="480">
        <v>0.4</v>
      </c>
      <c r="AE49" s="480">
        <v>6.2</v>
      </c>
      <c r="AF49" s="480">
        <v>6.2</v>
      </c>
      <c r="AG49" s="480">
        <v>6.2</v>
      </c>
      <c r="AJ49" s="480">
        <v>6.7</v>
      </c>
      <c r="AK49" s="480">
        <v>6.7</v>
      </c>
      <c r="AL49" s="480">
        <v>6.7</v>
      </c>
    </row>
    <row r="50" spans="1:38" ht="12" customHeight="1">
      <c r="A50" s="433">
        <v>5</v>
      </c>
      <c r="B50" s="434">
        <f>'Parte 1'!B11</f>
        <v>650</v>
      </c>
      <c r="C50" s="435">
        <f>'Parte 1'!C11</f>
        <v>550</v>
      </c>
      <c r="D50" s="435">
        <f>'Parte 1'!D11</f>
        <v>583.33333333333337</v>
      </c>
      <c r="H50" s="426">
        <v>2.5</v>
      </c>
      <c r="I50" s="426">
        <v>2.5</v>
      </c>
      <c r="J50" s="436">
        <v>2.5</v>
      </c>
      <c r="L50" s="437">
        <v>5</v>
      </c>
      <c r="M50" s="426">
        <v>4.5</v>
      </c>
      <c r="N50" s="426">
        <v>4.6666666666666696</v>
      </c>
      <c r="Q50" s="480">
        <v>0.6</v>
      </c>
      <c r="R50" s="480">
        <v>0.4</v>
      </c>
      <c r="S50" s="480">
        <v>0.5</v>
      </c>
      <c r="V50" s="480">
        <v>0.5</v>
      </c>
      <c r="W50" s="480">
        <v>0.4</v>
      </c>
      <c r="X50" s="480">
        <v>0.44166666666666698</v>
      </c>
      <c r="AE50" s="480">
        <v>6.4</v>
      </c>
      <c r="AF50" s="480">
        <v>6.2</v>
      </c>
      <c r="AG50" s="480">
        <v>6.31666666666667</v>
      </c>
      <c r="AJ50" s="480">
        <v>7.1</v>
      </c>
      <c r="AK50" s="480">
        <v>6.7</v>
      </c>
      <c r="AL50" s="480">
        <v>6.93333333333333</v>
      </c>
    </row>
    <row r="51" spans="1:38" ht="12" customHeight="1">
      <c r="A51" s="433">
        <v>6</v>
      </c>
      <c r="B51" s="434">
        <f>'Parte 1'!B12</f>
        <v>550</v>
      </c>
      <c r="C51" s="435">
        <f>'Parte 1'!C12</f>
        <v>550</v>
      </c>
      <c r="D51" s="435">
        <f>'Parte 1'!D12</f>
        <v>550</v>
      </c>
      <c r="H51" s="426">
        <v>2.5</v>
      </c>
      <c r="I51" s="426">
        <v>2.5</v>
      </c>
      <c r="J51" s="436">
        <v>2.5</v>
      </c>
      <c r="L51" s="437">
        <v>4.8</v>
      </c>
      <c r="M51" s="426">
        <v>3.7</v>
      </c>
      <c r="N51" s="426">
        <v>4.2</v>
      </c>
      <c r="Q51" s="480">
        <v>0.5</v>
      </c>
      <c r="R51" s="480">
        <v>0.3</v>
      </c>
      <c r="S51" s="480">
        <v>0.4</v>
      </c>
      <c r="V51" s="480">
        <v>0.5</v>
      </c>
      <c r="W51" s="480">
        <v>0.3</v>
      </c>
      <c r="X51" s="480">
        <v>0.36666666666666697</v>
      </c>
      <c r="AE51" s="480">
        <v>6.5</v>
      </c>
      <c r="AF51" s="480">
        <v>6.1</v>
      </c>
      <c r="AG51" s="480">
        <v>6.2666666666666702</v>
      </c>
      <c r="AJ51" s="480">
        <v>7.1</v>
      </c>
      <c r="AK51" s="480">
        <v>6.7</v>
      </c>
      <c r="AL51" s="480">
        <v>6.8666666666666698</v>
      </c>
    </row>
    <row r="52" spans="1:38" ht="12" customHeight="1">
      <c r="A52" s="433">
        <v>7</v>
      </c>
      <c r="B52" s="434">
        <f>'Parte 1'!B13</f>
        <v>550</v>
      </c>
      <c r="C52" s="435">
        <f>'Parte 1'!C13</f>
        <v>400</v>
      </c>
      <c r="D52" s="435">
        <f>'Parte 1'!D13</f>
        <v>512.5</v>
      </c>
      <c r="H52" s="443">
        <v>2.5</v>
      </c>
      <c r="I52" s="426">
        <v>2.5</v>
      </c>
      <c r="J52" s="436">
        <v>2.5</v>
      </c>
      <c r="L52" s="437">
        <v>4.0999999999999996</v>
      </c>
      <c r="M52" s="426">
        <v>3.4</v>
      </c>
      <c r="N52" s="426">
        <v>3.7333333333333298</v>
      </c>
      <c r="Q52" s="480">
        <v>0.6</v>
      </c>
      <c r="R52" s="480">
        <v>0.3</v>
      </c>
      <c r="S52" s="480">
        <v>0.45</v>
      </c>
      <c r="V52" s="480">
        <v>0.4</v>
      </c>
      <c r="W52" s="480">
        <v>0.3</v>
      </c>
      <c r="X52" s="480">
        <v>0.32500000000000001</v>
      </c>
      <c r="AE52" s="480">
        <v>6.4</v>
      </c>
      <c r="AF52" s="480">
        <v>6.1</v>
      </c>
      <c r="AG52" s="480">
        <v>6.2750000000000004</v>
      </c>
      <c r="AJ52" s="480">
        <v>6.8</v>
      </c>
      <c r="AK52" s="480">
        <v>6.7</v>
      </c>
      <c r="AL52" s="480">
        <v>6.7583333333333302</v>
      </c>
    </row>
    <row r="53" spans="1:38" ht="12" customHeight="1">
      <c r="A53" s="433">
        <v>8</v>
      </c>
      <c r="B53" s="434">
        <f>'Parte 1'!B14</f>
        <v>400</v>
      </c>
      <c r="C53" s="435">
        <f>'Parte 1'!C14</f>
        <v>250</v>
      </c>
      <c r="D53" s="435">
        <f>'Parte 1'!D14</f>
        <v>300</v>
      </c>
      <c r="H53" s="426">
        <v>2.5</v>
      </c>
      <c r="I53" s="426">
        <v>2.5</v>
      </c>
      <c r="J53" s="436">
        <v>2.5</v>
      </c>
      <c r="L53" s="437">
        <v>3.8</v>
      </c>
      <c r="M53" s="426">
        <v>3.5</v>
      </c>
      <c r="N53" s="426">
        <v>3.6333333333333302</v>
      </c>
      <c r="Q53" s="480">
        <v>0.6</v>
      </c>
      <c r="R53" s="480">
        <v>0.3</v>
      </c>
      <c r="S53" s="480">
        <v>0.40833333333333299</v>
      </c>
      <c r="V53" s="480">
        <v>0.5</v>
      </c>
      <c r="W53" s="480">
        <v>0.3</v>
      </c>
      <c r="X53" s="480">
        <v>0.35</v>
      </c>
      <c r="AE53" s="480">
        <v>6.4</v>
      </c>
      <c r="AF53" s="480">
        <v>6.4</v>
      </c>
      <c r="AG53" s="480">
        <v>6.4</v>
      </c>
      <c r="AJ53" s="480">
        <v>6.9</v>
      </c>
      <c r="AK53" s="480">
        <v>6.8</v>
      </c>
      <c r="AL53" s="480">
        <v>6.8583333333333298</v>
      </c>
    </row>
    <row r="54" spans="1:38" ht="12" customHeight="1">
      <c r="A54" s="433">
        <v>9</v>
      </c>
      <c r="B54" s="434">
        <f>'Parte 1'!B15</f>
        <v>250</v>
      </c>
      <c r="C54" s="435">
        <f>'Parte 1'!C15</f>
        <v>250</v>
      </c>
      <c r="D54" s="435">
        <f>'Parte 1'!D15</f>
        <v>250</v>
      </c>
      <c r="H54" s="426">
        <v>2.5</v>
      </c>
      <c r="I54" s="426">
        <v>2.5</v>
      </c>
      <c r="J54" s="436">
        <v>2.5</v>
      </c>
      <c r="L54" s="437">
        <v>4.5</v>
      </c>
      <c r="M54" s="426">
        <v>2.9</v>
      </c>
      <c r="N54" s="426">
        <v>3.55833333333333</v>
      </c>
      <c r="Q54" s="480">
        <v>0.6</v>
      </c>
      <c r="R54" s="480">
        <v>0.3</v>
      </c>
      <c r="S54" s="480">
        <v>0.42499999999999999</v>
      </c>
      <c r="V54" s="480">
        <v>0.4</v>
      </c>
      <c r="W54" s="480">
        <v>0.3</v>
      </c>
      <c r="X54" s="480">
        <v>0.31666666666666698</v>
      </c>
      <c r="AE54" s="480">
        <v>6.6</v>
      </c>
      <c r="AF54" s="480">
        <v>6.4</v>
      </c>
      <c r="AG54" s="480">
        <v>6.52727272727273</v>
      </c>
      <c r="AJ54" s="480">
        <v>7</v>
      </c>
      <c r="AK54" s="480">
        <v>6.9</v>
      </c>
      <c r="AL54" s="480">
        <v>6.9636363636363603</v>
      </c>
    </row>
    <row r="55" spans="1:38" ht="12" customHeight="1">
      <c r="A55" s="433">
        <v>10</v>
      </c>
      <c r="B55" s="434">
        <f>'Parte 1'!B16</f>
        <v>250</v>
      </c>
      <c r="C55" s="435">
        <f>'Parte 1'!C16</f>
        <v>250</v>
      </c>
      <c r="D55" s="435">
        <f>'Parte 1'!D16</f>
        <v>250</v>
      </c>
      <c r="H55" s="426">
        <v>2.5</v>
      </c>
      <c r="I55" s="426">
        <v>2.5</v>
      </c>
      <c r="J55" s="436">
        <v>2.5</v>
      </c>
      <c r="L55" s="437">
        <v>28</v>
      </c>
      <c r="M55" s="426">
        <v>4.7</v>
      </c>
      <c r="N55" s="426">
        <v>15.266666666666699</v>
      </c>
      <c r="Q55" s="480">
        <v>0.6</v>
      </c>
      <c r="R55" s="480">
        <v>0.3</v>
      </c>
      <c r="S55" s="480">
        <v>0.45</v>
      </c>
      <c r="V55" s="480">
        <v>0.5</v>
      </c>
      <c r="W55" s="480">
        <v>0.3</v>
      </c>
      <c r="X55" s="480">
        <v>0.40833333333333299</v>
      </c>
      <c r="AE55" s="480">
        <v>6.8</v>
      </c>
      <c r="AF55" s="480">
        <v>6.6</v>
      </c>
      <c r="AG55" s="480">
        <v>6.6166666666666698</v>
      </c>
      <c r="AJ55" s="480">
        <v>7</v>
      </c>
      <c r="AK55" s="480">
        <v>7</v>
      </c>
      <c r="AL55" s="480">
        <v>7</v>
      </c>
    </row>
    <row r="56" spans="1:38" ht="12" customHeight="1">
      <c r="A56" s="433">
        <v>11</v>
      </c>
      <c r="B56" s="434">
        <f>'Parte 1'!B17</f>
        <v>250</v>
      </c>
      <c r="C56" s="435">
        <f>'Parte 1'!C17</f>
        <v>250</v>
      </c>
      <c r="D56" s="435">
        <f>'Parte 1'!D17</f>
        <v>250</v>
      </c>
      <c r="H56" s="426">
        <v>2.5</v>
      </c>
      <c r="I56" s="426">
        <v>2.5</v>
      </c>
      <c r="J56" s="436">
        <v>2.5</v>
      </c>
      <c r="L56" s="437">
        <v>23</v>
      </c>
      <c r="M56" s="426">
        <v>16</v>
      </c>
      <c r="N56" s="426">
        <v>19.25</v>
      </c>
      <c r="Q56" s="480">
        <v>0.6</v>
      </c>
      <c r="R56" s="480">
        <v>0.4</v>
      </c>
      <c r="S56" s="480">
        <v>0.49166666666666697</v>
      </c>
      <c r="V56" s="480">
        <v>0.5</v>
      </c>
      <c r="W56" s="480">
        <v>0.3</v>
      </c>
      <c r="X56" s="480">
        <v>0.391666666666667</v>
      </c>
      <c r="AE56" s="480">
        <v>6.6</v>
      </c>
      <c r="AF56" s="480">
        <v>6.6</v>
      </c>
      <c r="AG56" s="480">
        <v>6.6</v>
      </c>
      <c r="AJ56" s="480">
        <v>7</v>
      </c>
      <c r="AK56" s="480">
        <v>7</v>
      </c>
      <c r="AL56" s="480">
        <v>7</v>
      </c>
    </row>
    <row r="57" spans="1:38" ht="12" customHeight="1">
      <c r="A57" s="433">
        <v>12</v>
      </c>
      <c r="B57" s="434">
        <f>'Parte 1'!B18</f>
        <v>250</v>
      </c>
      <c r="C57" s="435">
        <f>'Parte 1'!C18</f>
        <v>220</v>
      </c>
      <c r="D57" s="435">
        <f>'Parte 1'!D18</f>
        <v>235</v>
      </c>
      <c r="H57" s="426">
        <v>2.5</v>
      </c>
      <c r="I57" s="426">
        <v>2.5</v>
      </c>
      <c r="J57" s="436">
        <v>2.5</v>
      </c>
      <c r="L57" s="437">
        <v>21</v>
      </c>
      <c r="M57" s="426">
        <v>14.9</v>
      </c>
      <c r="N57" s="426">
        <v>19.3</v>
      </c>
      <c r="Q57" s="480">
        <v>0.6</v>
      </c>
      <c r="R57" s="480">
        <v>0.3</v>
      </c>
      <c r="S57" s="480">
        <v>0.41666666666666702</v>
      </c>
      <c r="V57" s="480">
        <v>0.4</v>
      </c>
      <c r="W57" s="480">
        <v>0.3</v>
      </c>
      <c r="X57" s="480">
        <v>0.34166666666666701</v>
      </c>
      <c r="AE57" s="480">
        <v>6.6</v>
      </c>
      <c r="AF57" s="480">
        <v>6.6</v>
      </c>
      <c r="AG57" s="480">
        <v>6.6</v>
      </c>
      <c r="AJ57" s="480">
        <v>7.1</v>
      </c>
      <c r="AK57" s="480">
        <v>7</v>
      </c>
      <c r="AL57" s="480">
        <v>7.05833333333333</v>
      </c>
    </row>
    <row r="58" spans="1:38" ht="12" customHeight="1">
      <c r="A58" s="433">
        <v>13</v>
      </c>
      <c r="B58" s="434">
        <f>'Parte 1'!B19</f>
        <v>240</v>
      </c>
      <c r="C58" s="435">
        <f>'Parte 1'!C19</f>
        <v>220</v>
      </c>
      <c r="D58" s="435">
        <f>'Parte 1'!D19</f>
        <v>233.33333333333334</v>
      </c>
      <c r="H58" s="426">
        <v>2.5</v>
      </c>
      <c r="I58" s="426">
        <v>2.5</v>
      </c>
      <c r="J58" s="436">
        <v>2.5</v>
      </c>
      <c r="L58" s="437">
        <v>14</v>
      </c>
      <c r="M58" s="426">
        <v>9.1</v>
      </c>
      <c r="N58" s="426">
        <v>10.841666666666701</v>
      </c>
      <c r="Q58" s="480">
        <v>0.6</v>
      </c>
      <c r="R58" s="480">
        <v>0.4</v>
      </c>
      <c r="S58" s="480">
        <v>0.52500000000000002</v>
      </c>
      <c r="V58" s="480">
        <v>0.4</v>
      </c>
      <c r="W58" s="480">
        <v>0.3</v>
      </c>
      <c r="X58" s="480">
        <v>0.32500000000000001</v>
      </c>
      <c r="AE58" s="480">
        <v>6.6</v>
      </c>
      <c r="AF58" s="480">
        <v>6.6</v>
      </c>
      <c r="AG58" s="480">
        <v>6.6</v>
      </c>
      <c r="AJ58" s="480">
        <v>7.1</v>
      </c>
      <c r="AK58" s="480">
        <v>7</v>
      </c>
      <c r="AL58" s="480">
        <v>7.0416666666666696</v>
      </c>
    </row>
    <row r="59" spans="1:38" ht="12" customHeight="1">
      <c r="A59" s="433">
        <v>14</v>
      </c>
      <c r="B59" s="434">
        <f>'Parte 1'!B20</f>
        <v>240</v>
      </c>
      <c r="C59" s="435">
        <f>'Parte 1'!C20</f>
        <v>240</v>
      </c>
      <c r="D59" s="435">
        <f>'Parte 1'!D20</f>
        <v>240</v>
      </c>
      <c r="H59" s="443">
        <v>2.5</v>
      </c>
      <c r="I59" s="426">
        <v>2.5</v>
      </c>
      <c r="J59" s="436">
        <v>2.5</v>
      </c>
      <c r="L59" s="437">
        <v>8.8000000000000007</v>
      </c>
      <c r="M59" s="426">
        <v>6.1</v>
      </c>
      <c r="N59" s="426">
        <v>7.3333333333333304</v>
      </c>
      <c r="Q59" s="480">
        <v>0.6</v>
      </c>
      <c r="R59" s="480">
        <v>0.4</v>
      </c>
      <c r="S59" s="480">
        <v>0.47499999999999998</v>
      </c>
      <c r="V59" s="480">
        <v>0.5</v>
      </c>
      <c r="W59" s="480">
        <v>0.3</v>
      </c>
      <c r="X59" s="480">
        <v>0.375</v>
      </c>
      <c r="AE59" s="480">
        <v>6.7</v>
      </c>
      <c r="AF59" s="480">
        <v>6.7</v>
      </c>
      <c r="AG59" s="480">
        <v>6.7</v>
      </c>
      <c r="AJ59" s="480">
        <v>7.1</v>
      </c>
      <c r="AK59" s="480">
        <v>7</v>
      </c>
      <c r="AL59" s="480">
        <v>7.05833333333333</v>
      </c>
    </row>
    <row r="60" spans="1:38" ht="12" customHeight="1">
      <c r="A60" s="433">
        <v>15</v>
      </c>
      <c r="B60" s="434">
        <f>'Parte 1'!B21</f>
        <v>240</v>
      </c>
      <c r="C60" s="435">
        <v>50</v>
      </c>
      <c r="D60" s="435">
        <v>50</v>
      </c>
      <c r="H60" s="443">
        <v>2.5</v>
      </c>
      <c r="I60" s="426">
        <v>2.5</v>
      </c>
      <c r="J60" s="436">
        <v>2.5</v>
      </c>
      <c r="L60" s="437">
        <v>5.9</v>
      </c>
      <c r="M60" s="426">
        <v>5</v>
      </c>
      <c r="N60" s="426">
        <v>5.56666666666667</v>
      </c>
      <c r="Q60" s="480">
        <v>0.5</v>
      </c>
      <c r="R60" s="480">
        <v>0.3</v>
      </c>
      <c r="S60" s="480">
        <v>0.375</v>
      </c>
      <c r="V60" s="480">
        <v>0.4</v>
      </c>
      <c r="W60" s="480">
        <v>0.3</v>
      </c>
      <c r="X60" s="480">
        <v>0.30833333333333302</v>
      </c>
      <c r="AE60" s="480">
        <v>6.7</v>
      </c>
      <c r="AF60" s="480">
        <v>6.6</v>
      </c>
      <c r="AG60" s="480">
        <v>6.6416666666666702</v>
      </c>
      <c r="AJ60" s="480">
        <v>7.1</v>
      </c>
      <c r="AK60" s="480">
        <v>7</v>
      </c>
      <c r="AL60" s="480">
        <v>7.0416666666666696</v>
      </c>
    </row>
    <row r="61" spans="1:38" ht="12" customHeight="1">
      <c r="A61" s="433">
        <v>16</v>
      </c>
      <c r="B61" s="434"/>
      <c r="C61" s="435"/>
      <c r="D61" s="435"/>
      <c r="H61" s="443"/>
      <c r="I61" s="426"/>
      <c r="J61" s="436"/>
      <c r="L61" s="437"/>
      <c r="M61" s="426"/>
      <c r="N61" s="426"/>
      <c r="Q61" s="480"/>
      <c r="R61" s="480"/>
      <c r="S61" s="480"/>
      <c r="V61" s="480"/>
      <c r="W61" s="480"/>
      <c r="X61" s="480"/>
      <c r="AE61" s="480"/>
      <c r="AF61" s="480"/>
      <c r="AG61" s="480"/>
      <c r="AJ61" s="480"/>
      <c r="AK61" s="480"/>
      <c r="AL61" s="480"/>
    </row>
    <row r="62" spans="1:38" ht="12" customHeight="1">
      <c r="A62" s="433">
        <v>17</v>
      </c>
      <c r="B62" s="434"/>
      <c r="C62" s="435"/>
      <c r="D62" s="435"/>
      <c r="H62" s="426"/>
      <c r="I62" s="426"/>
      <c r="J62" s="436"/>
      <c r="L62" s="437"/>
      <c r="M62" s="426"/>
      <c r="N62" s="426"/>
      <c r="Q62" s="480"/>
      <c r="R62" s="480"/>
      <c r="S62" s="480"/>
      <c r="V62" s="480"/>
      <c r="W62" s="480"/>
      <c r="X62" s="480"/>
      <c r="AE62" s="480"/>
      <c r="AF62" s="480"/>
      <c r="AG62" s="480"/>
      <c r="AJ62" s="480"/>
      <c r="AK62" s="480"/>
      <c r="AL62" s="480"/>
    </row>
    <row r="63" spans="1:38" ht="12" customHeight="1">
      <c r="A63" s="433">
        <v>18</v>
      </c>
      <c r="B63" s="434"/>
      <c r="C63" s="435"/>
      <c r="D63" s="435"/>
      <c r="H63" s="426"/>
      <c r="I63" s="426"/>
      <c r="J63" s="436"/>
      <c r="L63" s="437"/>
      <c r="M63" s="426"/>
      <c r="N63" s="426"/>
      <c r="Q63" s="480"/>
      <c r="R63" s="480"/>
      <c r="S63" s="480"/>
      <c r="V63" s="480"/>
      <c r="W63" s="480"/>
      <c r="X63" s="480"/>
      <c r="AE63" s="480"/>
      <c r="AF63" s="480"/>
      <c r="AG63" s="480"/>
      <c r="AJ63" s="480"/>
      <c r="AK63" s="480"/>
      <c r="AL63" s="480"/>
    </row>
    <row r="64" spans="1:38" ht="12" customHeight="1">
      <c r="A64" s="433">
        <v>19</v>
      </c>
      <c r="B64" s="482"/>
      <c r="C64" s="435"/>
      <c r="D64" s="435"/>
      <c r="H64" s="426"/>
      <c r="I64" s="426"/>
      <c r="J64" s="436"/>
      <c r="L64" s="437"/>
      <c r="M64" s="426"/>
      <c r="N64" s="426"/>
      <c r="Q64" s="480"/>
      <c r="R64" s="480"/>
      <c r="S64" s="480"/>
      <c r="V64" s="480"/>
      <c r="W64" s="480"/>
      <c r="X64" s="480"/>
      <c r="AE64" s="480"/>
      <c r="AF64" s="480"/>
      <c r="AG64" s="480"/>
      <c r="AJ64" s="480"/>
      <c r="AK64" s="480"/>
      <c r="AL64" s="480"/>
    </row>
    <row r="65" spans="1:38" ht="12" customHeight="1">
      <c r="A65" s="433">
        <v>20</v>
      </c>
      <c r="B65" s="482"/>
      <c r="C65" s="435"/>
      <c r="D65" s="435"/>
      <c r="H65" s="426"/>
      <c r="I65" s="426"/>
      <c r="J65" s="436"/>
      <c r="L65" s="437"/>
      <c r="M65" s="426"/>
      <c r="N65" s="426"/>
      <c r="Q65" s="480"/>
      <c r="R65" s="480"/>
      <c r="S65" s="480"/>
      <c r="V65" s="480"/>
      <c r="W65" s="480"/>
      <c r="X65" s="480"/>
      <c r="AE65" s="480"/>
      <c r="AF65" s="480"/>
      <c r="AG65" s="480"/>
      <c r="AJ65" s="480"/>
      <c r="AK65" s="480"/>
      <c r="AL65" s="480"/>
    </row>
    <row r="66" spans="1:38" ht="12" customHeight="1">
      <c r="A66" s="433">
        <v>21</v>
      </c>
      <c r="B66" s="434"/>
      <c r="C66" s="435"/>
      <c r="D66" s="435"/>
      <c r="H66" s="426"/>
      <c r="I66" s="426"/>
      <c r="J66" s="436"/>
      <c r="L66" s="437"/>
      <c r="M66" s="426"/>
      <c r="N66" s="426"/>
      <c r="Q66" s="480"/>
      <c r="R66" s="480"/>
      <c r="S66" s="480"/>
      <c r="V66" s="480"/>
      <c r="W66" s="480"/>
      <c r="X66" s="480"/>
      <c r="AE66" s="480"/>
      <c r="AF66" s="480"/>
      <c r="AG66" s="480"/>
      <c r="AJ66" s="480"/>
      <c r="AK66" s="480"/>
      <c r="AL66" s="480"/>
    </row>
    <row r="67" spans="1:38" ht="12" customHeight="1">
      <c r="A67" s="433">
        <v>22</v>
      </c>
      <c r="B67" s="434"/>
      <c r="C67" s="435"/>
      <c r="D67" s="435"/>
      <c r="H67" s="426"/>
      <c r="I67" s="426"/>
      <c r="J67" s="436"/>
      <c r="L67" s="437"/>
      <c r="M67" s="426"/>
      <c r="N67" s="426"/>
      <c r="Q67" s="480"/>
      <c r="R67" s="480"/>
      <c r="S67" s="480"/>
      <c r="V67" s="480"/>
      <c r="W67" s="480"/>
      <c r="X67" s="480"/>
      <c r="AE67" s="480"/>
      <c r="AF67" s="480"/>
      <c r="AG67" s="480"/>
      <c r="AJ67" s="480"/>
      <c r="AK67" s="480"/>
      <c r="AL67" s="480"/>
    </row>
    <row r="68" spans="1:38" ht="11.25" customHeight="1">
      <c r="A68" s="433">
        <v>23</v>
      </c>
      <c r="B68" s="483"/>
      <c r="C68" s="483"/>
      <c r="D68" s="484"/>
      <c r="H68" s="485"/>
      <c r="I68" s="485"/>
      <c r="J68" s="485"/>
      <c r="L68" s="485"/>
      <c r="M68" s="485"/>
      <c r="N68" s="485"/>
      <c r="Q68" s="480"/>
      <c r="R68" s="480"/>
      <c r="S68" s="480"/>
      <c r="V68" s="480"/>
      <c r="W68" s="480"/>
      <c r="X68" s="480"/>
      <c r="AE68" s="480"/>
      <c r="AF68" s="480"/>
      <c r="AG68" s="480"/>
      <c r="AJ68" s="480"/>
      <c r="AK68" s="480"/>
      <c r="AL68" s="480"/>
    </row>
    <row r="69" spans="1:38" ht="11.25" customHeight="1">
      <c r="A69" s="433">
        <v>24</v>
      </c>
      <c r="B69" s="483"/>
      <c r="C69" s="483"/>
      <c r="D69" s="484"/>
      <c r="H69" s="485"/>
      <c r="I69" s="485"/>
      <c r="J69" s="485"/>
      <c r="L69" s="485"/>
      <c r="M69" s="485"/>
      <c r="N69" s="485"/>
      <c r="Q69" s="480"/>
      <c r="R69" s="480"/>
      <c r="S69" s="480"/>
      <c r="V69" s="480"/>
      <c r="W69" s="480"/>
      <c r="X69" s="480"/>
      <c r="AE69" s="480"/>
      <c r="AF69" s="480"/>
      <c r="AG69" s="480"/>
      <c r="AJ69" s="480"/>
      <c r="AK69" s="480"/>
      <c r="AL69" s="480"/>
    </row>
    <row r="70" spans="1:38" ht="11.25" customHeight="1">
      <c r="A70" s="433">
        <v>25</v>
      </c>
      <c r="B70" s="483"/>
      <c r="C70" s="483"/>
      <c r="D70" s="484"/>
      <c r="H70" s="485"/>
      <c r="I70" s="485"/>
      <c r="J70" s="485"/>
      <c r="L70" s="485"/>
      <c r="M70" s="485"/>
      <c r="N70" s="485"/>
      <c r="Q70" s="480"/>
      <c r="R70" s="480"/>
      <c r="S70" s="480"/>
      <c r="V70" s="480"/>
      <c r="W70" s="480"/>
      <c r="X70" s="480"/>
      <c r="AE70" s="480"/>
      <c r="AF70" s="480"/>
      <c r="AG70" s="480"/>
      <c r="AJ70" s="480"/>
      <c r="AK70" s="480"/>
      <c r="AL70" s="480"/>
    </row>
    <row r="71" spans="1:38" ht="11.25" customHeight="1">
      <c r="A71" s="433">
        <v>26</v>
      </c>
      <c r="B71" s="483"/>
      <c r="C71" s="483"/>
      <c r="D71" s="484"/>
      <c r="H71" s="485"/>
      <c r="I71" s="485"/>
      <c r="J71" s="485"/>
      <c r="L71" s="485"/>
      <c r="M71" s="485"/>
      <c r="N71" s="485"/>
      <c r="Q71" s="480"/>
      <c r="R71" s="480"/>
      <c r="S71" s="480"/>
      <c r="V71" s="480"/>
      <c r="W71" s="480"/>
      <c r="X71" s="480"/>
      <c r="AE71" s="480"/>
      <c r="AF71" s="480"/>
      <c r="AG71" s="480"/>
      <c r="AJ71" s="480"/>
      <c r="AK71" s="480"/>
      <c r="AL71" s="480"/>
    </row>
    <row r="72" spans="1:38" ht="11.25" customHeight="1">
      <c r="A72" s="433">
        <v>27</v>
      </c>
      <c r="B72" s="483"/>
      <c r="C72" s="483"/>
      <c r="D72" s="484"/>
      <c r="H72" s="485"/>
      <c r="I72" s="485"/>
      <c r="J72" s="485"/>
      <c r="L72" s="485"/>
      <c r="M72" s="485"/>
      <c r="N72" s="485"/>
      <c r="Q72" s="480"/>
      <c r="R72" s="480"/>
      <c r="S72" s="480"/>
      <c r="V72" s="480"/>
      <c r="W72" s="480"/>
      <c r="X72" s="480"/>
      <c r="AE72" s="480"/>
      <c r="AF72" s="480"/>
      <c r="AG72" s="480"/>
      <c r="AJ72" s="480"/>
      <c r="AK72" s="480"/>
      <c r="AL72" s="480"/>
    </row>
    <row r="73" spans="1:38" ht="11.25" customHeight="1">
      <c r="A73" s="433">
        <v>28</v>
      </c>
      <c r="B73" s="486"/>
      <c r="C73" s="486"/>
      <c r="D73" s="487"/>
      <c r="H73" s="486"/>
      <c r="I73" s="486"/>
      <c r="J73" s="485"/>
      <c r="L73" s="486"/>
      <c r="M73" s="486"/>
      <c r="N73" s="486"/>
      <c r="Q73" s="480"/>
      <c r="R73" s="480"/>
      <c r="S73" s="480"/>
      <c r="V73" s="486"/>
      <c r="W73" s="486"/>
      <c r="X73" s="486"/>
      <c r="AE73" s="486"/>
      <c r="AF73" s="486"/>
      <c r="AG73" s="486"/>
      <c r="AJ73" s="486"/>
      <c r="AK73" s="486"/>
      <c r="AL73" s="486"/>
    </row>
    <row r="74" spans="1:38" ht="11.25" customHeight="1">
      <c r="A74" s="433">
        <v>29</v>
      </c>
      <c r="B74" s="486"/>
      <c r="C74" s="486"/>
      <c r="D74" s="487"/>
      <c r="H74" s="486"/>
      <c r="I74" s="486"/>
      <c r="J74" s="485"/>
      <c r="L74" s="486"/>
      <c r="M74" s="486"/>
      <c r="N74" s="486"/>
      <c r="Q74" s="486"/>
      <c r="R74" s="486"/>
      <c r="S74" s="486"/>
      <c r="V74" s="486"/>
      <c r="W74" s="486"/>
      <c r="X74" s="486"/>
      <c r="AE74" s="486"/>
      <c r="AF74" s="486"/>
      <c r="AG74" s="486"/>
      <c r="AJ74" s="486"/>
      <c r="AK74" s="486"/>
      <c r="AL74" s="486"/>
    </row>
    <row r="75" spans="1:38" ht="11.25" customHeight="1">
      <c r="A75" s="433">
        <v>30</v>
      </c>
      <c r="B75" s="486"/>
      <c r="C75" s="486"/>
      <c r="D75" s="487"/>
      <c r="H75" s="486"/>
      <c r="I75" s="486"/>
      <c r="J75" s="485"/>
      <c r="L75" s="486"/>
      <c r="M75" s="486"/>
      <c r="N75" s="486"/>
      <c r="Q75" s="486"/>
      <c r="R75" s="486"/>
      <c r="S75" s="486"/>
      <c r="V75" s="486"/>
      <c r="W75" s="486"/>
      <c r="X75" s="486"/>
      <c r="AE75" s="486"/>
      <c r="AF75" s="486"/>
      <c r="AG75" s="486"/>
      <c r="AJ75" s="486"/>
      <c r="AK75" s="486"/>
      <c r="AL75" s="486"/>
    </row>
    <row r="76" spans="1:38" ht="12" customHeight="1">
      <c r="A76" s="444">
        <v>31</v>
      </c>
      <c r="B76" s="488"/>
      <c r="C76" s="488"/>
      <c r="D76" s="489"/>
      <c r="H76" s="486"/>
      <c r="I76" s="486"/>
      <c r="J76" s="485"/>
      <c r="L76" s="486"/>
      <c r="M76" s="486"/>
      <c r="N76" s="486"/>
      <c r="Q76" s="486"/>
      <c r="R76" s="486"/>
      <c r="S76" s="486"/>
      <c r="V76" s="486"/>
      <c r="W76" s="486"/>
      <c r="X76" s="486"/>
      <c r="AE76" s="486"/>
      <c r="AF76" s="486"/>
      <c r="AG76" s="486"/>
      <c r="AJ76" s="486"/>
      <c r="AK76" s="486"/>
      <c r="AL76" s="486"/>
    </row>
    <row r="77" spans="1:38" ht="12" customHeight="1">
      <c r="B77" s="490" t="s">
        <v>233</v>
      </c>
      <c r="C77" s="490" t="s">
        <v>234</v>
      </c>
      <c r="D77" s="491" t="s">
        <v>52</v>
      </c>
      <c r="H77" s="492" t="s">
        <v>233</v>
      </c>
      <c r="I77" s="493" t="s">
        <v>234</v>
      </c>
      <c r="J77" s="477" t="s">
        <v>52</v>
      </c>
      <c r="L77" s="492" t="s">
        <v>233</v>
      </c>
      <c r="M77" s="493" t="s">
        <v>234</v>
      </c>
      <c r="N77" s="477" t="s">
        <v>52</v>
      </c>
      <c r="Q77" s="492" t="s">
        <v>233</v>
      </c>
      <c r="R77" s="493" t="s">
        <v>234</v>
      </c>
      <c r="S77" s="477" t="s">
        <v>52</v>
      </c>
      <c r="V77" s="492" t="s">
        <v>233</v>
      </c>
      <c r="W77" s="493" t="s">
        <v>234</v>
      </c>
      <c r="X77" s="477" t="s">
        <v>52</v>
      </c>
      <c r="AE77" s="492" t="s">
        <v>233</v>
      </c>
      <c r="AF77" s="493" t="s">
        <v>234</v>
      </c>
      <c r="AG77" s="494" t="s">
        <v>52</v>
      </c>
      <c r="AJ77" s="492" t="s">
        <v>233</v>
      </c>
      <c r="AK77" s="493" t="s">
        <v>234</v>
      </c>
      <c r="AL77" s="494" t="s">
        <v>52</v>
      </c>
    </row>
    <row r="78" spans="1:38" ht="12" customHeight="1">
      <c r="B78" s="495">
        <f>MAX('Parte 1'!B46:B76)</f>
        <v>1100</v>
      </c>
      <c r="C78" s="496">
        <f>MIN('Parte 1'!B44:B76)</f>
        <v>240</v>
      </c>
      <c r="D78" s="497">
        <f>AVERAGE('Parte 1'!D46:D76)</f>
        <v>448.33333333333331</v>
      </c>
      <c r="H78" s="495">
        <f>MAX('Parte 1'!H46:H76)</f>
        <v>2.5</v>
      </c>
      <c r="I78" s="498">
        <f>MIN('Parte 1'!H44:H76)</f>
        <v>2.5</v>
      </c>
      <c r="J78" s="497">
        <f>AVERAGE('Parte 1'!J46:J76)</f>
        <v>2.5</v>
      </c>
      <c r="L78" s="495">
        <f>MAX('Parte 1'!L46:L76)</f>
        <v>28</v>
      </c>
      <c r="M78" s="498">
        <f>MIN('Parte 1'!L44:L76)</f>
        <v>3.8</v>
      </c>
      <c r="N78" s="497">
        <f>AVERAGE('Parte 1'!N46:N76)</f>
        <v>8.263333333333339</v>
      </c>
      <c r="Q78" s="495">
        <f>MAX('Parte 1'!Q46:Q76)</f>
        <v>0.7</v>
      </c>
      <c r="R78" s="498">
        <f>MIN('Parte 1'!Q44:Q76)</f>
        <v>0.4</v>
      </c>
      <c r="S78" s="497">
        <f>AVERAGE('Parte 1'!S46:S76)</f>
        <v>0.44388888888888889</v>
      </c>
      <c r="V78" s="495">
        <f>MAX('Parte 1'!V46:V76)</f>
        <v>0.5</v>
      </c>
      <c r="W78" s="498">
        <f>MIN('Parte 1'!V44:V76)</f>
        <v>0.4</v>
      </c>
      <c r="X78" s="497">
        <f>AVERAGE('Parte 1'!X46:X76)</f>
        <v>0.36111111111111105</v>
      </c>
      <c r="AE78" s="495">
        <f>MAX('Parte 1'!AE46:AE76)</f>
        <v>6.8</v>
      </c>
      <c r="AF78" s="498">
        <f>MIN('Parte 1'!AE44:AE76)</f>
        <v>6.2</v>
      </c>
      <c r="AG78" s="497">
        <f>AVERAGE('Parte 1'!AG46:AG76)</f>
        <v>6.5034848484848489</v>
      </c>
      <c r="AJ78" s="495">
        <f>MAX('Parte 1'!AJ46:AJ76)</f>
        <v>7.2</v>
      </c>
      <c r="AK78" s="498">
        <f>MIN('Parte 1'!AJ44:AJ76)</f>
        <v>6.7</v>
      </c>
      <c r="AL78" s="497">
        <f>AVERAGE('Parte 1'!AL46:AL76)</f>
        <v>6.9725757575757568</v>
      </c>
    </row>
    <row r="80" spans="1:38" ht="12" customHeight="1"/>
    <row r="81" spans="8:33" ht="12" customHeight="1">
      <c r="H81" s="1158" t="s">
        <v>235</v>
      </c>
      <c r="I81" s="1158"/>
      <c r="J81" s="496">
        <f>COUNTA('Parte 1'!J46:J76)*12</f>
        <v>180</v>
      </c>
      <c r="L81" s="1158" t="s">
        <v>235</v>
      </c>
      <c r="M81" s="1158"/>
      <c r="N81" s="499">
        <f>COUNTA('Parte 1'!N46:N76)*12</f>
        <v>180</v>
      </c>
      <c r="Q81" s="1158" t="s">
        <v>235</v>
      </c>
      <c r="R81" s="1158"/>
      <c r="S81" s="499">
        <f>COUNTA('Parte 1'!S46:S76)*12</f>
        <v>180</v>
      </c>
      <c r="V81" s="1158" t="s">
        <v>235</v>
      </c>
      <c r="W81" s="1158"/>
      <c r="X81" s="499">
        <f>COUNTA('Parte 1'!X46:X76)*12</f>
        <v>180</v>
      </c>
      <c r="AE81" s="1158" t="s">
        <v>235</v>
      </c>
      <c r="AF81" s="1158"/>
      <c r="AG81" s="499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08"/>
      <c r="B1" s="409"/>
      <c r="C1" s="409"/>
      <c r="D1" s="409"/>
      <c r="E1" s="409"/>
      <c r="F1" s="410"/>
      <c r="G1" s="1161" t="s">
        <v>206</v>
      </c>
      <c r="H1" s="1161"/>
      <c r="I1" s="1161"/>
      <c r="J1" s="1161"/>
      <c r="K1" s="1161"/>
      <c r="L1" s="1161"/>
      <c r="M1" s="1161"/>
      <c r="N1" s="1161"/>
      <c r="O1" s="1161"/>
      <c r="P1" s="1161"/>
      <c r="Q1" s="1161"/>
      <c r="R1" s="1161"/>
      <c r="S1" s="1161"/>
      <c r="T1" s="1161"/>
      <c r="U1" s="1161"/>
      <c r="V1" s="1162" t="s">
        <v>236</v>
      </c>
      <c r="W1" s="1162"/>
    </row>
    <row r="2" spans="1:23" ht="16.5" customHeight="1">
      <c r="A2" s="411"/>
      <c r="B2" s="412"/>
      <c r="C2" s="412"/>
      <c r="D2" s="412"/>
      <c r="E2" s="412"/>
      <c r="F2" s="413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3">
        <f>'1'!$U$25</f>
        <v>44317</v>
      </c>
      <c r="W2" s="1163"/>
    </row>
    <row r="3" spans="1:23" ht="3" customHeight="1">
      <c r="A3" s="500"/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1"/>
    </row>
    <row r="4" spans="1:23" s="415" customFormat="1" ht="30" customHeight="1">
      <c r="A4" s="1143" t="s">
        <v>208</v>
      </c>
      <c r="B4" s="1164" t="s">
        <v>237</v>
      </c>
      <c r="C4" s="1164"/>
      <c r="D4" s="1164"/>
      <c r="E4" s="1164"/>
      <c r="F4" s="1164"/>
      <c r="G4" s="1164"/>
      <c r="H4" s="1165" t="s">
        <v>238</v>
      </c>
      <c r="I4" s="1165"/>
      <c r="J4" s="1165"/>
      <c r="K4" s="1165"/>
      <c r="L4" s="1165"/>
      <c r="M4" s="1165"/>
      <c r="N4" s="1165" t="s">
        <v>211</v>
      </c>
      <c r="O4" s="1165"/>
      <c r="P4" s="1165"/>
      <c r="Q4" s="1165"/>
      <c r="R4" s="1165"/>
      <c r="S4" s="1165"/>
      <c r="T4" s="1165" t="s">
        <v>239</v>
      </c>
      <c r="U4" s="1165"/>
      <c r="V4" s="1166" t="s">
        <v>240</v>
      </c>
      <c r="W4" s="1166"/>
    </row>
    <row r="5" spans="1:23" ht="19.350000000000001" customHeight="1">
      <c r="A5" s="1143"/>
      <c r="B5" s="1167" t="s">
        <v>213</v>
      </c>
      <c r="C5" s="1167"/>
      <c r="D5" s="1167"/>
      <c r="E5" s="1168" t="s">
        <v>213</v>
      </c>
      <c r="F5" s="1168"/>
      <c r="G5" s="1168"/>
      <c r="H5" s="1167" t="s">
        <v>213</v>
      </c>
      <c r="I5" s="1167"/>
      <c r="J5" s="1167"/>
      <c r="K5" s="1168" t="s">
        <v>213</v>
      </c>
      <c r="L5" s="1168"/>
      <c r="M5" s="1168"/>
      <c r="N5" s="1167" t="s">
        <v>213</v>
      </c>
      <c r="O5" s="1167"/>
      <c r="P5" s="1167"/>
      <c r="Q5" s="1168" t="s">
        <v>213</v>
      </c>
      <c r="R5" s="1168"/>
      <c r="S5" s="1168"/>
      <c r="T5" s="1169" t="s">
        <v>212</v>
      </c>
      <c r="U5" s="1169" t="s">
        <v>214</v>
      </c>
      <c r="V5" s="1169" t="s">
        <v>212</v>
      </c>
      <c r="W5" s="1171" t="s">
        <v>214</v>
      </c>
    </row>
    <row r="6" spans="1:23" ht="17.25" customHeight="1">
      <c r="A6" s="1143"/>
      <c r="B6" s="1172" t="s">
        <v>241</v>
      </c>
      <c r="C6" s="1172"/>
      <c r="D6" s="1172"/>
      <c r="E6" s="1173" t="s">
        <v>242</v>
      </c>
      <c r="F6" s="1173"/>
      <c r="G6" s="1173"/>
      <c r="H6" s="1172" t="s">
        <v>241</v>
      </c>
      <c r="I6" s="1172"/>
      <c r="J6" s="1172"/>
      <c r="K6" s="1173" t="s">
        <v>242</v>
      </c>
      <c r="L6" s="1173"/>
      <c r="M6" s="1173"/>
      <c r="N6" s="1172" t="s">
        <v>241</v>
      </c>
      <c r="O6" s="1172"/>
      <c r="P6" s="1172"/>
      <c r="Q6" s="1173" t="s">
        <v>243</v>
      </c>
      <c r="R6" s="1173"/>
      <c r="S6" s="1173"/>
      <c r="T6" s="1169"/>
      <c r="U6" s="1169"/>
      <c r="V6" s="1169"/>
      <c r="W6" s="1171"/>
    </row>
    <row r="7" spans="1:23" ht="17.25" customHeight="1">
      <c r="A7" s="1143"/>
      <c r="B7" s="417" t="s">
        <v>216</v>
      </c>
      <c r="C7" s="418" t="s">
        <v>217</v>
      </c>
      <c r="D7" s="418" t="s">
        <v>218</v>
      </c>
      <c r="E7" s="418" t="s">
        <v>216</v>
      </c>
      <c r="F7" s="418" t="s">
        <v>217</v>
      </c>
      <c r="G7" s="418" t="s">
        <v>218</v>
      </c>
      <c r="H7" s="418" t="s">
        <v>216</v>
      </c>
      <c r="I7" s="418" t="s">
        <v>217</v>
      </c>
      <c r="J7" s="418" t="s">
        <v>218</v>
      </c>
      <c r="K7" s="418" t="s">
        <v>216</v>
      </c>
      <c r="L7" s="418" t="s">
        <v>217</v>
      </c>
      <c r="M7" s="418" t="s">
        <v>218</v>
      </c>
      <c r="N7" s="418" t="s">
        <v>216</v>
      </c>
      <c r="O7" s="418" t="s">
        <v>217</v>
      </c>
      <c r="P7" s="418" t="s">
        <v>218</v>
      </c>
      <c r="Q7" s="418" t="s">
        <v>216</v>
      </c>
      <c r="R7" s="418" t="s">
        <v>217</v>
      </c>
      <c r="S7" s="418" t="s">
        <v>218</v>
      </c>
      <c r="T7" s="1169"/>
      <c r="U7" s="1169"/>
      <c r="V7" s="1169"/>
      <c r="W7" s="1171"/>
    </row>
    <row r="8" spans="1:23" ht="19.5" customHeight="1">
      <c r="A8" s="502">
        <v>1</v>
      </c>
      <c r="B8" s="503">
        <f>'1'!$C$20</f>
        <v>80</v>
      </c>
      <c r="C8" s="504">
        <f>'1'!$C$21</f>
        <v>12.5</v>
      </c>
      <c r="D8" s="504">
        <f>'1'!$C$19</f>
        <v>23.75</v>
      </c>
      <c r="E8" s="427">
        <f>'1'!$D$20</f>
        <v>80</v>
      </c>
      <c r="F8" s="505">
        <f>'1'!$D$21</f>
        <v>5</v>
      </c>
      <c r="G8" s="427">
        <f>'1'!$D$19</f>
        <v>21.041666666666668</v>
      </c>
      <c r="H8" s="427">
        <f>'1'!$G$20</f>
        <v>63</v>
      </c>
      <c r="I8" s="427">
        <f>'1'!$G$21</f>
        <v>2.8</v>
      </c>
      <c r="J8" s="427">
        <f>'1'!$G$19</f>
        <v>13.916666666666666</v>
      </c>
      <c r="K8" s="427">
        <f>'1'!$H$20</f>
        <v>91</v>
      </c>
      <c r="L8" s="427">
        <f>'1'!$H$21</f>
        <v>1.9</v>
      </c>
      <c r="M8" s="427">
        <f>'1'!$H$19</f>
        <v>17.425000000000001</v>
      </c>
      <c r="N8" s="430">
        <f>'1'!$L$20</f>
        <v>6</v>
      </c>
      <c r="O8" s="430">
        <f>'1'!$L$21</f>
        <v>4.8</v>
      </c>
      <c r="P8" s="430">
        <f>'1'!$L$19</f>
        <v>5.1249999999999982</v>
      </c>
      <c r="Q8" s="430">
        <f>'1'!$M$20</f>
        <v>5.7</v>
      </c>
      <c r="R8" s="430">
        <f>'1'!$M$21</f>
        <v>4.8</v>
      </c>
      <c r="S8" s="430">
        <f>'1'!$M$19</f>
        <v>5.0999999999999988</v>
      </c>
      <c r="T8" s="427">
        <f>'1'!$F$37</f>
        <v>4</v>
      </c>
      <c r="U8" s="427">
        <f>'1'!$G$37</f>
        <v>0.2</v>
      </c>
      <c r="V8" s="506">
        <f>'1'!$I$37</f>
        <v>0.3</v>
      </c>
      <c r="W8" s="507">
        <f>'1'!$K$37</f>
        <v>0.1</v>
      </c>
    </row>
    <row r="9" spans="1:23" ht="19.5" customHeight="1">
      <c r="A9" s="508">
        <v>2</v>
      </c>
      <c r="B9" s="509">
        <f>'2'!$C$20</f>
        <v>12.5</v>
      </c>
      <c r="C9" s="510">
        <f>'2'!$C$21</f>
        <v>5</v>
      </c>
      <c r="D9" s="510">
        <f>'2'!$C$19</f>
        <v>8.9583333333333339</v>
      </c>
      <c r="E9" s="443">
        <f>'2'!$D$20</f>
        <v>7.5</v>
      </c>
      <c r="F9" s="511">
        <f>'2'!$D$21</f>
        <v>7.5</v>
      </c>
      <c r="G9" s="443">
        <f>'2'!$D$19</f>
        <v>7.5</v>
      </c>
      <c r="H9" s="426">
        <f>'2'!$G$20</f>
        <v>3.9</v>
      </c>
      <c r="I9" s="426">
        <f>'2'!$G$21</f>
        <v>1.4</v>
      </c>
      <c r="J9" s="426">
        <f>'2'!$G$19</f>
        <v>3</v>
      </c>
      <c r="K9" s="426">
        <f>'2'!$H$20</f>
        <v>6</v>
      </c>
      <c r="L9" s="426">
        <f>'2'!$H$21</f>
        <v>2.1</v>
      </c>
      <c r="M9" s="426">
        <f>'2'!$H$19</f>
        <v>3.3333333333333335</v>
      </c>
      <c r="N9" s="438">
        <f>'2'!$L$20</f>
        <v>4.8</v>
      </c>
      <c r="O9" s="438">
        <f>'2'!$L$21</f>
        <v>4.8</v>
      </c>
      <c r="P9" s="438">
        <f>'2'!$L$19</f>
        <v>4.7999999999999989</v>
      </c>
      <c r="Q9" s="438">
        <f>'2'!$M$20</f>
        <v>4.8</v>
      </c>
      <c r="R9" s="438">
        <f>'2'!$M$21</f>
        <v>4.58</v>
      </c>
      <c r="S9" s="438">
        <f>'2'!$M$19</f>
        <v>4.6533333333333324</v>
      </c>
      <c r="T9" s="426">
        <f>'2'!$F$37</f>
        <v>3</v>
      </c>
      <c r="U9" s="426">
        <f>'2'!$G$37</f>
        <v>0.2</v>
      </c>
      <c r="V9" s="512">
        <f>'2'!$I$37</f>
        <v>0.3</v>
      </c>
      <c r="W9" s="513">
        <f>'2'!$K$37</f>
        <v>0.06</v>
      </c>
    </row>
    <row r="10" spans="1:23" ht="19.5" customHeight="1">
      <c r="A10" s="508">
        <v>3</v>
      </c>
      <c r="B10" s="509">
        <f>'3'!$C$20</f>
        <v>12.5</v>
      </c>
      <c r="C10" s="510">
        <f>'3'!$C$21</f>
        <v>10</v>
      </c>
      <c r="D10" s="510">
        <f>'3'!$C$19</f>
        <v>10.833333333333334</v>
      </c>
      <c r="E10" s="426">
        <f>'3'!$D$20</f>
        <v>12.5</v>
      </c>
      <c r="F10" s="511">
        <f>'3'!$D$21</f>
        <v>5</v>
      </c>
      <c r="G10" s="426">
        <f>'3'!$D$19</f>
        <v>8.75</v>
      </c>
      <c r="H10" s="426">
        <f>'3'!$G$20</f>
        <v>4.5</v>
      </c>
      <c r="I10" s="426">
        <f>'3'!$G$21</f>
        <v>3.2</v>
      </c>
      <c r="J10" s="426">
        <f>'3'!$G$19</f>
        <v>3.6500000000000004</v>
      </c>
      <c r="K10" s="426">
        <f>'3'!$H$20</f>
        <v>4</v>
      </c>
      <c r="L10" s="426">
        <f>'3'!$H$21</f>
        <v>2.6</v>
      </c>
      <c r="M10" s="426">
        <f>'3'!$H$19</f>
        <v>3.0666666666666664</v>
      </c>
      <c r="N10" s="438">
        <f>'3'!$L$20</f>
        <v>4.8</v>
      </c>
      <c r="O10" s="438">
        <f>'3'!$L$21</f>
        <v>4.8</v>
      </c>
      <c r="P10" s="438">
        <f>'3'!$L$19</f>
        <v>4.7999999999999989</v>
      </c>
      <c r="Q10" s="438">
        <f>'3'!$M$20</f>
        <v>4.8</v>
      </c>
      <c r="R10" s="438">
        <f>'3'!$M$21</f>
        <v>4.8</v>
      </c>
      <c r="S10" s="438">
        <f>'3'!$M$19</f>
        <v>4.7999999999999989</v>
      </c>
      <c r="T10" s="426">
        <f>'3'!$F$37</f>
        <v>2.8</v>
      </c>
      <c r="U10" s="426">
        <f>'3'!$G$37</f>
        <v>0.2</v>
      </c>
      <c r="V10" s="512">
        <f>'3'!$I$37</f>
        <v>0.3</v>
      </c>
      <c r="W10" s="513">
        <f>'3'!$K$37</f>
        <v>0.06</v>
      </c>
    </row>
    <row r="11" spans="1:23" ht="19.5" customHeight="1">
      <c r="A11" s="508">
        <v>4</v>
      </c>
      <c r="B11" s="509">
        <f>'4'!$C$20</f>
        <v>10</v>
      </c>
      <c r="C11" s="510">
        <f>'4'!$C$21</f>
        <v>7.5</v>
      </c>
      <c r="D11" s="510">
        <f>'4'!$C$19</f>
        <v>10.833333333333334</v>
      </c>
      <c r="E11" s="443">
        <f>'4'!$D$20</f>
        <v>10</v>
      </c>
      <c r="F11" s="511">
        <f>'4'!$D$21</f>
        <v>7.5</v>
      </c>
      <c r="G11" s="426">
        <f>'4'!$D$19</f>
        <v>8.75</v>
      </c>
      <c r="H11" s="426">
        <f>'4'!$G$20</f>
        <v>4.2</v>
      </c>
      <c r="I11" s="426">
        <f>'4'!$G$21</f>
        <v>2.7</v>
      </c>
      <c r="J11" s="426">
        <f>'4'!$G$19</f>
        <v>3.6500000000000004</v>
      </c>
      <c r="K11" s="426">
        <f>'4'!$H$20</f>
        <v>6.8</v>
      </c>
      <c r="L11" s="426">
        <f>'4'!$H$21</f>
        <v>2.5</v>
      </c>
      <c r="M11" s="426">
        <f>'4'!$H$19</f>
        <v>3.0666666666666664</v>
      </c>
      <c r="N11" s="438">
        <f>'4'!$L$20</f>
        <v>4.8</v>
      </c>
      <c r="O11" s="438">
        <f>'4'!$L$21</f>
        <v>4.8</v>
      </c>
      <c r="P11" s="438">
        <f>'4'!$L$19</f>
        <v>4.7999999999999989</v>
      </c>
      <c r="Q11" s="438">
        <f>'4'!$M$20</f>
        <v>4.8</v>
      </c>
      <c r="R11" s="438">
        <f>'4'!$M$21</f>
        <v>4.8</v>
      </c>
      <c r="S11" s="438">
        <f>'4'!$M$19</f>
        <v>4.7999999999999989</v>
      </c>
      <c r="T11" s="426">
        <f>'4'!$F$37</f>
        <v>2.8</v>
      </c>
      <c r="U11" s="426">
        <f>'4'!$G$37</f>
        <v>0.2</v>
      </c>
      <c r="V11" s="512">
        <f>'4'!$I$37</f>
        <v>0.25</v>
      </c>
      <c r="W11" s="513">
        <f>'4'!$K$37</f>
        <v>0.06</v>
      </c>
    </row>
    <row r="12" spans="1:23" ht="19.5" customHeight="1">
      <c r="A12" s="508">
        <v>5</v>
      </c>
      <c r="B12" s="509">
        <f>'5'!$C$20</f>
        <v>10</v>
      </c>
      <c r="C12" s="510">
        <f>'5'!$C$21</f>
        <v>5</v>
      </c>
      <c r="D12" s="510">
        <f>'5'!$C$19</f>
        <v>8.9583333333333339</v>
      </c>
      <c r="E12" s="426">
        <f>'5'!$D$20</f>
        <v>60</v>
      </c>
      <c r="F12" s="511">
        <f>'5'!$D$21</f>
        <v>7.5</v>
      </c>
      <c r="G12" s="426">
        <f>'5'!$D$19</f>
        <v>20.833333333333332</v>
      </c>
      <c r="H12" s="426">
        <f>'5'!$G$20</f>
        <v>4.2</v>
      </c>
      <c r="I12" s="426">
        <f>'5'!$G$21</f>
        <v>2.7</v>
      </c>
      <c r="J12" s="443">
        <f>'5'!$G$19</f>
        <v>3.3249999999999993</v>
      </c>
      <c r="K12" s="426">
        <f>'5'!$H$20</f>
        <v>6.8</v>
      </c>
      <c r="L12" s="426">
        <f>'5'!$H$21</f>
        <v>1</v>
      </c>
      <c r="M12" s="443">
        <f>'5'!$H$19</f>
        <v>3.7916666666666665</v>
      </c>
      <c r="N12" s="438">
        <f>'5'!$L$20</f>
        <v>4.8</v>
      </c>
      <c r="O12" s="438">
        <f>'5'!$L$21</f>
        <v>4.8</v>
      </c>
      <c r="P12" s="438">
        <f>'5'!$L$19</f>
        <v>4.7999999999999989</v>
      </c>
      <c r="Q12" s="438">
        <f>'5'!$M$20</f>
        <v>4.8</v>
      </c>
      <c r="R12" s="438">
        <f>'5'!$M$21</f>
        <v>4.8</v>
      </c>
      <c r="S12" s="438">
        <f>'5'!$M$19</f>
        <v>4.7999999999999989</v>
      </c>
      <c r="T12" s="426">
        <f>'5'!$F$37</f>
        <v>3.6</v>
      </c>
      <c r="U12" s="426">
        <f>'5'!$G$37</f>
        <v>0.3</v>
      </c>
      <c r="V12" s="512">
        <f>'5'!$I$37</f>
        <v>0.3</v>
      </c>
      <c r="W12" s="513">
        <f>'5'!$K$37</f>
        <v>0.1</v>
      </c>
    </row>
    <row r="13" spans="1:23" ht="19.5" customHeight="1">
      <c r="A13" s="508">
        <v>6</v>
      </c>
      <c r="B13" s="509">
        <f>'6'!$C$20</f>
        <v>10</v>
      </c>
      <c r="C13" s="510">
        <f>'6'!$C$21</f>
        <v>5</v>
      </c>
      <c r="D13" s="510">
        <f>'6'!$C$19</f>
        <v>8.5416666666666661</v>
      </c>
      <c r="E13" s="426">
        <f>'6'!$D$20</f>
        <v>7.5</v>
      </c>
      <c r="F13" s="511">
        <f>'6'!$D$21</f>
        <v>7.5</v>
      </c>
      <c r="G13" s="426">
        <f>'6'!$D$19</f>
        <v>7.5</v>
      </c>
      <c r="H13" s="426">
        <f>'6'!$G$20</f>
        <v>3.8</v>
      </c>
      <c r="I13" s="426">
        <f>'6'!$G$21</f>
        <v>3</v>
      </c>
      <c r="J13" s="443">
        <f>'6'!$G$19</f>
        <v>3.4500000000000006</v>
      </c>
      <c r="K13" s="426">
        <f>'6'!$H$20</f>
        <v>3.5</v>
      </c>
      <c r="L13" s="426">
        <f>'6'!$H$21</f>
        <v>2.5</v>
      </c>
      <c r="M13" s="443">
        <f>'6'!$H$19</f>
        <v>2.9833333333333338</v>
      </c>
      <c r="N13" s="438">
        <f>'6'!$L$20</f>
        <v>5</v>
      </c>
      <c r="O13" s="438">
        <f>'6'!$L$21</f>
        <v>4.8</v>
      </c>
      <c r="P13" s="438">
        <f>'6'!$L$19</f>
        <v>4.833333333333333</v>
      </c>
      <c r="Q13" s="438">
        <f>'6'!$M$20</f>
        <v>5</v>
      </c>
      <c r="R13" s="438">
        <f>'6'!$M$21</f>
        <v>4.8</v>
      </c>
      <c r="S13" s="438">
        <f>'6'!$M$19</f>
        <v>4.833333333333333</v>
      </c>
      <c r="T13" s="426">
        <f>'6'!$F$37</f>
        <v>3.2</v>
      </c>
      <c r="U13" s="426">
        <f>'6'!$G$37</f>
        <v>0.2</v>
      </c>
      <c r="V13" s="512">
        <f>'6'!$I$37</f>
        <v>0.2</v>
      </c>
      <c r="W13" s="513">
        <f>'6'!$K$37</f>
        <v>0.1</v>
      </c>
    </row>
    <row r="14" spans="1:23" ht="19.5" customHeight="1">
      <c r="A14" s="508">
        <v>7</v>
      </c>
      <c r="B14" s="509">
        <f>'7'!$C$20</f>
        <v>7.5</v>
      </c>
      <c r="C14" s="510">
        <f>'7'!$C$21</f>
        <v>7.5</v>
      </c>
      <c r="D14" s="510">
        <f>'7'!$C$19</f>
        <v>7.5</v>
      </c>
      <c r="E14" s="426">
        <f>'7'!$D$20</f>
        <v>25</v>
      </c>
      <c r="F14" s="511">
        <f>'7'!$D$21</f>
        <v>7.5</v>
      </c>
      <c r="G14" s="426">
        <f>'7'!$D$19</f>
        <v>12.708333333333334</v>
      </c>
      <c r="H14" s="426">
        <f>'7'!$G$20</f>
        <v>3.7</v>
      </c>
      <c r="I14" s="426">
        <f>'7'!$G$21</f>
        <v>2.6</v>
      </c>
      <c r="J14" s="443">
        <f>'7'!$G$19</f>
        <v>3.2083333333333339</v>
      </c>
      <c r="K14" s="426">
        <f>'7'!$H$20</f>
        <v>8.3000000000000007</v>
      </c>
      <c r="L14" s="426">
        <f>'7'!$H$21</f>
        <v>2.6</v>
      </c>
      <c r="M14" s="443">
        <f>'7'!$H$19</f>
        <v>4.9833333333333334</v>
      </c>
      <c r="N14" s="438">
        <f>'7'!$L$20</f>
        <v>5</v>
      </c>
      <c r="O14" s="438">
        <f>'7'!$L$21</f>
        <v>5</v>
      </c>
      <c r="P14" s="438">
        <f>'7'!$L$19</f>
        <v>5</v>
      </c>
      <c r="Q14" s="438">
        <f>'7'!$M$20</f>
        <v>5</v>
      </c>
      <c r="R14" s="438">
        <f>'7'!$M$21</f>
        <v>5</v>
      </c>
      <c r="S14" s="438">
        <f>'7'!$M$19</f>
        <v>5</v>
      </c>
      <c r="T14" s="426">
        <f>'7'!$F$37</f>
        <v>3</v>
      </c>
      <c r="U14" s="426">
        <f>'7'!$G$37</f>
        <v>0.2</v>
      </c>
      <c r="V14" s="512">
        <f>'7'!$I$37</f>
        <v>0.2</v>
      </c>
      <c r="W14" s="513">
        <f>'7'!$K$37</f>
        <v>0.06</v>
      </c>
    </row>
    <row r="15" spans="1:23" ht="19.5" customHeight="1">
      <c r="A15" s="508">
        <v>8</v>
      </c>
      <c r="B15" s="509">
        <f>'8'!$C$20</f>
        <v>7.5</v>
      </c>
      <c r="C15" s="510">
        <f>'8'!$C$21</f>
        <v>5</v>
      </c>
      <c r="D15" s="510">
        <f>'8'!$C$19</f>
        <v>6.666666666666667</v>
      </c>
      <c r="E15" s="426">
        <f>'8'!$D$20</f>
        <v>7.5</v>
      </c>
      <c r="F15" s="511">
        <f>'8'!$D$21</f>
        <v>5</v>
      </c>
      <c r="G15" s="426">
        <f>'8'!$D$19</f>
        <v>6.666666666666667</v>
      </c>
      <c r="H15" s="426">
        <f>'8'!$G$20</f>
        <v>3.4</v>
      </c>
      <c r="I15" s="426">
        <f>'8'!$G$21</f>
        <v>2.5</v>
      </c>
      <c r="J15" s="426">
        <f>'8'!$G$19</f>
        <v>2.8000000000000003</v>
      </c>
      <c r="K15" s="426">
        <f>'8'!$H$20</f>
        <v>2.6</v>
      </c>
      <c r="L15" s="426">
        <f>'8'!$H$21</f>
        <v>1.9</v>
      </c>
      <c r="M15" s="426">
        <f>'8'!$H$19</f>
        <v>2.2499999999999996</v>
      </c>
      <c r="N15" s="438">
        <f>'8'!$L$20</f>
        <v>5.8</v>
      </c>
      <c r="O15" s="438">
        <f>'8'!$L$21</f>
        <v>5</v>
      </c>
      <c r="P15" s="438">
        <f>'8'!$L$19</f>
        <v>5.5333333333333323</v>
      </c>
      <c r="Q15" s="438">
        <f>'8'!$M$20</f>
        <v>5.8</v>
      </c>
      <c r="R15" s="438">
        <f>'8'!$M$21</f>
        <v>5</v>
      </c>
      <c r="S15" s="438">
        <f>'8'!$M$19</f>
        <v>5.5333333333333323</v>
      </c>
      <c r="T15" s="426">
        <f>'8'!$F$37</f>
        <v>3.4</v>
      </c>
      <c r="U15" s="426">
        <f>'8'!$G$37</f>
        <v>0.4</v>
      </c>
      <c r="V15" s="512">
        <f>'8'!$I$37</f>
        <v>0.3</v>
      </c>
      <c r="W15" s="513">
        <f>'8'!$K$37</f>
        <v>0.06</v>
      </c>
    </row>
    <row r="16" spans="1:23" ht="19.5" customHeight="1">
      <c r="A16" s="508">
        <v>9</v>
      </c>
      <c r="B16" s="509">
        <f>'9'!$C$20</f>
        <v>7.5</v>
      </c>
      <c r="C16" s="510">
        <f>'9'!$C$21</f>
        <v>7.5</v>
      </c>
      <c r="D16" s="510">
        <f>'9'!$C$19</f>
        <v>7.5</v>
      </c>
      <c r="E16" s="426">
        <f>'9'!$D$20</f>
        <v>5</v>
      </c>
      <c r="F16" s="511">
        <f>'9'!$D$21</f>
        <v>5</v>
      </c>
      <c r="G16" s="426">
        <f>'9'!$D$19</f>
        <v>5</v>
      </c>
      <c r="H16" s="426">
        <f>'9'!$G$20</f>
        <v>3.3</v>
      </c>
      <c r="I16" s="426">
        <f>'9'!$G$21</f>
        <v>2.7</v>
      </c>
      <c r="J16" s="426">
        <f>'9'!$G$19</f>
        <v>2.9749999999999996</v>
      </c>
      <c r="K16" s="426">
        <f>'9'!$H$20</f>
        <v>2.2999999999999998</v>
      </c>
      <c r="L16" s="426">
        <f>'9'!$H$21</f>
        <v>1.8</v>
      </c>
      <c r="M16" s="426">
        <f>'9'!$H$19</f>
        <v>2.041666666666667</v>
      </c>
      <c r="N16" s="438">
        <f>'9'!$L$20</f>
        <v>5.8</v>
      </c>
      <c r="O16" s="438">
        <f>'9'!$L$21</f>
        <v>5.5</v>
      </c>
      <c r="P16" s="438">
        <f>'9'!$L$19</f>
        <v>5.6000000000000005</v>
      </c>
      <c r="Q16" s="438">
        <f>'9'!$M$20</f>
        <v>5.8</v>
      </c>
      <c r="R16" s="438">
        <f>'9'!$M$21</f>
        <v>5.5</v>
      </c>
      <c r="S16" s="438">
        <f>'9'!$M$19</f>
        <v>5.6000000000000005</v>
      </c>
      <c r="T16" s="426">
        <f>'9'!$F$37</f>
        <v>3.4</v>
      </c>
      <c r="U16" s="426">
        <f>'9'!$G$37</f>
        <v>0.2</v>
      </c>
      <c r="V16" s="512">
        <f>'9'!$I$37</f>
        <v>0.2</v>
      </c>
      <c r="W16" s="513">
        <f>'9'!$K$37</f>
        <v>0.06</v>
      </c>
    </row>
    <row r="17" spans="1:23" ht="19.5" customHeight="1">
      <c r="A17" s="508">
        <v>10</v>
      </c>
      <c r="B17" s="509">
        <f>'10'!$C$20</f>
        <v>5</v>
      </c>
      <c r="C17" s="510">
        <f>'10'!$C$21</f>
        <v>5</v>
      </c>
      <c r="D17" s="510">
        <f>'10'!$C$21</f>
        <v>5</v>
      </c>
      <c r="E17" s="426">
        <f>'10'!$D$20</f>
        <v>5</v>
      </c>
      <c r="F17" s="511">
        <f>'10'!$D$21</f>
        <v>5</v>
      </c>
      <c r="G17" s="426">
        <f>'10'!$D$19</f>
        <v>5</v>
      </c>
      <c r="H17" s="426">
        <f>'10'!$G$21</f>
        <v>1.24</v>
      </c>
      <c r="I17" s="426">
        <f>'10'!$G$21</f>
        <v>1.24</v>
      </c>
      <c r="J17" s="426">
        <f>'10'!$G$19</f>
        <v>3.186666666666667</v>
      </c>
      <c r="K17" s="426">
        <f>'10'!$H$20</f>
        <v>5.2</v>
      </c>
      <c r="L17" s="426">
        <f>'10'!$H$21</f>
        <v>1.1499999999999999</v>
      </c>
      <c r="M17" s="426">
        <f>'10'!$H$19</f>
        <v>2.5375000000000001</v>
      </c>
      <c r="N17" s="438">
        <f>'10'!$L$20</f>
        <v>5.8</v>
      </c>
      <c r="O17" s="438">
        <f>'10'!$L$21</f>
        <v>5.5</v>
      </c>
      <c r="P17" s="438">
        <f>'10'!$L$21</f>
        <v>5.5</v>
      </c>
      <c r="Q17" s="438">
        <f>'10'!$M$20</f>
        <v>5.8</v>
      </c>
      <c r="R17" s="438">
        <f>'10'!$M$21</f>
        <v>5.5</v>
      </c>
      <c r="S17" s="438">
        <f>'10'!$M$20</f>
        <v>5.8</v>
      </c>
      <c r="T17" s="426">
        <f>'10'!$F$37</f>
        <v>3.4</v>
      </c>
      <c r="U17" s="426">
        <f>'10'!$G$37</f>
        <v>0.2</v>
      </c>
      <c r="V17" s="512">
        <f>'10'!$I$37</f>
        <v>0.2</v>
      </c>
      <c r="W17" s="513" t="str">
        <f>'10'!$J$36</f>
        <v>Filt.</v>
      </c>
    </row>
    <row r="18" spans="1:23" ht="19.5" customHeight="1">
      <c r="A18" s="508">
        <v>11</v>
      </c>
      <c r="B18" s="509">
        <f>'11'!$C$20</f>
        <v>7.5</v>
      </c>
      <c r="C18" s="510">
        <f>'11'!$C$21</f>
        <v>5</v>
      </c>
      <c r="D18" s="510">
        <f>'11'!$C$21</f>
        <v>5</v>
      </c>
      <c r="E18" s="426">
        <f>'11'!$D$20</f>
        <v>5</v>
      </c>
      <c r="F18" s="511">
        <f>'11'!$D$21</f>
        <v>5</v>
      </c>
      <c r="G18" s="426">
        <f>'11'!$D$21</f>
        <v>5</v>
      </c>
      <c r="H18" s="426">
        <f>'11'!$G$20</f>
        <v>4.8</v>
      </c>
      <c r="I18" s="426">
        <f>'11'!$G$21</f>
        <v>3.2</v>
      </c>
      <c r="J18" s="426">
        <f>'10'!$G$19</f>
        <v>3.186666666666667</v>
      </c>
      <c r="K18" s="426">
        <f>'11'!$H$20</f>
        <v>2.9</v>
      </c>
      <c r="L18" s="426">
        <f>'11'!$H$21</f>
        <v>1.5</v>
      </c>
      <c r="M18" s="426">
        <f>'11'!$H$19</f>
        <v>1.9583333333333333</v>
      </c>
      <c r="N18" s="438">
        <f>'11'!$L$20</f>
        <v>5.8</v>
      </c>
      <c r="O18" s="438">
        <f>'11'!$L$21</f>
        <v>5.8</v>
      </c>
      <c r="P18" s="438">
        <f>'10'!$L$21</f>
        <v>5.5</v>
      </c>
      <c r="Q18" s="438">
        <f>'11'!$M$20</f>
        <v>5.8</v>
      </c>
      <c r="R18" s="438">
        <f>'11'!$M$21</f>
        <v>5.8</v>
      </c>
      <c r="S18" s="438">
        <f>'10'!$M$20</f>
        <v>5.8</v>
      </c>
      <c r="T18" s="426">
        <f>'11'!$F$37</f>
        <v>2.4</v>
      </c>
      <c r="U18" s="426">
        <f>'11'!$G$37</f>
        <v>0.02</v>
      </c>
      <c r="V18" s="512">
        <f>'11'!$I$37</f>
        <v>0.15</v>
      </c>
      <c r="W18" s="513">
        <f>'11'!$K$37</f>
        <v>0.03</v>
      </c>
    </row>
    <row r="19" spans="1:23" ht="19.5" customHeight="1">
      <c r="A19" s="508">
        <v>12</v>
      </c>
      <c r="B19" s="509">
        <f>'12'!$C$20</f>
        <v>7.5</v>
      </c>
      <c r="C19" s="510">
        <f>'12'!$C$21</f>
        <v>5</v>
      </c>
      <c r="D19" s="510">
        <f>'12'!$C$19</f>
        <v>7.083333333333333</v>
      </c>
      <c r="E19" s="426">
        <f>'12'!$D$20</f>
        <v>5</v>
      </c>
      <c r="F19" s="511">
        <f>'12'!$D$21</f>
        <v>5</v>
      </c>
      <c r="G19" s="426">
        <f>'12'!$D$19</f>
        <v>5</v>
      </c>
      <c r="H19" s="426">
        <f>'12'!$G$20</f>
        <v>3.4</v>
      </c>
      <c r="I19" s="426">
        <f>'12'!$G$21</f>
        <v>2</v>
      </c>
      <c r="J19" s="426">
        <f>'12'!$G$19</f>
        <v>2.9583333333333335</v>
      </c>
      <c r="K19" s="426">
        <f>'12'!$H$20</f>
        <v>3</v>
      </c>
      <c r="L19" s="426">
        <f>'12'!$H$21</f>
        <v>1.6</v>
      </c>
      <c r="M19" s="426">
        <f>'12'!$H$19</f>
        <v>2.1916666666666669</v>
      </c>
      <c r="N19" s="438">
        <f>'12'!$L$20</f>
        <v>5.8</v>
      </c>
      <c r="O19" s="438">
        <f>'12'!$L$21</f>
        <v>5.7</v>
      </c>
      <c r="P19" s="438">
        <f>'12'!$L$19</f>
        <v>5.7083333333333348</v>
      </c>
      <c r="Q19" s="438">
        <f>'12'!$M$20</f>
        <v>5.8</v>
      </c>
      <c r="R19" s="438">
        <f>'12'!$M$21</f>
        <v>5.7</v>
      </c>
      <c r="S19" s="438">
        <f>'12'!$M$19</f>
        <v>5.7333333333333343</v>
      </c>
      <c r="T19" s="426">
        <f>'12'!$F$37</f>
        <v>3</v>
      </c>
      <c r="U19" s="426">
        <f>'12'!$G$37</f>
        <v>0.2</v>
      </c>
      <c r="V19" s="512">
        <f>'12'!$I$37</f>
        <v>0.2</v>
      </c>
      <c r="W19" s="513">
        <f>'12'!$K$37</f>
        <v>0.03</v>
      </c>
    </row>
    <row r="20" spans="1:23" ht="19.5" customHeight="1">
      <c r="A20" s="508">
        <v>13</v>
      </c>
      <c r="B20" s="509">
        <f>'13'!$C$20</f>
        <v>7.5</v>
      </c>
      <c r="C20" s="510">
        <f>'13'!$C$21</f>
        <v>5</v>
      </c>
      <c r="D20" s="510">
        <f>'13'!$C$19</f>
        <v>6.666666666666667</v>
      </c>
      <c r="E20" s="426">
        <f>'13'!$D$20</f>
        <v>7.5</v>
      </c>
      <c r="F20" s="511">
        <f>'13'!$D$21</f>
        <v>5</v>
      </c>
      <c r="G20" s="426">
        <f>'13'!$D$19</f>
        <v>5.625</v>
      </c>
      <c r="H20" s="426">
        <f>'13'!$G$20</f>
        <v>2</v>
      </c>
      <c r="I20" s="426">
        <f>'13'!$G$21</f>
        <v>1.7</v>
      </c>
      <c r="J20" s="426">
        <f>'13'!$G$19</f>
        <v>1.8666666666666665</v>
      </c>
      <c r="K20" s="426">
        <f>'13'!$H$20</f>
        <v>1.8</v>
      </c>
      <c r="L20" s="426">
        <f>'13'!$H$21</f>
        <v>1.1000000000000001</v>
      </c>
      <c r="M20" s="426">
        <f>'13'!$H$19</f>
        <v>1.4083333333333334</v>
      </c>
      <c r="N20" s="438">
        <f>'13'!$L$20</f>
        <v>6</v>
      </c>
      <c r="O20" s="438">
        <f>'13'!$L$21</f>
        <v>6</v>
      </c>
      <c r="P20" s="438">
        <f>'13'!$L$19</f>
        <v>6</v>
      </c>
      <c r="Q20" s="438">
        <f>'13'!$M$20</f>
        <v>6</v>
      </c>
      <c r="R20" s="438">
        <f>'13'!$M$21</f>
        <v>6</v>
      </c>
      <c r="S20" s="438">
        <f>'13'!$M$19</f>
        <v>6</v>
      </c>
      <c r="T20" s="426">
        <f>'13'!$F$37</f>
        <v>2.8</v>
      </c>
      <c r="U20" s="426">
        <f>'13'!$G$37</f>
        <v>0.2</v>
      </c>
      <c r="V20" s="512">
        <f>'13'!$I$37</f>
        <v>2.4</v>
      </c>
      <c r="W20" s="513">
        <f>'13'!$K$37</f>
        <v>0</v>
      </c>
    </row>
    <row r="21" spans="1:23" ht="19.5" customHeight="1">
      <c r="A21" s="508">
        <v>14</v>
      </c>
      <c r="B21" s="509">
        <f>'14'!$C$20</f>
        <v>7.5</v>
      </c>
      <c r="C21" s="510">
        <f>'14'!$C$21</f>
        <v>5</v>
      </c>
      <c r="D21" s="510">
        <f>'14'!$C$19</f>
        <v>5.6818181818181817</v>
      </c>
      <c r="E21" s="426">
        <f>'14'!$D$20</f>
        <v>7.5</v>
      </c>
      <c r="F21" s="511">
        <f>'14'!$D$21</f>
        <v>5</v>
      </c>
      <c r="G21" s="426">
        <f>'14'!$D$19</f>
        <v>5.833333333333333</v>
      </c>
      <c r="H21" s="426">
        <f>'14'!$G$20</f>
        <v>2.2999999999999998</v>
      </c>
      <c r="I21" s="426">
        <f>'14'!$G$21</f>
        <v>1.8</v>
      </c>
      <c r="J21" s="426">
        <f>'14'!$G$19</f>
        <v>2.0583333333333336</v>
      </c>
      <c r="K21" s="426">
        <f>'14'!$H$20</f>
        <v>2.9</v>
      </c>
      <c r="L21" s="426">
        <f>'14'!$H$21</f>
        <v>1.6</v>
      </c>
      <c r="M21" s="426">
        <f>'14'!$H$19</f>
        <v>2.083333333333333</v>
      </c>
      <c r="N21" s="438">
        <f>'14'!$L$20</f>
        <v>6</v>
      </c>
      <c r="O21" s="438">
        <f>'14'!$L$21</f>
        <v>6</v>
      </c>
      <c r="P21" s="438">
        <f>'14'!$L$19</f>
        <v>6</v>
      </c>
      <c r="Q21" s="438">
        <f>'14'!$M$20</f>
        <v>6</v>
      </c>
      <c r="R21" s="438">
        <f>'14'!$M$21</f>
        <v>6</v>
      </c>
      <c r="S21" s="438">
        <f>'14'!$M$19</f>
        <v>6</v>
      </c>
      <c r="T21" s="426">
        <f>'14'!$F$37</f>
        <v>2.8</v>
      </c>
      <c r="U21" s="426">
        <f>'14'!$G$37</f>
        <v>0.2</v>
      </c>
      <c r="V21" s="512">
        <f>'14'!$I$37</f>
        <v>0.2</v>
      </c>
      <c r="W21" s="513">
        <f>'14'!$K$37</f>
        <v>0.03</v>
      </c>
    </row>
    <row r="22" spans="1:23" ht="19.5" customHeight="1">
      <c r="A22" s="508">
        <v>15</v>
      </c>
      <c r="B22" s="509">
        <f>'15'!$C$20</f>
        <v>5</v>
      </c>
      <c r="C22" s="510">
        <f>'15'!$C$21</f>
        <v>5</v>
      </c>
      <c r="D22" s="510">
        <f>'15'!$C$19</f>
        <v>5</v>
      </c>
      <c r="E22" s="426">
        <f>'15'!$D$20</f>
        <v>10</v>
      </c>
      <c r="F22" s="511">
        <f>'15'!$D$21</f>
        <v>5</v>
      </c>
      <c r="G22" s="426">
        <f>'15'!$D$20</f>
        <v>10</v>
      </c>
      <c r="H22" s="426">
        <f>'15'!$G$20</f>
        <v>2</v>
      </c>
      <c r="I22" s="426">
        <f>'15'!$G$21</f>
        <v>1.3</v>
      </c>
      <c r="J22" s="426">
        <f>'15'!$G$19</f>
        <v>1.6416666666666668</v>
      </c>
      <c r="K22" s="426">
        <f>'15'!$H$20</f>
        <v>5.3</v>
      </c>
      <c r="L22" s="426">
        <f>'15'!$H$21</f>
        <v>2.2000000000000002</v>
      </c>
      <c r="M22" s="426">
        <f>'15'!$H$19</f>
        <v>3.5499999999999994</v>
      </c>
      <c r="N22" s="438">
        <f>'15'!$L$20</f>
        <v>6</v>
      </c>
      <c r="O22" s="438">
        <f>'15'!$L$21</f>
        <v>6</v>
      </c>
      <c r="P22" s="438">
        <f>'15'!$L$19</f>
        <v>6</v>
      </c>
      <c r="Q22" s="438">
        <f>'15'!$M$20</f>
        <v>6</v>
      </c>
      <c r="R22" s="438">
        <f>'15'!$M$21</f>
        <v>6</v>
      </c>
      <c r="S22" s="438">
        <f>'15'!$M$19</f>
        <v>6</v>
      </c>
      <c r="T22" s="426">
        <f>'15'!$F$37</f>
        <v>2.8</v>
      </c>
      <c r="U22" s="426">
        <f>'15'!$G$37</f>
        <v>0.2</v>
      </c>
      <c r="V22" s="512">
        <f>'15'!$I$37</f>
        <v>0.25</v>
      </c>
      <c r="W22" s="513">
        <f>'15'!$K$37</f>
        <v>0.06</v>
      </c>
    </row>
    <row r="23" spans="1:23" ht="19.5" customHeight="1">
      <c r="A23" s="508">
        <v>16</v>
      </c>
      <c r="B23" s="509">
        <f>'16'!$C$20</f>
        <v>5</v>
      </c>
      <c r="C23" s="510">
        <f>'16'!$C$21</f>
        <v>5</v>
      </c>
      <c r="D23" s="510">
        <f>'16'!$C$19</f>
        <v>5</v>
      </c>
      <c r="E23" s="426">
        <f>'16'!$D$20</f>
        <v>10</v>
      </c>
      <c r="F23" s="511">
        <f>'16'!$D$21</f>
        <v>5</v>
      </c>
      <c r="G23" s="443">
        <f>'16'!$B$18</f>
        <v>200</v>
      </c>
      <c r="H23" s="443">
        <f>'16'!$G$20</f>
        <v>1.8</v>
      </c>
      <c r="I23" s="426">
        <f>'16'!$G$21</f>
        <v>1.2</v>
      </c>
      <c r="J23" s="443">
        <f>'16'!$E$18</f>
        <v>2.5</v>
      </c>
      <c r="K23" s="443">
        <f>'16'!$H$20</f>
        <v>5.7</v>
      </c>
      <c r="L23" s="443">
        <f>'16'!$H$21</f>
        <v>1.4</v>
      </c>
      <c r="M23" s="426">
        <f>'16'!$H18</f>
        <v>1.4</v>
      </c>
      <c r="N23" s="510">
        <f>'16'!$L$20</f>
        <v>6</v>
      </c>
      <c r="O23" s="510">
        <f>'16'!$L$21</f>
        <v>6</v>
      </c>
      <c r="P23" s="510">
        <f>'16'!$J$18</f>
        <v>0.57999999999999996</v>
      </c>
      <c r="Q23" s="438">
        <f>'16'!$M$20</f>
        <v>6</v>
      </c>
      <c r="R23" s="510">
        <f>'16'!$M$21</f>
        <v>6</v>
      </c>
      <c r="S23" s="510">
        <f>'16'!$K$18</f>
        <v>7.3</v>
      </c>
      <c r="T23" s="443">
        <f>'16'!$F$37</f>
        <v>2.6</v>
      </c>
      <c r="U23" s="426">
        <f>'16'!$G$37</f>
        <v>0.2</v>
      </c>
      <c r="V23" s="512">
        <f>'16'!$I$37</f>
        <v>0.2</v>
      </c>
      <c r="W23" s="513">
        <f>'16'!$K$37</f>
        <v>0.03</v>
      </c>
    </row>
    <row r="24" spans="1:23" ht="19.5" customHeight="1">
      <c r="A24" s="508">
        <v>17</v>
      </c>
      <c r="B24" s="509">
        <f>'17'!$C$20</f>
        <v>12</v>
      </c>
      <c r="C24" s="510">
        <f>'17'!$C$21</f>
        <v>5.2</v>
      </c>
      <c r="D24" s="510">
        <f>'17'!$C$19</f>
        <v>7.9416666666666664</v>
      </c>
      <c r="E24" s="426">
        <f>'17'!$D$20</f>
        <v>11</v>
      </c>
      <c r="F24" s="511">
        <f>'17'!$D$21</f>
        <v>6.4</v>
      </c>
      <c r="G24" s="443">
        <f>'17'!$D$19</f>
        <v>8.8416666666666668</v>
      </c>
      <c r="H24" s="426">
        <f>'17'!$G$20</f>
        <v>1.6</v>
      </c>
      <c r="I24" s="426">
        <f>'17'!$G$21</f>
        <v>1.3</v>
      </c>
      <c r="J24" s="426">
        <f>'17'!$G$19</f>
        <v>1.4636363636363634</v>
      </c>
      <c r="K24" s="426">
        <f>'17'!$H$20</f>
        <v>1.9</v>
      </c>
      <c r="L24" s="426">
        <f>'17'!$H$21</f>
        <v>1.5</v>
      </c>
      <c r="M24" s="426">
        <f>'17'!$H$19</f>
        <v>1.675</v>
      </c>
      <c r="N24" s="438">
        <f>'17'!$L$20</f>
        <v>6.3</v>
      </c>
      <c r="O24" s="438">
        <f>'17'!$L$21</f>
        <v>6</v>
      </c>
      <c r="P24" s="438">
        <f>'17'!$L$19</f>
        <v>6.1999999999999993</v>
      </c>
      <c r="Q24" s="438">
        <f>'17'!$M$20</f>
        <v>6.3</v>
      </c>
      <c r="R24" s="438">
        <f>'17'!$M$21</f>
        <v>6</v>
      </c>
      <c r="S24" s="438">
        <f>'17'!$M$19</f>
        <v>6.1999999999999993</v>
      </c>
      <c r="T24" s="426">
        <f>'17'!$F$37</f>
        <v>1.8</v>
      </c>
      <c r="U24" s="426">
        <f>'17'!$G$37</f>
        <v>0.2</v>
      </c>
      <c r="V24" s="512">
        <f>'17'!$I$37</f>
        <v>0.15</v>
      </c>
      <c r="W24" s="513">
        <f>'17'!$K$37</f>
        <v>0</v>
      </c>
    </row>
    <row r="25" spans="1:23" ht="19.5" customHeight="1">
      <c r="A25" s="508">
        <v>18</v>
      </c>
      <c r="B25" s="509">
        <f>'18'!$C$20</f>
        <v>11</v>
      </c>
      <c r="C25" s="510">
        <f>'18'!$C$21</f>
        <v>4</v>
      </c>
      <c r="D25" s="510">
        <f>'18'!$C$19</f>
        <v>7.1166666666666671</v>
      </c>
      <c r="E25" s="426">
        <f>'18'!$D$20</f>
        <v>13</v>
      </c>
      <c r="F25" s="511">
        <f>'18'!$D$21</f>
        <v>6.8</v>
      </c>
      <c r="G25" s="426">
        <f>'18'!$D$19</f>
        <v>8.8833333333333346</v>
      </c>
      <c r="H25" s="426">
        <f>'18'!$G$20</f>
        <v>2.1</v>
      </c>
      <c r="I25" s="426">
        <f>'18'!$G$21</f>
        <v>1.2</v>
      </c>
      <c r="J25" s="426">
        <f>'18'!$G$19</f>
        <v>1.5999999999999999</v>
      </c>
      <c r="K25" s="426">
        <f>'18'!$H$20</f>
        <v>2.6</v>
      </c>
      <c r="L25" s="426">
        <f>'18'!$H$21</f>
        <v>1.7</v>
      </c>
      <c r="M25" s="426">
        <f>'18'!$H$19</f>
        <v>2.166666666666667</v>
      </c>
      <c r="N25" s="438">
        <f>'18'!$L$20</f>
        <v>6.3</v>
      </c>
      <c r="O25" s="438">
        <f>'18'!$L$21</f>
        <v>6.3</v>
      </c>
      <c r="P25" s="438">
        <f>'18'!$L$19</f>
        <v>6.299999999999998</v>
      </c>
      <c r="Q25" s="438">
        <f>'18'!$M$20</f>
        <v>6.3</v>
      </c>
      <c r="R25" s="438">
        <f>'18'!$M$21</f>
        <v>6.3</v>
      </c>
      <c r="S25" s="438">
        <f>'18'!$M$19</f>
        <v>6.299999999999998</v>
      </c>
      <c r="T25" s="426">
        <f>'18'!$F$37</f>
        <v>1.6</v>
      </c>
      <c r="U25" s="426">
        <f>'18'!$G$37</f>
        <v>0.2</v>
      </c>
      <c r="V25" s="512">
        <f>'18'!$I$37</f>
        <v>0.15</v>
      </c>
      <c r="W25" s="513">
        <f>'18'!$K$37</f>
        <v>0</v>
      </c>
    </row>
    <row r="26" spans="1:23" ht="19.5" customHeight="1">
      <c r="A26" s="508">
        <v>19</v>
      </c>
      <c r="B26" s="509">
        <f>'19'!$C$1048576</f>
        <v>0</v>
      </c>
      <c r="C26" s="510">
        <f>'19'!$C$1048576</f>
        <v>0</v>
      </c>
      <c r="D26" s="510">
        <f>'19'!$C$1048576</f>
        <v>0</v>
      </c>
      <c r="E26" s="426">
        <f>'19'!$D$1048576</f>
        <v>0</v>
      </c>
      <c r="F26" s="511">
        <f>'19'!$D$1048576</f>
        <v>0</v>
      </c>
      <c r="G26" s="426">
        <f>'19'!$D$1048576</f>
        <v>0</v>
      </c>
      <c r="H26" s="426">
        <f>'19'!$G$1048576</f>
        <v>0</v>
      </c>
      <c r="I26" s="426">
        <f>'19'!$G$1048576</f>
        <v>0</v>
      </c>
      <c r="J26" s="426">
        <f>'19'!$G$1048576</f>
        <v>0</v>
      </c>
      <c r="K26" s="426">
        <f>'19'!$H$1048576</f>
        <v>0</v>
      </c>
      <c r="L26" s="426">
        <f>'19'!$H$1048576</f>
        <v>0</v>
      </c>
      <c r="M26" s="426">
        <f>'19'!$H$1048576</f>
        <v>0</v>
      </c>
      <c r="N26" s="438">
        <f>'19'!$L$1048576</f>
        <v>0</v>
      </c>
      <c r="O26" s="438">
        <f>'19'!$L$1048576</f>
        <v>0</v>
      </c>
      <c r="P26" s="438">
        <f>'19'!$L$1048576</f>
        <v>0</v>
      </c>
      <c r="Q26" s="438">
        <f>'19'!$M$1048576</f>
        <v>0</v>
      </c>
      <c r="R26" s="438">
        <f>'19'!$M$1048576</f>
        <v>0</v>
      </c>
      <c r="S26" s="438">
        <f>'19'!$M$1048576</f>
        <v>0</v>
      </c>
      <c r="T26" s="426">
        <f>'19'!$F$1048576</f>
        <v>0</v>
      </c>
      <c r="U26" s="426">
        <f>'19'!$G$1048576</f>
        <v>0</v>
      </c>
      <c r="V26" s="512">
        <f>'19'!$I$1048576</f>
        <v>0</v>
      </c>
      <c r="W26" s="513">
        <f>'19'!$K$1048576</f>
        <v>0</v>
      </c>
    </row>
    <row r="27" spans="1:23" ht="19.5" customHeight="1">
      <c r="A27" s="508">
        <v>20</v>
      </c>
      <c r="B27" s="509">
        <f>'20'!$C$20</f>
        <v>16.8</v>
      </c>
      <c r="C27" s="510">
        <f>'20'!$C$21</f>
        <v>14</v>
      </c>
      <c r="D27" s="510">
        <f>'20'!$C$19</f>
        <v>15.225</v>
      </c>
      <c r="E27" s="426">
        <f>'20'!$D$20</f>
        <v>14.2</v>
      </c>
      <c r="F27" s="511">
        <f>'20'!$D$21</f>
        <v>13</v>
      </c>
      <c r="G27" s="426">
        <f>'20'!$D$19</f>
        <v>13.575000000000001</v>
      </c>
      <c r="H27" s="426">
        <f>'20'!$G$20</f>
        <v>2.2999999999999998</v>
      </c>
      <c r="I27" s="426">
        <f>'20'!$G$21</f>
        <v>2</v>
      </c>
      <c r="J27" s="426">
        <f>'20'!$G$19</f>
        <v>2.15</v>
      </c>
      <c r="K27" s="426">
        <f>'20'!$H$20</f>
        <v>2</v>
      </c>
      <c r="L27" s="426">
        <f>'20'!$H$21</f>
        <v>1.6</v>
      </c>
      <c r="M27" s="426">
        <f>'20'!$H$19</f>
        <v>1.7166666666666668</v>
      </c>
      <c r="N27" s="438">
        <f>'20'!$L$20</f>
        <v>6.3</v>
      </c>
      <c r="O27" s="438">
        <f>'20'!$L$21</f>
        <v>6.3</v>
      </c>
      <c r="P27" s="438">
        <f>'20'!$L$19</f>
        <v>6.299999999999998</v>
      </c>
      <c r="Q27" s="438">
        <f>'20'!$M$20</f>
        <v>6.3</v>
      </c>
      <c r="R27" s="438">
        <f>'20'!$M$21</f>
        <v>6.3</v>
      </c>
      <c r="S27" s="438">
        <f>'20'!$M$19</f>
        <v>6.299999999999998</v>
      </c>
      <c r="T27" s="426">
        <f>'20'!$F$37</f>
        <v>1.6</v>
      </c>
      <c r="U27" s="426">
        <f>'20'!$G$37</f>
        <v>0.2</v>
      </c>
      <c r="V27" s="512">
        <f>'20'!$I$37</f>
        <v>0.2</v>
      </c>
      <c r="W27" s="513">
        <f>'20'!$K$37</f>
        <v>0.03</v>
      </c>
    </row>
    <row r="28" spans="1:23" ht="19.5" customHeight="1">
      <c r="A28" s="508">
        <v>21</v>
      </c>
      <c r="B28" s="509">
        <f>'21'!$C$20</f>
        <v>15</v>
      </c>
      <c r="C28" s="510">
        <f>'21'!$C$21</f>
        <v>10</v>
      </c>
      <c r="D28" s="510">
        <f>'21'!$C$19</f>
        <v>12.083333333333334</v>
      </c>
      <c r="E28" s="426">
        <f>'21'!$D$20</f>
        <v>15</v>
      </c>
      <c r="F28" s="511">
        <f>'21'!$D$21</f>
        <v>12</v>
      </c>
      <c r="G28" s="426">
        <f>'21'!$D$19</f>
        <v>13.083333333333334</v>
      </c>
      <c r="H28" s="426">
        <f>'21'!$G$20</f>
        <v>2.2999999999999998</v>
      </c>
      <c r="I28" s="426">
        <f>'21'!$G$21</f>
        <v>1.6</v>
      </c>
      <c r="J28" s="426">
        <f>'21'!$G$19</f>
        <v>1.9833333333333334</v>
      </c>
      <c r="K28" s="426">
        <f>'21'!$H$20</f>
        <v>2.5</v>
      </c>
      <c r="L28" s="426">
        <f>'21'!$H$21</f>
        <v>1.7</v>
      </c>
      <c r="M28" s="426">
        <f>'21'!$H$19</f>
        <v>2.0333333333333337</v>
      </c>
      <c r="N28" s="438">
        <f>'21'!$L$20</f>
        <v>6.5</v>
      </c>
      <c r="O28" s="438">
        <f>'21'!$L$21</f>
        <v>6.3</v>
      </c>
      <c r="P28" s="438">
        <f>'21'!$L$19</f>
        <v>6.4333333333333336</v>
      </c>
      <c r="Q28" s="438">
        <f>'21'!$M$20</f>
        <v>6.5</v>
      </c>
      <c r="R28" s="438">
        <f>'21'!$M$21</f>
        <v>6.3</v>
      </c>
      <c r="S28" s="438">
        <f>'21'!$M$19</f>
        <v>6.4333333333333336</v>
      </c>
      <c r="T28" s="426">
        <f>'21'!$F$37</f>
        <v>1.8</v>
      </c>
      <c r="U28" s="426">
        <f>'21'!$G$37</f>
        <v>0.2</v>
      </c>
      <c r="V28" s="512">
        <f>'21'!$I$37</f>
        <v>0.15</v>
      </c>
      <c r="W28" s="513">
        <f>'21'!$K$37</f>
        <v>0</v>
      </c>
    </row>
    <row r="29" spans="1:23" ht="19.5" customHeight="1">
      <c r="A29" s="508">
        <v>22</v>
      </c>
      <c r="B29" s="509">
        <f>'22'!$C$20</f>
        <v>16</v>
      </c>
      <c r="C29" s="510">
        <f>'22'!$C$21</f>
        <v>12</v>
      </c>
      <c r="D29" s="510">
        <f>'22'!$C$19</f>
        <v>14.016666666666666</v>
      </c>
      <c r="E29" s="426">
        <f>'22'!$D$20</f>
        <v>21</v>
      </c>
      <c r="F29" s="511">
        <f>'22'!$D$21</f>
        <v>11</v>
      </c>
      <c r="G29" s="426">
        <f>'22'!$D$19</f>
        <v>15.833333333333334</v>
      </c>
      <c r="H29" s="426">
        <f>'22'!$G$20</f>
        <v>2.2999999999999998</v>
      </c>
      <c r="I29" s="426">
        <f>'22'!$G$21</f>
        <v>1.6</v>
      </c>
      <c r="J29" s="426">
        <f>'22'!$G$19</f>
        <v>1.9666666666666666</v>
      </c>
      <c r="K29" s="426">
        <f>'22'!$H$20</f>
        <v>3.6</v>
      </c>
      <c r="L29" s="426">
        <f>'22'!$H$21</f>
        <v>1.7</v>
      </c>
      <c r="M29" s="426">
        <f>'22'!$H$19</f>
        <v>2.5333333333333332</v>
      </c>
      <c r="N29" s="438">
        <f>'22'!$L$20</f>
        <v>6.5</v>
      </c>
      <c r="O29" s="438">
        <f>'22'!$L$21</f>
        <v>6.5</v>
      </c>
      <c r="P29" s="438">
        <f>'22'!$L$19</f>
        <v>6.5</v>
      </c>
      <c r="Q29" s="438">
        <f>'22'!$M$20</f>
        <v>6.5</v>
      </c>
      <c r="R29" s="438">
        <f>'22'!$M$21</f>
        <v>6.5</v>
      </c>
      <c r="S29" s="438">
        <f>'22'!$M$19</f>
        <v>6.5</v>
      </c>
      <c r="T29" s="426">
        <f>'22'!$F$37</f>
        <v>1.6</v>
      </c>
      <c r="U29" s="426">
        <f>'22'!$G$37</f>
        <v>0.2</v>
      </c>
      <c r="V29" s="512">
        <f>'22'!$I$37</f>
        <v>0.15</v>
      </c>
      <c r="W29" s="513">
        <f>'22'!$K$37</f>
        <v>0.03</v>
      </c>
    </row>
    <row r="30" spans="1:23" ht="19.5" customHeight="1">
      <c r="A30" s="508">
        <v>23</v>
      </c>
      <c r="B30" s="442">
        <f>'23'!$C$20</f>
        <v>18</v>
      </c>
      <c r="C30" s="510">
        <f>'23'!$C$21</f>
        <v>12</v>
      </c>
      <c r="D30" s="438">
        <f>'23'!$C$19</f>
        <v>14</v>
      </c>
      <c r="E30" s="426">
        <f>'23'!$D$20</f>
        <v>15</v>
      </c>
      <c r="F30" s="511">
        <f>'23'!$D$21</f>
        <v>10</v>
      </c>
      <c r="G30" s="443">
        <f>'23'!$D$19</f>
        <v>11.916666666666666</v>
      </c>
      <c r="H30" s="426">
        <f>'23'!$G$20</f>
        <v>2.2999999999999998</v>
      </c>
      <c r="I30" s="426">
        <f>'23'!$G$21</f>
        <v>1.5</v>
      </c>
      <c r="J30" s="426">
        <f>'23'!$G$19</f>
        <v>1.966666666666667</v>
      </c>
      <c r="K30" s="426">
        <f>'23'!$H$20</f>
        <v>0.2</v>
      </c>
      <c r="L30" s="426">
        <f>'23'!$H$21</f>
        <v>1</v>
      </c>
      <c r="M30" s="426">
        <f>'23'!$H$19</f>
        <v>1.4083333333333332</v>
      </c>
      <c r="N30" s="438">
        <f>'23'!$L$20</f>
        <v>6.5</v>
      </c>
      <c r="O30" s="438">
        <f>'23'!$L$21</f>
        <v>6.3</v>
      </c>
      <c r="P30" s="438">
        <f>'23'!$L$19</f>
        <v>6.3666666666666645</v>
      </c>
      <c r="Q30" s="438">
        <f>'23'!$M$20</f>
        <v>6.5</v>
      </c>
      <c r="R30" s="438">
        <f>'23'!$M$21</f>
        <v>6.3</v>
      </c>
      <c r="S30" s="438">
        <f>'23'!$M$19</f>
        <v>6.3666666666666645</v>
      </c>
      <c r="T30" s="426">
        <f>'23'!$F$37</f>
        <v>1.4</v>
      </c>
      <c r="U30" s="426">
        <f>'23'!$G$37</f>
        <v>0.2</v>
      </c>
      <c r="V30" s="512">
        <f>'23'!$I$37</f>
        <v>0.2</v>
      </c>
      <c r="W30" s="513">
        <f>'23'!$K$37</f>
        <v>0.06</v>
      </c>
    </row>
    <row r="31" spans="1:23" ht="19.5" customHeight="1">
      <c r="A31" s="508">
        <v>24</v>
      </c>
      <c r="B31" s="509">
        <f>'24'!$C$16</f>
        <v>10</v>
      </c>
      <c r="C31" s="510">
        <f>'24'!$C$21</f>
        <v>8</v>
      </c>
      <c r="D31" s="510">
        <f>'24'!$C$15</f>
        <v>11</v>
      </c>
      <c r="E31" s="426">
        <f>'24'!$D$16</f>
        <v>9</v>
      </c>
      <c r="F31" s="511">
        <f>'24'!$D$21</f>
        <v>8</v>
      </c>
      <c r="G31" s="426">
        <f>'24'!$D$15</f>
        <v>10</v>
      </c>
      <c r="H31" s="426">
        <f>'24'!$G$20</f>
        <v>1.6</v>
      </c>
      <c r="I31" s="426">
        <f>'24'!$G$21</f>
        <v>1.4</v>
      </c>
      <c r="J31" s="426">
        <f>'24'!$G$19</f>
        <v>1.5000000000000002</v>
      </c>
      <c r="K31" s="426">
        <f>'24'!$H$20</f>
        <v>1.4</v>
      </c>
      <c r="L31" s="426">
        <f>'24'!$H$21</f>
        <v>1.1000000000000001</v>
      </c>
      <c r="M31" s="426">
        <f>'24'!$H$19</f>
        <v>1.3083333333333336</v>
      </c>
      <c r="N31" s="438">
        <f>'24'!$L$20</f>
        <v>6.3</v>
      </c>
      <c r="O31" s="438">
        <f>'24'!$L$21</f>
        <v>6.3</v>
      </c>
      <c r="P31" s="438">
        <f>'24'!$L$19</f>
        <v>6.299999999999998</v>
      </c>
      <c r="Q31" s="438">
        <f>'24'!$M$20</f>
        <v>6.3</v>
      </c>
      <c r="R31" s="438">
        <f>'24'!$M$21</f>
        <v>6.3</v>
      </c>
      <c r="S31" s="438">
        <f>'24'!$M$19</f>
        <v>6.299999999999998</v>
      </c>
      <c r="T31" s="426">
        <f>'24'!$F$37</f>
        <v>1.6</v>
      </c>
      <c r="U31" s="426">
        <f>'24'!$G$37</f>
        <v>0.2</v>
      </c>
      <c r="V31" s="512">
        <f>'24'!$I$37</f>
        <v>0.2</v>
      </c>
      <c r="W31" s="513">
        <f>'24'!$K$37</f>
        <v>0.03</v>
      </c>
    </row>
    <row r="32" spans="1:23" ht="19.5" customHeight="1">
      <c r="A32" s="508">
        <v>25</v>
      </c>
      <c r="B32" s="509">
        <f>'25'!$C$20</f>
        <v>17</v>
      </c>
      <c r="C32" s="510">
        <f>'25'!$C$21</f>
        <v>10</v>
      </c>
      <c r="D32" s="510">
        <f>'25'!$C$19</f>
        <v>11.916666666666666</v>
      </c>
      <c r="E32" s="426">
        <f>'25'!$D$20</f>
        <v>13</v>
      </c>
      <c r="F32" s="511">
        <f>'25'!$D$21</f>
        <v>8</v>
      </c>
      <c r="G32" s="426">
        <f>'25'!$D$19</f>
        <v>9.8333333333333339</v>
      </c>
      <c r="H32" s="426">
        <f>'25'!$G$20</f>
        <v>3.2</v>
      </c>
      <c r="I32" s="426">
        <f>'25'!$G$21</f>
        <v>1.6</v>
      </c>
      <c r="J32" s="426">
        <f>'25'!$G$19</f>
        <v>2.2916666666666665</v>
      </c>
      <c r="K32" s="426">
        <f>'25'!$H$20</f>
        <v>1.6</v>
      </c>
      <c r="L32" s="426">
        <f>'25'!$H$21</f>
        <v>1.3</v>
      </c>
      <c r="M32" s="426">
        <f>'25'!$H$19</f>
        <v>1.4666666666666668</v>
      </c>
      <c r="N32" s="438">
        <f>'25'!$L$20</f>
        <v>6.3</v>
      </c>
      <c r="O32" s="438">
        <f>'25'!$L$21</f>
        <v>6.3</v>
      </c>
      <c r="P32" s="438">
        <f>'25'!$L$19</f>
        <v>6.299999999999998</v>
      </c>
      <c r="Q32" s="438">
        <f>'25'!$M$20</f>
        <v>6.3</v>
      </c>
      <c r="R32" s="438">
        <f>'25'!$M$21</f>
        <v>6.3</v>
      </c>
      <c r="S32" s="438">
        <f>'25'!$M$19</f>
        <v>6.299999999999998</v>
      </c>
      <c r="T32" s="426">
        <f>'25'!$F$37</f>
        <v>2.8</v>
      </c>
      <c r="U32" s="426">
        <f>'25'!$G$37</f>
        <v>0.2</v>
      </c>
      <c r="V32" s="512">
        <f>'25'!$I$37</f>
        <v>0.15</v>
      </c>
      <c r="W32" s="513">
        <f>'25'!$K$37</f>
        <v>0</v>
      </c>
    </row>
    <row r="33" spans="1:23" ht="19.5" customHeight="1">
      <c r="A33" s="508">
        <v>26</v>
      </c>
      <c r="B33" s="442">
        <f>'26'!$C$20</f>
        <v>16</v>
      </c>
      <c r="C33" s="510">
        <f>'26'!$C$21</f>
        <v>10</v>
      </c>
      <c r="D33" s="510">
        <f>'26'!$C$19</f>
        <v>12.75</v>
      </c>
      <c r="E33" s="426">
        <f>'26'!$D$20</f>
        <v>13</v>
      </c>
      <c r="F33" s="511">
        <f>'26'!$D$21</f>
        <v>7</v>
      </c>
      <c r="G33" s="443">
        <f>'26'!$D$19</f>
        <v>9.5</v>
      </c>
      <c r="H33" s="426">
        <f>'26'!$G$20</f>
        <v>2.6</v>
      </c>
      <c r="I33" s="426">
        <f>'26'!$G$21</f>
        <v>1.9</v>
      </c>
      <c r="J33" s="426">
        <f>'26'!$G$19</f>
        <v>2.1833333333333331</v>
      </c>
      <c r="K33" s="426">
        <f>'26'!$H$20</f>
        <v>1.5</v>
      </c>
      <c r="L33" s="426">
        <f>'26'!$H$21</f>
        <v>1.1000000000000001</v>
      </c>
      <c r="M33" s="426">
        <f>'26'!$H$19</f>
        <v>1.2833333333333334</v>
      </c>
      <c r="N33" s="438">
        <f>'26'!$L$20</f>
        <v>6.3</v>
      </c>
      <c r="O33" s="438">
        <f>'26'!$L$21</f>
        <v>6.3</v>
      </c>
      <c r="P33" s="438">
        <f>'26'!$L$19</f>
        <v>6.299999999999998</v>
      </c>
      <c r="Q33" s="438">
        <f>'26'!$M$20</f>
        <v>6.3</v>
      </c>
      <c r="R33" s="438">
        <f>'26'!$M$21</f>
        <v>6.3</v>
      </c>
      <c r="S33" s="438">
        <f>'26'!$M$19</f>
        <v>6.299999999999998</v>
      </c>
      <c r="T33" s="426">
        <f>'26'!$F$37</f>
        <v>2.4</v>
      </c>
      <c r="U33" s="426">
        <f>'26'!$G$37</f>
        <v>0.2</v>
      </c>
      <c r="V33" s="512">
        <f>'26'!$I$37</f>
        <v>0.2</v>
      </c>
      <c r="W33" s="513">
        <f>'26'!$K$37</f>
        <v>0.03</v>
      </c>
    </row>
    <row r="34" spans="1:23" ht="19.5" customHeight="1">
      <c r="A34" s="508">
        <v>27</v>
      </c>
      <c r="B34" s="509">
        <f>'27'!$C$20</f>
        <v>17</v>
      </c>
      <c r="C34" s="510">
        <f>'27'!$C$21</f>
        <v>8.6</v>
      </c>
      <c r="D34" s="510">
        <f>'27'!$C$19</f>
        <v>13.066666666666668</v>
      </c>
      <c r="E34" s="426">
        <f>'27'!$D$20</f>
        <v>13</v>
      </c>
      <c r="F34" s="511">
        <f>'27'!$D$21</f>
        <v>7.5</v>
      </c>
      <c r="G34" s="426">
        <f>'27'!$D$19</f>
        <v>9.9833333333333325</v>
      </c>
      <c r="H34" s="426">
        <f>'27'!$G$20</f>
        <v>3</v>
      </c>
      <c r="I34" s="426">
        <f>'27'!$G$21</f>
        <v>2.1</v>
      </c>
      <c r="J34" s="426">
        <f>'27'!$G$19</f>
        <v>2.5083333333333333</v>
      </c>
      <c r="K34" s="426">
        <f>'27'!$H$20</f>
        <v>2.1</v>
      </c>
      <c r="L34" s="426">
        <f>'27'!$H$21</f>
        <v>1.5</v>
      </c>
      <c r="M34" s="426">
        <f>'27'!$H$19</f>
        <v>1.7750000000000001</v>
      </c>
      <c r="N34" s="438">
        <f>'27'!$L$20</f>
        <v>6.3</v>
      </c>
      <c r="O34" s="438">
        <f>'27'!$L$21</f>
        <v>6</v>
      </c>
      <c r="P34" s="438">
        <f>'27'!$L$19</f>
        <v>6.0545454545454538</v>
      </c>
      <c r="Q34" s="438">
        <f>'27'!$M$20</f>
        <v>6.3</v>
      </c>
      <c r="R34" s="438">
        <f>'27'!$M$21</f>
        <v>6</v>
      </c>
      <c r="S34" s="438">
        <f>'27'!$M$19</f>
        <v>6.0545454545454538</v>
      </c>
      <c r="T34" s="426">
        <f>'27'!$F$37</f>
        <v>1.8</v>
      </c>
      <c r="U34" s="426">
        <f>'27'!$G$37</f>
        <v>0.2</v>
      </c>
      <c r="V34" s="512">
        <f>'27'!$I$37</f>
        <v>0.2</v>
      </c>
      <c r="W34" s="513">
        <f>'27'!$K$37</f>
        <v>0.03</v>
      </c>
    </row>
    <row r="35" spans="1:23" ht="19.5" customHeight="1">
      <c r="A35" s="508">
        <v>28</v>
      </c>
      <c r="B35" s="509">
        <f>'28'!$C$20</f>
        <v>12</v>
      </c>
      <c r="C35" s="510">
        <f>'28'!$C$21</f>
        <v>5</v>
      </c>
      <c r="D35" s="510">
        <f>'28'!$C$19</f>
        <v>9.6666666666666661</v>
      </c>
      <c r="E35" s="426">
        <f>'28'!$D$20</f>
        <v>12</v>
      </c>
      <c r="F35" s="511">
        <f>'28'!$D$21</f>
        <v>5</v>
      </c>
      <c r="G35" s="426">
        <f>'28'!$D$19</f>
        <v>8.8583333333333325</v>
      </c>
      <c r="H35" s="426">
        <f>'28'!$G$20</f>
        <v>2.5</v>
      </c>
      <c r="I35" s="426">
        <f>'28'!$G$21</f>
        <v>2.2999999999999998</v>
      </c>
      <c r="J35" s="426">
        <f>'28'!$G$19</f>
        <v>2.3916666666666666</v>
      </c>
      <c r="K35" s="426">
        <f>'28'!$H$20</f>
        <v>2.7</v>
      </c>
      <c r="L35" s="426">
        <f>'28'!$H$21</f>
        <v>1.4</v>
      </c>
      <c r="M35" s="426">
        <f>'28'!$H$19</f>
        <v>1.7083333333333333</v>
      </c>
      <c r="N35" s="438">
        <f>'28'!$L$20</f>
        <v>6.3</v>
      </c>
      <c r="O35" s="438">
        <f>'28'!$L$21</f>
        <v>6.3</v>
      </c>
      <c r="P35" s="438">
        <f>'28'!$L$19</f>
        <v>6.299999999999998</v>
      </c>
      <c r="Q35" s="438">
        <f>'28'!$M$20</f>
        <v>6.3</v>
      </c>
      <c r="R35" s="438">
        <f>'28'!$M$21</f>
        <v>6.3</v>
      </c>
      <c r="S35" s="438">
        <f>'28'!$M$19</f>
        <v>6.299999999999998</v>
      </c>
      <c r="T35" s="426">
        <f>'28'!$F$37</f>
        <v>2</v>
      </c>
      <c r="U35" s="426">
        <f>'28'!$G$37</f>
        <v>0.2</v>
      </c>
      <c r="V35" s="512">
        <f>'28'!$I$37</f>
        <v>0.2</v>
      </c>
      <c r="W35" s="513">
        <f>'28'!$K$37</f>
        <v>0.03</v>
      </c>
    </row>
    <row r="36" spans="1:23" ht="19.5" customHeight="1">
      <c r="A36" s="508">
        <v>29</v>
      </c>
      <c r="B36" s="509">
        <f>'29'!$C$20</f>
        <v>17</v>
      </c>
      <c r="C36" s="510">
        <f>'29'!$C$21</f>
        <v>10</v>
      </c>
      <c r="D36" s="510">
        <f>'29'!$C$19</f>
        <v>12.916666666666666</v>
      </c>
      <c r="E36" s="426">
        <f>'29'!$D$20</f>
        <v>23</v>
      </c>
      <c r="F36" s="511">
        <f>'29'!$D$21</f>
        <v>12</v>
      </c>
      <c r="G36" s="426">
        <f>'29'!$D$19</f>
        <v>15.666666666666666</v>
      </c>
      <c r="H36" s="426">
        <f>'29'!$G$20</f>
        <v>3.3</v>
      </c>
      <c r="I36" s="426">
        <f>'29'!$G$21</f>
        <v>1.7</v>
      </c>
      <c r="J36" s="426">
        <f>'29'!$G$19</f>
        <v>2.2749999999999999</v>
      </c>
      <c r="K36" s="426">
        <f>'29'!$H$20</f>
        <v>5.5</v>
      </c>
      <c r="L36" s="426">
        <f>'29'!$H$21</f>
        <v>1.3</v>
      </c>
      <c r="M36" s="426">
        <f>'29'!$H$19</f>
        <v>2.8166666666666664</v>
      </c>
      <c r="N36" s="438">
        <f>'29'!$L$20</f>
        <v>6.3</v>
      </c>
      <c r="O36" s="438">
        <f>'29'!$L$21</f>
        <v>6.3</v>
      </c>
      <c r="P36" s="438">
        <f>'29'!$L$19</f>
        <v>6.299999999999998</v>
      </c>
      <c r="Q36" s="438">
        <f>'29'!$M$20</f>
        <v>6.3</v>
      </c>
      <c r="R36" s="438">
        <f>'29'!$M$21</f>
        <v>6.3</v>
      </c>
      <c r="S36" s="438">
        <f>'29'!$M$19</f>
        <v>6.299999999999998</v>
      </c>
      <c r="T36" s="426">
        <f>'29'!$F$37</f>
        <v>2.2000000000000002</v>
      </c>
      <c r="U36" s="426">
        <f>'29'!$G$37</f>
        <v>0.2</v>
      </c>
      <c r="V36" s="512">
        <f>'29'!$I$37</f>
        <v>0.15</v>
      </c>
      <c r="W36" s="513">
        <f>'29'!$K$37</f>
        <v>0</v>
      </c>
    </row>
    <row r="37" spans="1:23" ht="19.5" customHeight="1">
      <c r="A37" s="508">
        <v>30</v>
      </c>
      <c r="B37" s="509">
        <f>'30'!$C$20</f>
        <v>21</v>
      </c>
      <c r="C37" s="510">
        <f>'30'!$C$21</f>
        <v>14</v>
      </c>
      <c r="D37" s="510">
        <f>'30'!$C$19</f>
        <v>17</v>
      </c>
      <c r="E37" s="426">
        <f>'30'!$D$20</f>
        <v>18</v>
      </c>
      <c r="F37" s="511">
        <f>'30'!$D$21</f>
        <v>8.8000000000000007</v>
      </c>
      <c r="G37" s="426">
        <f>'30'!$D$19</f>
        <v>12.483333333333334</v>
      </c>
      <c r="H37" s="426">
        <f>'30'!$G$20</f>
        <v>3.3</v>
      </c>
      <c r="I37" s="426">
        <f>'30'!$G$21</f>
        <v>2.5</v>
      </c>
      <c r="J37" s="426">
        <f>'30'!$G$19</f>
        <v>2.95</v>
      </c>
      <c r="K37" s="426">
        <f>'30'!$H$20</f>
        <v>2.7</v>
      </c>
      <c r="L37" s="426">
        <f>'30'!$H$21</f>
        <v>1.3</v>
      </c>
      <c r="M37" s="426">
        <f>'30'!$H$19</f>
        <v>1.7166666666666668</v>
      </c>
      <c r="N37" s="438">
        <f>'30'!$L$20</f>
        <v>6.3</v>
      </c>
      <c r="O37" s="438">
        <f>'30'!$L$21</f>
        <v>6.3</v>
      </c>
      <c r="P37" s="438">
        <f>'30'!$L$19</f>
        <v>6.299999999999998</v>
      </c>
      <c r="Q37" s="438">
        <f>'30'!$M$20</f>
        <v>6.3</v>
      </c>
      <c r="R37" s="438">
        <f>'30'!$M$21</f>
        <v>6.3</v>
      </c>
      <c r="S37" s="438">
        <f>'30'!$M$19</f>
        <v>6.299999999999998</v>
      </c>
      <c r="T37" s="426">
        <f>'30'!$F$37</f>
        <v>2.4</v>
      </c>
      <c r="U37" s="426">
        <f>'30'!$G$37</f>
        <v>0.2</v>
      </c>
      <c r="V37" s="512">
        <f>'30'!$I$37</f>
        <v>0.15</v>
      </c>
      <c r="W37" s="513">
        <f>'30'!$K$37</f>
        <v>0</v>
      </c>
    </row>
    <row r="38" spans="1:23" ht="19.5" customHeight="1">
      <c r="A38" s="514">
        <v>31</v>
      </c>
      <c r="B38" s="509">
        <f>'30'!$C$20</f>
        <v>21</v>
      </c>
      <c r="C38" s="510">
        <f>'30'!$C$21</f>
        <v>14</v>
      </c>
      <c r="D38" s="510">
        <f>'30'!$C$19</f>
        <v>17</v>
      </c>
      <c r="E38" s="426">
        <f>'30'!$D$20</f>
        <v>18</v>
      </c>
      <c r="F38" s="511">
        <f>'30'!$D$21</f>
        <v>8.8000000000000007</v>
      </c>
      <c r="G38" s="426">
        <f>'30'!$D$19</f>
        <v>12.483333333333334</v>
      </c>
      <c r="H38" s="426">
        <f>'30'!$G$20</f>
        <v>3.3</v>
      </c>
      <c r="I38" s="426">
        <f>'30'!$G$21</f>
        <v>2.5</v>
      </c>
      <c r="J38" s="426">
        <f>'30'!$G$19</f>
        <v>2.95</v>
      </c>
      <c r="K38" s="426">
        <f>'30'!$H$20</f>
        <v>2.7</v>
      </c>
      <c r="L38" s="426">
        <f>'30'!$H$21</f>
        <v>1.3</v>
      </c>
      <c r="M38" s="426">
        <f>'30'!$H$19</f>
        <v>1.7166666666666668</v>
      </c>
      <c r="N38" s="438">
        <f>'30'!$L$20</f>
        <v>6.3</v>
      </c>
      <c r="O38" s="438">
        <f>'30'!$L$21</f>
        <v>6.3</v>
      </c>
      <c r="P38" s="438">
        <f>'30'!$L$19</f>
        <v>6.299999999999998</v>
      </c>
      <c r="Q38" s="438">
        <f>'30'!$M$20</f>
        <v>6.3</v>
      </c>
      <c r="R38" s="438">
        <f>'30'!$M$21</f>
        <v>6.3</v>
      </c>
      <c r="S38" s="438">
        <f>'30'!$M$19</f>
        <v>6.299999999999998</v>
      </c>
      <c r="T38" s="426">
        <f>'30'!$F$37</f>
        <v>2.4</v>
      </c>
      <c r="U38" s="426">
        <f>'30'!$G$37</f>
        <v>0.2</v>
      </c>
      <c r="V38" s="512">
        <f>'30'!$I$37</f>
        <v>0.15</v>
      </c>
      <c r="W38" s="513">
        <f>'30'!$K$37</f>
        <v>0</v>
      </c>
    </row>
    <row r="39" spans="1:23" ht="19.5" customHeight="1">
      <c r="A39" s="515" t="s">
        <v>244</v>
      </c>
      <c r="B39" s="458">
        <f>MAX('Parte 2'!B8:B38)</f>
        <v>80</v>
      </c>
      <c r="C39" s="459">
        <f>MIN('Parte 2'!C8:C38)</f>
        <v>0</v>
      </c>
      <c r="D39" s="459">
        <f>AVERAGE('Parte 2'!D8:D38)</f>
        <v>9.9572091886608014</v>
      </c>
      <c r="E39" s="458">
        <f>MAX('Parte 2'!E8:E38)</f>
        <v>80</v>
      </c>
      <c r="F39" s="459">
        <f>MIN('Parte 2'!F8:F38)</f>
        <v>0</v>
      </c>
      <c r="G39" s="459">
        <f>AVERAGE('Parte 2'!G8:G38)</f>
        <v>16.004838709677419</v>
      </c>
      <c r="H39" s="458">
        <f>MAX('Parte 2'!H8:H38)</f>
        <v>63</v>
      </c>
      <c r="I39" s="459">
        <f>MIN('Parte 2'!I8:I38)</f>
        <v>0</v>
      </c>
      <c r="J39" s="459">
        <f>AVERAGE('Parte 2'!J8:J38)</f>
        <v>2.8243108504398835</v>
      </c>
      <c r="K39" s="458">
        <f>MAX('Parte 2'!K8:K38)</f>
        <v>91</v>
      </c>
      <c r="L39" s="459">
        <f>MIN('Parte 2'!L8:L38)</f>
        <v>0</v>
      </c>
      <c r="M39" s="459">
        <f>AVERAGE('Parte 2'!M8:M38)</f>
        <v>2.6901881720430105</v>
      </c>
      <c r="N39" s="458">
        <f>MAX('Parte 2'!N8:N38)</f>
        <v>6.5</v>
      </c>
      <c r="O39" s="459">
        <f>MIN('Parte 2'!O8:O38)</f>
        <v>0</v>
      </c>
      <c r="P39" s="459">
        <f>AVERAGE('Parte 2'!P8:P38)</f>
        <v>5.4462756598240487</v>
      </c>
      <c r="Q39" s="458">
        <f>MAX('Parte 2'!Q8:Q38)</f>
        <v>6.5</v>
      </c>
      <c r="R39" s="459">
        <f>MIN('Parte 2'!R8:R38)</f>
        <v>0</v>
      </c>
      <c r="S39" s="459">
        <f>AVERAGE('Parte 2'!S8:S38)</f>
        <v>5.6776735092864143</v>
      </c>
      <c r="T39" s="459">
        <f>AVERAGE('Parte 2'!T8:T38)</f>
        <v>2.4645161290322584</v>
      </c>
      <c r="U39" s="426" t="s">
        <v>245</v>
      </c>
      <c r="V39" s="516">
        <f>AVERAGE('Parte 2'!V8:V38)</f>
        <v>0.26935483870967758</v>
      </c>
      <c r="W39" s="516">
        <f>AVERAGE('Parte 2'!W8:W38)</f>
        <v>3.6000000000000018E-2</v>
      </c>
    </row>
    <row r="40" spans="1:23" ht="11.25" customHeight="1">
      <c r="A40" s="517" t="s">
        <v>221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</row>
    <row r="41" spans="1:23" ht="12.75" customHeight="1">
      <c r="A41" s="1154"/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69"/>
      <c r="O41" s="469"/>
      <c r="P41" s="469"/>
      <c r="Q41" s="469"/>
      <c r="R41" s="469"/>
      <c r="S41" s="462"/>
      <c r="T41" s="462"/>
      <c r="U41" s="462"/>
      <c r="V41" s="462"/>
      <c r="W41" s="464"/>
    </row>
    <row r="42" spans="1:23" ht="11.25" customHeight="1">
      <c r="A42" s="465"/>
      <c r="B42" s="466"/>
      <c r="C42" s="466"/>
      <c r="D42" s="466"/>
      <c r="E42" s="466"/>
      <c r="F42" s="466"/>
      <c r="G42" s="466"/>
      <c r="H42" s="466"/>
      <c r="I42" s="466"/>
      <c r="J42" s="466"/>
      <c r="K42" s="466"/>
      <c r="L42" s="466"/>
      <c r="M42" s="466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</row>
    <row r="43" spans="1:23" ht="11.25" customHeight="1">
      <c r="A43" s="465"/>
      <c r="B43" s="466"/>
      <c r="C43" s="466"/>
      <c r="D43" s="466"/>
      <c r="E43" s="466"/>
      <c r="F43" s="466"/>
      <c r="G43" s="466"/>
      <c r="H43" s="466"/>
      <c r="I43" s="466"/>
      <c r="J43" s="466"/>
      <c r="K43" s="466"/>
      <c r="L43" s="466"/>
      <c r="M43" s="466"/>
      <c r="N43" s="467"/>
      <c r="O43" s="468"/>
      <c r="P43" s="468"/>
      <c r="Q43" s="468"/>
      <c r="R43" s="468"/>
      <c r="S43" s="469"/>
      <c r="T43" s="470"/>
      <c r="U43" s="471"/>
      <c r="V43" s="471"/>
      <c r="W43" s="519" t="s">
        <v>246</v>
      </c>
    </row>
    <row r="44" spans="1:23" ht="12" customHeight="1">
      <c r="A44" s="475"/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1170"/>
      <c r="O44" s="1170"/>
      <c r="P44" s="1170"/>
      <c r="Q44" s="1170"/>
      <c r="R44" s="1170"/>
      <c r="S44" s="1170"/>
      <c r="T44" s="1170"/>
      <c r="U44" s="1170"/>
      <c r="V44" s="1170"/>
      <c r="W44" s="1170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0"/>
      <c r="B1" s="520"/>
      <c r="C1" s="520"/>
      <c r="D1" s="520"/>
      <c r="E1" s="520"/>
      <c r="F1" s="520"/>
      <c r="G1" s="520"/>
      <c r="H1" s="1174" t="s">
        <v>206</v>
      </c>
      <c r="I1" s="1174"/>
      <c r="J1" s="1174"/>
      <c r="K1" s="1174"/>
      <c r="L1" s="1174"/>
      <c r="M1" s="1174"/>
      <c r="N1" s="1174"/>
      <c r="O1" s="1174"/>
      <c r="P1" s="1174"/>
      <c r="Q1" s="1174"/>
      <c r="R1" s="1174"/>
      <c r="S1" s="1174"/>
      <c r="T1" s="1174"/>
      <c r="U1" s="1175" t="s">
        <v>236</v>
      </c>
      <c r="V1" s="1175"/>
      <c r="W1" s="1175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</row>
    <row r="2" spans="1:34" ht="13.5" customHeight="1">
      <c r="A2" s="520"/>
      <c r="B2" s="520"/>
      <c r="C2" s="520"/>
      <c r="D2" s="520"/>
      <c r="E2" s="520"/>
      <c r="F2" s="520"/>
      <c r="G2" s="520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 s="1174"/>
      <c r="S2" s="1174"/>
      <c r="T2" s="1174"/>
      <c r="U2" s="1175">
        <f>'1'!$U$25</f>
        <v>44317</v>
      </c>
      <c r="V2" s="1175">
        <f>'1'!$B$20</f>
        <v>1100</v>
      </c>
      <c r="W2" s="1175">
        <f>'1'!$B$20</f>
        <v>1100</v>
      </c>
      <c r="X2" s="522"/>
      <c r="Y2" s="522"/>
      <c r="Z2" s="522"/>
      <c r="AA2" s="521"/>
      <c r="AB2" s="521"/>
      <c r="AC2" s="521"/>
      <c r="AD2" s="521"/>
      <c r="AE2" s="521"/>
      <c r="AF2" s="521"/>
      <c r="AG2" s="521"/>
      <c r="AH2" s="521"/>
    </row>
    <row r="3" spans="1:34" ht="3" customHeight="1">
      <c r="A3" s="523"/>
      <c r="B3" s="523"/>
      <c r="C3" s="523"/>
      <c r="D3" s="523"/>
      <c r="E3" s="524"/>
      <c r="F3" s="524"/>
      <c r="G3" s="524"/>
      <c r="H3" s="524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4"/>
      <c r="V3" s="524"/>
      <c r="W3" s="524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</row>
    <row r="4" spans="1:34" ht="37.35" customHeight="1">
      <c r="A4" s="1176" t="s">
        <v>208</v>
      </c>
      <c r="B4" s="1177" t="s">
        <v>247</v>
      </c>
      <c r="C4" s="1177"/>
      <c r="D4" s="1177"/>
      <c r="E4" s="1178" t="s">
        <v>248</v>
      </c>
      <c r="F4" s="1178"/>
      <c r="G4" s="1178"/>
      <c r="H4" s="1178"/>
      <c r="I4" s="1179" t="s">
        <v>249</v>
      </c>
      <c r="J4" s="1179"/>
      <c r="K4" s="1179" t="s">
        <v>250</v>
      </c>
      <c r="L4" s="1179"/>
      <c r="M4" s="1180" t="s">
        <v>251</v>
      </c>
      <c r="N4" s="1180"/>
      <c r="O4" s="1180"/>
      <c r="P4" s="1181" t="s">
        <v>252</v>
      </c>
      <c r="Q4" s="1178" t="s">
        <v>253</v>
      </c>
      <c r="R4" s="1178"/>
      <c r="S4" s="1178" t="s">
        <v>254</v>
      </c>
      <c r="T4" s="1178"/>
      <c r="U4" s="1178"/>
      <c r="V4" s="1182" t="s">
        <v>255</v>
      </c>
      <c r="W4" s="1182" t="s">
        <v>256</v>
      </c>
      <c r="X4" s="1186" t="s">
        <v>257</v>
      </c>
      <c r="Y4" s="1186" t="s">
        <v>258</v>
      </c>
      <c r="Z4" s="1187" t="s">
        <v>259</v>
      </c>
      <c r="AA4" s="1187" t="s">
        <v>260</v>
      </c>
      <c r="AB4" s="1188" t="s">
        <v>261</v>
      </c>
      <c r="AC4" s="1193" t="s">
        <v>262</v>
      </c>
      <c r="AD4" s="1194" t="s">
        <v>263</v>
      </c>
      <c r="AE4" s="1195" t="s">
        <v>264</v>
      </c>
      <c r="AF4" s="1195"/>
      <c r="AG4" s="1184" t="s">
        <v>265</v>
      </c>
      <c r="AH4" s="1184"/>
    </row>
    <row r="5" spans="1:34" ht="40.5" customHeight="1">
      <c r="A5" s="1176"/>
      <c r="B5" s="525" t="s">
        <v>212</v>
      </c>
      <c r="C5" s="527" t="s">
        <v>266</v>
      </c>
      <c r="D5" s="527" t="s">
        <v>267</v>
      </c>
      <c r="E5" s="528" t="s">
        <v>268</v>
      </c>
      <c r="F5" s="1183" t="s">
        <v>269</v>
      </c>
      <c r="G5" s="1183"/>
      <c r="H5" s="1183"/>
      <c r="I5" s="1179" t="s">
        <v>270</v>
      </c>
      <c r="J5" s="1179" t="s">
        <v>271</v>
      </c>
      <c r="K5" s="1179" t="s">
        <v>272</v>
      </c>
      <c r="L5" s="1179" t="s">
        <v>273</v>
      </c>
      <c r="M5" s="1180"/>
      <c r="N5" s="1180"/>
      <c r="O5" s="1180"/>
      <c r="P5" s="1181"/>
      <c r="Q5" s="1196" t="s">
        <v>274</v>
      </c>
      <c r="R5" s="1197" t="s">
        <v>275</v>
      </c>
      <c r="S5" s="1196" t="s">
        <v>276</v>
      </c>
      <c r="T5" s="1197" t="s">
        <v>277</v>
      </c>
      <c r="U5" s="1197" t="s">
        <v>275</v>
      </c>
      <c r="V5" s="1182"/>
      <c r="W5" s="1182"/>
      <c r="X5" s="1186"/>
      <c r="Y5" s="1186"/>
      <c r="Z5" s="1187"/>
      <c r="AA5" s="1187"/>
      <c r="AB5" s="1188"/>
      <c r="AC5" s="1193"/>
      <c r="AD5" s="1194"/>
      <c r="AE5" s="1185" t="s">
        <v>278</v>
      </c>
      <c r="AF5" s="1185" t="s">
        <v>279</v>
      </c>
      <c r="AG5" s="1184" t="s">
        <v>280</v>
      </c>
      <c r="AH5" s="1184" t="s">
        <v>281</v>
      </c>
    </row>
    <row r="6" spans="1:34" ht="13.5" customHeight="1">
      <c r="A6" s="1176"/>
      <c r="B6" s="529" t="s">
        <v>218</v>
      </c>
      <c r="C6" s="529" t="s">
        <v>218</v>
      </c>
      <c r="D6" s="529" t="s">
        <v>218</v>
      </c>
      <c r="E6" s="526" t="s">
        <v>129</v>
      </c>
      <c r="F6" s="526" t="s">
        <v>216</v>
      </c>
      <c r="G6" s="526" t="s">
        <v>217</v>
      </c>
      <c r="H6" s="526" t="s">
        <v>218</v>
      </c>
      <c r="I6" s="1179"/>
      <c r="J6" s="1179"/>
      <c r="K6" s="1179"/>
      <c r="L6" s="1179"/>
      <c r="M6" s="530" t="s">
        <v>216</v>
      </c>
      <c r="N6" s="530" t="s">
        <v>217</v>
      </c>
      <c r="O6" s="530" t="s">
        <v>218</v>
      </c>
      <c r="P6" s="1181"/>
      <c r="Q6" s="1196"/>
      <c r="R6" s="1196"/>
      <c r="S6" s="1196"/>
      <c r="T6" s="1196"/>
      <c r="U6" s="1197"/>
      <c r="V6" s="1182"/>
      <c r="W6" s="1182"/>
      <c r="X6" s="1186"/>
      <c r="Y6" s="1186"/>
      <c r="Z6" s="1187"/>
      <c r="AA6" s="1187"/>
      <c r="AB6" s="1188"/>
      <c r="AC6" s="1193"/>
      <c r="AD6" s="1194"/>
      <c r="AE6" s="1185"/>
      <c r="AF6" s="1185"/>
      <c r="AG6" s="1184"/>
      <c r="AH6" s="1184"/>
    </row>
    <row r="7" spans="1:34" ht="17.25" customHeight="1">
      <c r="A7" s="531">
        <v>1</v>
      </c>
      <c r="B7" s="532">
        <f>'1'!$C$37</f>
        <v>33.9</v>
      </c>
      <c r="C7" s="532">
        <f>'1'!$D$37</f>
        <v>4</v>
      </c>
      <c r="D7" s="532">
        <f>'1'!$E$37</f>
        <v>4</v>
      </c>
      <c r="E7" s="533">
        <f>'1'!AA32</f>
        <v>56696.57</v>
      </c>
      <c r="F7" s="534">
        <f>MAX('1'!$AB$6:$AB$29)</f>
        <v>128.83016748366015</v>
      </c>
      <c r="G7" s="534">
        <f>MIN('1'!$AB$6:$AB$29)</f>
        <v>109.40161939530094</v>
      </c>
      <c r="H7" s="534">
        <f>'1'!$AB$32</f>
        <v>120.71904135043133</v>
      </c>
      <c r="I7" s="535">
        <f>'1'!$AL$40</f>
        <v>1589</v>
      </c>
      <c r="J7" s="536">
        <f>'1'!$AL$41</f>
        <v>6.7815214849184766</v>
      </c>
      <c r="K7" s="535" t="e">
        <f>'1'!$AQ$40</f>
        <v>#REF!</v>
      </c>
      <c r="L7" s="536" t="e">
        <f>'1'!$AQ$41</f>
        <v>#REF!</v>
      </c>
      <c r="M7" s="537">
        <f>'1'!$O$20</f>
        <v>3.8</v>
      </c>
      <c r="N7" s="537">
        <f>'1'!$O$21</f>
        <v>3.2</v>
      </c>
      <c r="O7" s="537">
        <f>'1'!$O$19</f>
        <v>3.6750000000000003</v>
      </c>
      <c r="P7" s="538">
        <f>'1'!$Y$34</f>
        <v>2711.9583333333335</v>
      </c>
      <c r="Q7" s="533">
        <f>'1'!$AB$36</f>
        <v>4</v>
      </c>
      <c r="R7" s="539" t="s">
        <v>282</v>
      </c>
      <c r="S7" s="533">
        <f>'1'!$Y$36</f>
        <v>0</v>
      </c>
      <c r="T7" s="540">
        <v>1</v>
      </c>
      <c r="U7" s="539">
        <v>80</v>
      </c>
      <c r="V7" s="541">
        <f>'1'!$A$41</f>
        <v>12</v>
      </c>
      <c r="W7" s="541">
        <f>'1'!$J$41</f>
        <v>12</v>
      </c>
      <c r="X7" s="542">
        <f>'1'!$B$41</f>
        <v>12</v>
      </c>
      <c r="Y7" s="542">
        <f>'1'!$H$45</f>
        <v>12</v>
      </c>
      <c r="Z7" s="543">
        <f>'1'!$C$41</f>
        <v>12</v>
      </c>
      <c r="AA7" s="543">
        <f>'1'!$O$41</f>
        <v>0</v>
      </c>
      <c r="AB7" s="543">
        <f>'1'!$Q$45</f>
        <v>3</v>
      </c>
      <c r="AC7" s="544">
        <f>'1'!$O$51</f>
        <v>12</v>
      </c>
      <c r="AD7" s="545">
        <f>'1'!$R$51</f>
        <v>12</v>
      </c>
      <c r="AE7" s="546">
        <f>'1'!$O$57</f>
        <v>12</v>
      </c>
      <c r="AF7" s="546">
        <f>'1'!$R$57</f>
        <v>0</v>
      </c>
      <c r="AG7" s="547">
        <f>'1'!$L$45</f>
        <v>0</v>
      </c>
      <c r="AH7" s="548">
        <f>'1'!$L$37</f>
        <v>0</v>
      </c>
    </row>
    <row r="8" spans="1:34" ht="17.25" customHeight="1">
      <c r="A8" s="531">
        <v>2</v>
      </c>
      <c r="B8" s="532">
        <f>'2'!$C$37</f>
        <v>37.799999999999997</v>
      </c>
      <c r="C8" s="532">
        <f>'2'!$D$37</f>
        <v>6</v>
      </c>
      <c r="D8" s="532">
        <f>'2'!$E$37</f>
        <v>5</v>
      </c>
      <c r="E8" s="533">
        <f>'2'!AA32</f>
        <v>52608.15</v>
      </c>
      <c r="F8" s="534">
        <f>MAX('2'!$AB$6:$AB$29)</f>
        <v>125.1783000116918</v>
      </c>
      <c r="G8" s="534">
        <f>MIN('2'!$AB$6:$AB$29)</f>
        <v>86.517857142857153</v>
      </c>
      <c r="H8" s="534">
        <f>'2'!$AB$32</f>
        <v>107.16088387595748</v>
      </c>
      <c r="I8" s="535" t="e">
        <f>'2'!$AL$40</f>
        <v>#REF!</v>
      </c>
      <c r="J8" s="536" t="e">
        <f>'2'!$AL$41</f>
        <v>#REF!</v>
      </c>
      <c r="K8" s="535">
        <f>'2'!$AQ$40</f>
        <v>1362</v>
      </c>
      <c r="L8" s="536">
        <f>'2'!$AQ$41</f>
        <v>5.551561040269605</v>
      </c>
      <c r="M8" s="537">
        <f>'2'!$O$20</f>
        <v>3.8</v>
      </c>
      <c r="N8" s="537">
        <f>'2'!$O$21</f>
        <v>2.7</v>
      </c>
      <c r="O8" s="537">
        <f>'2'!$O$19</f>
        <v>3.2999999999999994</v>
      </c>
      <c r="P8" s="538">
        <f>'2'!$Y$34</f>
        <v>2839.5416666666665</v>
      </c>
      <c r="Q8" s="533">
        <f>'2'!$AB$36</f>
        <v>0</v>
      </c>
      <c r="R8" s="539" t="s">
        <v>282</v>
      </c>
      <c r="S8" s="533">
        <f>'2'!$Y$36</f>
        <v>0</v>
      </c>
      <c r="T8" s="540">
        <v>1</v>
      </c>
      <c r="U8" s="539">
        <v>80</v>
      </c>
      <c r="V8" s="541">
        <f>'2'!$A$41</f>
        <v>12</v>
      </c>
      <c r="W8" s="541">
        <f>'2'!$J$41</f>
        <v>12</v>
      </c>
      <c r="X8" s="542">
        <f>'2'!$B$41</f>
        <v>12</v>
      </c>
      <c r="Y8" s="542">
        <f>'2'!$H$45</f>
        <v>12</v>
      </c>
      <c r="Z8" s="543">
        <f>'2'!$C$41</f>
        <v>12</v>
      </c>
      <c r="AA8" s="543">
        <f>'2'!$O$41</f>
        <v>0</v>
      </c>
      <c r="AB8" s="543">
        <f>'2'!$Q$45</f>
        <v>0</v>
      </c>
      <c r="AC8" s="544">
        <f>'2'!$O$51</f>
        <v>12</v>
      </c>
      <c r="AD8" s="545">
        <f>'2'!$R$51</f>
        <v>12</v>
      </c>
      <c r="AE8" s="546">
        <f>'2'!$O$57</f>
        <v>12</v>
      </c>
      <c r="AF8" s="546">
        <f>'2'!$R$57</f>
        <v>0</v>
      </c>
      <c r="AG8" s="547">
        <f>'2'!$L$45</f>
        <v>0</v>
      </c>
      <c r="AH8" s="548">
        <f>'2'!$L$37</f>
        <v>0</v>
      </c>
    </row>
    <row r="9" spans="1:34" ht="17.25" customHeight="1">
      <c r="A9" s="531">
        <v>3</v>
      </c>
      <c r="B9" s="532">
        <f>'3'!$C$37</f>
        <v>40.799999999999997</v>
      </c>
      <c r="C9" s="532">
        <f>'3'!$D$37</f>
        <v>4</v>
      </c>
      <c r="D9" s="532">
        <f>'3'!$E$37</f>
        <v>2</v>
      </c>
      <c r="E9" s="533">
        <f>'3'!AA32</f>
        <v>63853.3</v>
      </c>
      <c r="F9" s="534">
        <f>MAX('3'!$AB$6:$AB$29)</f>
        <v>229.6862194122468</v>
      </c>
      <c r="G9" s="534">
        <f>MIN('3'!$AB$6:$AB$29)</f>
        <v>89.49720068906116</v>
      </c>
      <c r="H9" s="534">
        <f>'3'!$AB$32</f>
        <v>130.24107029565295</v>
      </c>
      <c r="I9" s="535">
        <f>'3'!$AL$40</f>
        <v>1589</v>
      </c>
      <c r="J9" s="536">
        <f>'3'!$AL$41</f>
        <v>578.6598689002185</v>
      </c>
      <c r="K9" s="535">
        <f>'3'!$AQ$40</f>
        <v>1362</v>
      </c>
      <c r="L9" s="536">
        <f>'3'!$AQ$41</f>
        <v>5.5554739773767396</v>
      </c>
      <c r="M9" s="537">
        <f>'3'!$O$20</f>
        <v>3.5</v>
      </c>
      <c r="N9" s="537">
        <f>'3'!$O$21</f>
        <v>3.2</v>
      </c>
      <c r="O9" s="537">
        <f>'3'!$O$19</f>
        <v>3.3916666666666675</v>
      </c>
      <c r="P9" s="538">
        <f>'3'!$Y$34</f>
        <v>2837.5416666666665</v>
      </c>
      <c r="Q9" s="533">
        <f>'3'!$AB$36</f>
        <v>4</v>
      </c>
      <c r="R9" s="539" t="s">
        <v>282</v>
      </c>
      <c r="S9" s="533">
        <f>'3'!$Y$36</f>
        <v>0</v>
      </c>
      <c r="T9" s="540">
        <v>1</v>
      </c>
      <c r="U9" s="539">
        <v>80</v>
      </c>
      <c r="V9" s="541">
        <f>'3'!$A$41</f>
        <v>12</v>
      </c>
      <c r="W9" s="541">
        <f>'3'!$J$41</f>
        <v>12</v>
      </c>
      <c r="X9" s="542">
        <f>'3'!$B$41</f>
        <v>12</v>
      </c>
      <c r="Y9" s="542">
        <f>'3'!$H$45</f>
        <v>12</v>
      </c>
      <c r="Z9" s="543">
        <f>'3'!$C$41</f>
        <v>12</v>
      </c>
      <c r="AA9" s="543">
        <f>'3'!$O$41</f>
        <v>0</v>
      </c>
      <c r="AB9" s="543">
        <f>'3'!$Q$45</f>
        <v>3</v>
      </c>
      <c r="AC9" s="544">
        <f>'3'!$O$51</f>
        <v>12</v>
      </c>
      <c r="AD9" s="545">
        <f>'3'!$R$51</f>
        <v>12</v>
      </c>
      <c r="AE9" s="546">
        <f>'3'!$O$57</f>
        <v>12</v>
      </c>
      <c r="AF9" s="546">
        <f>'3'!$R$57</f>
        <v>0</v>
      </c>
      <c r="AG9" s="547">
        <f>'3'!$L$45</f>
        <v>1</v>
      </c>
      <c r="AH9" s="548" t="str">
        <f>'3'!$L$37</f>
        <v>*</v>
      </c>
    </row>
    <row r="10" spans="1:34" ht="17.25" customHeight="1">
      <c r="A10" s="531">
        <v>4</v>
      </c>
      <c r="B10" s="532">
        <f>'4'!$C$37</f>
        <v>41.8</v>
      </c>
      <c r="C10" s="532">
        <f>'4'!$D$37</f>
        <v>6</v>
      </c>
      <c r="D10" s="532">
        <f>'4'!$E$37</f>
        <v>5</v>
      </c>
      <c r="E10" s="533">
        <f>'4'!AA32</f>
        <v>64350.720000000001</v>
      </c>
      <c r="F10" s="534">
        <f>MAX('4'!$AB$6:$AB$29)</f>
        <v>172.16828478964405</v>
      </c>
      <c r="G10" s="534">
        <f>MIN('4'!$AB$6:$AB$29)</f>
        <v>128.36952774905205</v>
      </c>
      <c r="H10" s="534">
        <f>'4'!$AB$32</f>
        <v>133.88469066361696</v>
      </c>
      <c r="I10" s="535">
        <f>'4'!$AL$40</f>
        <v>1588.2423874999999</v>
      </c>
      <c r="J10" s="536">
        <f>'4'!$AL$41</f>
        <v>6.5883912156298576</v>
      </c>
      <c r="K10" s="535">
        <f>'4'!$AQ$40</f>
        <v>1598.2313333333323</v>
      </c>
      <c r="L10" s="536">
        <f>'4'!$AQ$41</f>
        <v>6.6298276383696644</v>
      </c>
      <c r="M10" s="537">
        <f>'4'!$O$20</f>
        <v>3.6</v>
      </c>
      <c r="N10" s="537">
        <f>'4'!$O$21</f>
        <v>2.5</v>
      </c>
      <c r="O10" s="537">
        <f>'4'!$O$19</f>
        <v>3.3916666666666675</v>
      </c>
      <c r="P10" s="538">
        <f>'4'!$Y$34</f>
        <v>2790.125</v>
      </c>
      <c r="Q10" s="533">
        <f>'4'!$AB$36</f>
        <v>4</v>
      </c>
      <c r="R10" s="539" t="s">
        <v>282</v>
      </c>
      <c r="S10" s="533">
        <f>'4'!$Y$36</f>
        <v>0</v>
      </c>
      <c r="T10" s="540">
        <v>1</v>
      </c>
      <c r="U10" s="539">
        <v>80</v>
      </c>
      <c r="V10" s="541">
        <f>'4'!$A$41</f>
        <v>12</v>
      </c>
      <c r="W10" s="541">
        <f>'4'!$J$41</f>
        <v>12</v>
      </c>
      <c r="X10" s="542">
        <f>'4'!$B$41</f>
        <v>12</v>
      </c>
      <c r="Y10" s="542">
        <f>'4'!$H$45</f>
        <v>11</v>
      </c>
      <c r="Z10" s="543">
        <f>'4'!$C$41</f>
        <v>12</v>
      </c>
      <c r="AA10" s="543">
        <f>'4'!$O$41</f>
        <v>0</v>
      </c>
      <c r="AB10" s="543">
        <f>'4'!$Q$45</f>
        <v>0</v>
      </c>
      <c r="AC10" s="544">
        <f>'4'!$O$51</f>
        <v>12</v>
      </c>
      <c r="AD10" s="545">
        <f>'4'!$R$51</f>
        <v>12</v>
      </c>
      <c r="AE10" s="546">
        <f>'4'!$O$57</f>
        <v>12</v>
      </c>
      <c r="AF10" s="546">
        <f>'4'!$R$57</f>
        <v>0</v>
      </c>
      <c r="AG10" s="547">
        <f>'4'!$L$45</f>
        <v>1</v>
      </c>
      <c r="AH10" s="548" t="str">
        <f>'4'!$L$37</f>
        <v>*</v>
      </c>
    </row>
    <row r="11" spans="1:34" ht="17.25" customHeight="1">
      <c r="A11" s="531">
        <v>5</v>
      </c>
      <c r="B11" s="532">
        <f>'5'!$C$37</f>
        <v>49.8</v>
      </c>
      <c r="C11" s="532">
        <f>'5'!$D$37</f>
        <v>4</v>
      </c>
      <c r="D11" s="532">
        <f>'5'!$E$37</f>
        <v>4</v>
      </c>
      <c r="E11" s="533">
        <f>'5'!AA32</f>
        <v>63159.040000000001</v>
      </c>
      <c r="F11" s="534">
        <f>MAX('5'!$AB$6:$AB$29)</f>
        <v>142.02090734615541</v>
      </c>
      <c r="G11" s="534">
        <f>MIN('5'!$AB$6:$AB$29)</f>
        <v>110.30447625539651</v>
      </c>
      <c r="H11" s="534">
        <f>'5'!$AB$32</f>
        <v>128.29920728700105</v>
      </c>
      <c r="I11" s="535">
        <f>'5'!$AL$40</f>
        <v>1678.1429000000001</v>
      </c>
      <c r="J11" s="536">
        <f>'5'!$AL$41</f>
        <v>6.8124807172062596</v>
      </c>
      <c r="K11" s="535">
        <f>'5'!$AQ$40</f>
        <v>1460.3666666666663</v>
      </c>
      <c r="L11" s="536">
        <f>'5'!$AQ$41</f>
        <v>5.9284103616667245</v>
      </c>
      <c r="M11" s="537">
        <f>'5'!$O$20</f>
        <v>4</v>
      </c>
      <c r="N11" s="537">
        <f>'5'!$O$21</f>
        <v>3.7</v>
      </c>
      <c r="O11" s="537">
        <f>'5'!$O$19</f>
        <v>3.7833333333333345</v>
      </c>
      <c r="P11" s="538">
        <f>'5'!$Y$34</f>
        <v>2851.0833333333335</v>
      </c>
      <c r="Q11" s="533">
        <f>'5'!$AB$36</f>
        <v>5</v>
      </c>
      <c r="R11" s="539" t="s">
        <v>282</v>
      </c>
      <c r="S11" s="533">
        <f>'5'!$Y$36</f>
        <v>0</v>
      </c>
      <c r="T11" s="540">
        <v>1</v>
      </c>
      <c r="U11" s="539">
        <v>80</v>
      </c>
      <c r="V11" s="541">
        <f>'5'!$A$41</f>
        <v>12</v>
      </c>
      <c r="W11" s="541">
        <f>'5'!$J$41</f>
        <v>12</v>
      </c>
      <c r="X11" s="542">
        <f>'5'!$B$41</f>
        <v>12</v>
      </c>
      <c r="Y11" s="542">
        <f>'5'!$H$45</f>
        <v>12</v>
      </c>
      <c r="Z11" s="543">
        <f>'5'!$C$41</f>
        <v>12</v>
      </c>
      <c r="AA11" s="543">
        <f>'5'!$O$41</f>
        <v>0</v>
      </c>
      <c r="AB11" s="543">
        <f>'5'!$Q$45</f>
        <v>0</v>
      </c>
      <c r="AC11" s="544">
        <f>'5'!$O$51</f>
        <v>12</v>
      </c>
      <c r="AD11" s="545">
        <f>'5'!$R$51</f>
        <v>12</v>
      </c>
      <c r="AE11" s="546">
        <f>'5'!$O$57</f>
        <v>12</v>
      </c>
      <c r="AF11" s="546">
        <f>'5'!$R$57</f>
        <v>0</v>
      </c>
      <c r="AG11" s="547">
        <f>'5'!$L$45</f>
        <v>0</v>
      </c>
      <c r="AH11" s="548">
        <f>'5'!$L$37</f>
        <v>0</v>
      </c>
    </row>
    <row r="12" spans="1:34" ht="17.25" customHeight="1">
      <c r="A12" s="531">
        <v>6</v>
      </c>
      <c r="B12" s="532">
        <f>'6'!$C$37</f>
        <v>49.8</v>
      </c>
      <c r="C12" s="532">
        <f>'6'!$D$37</f>
        <v>4</v>
      </c>
      <c r="D12" s="532">
        <f>'6'!$E$37</f>
        <v>2</v>
      </c>
      <c r="E12" s="533">
        <f>'6'!AA32</f>
        <v>56562.240000000005</v>
      </c>
      <c r="F12" s="534">
        <f>MAX('6'!$AB$6:$AB$29)</f>
        <v>145.06200507993429</v>
      </c>
      <c r="G12" s="534">
        <f>MIN('6'!$AB$6:$AB$29)</f>
        <v>112.21682847896442</v>
      </c>
      <c r="H12" s="534">
        <f>'6'!$AB$32</f>
        <v>117.3163893376029</v>
      </c>
      <c r="I12" s="535">
        <f>'6'!$AL$40</f>
        <v>1589</v>
      </c>
      <c r="J12" s="536">
        <f>'6'!$AL$41</f>
        <v>6.5696557153110602</v>
      </c>
      <c r="K12" s="535">
        <f>'6'!$AQ$40</f>
        <v>1362</v>
      </c>
      <c r="L12" s="536">
        <f>'6'!$AQ$41</f>
        <v>5.6311334702666223</v>
      </c>
      <c r="M12" s="537">
        <f>'6'!$O$20</f>
        <v>3.7</v>
      </c>
      <c r="N12" s="537">
        <f>'6'!$O$21</f>
        <v>3.6</v>
      </c>
      <c r="O12" s="537">
        <f>'6'!$O$19</f>
        <v>3.6333333333333342</v>
      </c>
      <c r="P12" s="538">
        <f>'6'!$Y$34</f>
        <v>2799.4166666666665</v>
      </c>
      <c r="Q12" s="533">
        <f>'6'!$AB$36</f>
        <v>4</v>
      </c>
      <c r="R12" s="539" t="s">
        <v>282</v>
      </c>
      <c r="S12" s="533">
        <f>'6'!$Y$36</f>
        <v>0</v>
      </c>
      <c r="T12" s="540">
        <v>1</v>
      </c>
      <c r="U12" s="539">
        <v>80</v>
      </c>
      <c r="V12" s="541">
        <f>'6'!$A$41</f>
        <v>12</v>
      </c>
      <c r="W12" s="541">
        <f>'6'!$J$41</f>
        <v>12</v>
      </c>
      <c r="X12" s="542">
        <f>'6'!$B$41</f>
        <v>12</v>
      </c>
      <c r="Y12" s="542">
        <f>'6'!$H$45</f>
        <v>12</v>
      </c>
      <c r="Z12" s="543">
        <f>'6'!$C$41</f>
        <v>12</v>
      </c>
      <c r="AA12" s="543">
        <f>'6'!$O$41</f>
        <v>0</v>
      </c>
      <c r="AB12" s="543">
        <f>'6'!$Q$45</f>
        <v>0</v>
      </c>
      <c r="AC12" s="544">
        <f>'6'!$O$51</f>
        <v>12</v>
      </c>
      <c r="AD12" s="545">
        <f>'6'!$R$51</f>
        <v>12</v>
      </c>
      <c r="AE12" s="546">
        <f>'6'!$O$57</f>
        <v>12</v>
      </c>
      <c r="AF12" s="546">
        <f>'6'!$R$57</f>
        <v>0</v>
      </c>
      <c r="AG12" s="547">
        <f>'6'!$L$45</f>
        <v>1</v>
      </c>
      <c r="AH12" s="548" t="str">
        <f>'6'!$L$37</f>
        <v>*</v>
      </c>
    </row>
    <row r="13" spans="1:34" ht="17.25" customHeight="1">
      <c r="A13" s="531">
        <v>7</v>
      </c>
      <c r="B13" s="532">
        <f>'7'!$C$37</f>
        <v>45.8</v>
      </c>
      <c r="C13" s="532">
        <f>'7'!$D$37</f>
        <v>5</v>
      </c>
      <c r="D13" s="532">
        <f>'7'!$E$37</f>
        <v>4</v>
      </c>
      <c r="E13" s="533">
        <f>'7'!AA32</f>
        <v>55503.360000000001</v>
      </c>
      <c r="F13" s="534">
        <f>MAX('7'!$AB$6:$AB$29)</f>
        <v>145.06200507993429</v>
      </c>
      <c r="G13" s="534">
        <f>MIN('7'!$AB$6:$AB$29)</f>
        <v>112.21682847896442</v>
      </c>
      <c r="H13" s="534">
        <f>'7'!$AB$32</f>
        <v>117.3163893376029</v>
      </c>
      <c r="I13" s="535">
        <f>'7'!$AL$40</f>
        <v>1589</v>
      </c>
      <c r="J13" s="536">
        <f>'7'!$AL$41</f>
        <v>6.3994445491553051</v>
      </c>
      <c r="K13" s="535">
        <f>'7'!$AQ$40</f>
        <v>1343.0833333333335</v>
      </c>
      <c r="L13" s="536">
        <f>'7'!$AQ$41</f>
        <v>5.4090543213098412</v>
      </c>
      <c r="M13" s="537">
        <f>'7'!$O$20</f>
        <v>3.8</v>
      </c>
      <c r="N13" s="537">
        <f>'7'!$O$21</f>
        <v>3.5</v>
      </c>
      <c r="O13" s="537">
        <f>'7'!$O$19</f>
        <v>3.6166666666666671</v>
      </c>
      <c r="P13" s="538">
        <f>'7'!$Y$34</f>
        <v>2873.875</v>
      </c>
      <c r="Q13" s="533">
        <f>'7'!$AB$36</f>
        <v>0</v>
      </c>
      <c r="R13" s="539" t="s">
        <v>282</v>
      </c>
      <c r="S13" s="533">
        <f>'6'!$Y$36</f>
        <v>0</v>
      </c>
      <c r="T13" s="540">
        <v>1</v>
      </c>
      <c r="U13" s="539">
        <v>80</v>
      </c>
      <c r="V13" s="541">
        <f>'7'!$A$41</f>
        <v>12</v>
      </c>
      <c r="W13" s="541">
        <f>'7'!$J$41</f>
        <v>12</v>
      </c>
      <c r="X13" s="542">
        <f>'7'!$B$41</f>
        <v>12</v>
      </c>
      <c r="Y13" s="542">
        <f>'7'!$H$45</f>
        <v>12</v>
      </c>
      <c r="Z13" s="543">
        <f>'7'!$C$41</f>
        <v>12</v>
      </c>
      <c r="AA13" s="543">
        <f>'7'!$O$41</f>
        <v>0</v>
      </c>
      <c r="AB13" s="543">
        <f>'7'!$Q$45</f>
        <v>0</v>
      </c>
      <c r="AC13" s="544">
        <f>'7'!$O$51</f>
        <v>12</v>
      </c>
      <c r="AD13" s="545">
        <f>'7'!$R$51</f>
        <v>12</v>
      </c>
      <c r="AE13" s="546">
        <f>'7'!$O$57</f>
        <v>12</v>
      </c>
      <c r="AF13" s="546">
        <f>'7'!$R$57</f>
        <v>0</v>
      </c>
      <c r="AG13" s="547">
        <f>'7'!$L$45</f>
        <v>0</v>
      </c>
      <c r="AH13" s="548">
        <f>'7'!$L$37</f>
        <v>0</v>
      </c>
    </row>
    <row r="14" spans="1:34">
      <c r="A14" s="531">
        <v>8</v>
      </c>
      <c r="B14" s="549">
        <f>'8'!C37</f>
        <v>0</v>
      </c>
      <c r="C14" s="549">
        <f>'8'!$D$37</f>
        <v>4</v>
      </c>
      <c r="D14" s="549">
        <f>'8'!$E$37</f>
        <v>4</v>
      </c>
      <c r="E14" s="533">
        <f>'8'!AA32</f>
        <v>55923.840000000004</v>
      </c>
      <c r="F14" s="534">
        <f>MAX('8'!$AB$6:$AB$29)</f>
        <v>111.09966815425106</v>
      </c>
      <c r="G14" s="534">
        <f>MIN('8'!$AB$6:$AB$29)</f>
        <v>103.36420738848081</v>
      </c>
      <c r="H14" s="534">
        <f>'8'!$AB$32</f>
        <v>107.12568839101823</v>
      </c>
      <c r="I14" s="535">
        <f>'8'!$AL$40</f>
        <v>1759.2499999999998</v>
      </c>
      <c r="J14" s="536">
        <f>'8'!$AL$41</f>
        <v>6.7371690295106568</v>
      </c>
      <c r="K14" s="535">
        <f>'8'!$AQ$40</f>
        <v>1362</v>
      </c>
      <c r="L14" s="536">
        <f>'8'!$AQ$41</f>
        <v>5.2158727970405092</v>
      </c>
      <c r="M14" s="537">
        <f>'8'!$O$20</f>
        <v>3.8</v>
      </c>
      <c r="N14" s="537">
        <f>'8'!$O$21</f>
        <v>3.6</v>
      </c>
      <c r="O14" s="537">
        <f>'8'!$O$19</f>
        <v>3.6666666666666674</v>
      </c>
      <c r="P14" s="538">
        <f>'8'!$Y$34</f>
        <v>3022.2916666666665</v>
      </c>
      <c r="Q14" s="533">
        <f>'8'!$AB$36</f>
        <v>5</v>
      </c>
      <c r="R14" s="539" t="s">
        <v>282</v>
      </c>
      <c r="S14" s="533">
        <f>'8'!$Y$36</f>
        <v>0</v>
      </c>
      <c r="T14" s="540">
        <v>1</v>
      </c>
      <c r="U14" s="539">
        <v>80</v>
      </c>
      <c r="V14" s="541">
        <f>'8'!$A$41</f>
        <v>12</v>
      </c>
      <c r="W14" s="541">
        <f>'8'!$J$41</f>
        <v>12</v>
      </c>
      <c r="X14" s="542">
        <f>'8'!$B$41</f>
        <v>12</v>
      </c>
      <c r="Y14" s="542">
        <f>'8'!$H$45</f>
        <v>12</v>
      </c>
      <c r="Z14" s="543">
        <f>'8'!$C$41</f>
        <v>12</v>
      </c>
      <c r="AA14" s="543">
        <f>'8'!$O$41</f>
        <v>0</v>
      </c>
      <c r="AB14" s="543">
        <f>'8'!$Q$45</f>
        <v>0</v>
      </c>
      <c r="AC14" s="544">
        <f>'8'!$O$51</f>
        <v>12</v>
      </c>
      <c r="AD14" s="545">
        <f>'8'!$R$51</f>
        <v>12</v>
      </c>
      <c r="AE14" s="546">
        <f>'8'!$O$57</f>
        <v>12</v>
      </c>
      <c r="AF14" s="546">
        <f>'8'!$R$57</f>
        <v>8</v>
      </c>
      <c r="AG14" s="547">
        <f>'8'!$L$45</f>
        <v>0</v>
      </c>
      <c r="AH14" s="548">
        <f>'8'!$L$37</f>
        <v>0</v>
      </c>
    </row>
    <row r="15" spans="1:34" ht="17.25" customHeight="1">
      <c r="A15" s="531">
        <v>9</v>
      </c>
      <c r="B15" s="549">
        <f>'9'!$C$37</f>
        <v>58.8</v>
      </c>
      <c r="C15" s="549">
        <f>'9'!$D$37</f>
        <v>6</v>
      </c>
      <c r="D15" s="549">
        <f>'9'!$E$37</f>
        <v>4</v>
      </c>
      <c r="E15" s="533">
        <f>'9'!AA32</f>
        <v>55923.840000000004</v>
      </c>
      <c r="F15" s="534">
        <f>MAX('9'!$AB$6:$AB$29)</f>
        <v>114.76359338061468</v>
      </c>
      <c r="G15" s="534">
        <f>MIN('9'!$AB$6:$AB$29)</f>
        <v>102.8060144006777</v>
      </c>
      <c r="H15" s="534">
        <f>'9'!$AB$32</f>
        <v>110.11622347002424</v>
      </c>
      <c r="I15" s="535">
        <f>'9'!$AL$40</f>
        <v>1815.9999999999998</v>
      </c>
      <c r="J15" s="536">
        <f>'9'!$AL$41</f>
        <v>7.142272815943314</v>
      </c>
      <c r="K15" s="535">
        <f>'9'!$AQ$40</f>
        <v>1362</v>
      </c>
      <c r="L15" s="536">
        <f>'9'!$AQ$41</f>
        <v>5.3567046119574862</v>
      </c>
      <c r="M15" s="537">
        <f>'9'!$O$20</f>
        <v>3.7</v>
      </c>
      <c r="N15" s="537">
        <f>'9'!$O$21</f>
        <v>3.2</v>
      </c>
      <c r="O15" s="537">
        <f>'9'!$O$19</f>
        <v>3.4750000000000014</v>
      </c>
      <c r="P15" s="538">
        <f>'9'!$Y$34</f>
        <v>2942.8333333333335</v>
      </c>
      <c r="Q15" s="533">
        <f>'9'!$AB$36</f>
        <v>5</v>
      </c>
      <c r="R15" s="539" t="s">
        <v>282</v>
      </c>
      <c r="S15" s="533">
        <f>'9'!$Y$36</f>
        <v>0</v>
      </c>
      <c r="T15" s="540">
        <v>1</v>
      </c>
      <c r="U15" s="539">
        <v>80</v>
      </c>
      <c r="V15" s="541">
        <f>'9'!$A$41</f>
        <v>12</v>
      </c>
      <c r="W15" s="541">
        <f>'9'!$J$41</f>
        <v>12</v>
      </c>
      <c r="X15" s="542">
        <f>'9'!$B$41</f>
        <v>12</v>
      </c>
      <c r="Y15" s="542">
        <f>'9'!$H$45</f>
        <v>12</v>
      </c>
      <c r="Z15" s="543">
        <f>'9'!$C$41</f>
        <v>12</v>
      </c>
      <c r="AA15" s="543">
        <f>'9'!$O$41</f>
        <v>0</v>
      </c>
      <c r="AB15" s="543">
        <f>'9'!$Q$45</f>
        <v>4</v>
      </c>
      <c r="AC15" s="544">
        <f>'9'!$O$51</f>
        <v>12</v>
      </c>
      <c r="AD15" s="545">
        <f>'9'!$R$51</f>
        <v>12</v>
      </c>
      <c r="AE15" s="546">
        <f>'9'!$O$57</f>
        <v>12</v>
      </c>
      <c r="AF15" s="546">
        <f>'9'!$R$57</f>
        <v>4</v>
      </c>
      <c r="AG15" s="547">
        <f>'9'!$L$45</f>
        <v>0</v>
      </c>
      <c r="AH15" s="548">
        <f>'9'!$L$37</f>
        <v>0</v>
      </c>
    </row>
    <row r="16" spans="1:34" ht="17.25" customHeight="1">
      <c r="A16" s="531">
        <v>10</v>
      </c>
      <c r="B16" s="549">
        <f>'10'!$C$37</f>
        <v>59.8</v>
      </c>
      <c r="C16" s="549">
        <f>'10'!$D$37</f>
        <v>5</v>
      </c>
      <c r="D16" s="549">
        <f>'10'!$E$37</f>
        <v>3</v>
      </c>
      <c r="E16" s="533">
        <f>'10'!AA32</f>
        <v>51610.65</v>
      </c>
      <c r="F16" s="534">
        <f>MAX('10'!$AB$6:$AB$29)</f>
        <v>129.43473193473196</v>
      </c>
      <c r="G16" s="534">
        <f>MIN('10'!$AB$6:$AB$29)</f>
        <v>99.618765697883035</v>
      </c>
      <c r="H16" s="534">
        <f>'10'!$AB$32</f>
        <v>108.21263984155814</v>
      </c>
      <c r="I16" s="535">
        <f>'10'!$AL$40</f>
        <v>1815.9999999999998</v>
      </c>
      <c r="J16" s="536">
        <f>'10'!$AL$41</f>
        <v>7.6050722816891962</v>
      </c>
      <c r="K16" s="535">
        <f>'10'!$AQ$40</f>
        <v>1362</v>
      </c>
      <c r="L16" s="536">
        <f>'10'!$AQ$41</f>
        <v>5.7038042112668981</v>
      </c>
      <c r="M16" s="537">
        <f>'10'!$O$20</f>
        <v>3.7</v>
      </c>
      <c r="N16" s="537">
        <f>'10'!$O$21</f>
        <v>3</v>
      </c>
      <c r="O16" s="537">
        <f>'10'!$O$19</f>
        <v>3.4166666666666674</v>
      </c>
      <c r="P16" s="538">
        <f>'10'!$Y$34</f>
        <v>2763.75</v>
      </c>
      <c r="Q16" s="533">
        <f>'10'!$AB$36</f>
        <v>3</v>
      </c>
      <c r="R16" s="539">
        <v>0</v>
      </c>
      <c r="S16" s="533">
        <f>'10'!$Y$36</f>
        <v>0</v>
      </c>
      <c r="T16" s="540">
        <v>1</v>
      </c>
      <c r="U16" s="539">
        <v>80</v>
      </c>
      <c r="V16" s="541">
        <f>'10'!$A$41</f>
        <v>12</v>
      </c>
      <c r="W16" s="541">
        <f>'10'!$J$41</f>
        <v>12</v>
      </c>
      <c r="X16" s="542">
        <f>'10'!$B$41</f>
        <v>12</v>
      </c>
      <c r="Y16" s="542">
        <f>'10'!$H$45</f>
        <v>12</v>
      </c>
      <c r="Z16" s="543">
        <f>'10'!$C$41</f>
        <v>12</v>
      </c>
      <c r="AA16" s="543">
        <f>'10'!$O$41</f>
        <v>0</v>
      </c>
      <c r="AB16" s="543">
        <f>'10'!$Q$45</f>
        <v>0</v>
      </c>
      <c r="AC16" s="544">
        <f>'10'!$O$51</f>
        <v>12</v>
      </c>
      <c r="AD16" s="545">
        <f>'10'!$R$51</f>
        <v>12</v>
      </c>
      <c r="AE16" s="546">
        <f>'10'!$O$57</f>
        <v>12</v>
      </c>
      <c r="AF16" s="546">
        <f>'10'!$R$57</f>
        <v>0</v>
      </c>
      <c r="AG16" s="547">
        <f>'10'!$L$45</f>
        <v>1</v>
      </c>
      <c r="AH16" s="548" t="str">
        <f>'10'!$L$37</f>
        <v>*</v>
      </c>
    </row>
    <row r="17" spans="1:34" ht="17.25" customHeight="1">
      <c r="A17" s="531">
        <v>11</v>
      </c>
      <c r="B17" s="549">
        <f>'11'!$C$37</f>
        <v>61.8</v>
      </c>
      <c r="C17" s="549">
        <f>'11'!$D$37</f>
        <v>15.9</v>
      </c>
      <c r="D17" s="549">
        <f>'11'!$E$37</f>
        <v>8</v>
      </c>
      <c r="E17" s="533">
        <f>'11'!AA32</f>
        <v>49217.98</v>
      </c>
      <c r="F17" s="534">
        <f>MAX('11'!$AB$6:$AB$29)</f>
        <v>116.13146719650929</v>
      </c>
      <c r="G17" s="534">
        <f>MIN('11'!$AB$6:$AB$29)</f>
        <v>106.37520330040857</v>
      </c>
      <c r="H17" s="534">
        <f>'11'!$AB$32</f>
        <v>110.14052555558251</v>
      </c>
      <c r="I17" s="535">
        <f>'11'!$AL$40</f>
        <v>1815.9999999999998</v>
      </c>
      <c r="J17" s="536">
        <f>'11'!$AL$41</f>
        <v>7.4616440269868258</v>
      </c>
      <c r="K17" s="535">
        <f>'11'!$AQ$40</f>
        <v>1362</v>
      </c>
      <c r="L17" s="536">
        <f>'11'!$AQ$41</f>
        <v>5.5962330202401205</v>
      </c>
      <c r="M17" s="537">
        <f>'11'!$O$20</f>
        <v>3.5</v>
      </c>
      <c r="N17" s="537">
        <f>'11'!$O$21</f>
        <v>3.5</v>
      </c>
      <c r="O17" s="537">
        <f>'11'!$O$19</f>
        <v>3.5</v>
      </c>
      <c r="P17" s="538">
        <f>'11'!$Y$34</f>
        <v>2816.875</v>
      </c>
      <c r="Q17" s="533">
        <f>'11'!$AB$36</f>
        <v>0</v>
      </c>
      <c r="R17" s="539" t="s">
        <v>282</v>
      </c>
      <c r="S17" s="533">
        <f>'11'!$Y$36</f>
        <v>0</v>
      </c>
      <c r="T17" s="540">
        <v>1</v>
      </c>
      <c r="U17" s="539">
        <v>80</v>
      </c>
      <c r="V17" s="541">
        <f>'11'!$A$41</f>
        <v>12</v>
      </c>
      <c r="W17" s="541">
        <f>'11'!$J$41</f>
        <v>12</v>
      </c>
      <c r="X17" s="542">
        <f>'11'!$B$41</f>
        <v>12</v>
      </c>
      <c r="Y17" s="542">
        <f>'11'!$H$45</f>
        <v>12</v>
      </c>
      <c r="Z17" s="543">
        <f>'11'!$C$41</f>
        <v>12</v>
      </c>
      <c r="AA17" s="543">
        <f>'11'!$O$41</f>
        <v>0</v>
      </c>
      <c r="AB17" s="543">
        <f>'11'!$Q$45</f>
        <v>1</v>
      </c>
      <c r="AC17" s="544">
        <f>'11'!$O$51</f>
        <v>12</v>
      </c>
      <c r="AD17" s="545">
        <f>'11'!$R$51</f>
        <v>12</v>
      </c>
      <c r="AE17" s="546">
        <f>'11'!$O$57</f>
        <v>12</v>
      </c>
      <c r="AF17" s="546">
        <f>'11'!$R$57</f>
        <v>0</v>
      </c>
      <c r="AG17" s="547">
        <f>'11'!$L$45</f>
        <v>1</v>
      </c>
      <c r="AH17" s="548" t="str">
        <f>'11'!$L$37</f>
        <v>*</v>
      </c>
    </row>
    <row r="18" spans="1:34" ht="17.25" customHeight="1">
      <c r="A18" s="531">
        <v>12</v>
      </c>
      <c r="B18" s="549">
        <f>'12'!$C$37</f>
        <v>57.8</v>
      </c>
      <c r="C18" s="549">
        <f>'12'!$D$37</f>
        <v>11.9</v>
      </c>
      <c r="D18" s="549">
        <f>'12'!$E$37</f>
        <v>7</v>
      </c>
      <c r="E18" s="533">
        <f>'12'!AA32</f>
        <v>55556.76</v>
      </c>
      <c r="F18" s="534" t="e">
        <f>MAX('12'!$AB$6:$AB$29)</f>
        <v>#DIV/0!</v>
      </c>
      <c r="G18" s="534" t="e">
        <f>MIN('12'!$AB$6:$AB$29)</f>
        <v>#DIV/0!</v>
      </c>
      <c r="H18" s="534" t="e">
        <f>'12'!$AB$32</f>
        <v>#DIV/0!</v>
      </c>
      <c r="I18" s="535">
        <f>'12'!$AL$40</f>
        <v>1021.5000000000005</v>
      </c>
      <c r="J18" s="536">
        <f>'12'!$AL$41</f>
        <v>4.4597249508840884</v>
      </c>
      <c r="K18" s="535">
        <f>'12'!$AQ$40</f>
        <v>1494.4166666666667</v>
      </c>
      <c r="L18" s="536">
        <f>'12'!$AQ$41</f>
        <v>6.5244124281452383</v>
      </c>
      <c r="M18" s="537">
        <f>'12'!$O$20</f>
        <v>3.8</v>
      </c>
      <c r="N18" s="537">
        <f>'12'!$O$21</f>
        <v>3.5</v>
      </c>
      <c r="O18" s="537">
        <f>'12'!$O$19</f>
        <v>3.5500000000000007</v>
      </c>
      <c r="P18" s="538">
        <f>'12'!$Y$34</f>
        <v>2892.0454545454545</v>
      </c>
      <c r="Q18" s="533">
        <f>'12'!$AB$36</f>
        <v>1</v>
      </c>
      <c r="R18" s="539" t="s">
        <v>282</v>
      </c>
      <c r="S18" s="533">
        <f>'12'!$Y$36</f>
        <v>1</v>
      </c>
      <c r="T18" s="540">
        <v>1</v>
      </c>
      <c r="U18" s="539">
        <v>80</v>
      </c>
      <c r="V18" s="541">
        <f>'12'!$A$41</f>
        <v>12</v>
      </c>
      <c r="W18" s="541">
        <f>'12'!$J$41</f>
        <v>12</v>
      </c>
      <c r="X18" s="542">
        <f>'12'!$B$41</f>
        <v>12</v>
      </c>
      <c r="Y18" s="542">
        <f>'12'!$H$45</f>
        <v>12</v>
      </c>
      <c r="Z18" s="543">
        <f>'12'!$C$41</f>
        <v>12</v>
      </c>
      <c r="AA18" s="543">
        <f>'12'!$O$41</f>
        <v>0</v>
      </c>
      <c r="AB18" s="543">
        <f>'12'!$Q$45</f>
        <v>2</v>
      </c>
      <c r="AC18" s="544">
        <f>'12'!$O$51</f>
        <v>12</v>
      </c>
      <c r="AD18" s="545">
        <f>'12'!$R$51</f>
        <v>12</v>
      </c>
      <c r="AE18" s="546">
        <f>'12'!$O$57</f>
        <v>12</v>
      </c>
      <c r="AF18" s="546">
        <f>'12'!$R$57</f>
        <v>0</v>
      </c>
      <c r="AG18" s="547">
        <f>'12'!$L$45</f>
        <v>0</v>
      </c>
      <c r="AH18" s="548">
        <f>'12'!$L$37</f>
        <v>0</v>
      </c>
    </row>
    <row r="19" spans="1:34" ht="17.25" customHeight="1">
      <c r="A19" s="531">
        <v>13</v>
      </c>
      <c r="B19" s="549">
        <f>'13'!$C$37</f>
        <v>63.7</v>
      </c>
      <c r="C19" s="549">
        <f>'13'!$D$37</f>
        <v>17.899999999999999</v>
      </c>
      <c r="D19" s="549">
        <f>'13'!$E$37</f>
        <v>13.9</v>
      </c>
      <c r="E19" s="533">
        <f>'13'!AA33</f>
        <v>50928.36</v>
      </c>
      <c r="F19" s="534" t="e">
        <f>MAX('13'!$AB$7:$AB$30)</f>
        <v>#REF!</v>
      </c>
      <c r="G19" s="534" t="e">
        <f>MIN('13'!$AB$7:$AB$30)</f>
        <v>#REF!</v>
      </c>
      <c r="H19" s="534" t="e">
        <f>'13'!$AB$33</f>
        <v>#REF!</v>
      </c>
      <c r="I19" s="535">
        <f>'13'!$AL$41</f>
        <v>1815.9999999999998</v>
      </c>
      <c r="J19" s="536">
        <f>'13'!$AL$42</f>
        <v>7.2058345038846419</v>
      </c>
      <c r="K19" s="535">
        <f>'13'!$AQ$41</f>
        <v>1362</v>
      </c>
      <c r="L19" s="536">
        <f>'13'!$AQ$42</f>
        <v>5.4043758779134823</v>
      </c>
      <c r="M19" s="537">
        <f>'13'!$O$20</f>
        <v>3.8</v>
      </c>
      <c r="N19" s="537">
        <f>'13'!$O$21</f>
        <v>3.6</v>
      </c>
      <c r="O19" s="537">
        <f>'13'!$O$19</f>
        <v>3.6999999999999993</v>
      </c>
      <c r="P19" s="538">
        <f>'13'!$Y$35</f>
        <v>2916.875</v>
      </c>
      <c r="Q19" s="533">
        <f>'13'!$AB$37</f>
        <v>6</v>
      </c>
      <c r="R19" s="539" t="s">
        <v>282</v>
      </c>
      <c r="S19" s="533">
        <f>'13'!$Y$37</f>
        <v>1</v>
      </c>
      <c r="T19" s="540">
        <v>1</v>
      </c>
      <c r="U19" s="539">
        <v>80</v>
      </c>
      <c r="V19" s="541">
        <f>'13'!$A$41</f>
        <v>12</v>
      </c>
      <c r="W19" s="541">
        <f>'13'!$J$41</f>
        <v>12</v>
      </c>
      <c r="X19" s="542">
        <f>'13'!$B$41</f>
        <v>12</v>
      </c>
      <c r="Y19" s="542">
        <f>'13'!$H$45</f>
        <v>12</v>
      </c>
      <c r="Z19" s="543">
        <f>'13'!$C$41</f>
        <v>12</v>
      </c>
      <c r="AA19" s="543">
        <f>'13'!$O$41</f>
        <v>0</v>
      </c>
      <c r="AB19" s="543">
        <f>'13'!$Q$45</f>
        <v>8</v>
      </c>
      <c r="AC19" s="544">
        <f>'13'!$O$51</f>
        <v>12</v>
      </c>
      <c r="AD19" s="545">
        <f>'13'!$R$51</f>
        <v>12</v>
      </c>
      <c r="AE19" s="546">
        <f>'13'!$O$57</f>
        <v>12</v>
      </c>
      <c r="AF19" s="546">
        <f>'13'!$R$57</f>
        <v>0</v>
      </c>
      <c r="AG19" s="547">
        <f>'13'!$L$45</f>
        <v>0</v>
      </c>
      <c r="AH19" s="548">
        <f>'13'!$L$37</f>
        <v>0</v>
      </c>
    </row>
    <row r="20" spans="1:34" ht="17.25" customHeight="1">
      <c r="A20" s="531">
        <v>14</v>
      </c>
      <c r="B20" s="549">
        <f>'14'!$C$37</f>
        <v>63.7</v>
      </c>
      <c r="C20" s="549">
        <f>'14'!$D$37</f>
        <v>19.899999999999999</v>
      </c>
      <c r="D20" s="549">
        <f>'14'!$E$37</f>
        <v>11.9</v>
      </c>
      <c r="E20" s="533">
        <f>'14'!AA32</f>
        <v>48015.66</v>
      </c>
      <c r="F20" s="534" t="e">
        <f>MAX('14'!$AB$6:$AB$29)</f>
        <v>#REF!</v>
      </c>
      <c r="G20" s="534" t="e">
        <f>MIN('14'!$AB$6:$AB$29)</f>
        <v>#REF!</v>
      </c>
      <c r="H20" s="534" t="e">
        <f>'14'!$AB$32</f>
        <v>#REF!</v>
      </c>
      <c r="I20" s="535" t="e">
        <f>'14'!$AL$40</f>
        <v>#REF!</v>
      </c>
      <c r="J20" s="536" t="e">
        <f>'14'!$AL$41</f>
        <v>#REF!</v>
      </c>
      <c r="K20" s="535" t="e">
        <f>'14'!$AQ$40</f>
        <v>#REF!</v>
      </c>
      <c r="L20" s="536" t="e">
        <f>'14'!$AQ$41</f>
        <v>#REF!</v>
      </c>
      <c r="M20" s="537">
        <f>'14'!$O$20</f>
        <v>3.8</v>
      </c>
      <c r="N20" s="537">
        <f>'14'!$O$21</f>
        <v>3.2</v>
      </c>
      <c r="O20" s="537">
        <f>'14'!$O$19</f>
        <v>3.5250000000000008</v>
      </c>
      <c r="P20" s="538">
        <f>'14'!$Y$34</f>
        <v>2882.625</v>
      </c>
      <c r="Q20" s="533">
        <f>'14'!$AB$36</f>
        <v>0</v>
      </c>
      <c r="R20" s="539" t="s">
        <v>282</v>
      </c>
      <c r="S20" s="533">
        <f>'14'!$Y$36</f>
        <v>0</v>
      </c>
      <c r="T20" s="540">
        <v>1</v>
      </c>
      <c r="U20" s="539">
        <v>80</v>
      </c>
      <c r="V20" s="541">
        <f>'14'!$A$41</f>
        <v>12</v>
      </c>
      <c r="W20" s="541">
        <f>'14'!$J$41</f>
        <v>12</v>
      </c>
      <c r="X20" s="542">
        <f>'14'!$B$41</f>
        <v>12</v>
      </c>
      <c r="Y20" s="542">
        <f>'14'!$H$45</f>
        <v>12</v>
      </c>
      <c r="Z20" s="543">
        <f>'14'!$C$41</f>
        <v>12</v>
      </c>
      <c r="AA20" s="543">
        <f>'14'!$O$41</f>
        <v>0</v>
      </c>
      <c r="AB20" s="543">
        <f>'14'!$Q$45</f>
        <v>8</v>
      </c>
      <c r="AC20" s="544">
        <f>'14'!$O$51</f>
        <v>12</v>
      </c>
      <c r="AD20" s="545">
        <f>'14'!$R$51</f>
        <v>12</v>
      </c>
      <c r="AE20" s="546">
        <f>'14'!$O$57</f>
        <v>11</v>
      </c>
      <c r="AF20" s="546">
        <f>'14'!$R$57</f>
        <v>0</v>
      </c>
      <c r="AG20" s="547">
        <f>'14'!$L$45</f>
        <v>1</v>
      </c>
      <c r="AH20" s="548" t="str">
        <f>'14'!$L$37</f>
        <v>*</v>
      </c>
    </row>
    <row r="21" spans="1:34" ht="17.25" customHeight="1">
      <c r="A21" s="531">
        <v>15</v>
      </c>
      <c r="B21" s="549">
        <f>'15'!$C$37</f>
        <v>62.8</v>
      </c>
      <c r="C21" s="549">
        <f>'15'!$D$37</f>
        <v>21.9</v>
      </c>
      <c r="D21" s="549">
        <f>'15'!$E$37</f>
        <v>12</v>
      </c>
      <c r="E21" s="533">
        <f>'15'!AA32</f>
        <v>46640.44</v>
      </c>
      <c r="F21" s="534">
        <f>MAX('15'!$AB$6:$AB$29)</f>
        <v>184.72222222222223</v>
      </c>
      <c r="G21" s="534">
        <f>MIN('15'!$AB$6:$AB$29)</f>
        <v>90.694397155071314</v>
      </c>
      <c r="H21" s="534">
        <f>'15'!$AB$32</f>
        <v>99.451132670994824</v>
      </c>
      <c r="I21" s="535">
        <f>'15'!$AL$40</f>
        <v>1589</v>
      </c>
      <c r="J21" s="536">
        <f>'15'!$AL$41</f>
        <v>6.6473229151502071</v>
      </c>
      <c r="K21" s="535">
        <f>'15'!$AQ$40</f>
        <v>1316.6</v>
      </c>
      <c r="L21" s="536">
        <f>'15'!$AQ$41</f>
        <v>5.5077818439815998</v>
      </c>
      <c r="M21" s="537">
        <f>'15'!$O$20</f>
        <v>3.5</v>
      </c>
      <c r="N21" s="537">
        <f>'15'!$O$21</f>
        <v>2.8</v>
      </c>
      <c r="O21" s="537">
        <f>'15'!$O$19</f>
        <v>3.1749999999999994</v>
      </c>
      <c r="P21" s="538">
        <f>'15'!$Y$34</f>
        <v>2766.7083333333335</v>
      </c>
      <c r="Q21" s="533">
        <f>'15'!$AB$36</f>
        <v>6</v>
      </c>
      <c r="R21" s="539" t="s">
        <v>282</v>
      </c>
      <c r="S21" s="533">
        <f>'15'!$Y$36</f>
        <v>1</v>
      </c>
      <c r="T21" s="540">
        <v>1</v>
      </c>
      <c r="U21" s="539">
        <v>80</v>
      </c>
      <c r="V21" s="541">
        <f>'15'!$A$41</f>
        <v>12</v>
      </c>
      <c r="W21" s="541">
        <f>'15'!$J$41</f>
        <v>12</v>
      </c>
      <c r="X21" s="542">
        <f>'15'!$B$41</f>
        <v>12</v>
      </c>
      <c r="Y21" s="542">
        <f>'15'!$H$45</f>
        <v>12</v>
      </c>
      <c r="Z21" s="543">
        <f>'15'!$C$41</f>
        <v>12</v>
      </c>
      <c r="AA21" s="543">
        <f>'15'!$O$41</f>
        <v>0</v>
      </c>
      <c r="AB21" s="543">
        <f>'15'!$Q$45</f>
        <v>8</v>
      </c>
      <c r="AC21" s="544">
        <f>'15'!$O$51</f>
        <v>12</v>
      </c>
      <c r="AD21" s="545">
        <f>'15'!$R$51</f>
        <v>12</v>
      </c>
      <c r="AE21" s="546">
        <f>'15'!$O$57</f>
        <v>12</v>
      </c>
      <c r="AF21" s="546">
        <f>'15'!$R$57</f>
        <v>0</v>
      </c>
      <c r="AG21" s="547">
        <f>'15'!$L$45</f>
        <v>1</v>
      </c>
      <c r="AH21" s="548" t="str">
        <f>'15'!$L$37</f>
        <v>*</v>
      </c>
    </row>
    <row r="22" spans="1:34" ht="17.25" customHeight="1">
      <c r="A22" s="531">
        <v>16</v>
      </c>
      <c r="B22" s="550">
        <f>'16'!$C$37</f>
        <v>64.7</v>
      </c>
      <c r="C22" s="550">
        <f>'16'!$D$37</f>
        <v>22.9</v>
      </c>
      <c r="D22" s="550">
        <f>'16'!$E$37</f>
        <v>14.9</v>
      </c>
      <c r="E22" s="533">
        <f>'16'!AA32</f>
        <v>44938.04</v>
      </c>
      <c r="F22" s="534">
        <f>MAX('16'!$AB$6:$AB$29)</f>
        <v>110.97033374536466</v>
      </c>
      <c r="G22" s="534">
        <f>MIN('16'!$AB$6:$AB$29)</f>
        <v>91.222412480974128</v>
      </c>
      <c r="H22" s="534">
        <f>'16'!$AB$32</f>
        <v>95.977580064669795</v>
      </c>
      <c r="I22" s="535" t="e">
        <f>'16'!$AL$40</f>
        <v>#REF!</v>
      </c>
      <c r="J22" s="536" t="e">
        <f>'16'!$AL$41</f>
        <v>#REF!</v>
      </c>
      <c r="K22" s="535">
        <f>'16'!$AQ$40</f>
        <v>1362</v>
      </c>
      <c r="L22" s="536">
        <f>'16'!$AQ$41</f>
        <v>5.7972346935127153</v>
      </c>
      <c r="M22" s="537">
        <f>'16'!$O$20</f>
        <v>3.3</v>
      </c>
      <c r="N22" s="537">
        <f>'16'!$O$21</f>
        <v>3</v>
      </c>
      <c r="O22" s="537">
        <f>'16'!$O$19</f>
        <v>3.1416666666666671</v>
      </c>
      <c r="P22" s="538">
        <f>'16'!$Y$34</f>
        <v>2719.2083333333335</v>
      </c>
      <c r="Q22" s="533">
        <f>'16'!$AB$36</f>
        <v>6</v>
      </c>
      <c r="R22" s="539" t="s">
        <v>282</v>
      </c>
      <c r="S22" s="533">
        <f>'16'!$Y$36</f>
        <v>1</v>
      </c>
      <c r="T22" s="540">
        <v>1</v>
      </c>
      <c r="U22" s="539">
        <v>80</v>
      </c>
      <c r="V22" s="541">
        <f>'16'!$A$41</f>
        <v>12</v>
      </c>
      <c r="W22" s="541">
        <f>'16'!$J$41</f>
        <v>12</v>
      </c>
      <c r="X22" s="542">
        <f>'16'!$B$41</f>
        <v>12</v>
      </c>
      <c r="Y22" s="542">
        <f>'16'!$H$45</f>
        <v>12</v>
      </c>
      <c r="Z22" s="543">
        <f>'16'!$C$41</f>
        <v>12</v>
      </c>
      <c r="AA22" s="543">
        <f>'16'!$O$41</f>
        <v>0</v>
      </c>
      <c r="AB22" s="543">
        <f>'16'!$Q$45</f>
        <v>11</v>
      </c>
      <c r="AC22" s="544">
        <f>'16'!$O$51</f>
        <v>12</v>
      </c>
      <c r="AD22" s="545">
        <f>'16'!$R$51</f>
        <v>12</v>
      </c>
      <c r="AE22" s="546">
        <f>'16'!$O$57</f>
        <v>12</v>
      </c>
      <c r="AF22" s="546">
        <f>'16'!$R$57</f>
        <v>0</v>
      </c>
      <c r="AG22" s="547">
        <f>'16'!$L$45</f>
        <v>0</v>
      </c>
      <c r="AH22" s="548">
        <f>'16'!$L$37</f>
        <v>0</v>
      </c>
    </row>
    <row r="23" spans="1:34" ht="17.25" customHeight="1">
      <c r="A23" s="531">
        <v>17</v>
      </c>
      <c r="B23" s="550">
        <f>'17'!$C$37</f>
        <v>71.7</v>
      </c>
      <c r="C23" s="550">
        <f>'17'!$D$37</f>
        <v>27.9</v>
      </c>
      <c r="D23" s="550">
        <f>'17'!$E$37</f>
        <v>23.9</v>
      </c>
      <c r="E23" s="533">
        <f>'17'!AA32</f>
        <v>41240.639999999999</v>
      </c>
      <c r="F23" s="534">
        <f>MAX('17'!$AB$6:$AB$29)</f>
        <v>87.721968543886362</v>
      </c>
      <c r="G23" s="534">
        <f>MIN('17'!$AB$6:$AB$29)</f>
        <v>80.631078005379678</v>
      </c>
      <c r="H23" s="534">
        <f>'17'!$AB$32</f>
        <v>84.55063934805365</v>
      </c>
      <c r="I23" s="535">
        <f>'17'!$AL$40</f>
        <v>1589</v>
      </c>
      <c r="J23" s="536">
        <f>'17'!$AL$41</f>
        <v>6.5191027351512973</v>
      </c>
      <c r="K23" s="535">
        <f>'17'!$AQ$40</f>
        <v>1362</v>
      </c>
      <c r="L23" s="536">
        <f>'17'!$AQ$41</f>
        <v>5.5878023444153975</v>
      </c>
      <c r="M23" s="537">
        <f>'17'!$O$20</f>
        <v>4</v>
      </c>
      <c r="N23" s="537">
        <f>'17'!$O$21</f>
        <v>3.5</v>
      </c>
      <c r="O23" s="537">
        <f>'17'!$O$19</f>
        <v>3.7166666666666668</v>
      </c>
      <c r="P23" s="538">
        <f>'17'!$Y$34</f>
        <v>2821.125</v>
      </c>
      <c r="Q23" s="533">
        <f>'17'!$AB$36</f>
        <v>6</v>
      </c>
      <c r="R23" s="539" t="s">
        <v>282</v>
      </c>
      <c r="S23" s="533">
        <f>'17'!$Y$36</f>
        <v>0</v>
      </c>
      <c r="T23" s="540">
        <v>1</v>
      </c>
      <c r="U23" s="539">
        <v>80</v>
      </c>
      <c r="V23" s="541">
        <f>'17'!$A$41</f>
        <v>12</v>
      </c>
      <c r="W23" s="541">
        <f>'17'!$J$41</f>
        <v>12</v>
      </c>
      <c r="X23" s="542">
        <f>'17'!$B$41</f>
        <v>12</v>
      </c>
      <c r="Y23" s="542">
        <f>'17'!$H$45</f>
        <v>12</v>
      </c>
      <c r="Z23" s="543">
        <f>'17'!$C$41</f>
        <v>12</v>
      </c>
      <c r="AA23" s="543">
        <f>'17'!$O$41</f>
        <v>0</v>
      </c>
      <c r="AB23" s="543">
        <f>'17'!$Q$45</f>
        <v>12</v>
      </c>
      <c r="AC23" s="544">
        <f>'17'!$O$51</f>
        <v>12</v>
      </c>
      <c r="AD23" s="545">
        <f>'17'!$R$51</f>
        <v>12</v>
      </c>
      <c r="AE23" s="546">
        <f>'17'!$O$57</f>
        <v>12</v>
      </c>
      <c r="AF23" s="546">
        <f>'17'!$R$57</f>
        <v>8</v>
      </c>
      <c r="AG23" s="547">
        <f>'17'!$L$45</f>
        <v>0</v>
      </c>
      <c r="AH23" s="548">
        <f>'17'!$L$37</f>
        <v>0</v>
      </c>
    </row>
    <row r="24" spans="1:34" ht="17.25" customHeight="1">
      <c r="A24" s="531">
        <v>18</v>
      </c>
      <c r="B24" s="550">
        <f>'18'!$C$37</f>
        <v>67.7</v>
      </c>
      <c r="C24" s="550">
        <f>'18'!$D$37</f>
        <v>25.9</v>
      </c>
      <c r="D24" s="550">
        <f>'18'!$E$37</f>
        <v>23.9</v>
      </c>
      <c r="E24" s="533">
        <f>'18'!AA32</f>
        <v>40160.68</v>
      </c>
      <c r="F24" s="534" t="e">
        <f>MAX('18'!$AB$6:$AB$29)</f>
        <v>#REF!</v>
      </c>
      <c r="G24" s="534" t="e">
        <f>MIN('18'!$AB$6:$AB$29)</f>
        <v>#REF!</v>
      </c>
      <c r="H24" s="534" t="e">
        <f>'18'!$AB$32</f>
        <v>#REF!</v>
      </c>
      <c r="I24" s="535">
        <f>'18'!$AL$40</f>
        <v>988.90563750000001</v>
      </c>
      <c r="J24" s="536">
        <f>'18'!$AL$41</f>
        <v>4.4871038471171802</v>
      </c>
      <c r="K24" s="535">
        <f>'18'!$AQ$40</f>
        <v>1532.2500000000005</v>
      </c>
      <c r="L24" s="536">
        <f>'18'!$AQ$41</f>
        <v>6.9524984073571954</v>
      </c>
      <c r="M24" s="537">
        <f>'18'!$O$20</f>
        <v>4</v>
      </c>
      <c r="N24" s="537">
        <f>'18'!$O$21</f>
        <v>3.5</v>
      </c>
      <c r="O24" s="537">
        <f>'18'!$O$19</f>
        <v>3.6583333333333337</v>
      </c>
      <c r="P24" s="538">
        <f>'18'!$Y$34</f>
        <v>2661.695652173913</v>
      </c>
      <c r="Q24" s="533">
        <f>'18'!$AB$36</f>
        <v>1</v>
      </c>
      <c r="R24" s="539" t="s">
        <v>282</v>
      </c>
      <c r="S24" s="533">
        <f>'18'!$Y$36</f>
        <v>2568</v>
      </c>
      <c r="T24" s="540">
        <v>1</v>
      </c>
      <c r="U24" s="539">
        <v>80</v>
      </c>
      <c r="V24" s="541">
        <f>'18'!$A$41</f>
        <v>12</v>
      </c>
      <c r="W24" s="541">
        <f>'18'!$J$41</f>
        <v>12</v>
      </c>
      <c r="X24" s="542">
        <f>'18'!$B$41</f>
        <v>12</v>
      </c>
      <c r="Y24" s="542">
        <f>'18'!$H$45</f>
        <v>12</v>
      </c>
      <c r="Z24" s="543">
        <f>'18'!$C$41</f>
        <v>12</v>
      </c>
      <c r="AA24" s="543">
        <f>'18'!$O$41</f>
        <v>0</v>
      </c>
      <c r="AB24" s="543">
        <f>'18'!$Q$45</f>
        <v>4</v>
      </c>
      <c r="AC24" s="544">
        <f>'18'!$O$51</f>
        <v>12</v>
      </c>
      <c r="AD24" s="545">
        <f>'18'!$R$51</f>
        <v>12</v>
      </c>
      <c r="AE24" s="546">
        <f>'18'!$O$57</f>
        <v>12</v>
      </c>
      <c r="AF24" s="546">
        <f>'18'!$R$57</f>
        <v>12</v>
      </c>
      <c r="AG24" s="547">
        <f>'18'!$L$45</f>
        <v>0</v>
      </c>
      <c r="AH24" s="548">
        <f>'18'!$L$37</f>
        <v>0</v>
      </c>
    </row>
    <row r="25" spans="1:34" ht="17.25" customHeight="1">
      <c r="A25" s="531">
        <v>19</v>
      </c>
      <c r="B25" s="550">
        <f>'19'!$C$37</f>
        <v>39.700000000000003</v>
      </c>
      <c r="C25" s="550">
        <f>'19'!$D$37</f>
        <v>26.9</v>
      </c>
      <c r="D25" s="550">
        <f>'19'!$E$37</f>
        <v>17.899999999999999</v>
      </c>
      <c r="E25" s="533">
        <f>'19'!AA32</f>
        <v>47465.04</v>
      </c>
      <c r="F25" s="534">
        <f>MAX('19'!$AB$6:$AB$29)</f>
        <v>102.57302757302757</v>
      </c>
      <c r="G25" s="534">
        <f>MIN('19'!$AB$6:$AB$29)</f>
        <v>89.027100271002709</v>
      </c>
      <c r="H25" s="534">
        <f>'19'!$AB$32</f>
        <v>96.064803685061236</v>
      </c>
      <c r="I25" s="535">
        <f>'19'!$AL$40</f>
        <v>0</v>
      </c>
      <c r="J25" s="536">
        <f>'19'!$AL$41</f>
        <v>0</v>
      </c>
      <c r="K25" s="535">
        <f>'19'!$AQ$40</f>
        <v>1816.0000000000007</v>
      </c>
      <c r="L25" s="536">
        <f>'19'!$AQ$41</f>
        <v>7.3242699525858406</v>
      </c>
      <c r="M25" s="537">
        <f>'19'!$O$20</f>
        <v>3.5</v>
      </c>
      <c r="N25" s="537">
        <f>'19'!$O$21</f>
        <v>3.2</v>
      </c>
      <c r="O25" s="537">
        <f>'19'!$O$19</f>
        <v>3.3583333333333338</v>
      </c>
      <c r="P25" s="538">
        <f>'19'!$Y$34</f>
        <v>2869.7083333333335</v>
      </c>
      <c r="Q25" s="533">
        <f>'19'!$AB$36</f>
        <v>0</v>
      </c>
      <c r="R25" s="539" t="s">
        <v>282</v>
      </c>
      <c r="S25" s="533">
        <f>'19'!$Y$36</f>
        <v>0</v>
      </c>
      <c r="T25" s="540">
        <v>1</v>
      </c>
      <c r="U25" s="539">
        <v>80</v>
      </c>
      <c r="V25" s="541">
        <f>'19'!$A$41</f>
        <v>12</v>
      </c>
      <c r="W25" s="541">
        <f>'19'!$J$41</f>
        <v>12</v>
      </c>
      <c r="X25" s="542">
        <f>'19'!$B$41</f>
        <v>12</v>
      </c>
      <c r="Y25" s="542">
        <f>'19'!$H$45</f>
        <v>12</v>
      </c>
      <c r="Z25" s="543">
        <f>'19'!$C$41</f>
        <v>12</v>
      </c>
      <c r="AA25" s="543">
        <f>'19'!$O$41</f>
        <v>0</v>
      </c>
      <c r="AB25" s="543">
        <f>'19'!$Q$45</f>
        <v>0</v>
      </c>
      <c r="AC25" s="544">
        <f>'19'!$O$51</f>
        <v>12</v>
      </c>
      <c r="AD25" s="545">
        <f>'19'!$R$51</f>
        <v>12</v>
      </c>
      <c r="AE25" s="546">
        <f>'19'!$O$57</f>
        <v>12</v>
      </c>
      <c r="AF25" s="546">
        <f>'19'!$R$57</f>
        <v>12</v>
      </c>
      <c r="AG25" s="547">
        <f>'19'!$L$45</f>
        <v>1</v>
      </c>
      <c r="AH25" s="548" t="str">
        <f>'19'!$L$37</f>
        <v>*</v>
      </c>
    </row>
    <row r="26" spans="1:34" ht="17.25" customHeight="1">
      <c r="A26" s="531">
        <v>20</v>
      </c>
      <c r="B26" s="550">
        <f>'20'!$C$37</f>
        <v>65.7</v>
      </c>
      <c r="C26" s="550">
        <f>'20'!$D$37</f>
        <v>24.9</v>
      </c>
      <c r="D26" s="550">
        <f>'20'!$E$37</f>
        <v>19.899999999999999</v>
      </c>
      <c r="E26" s="533">
        <f>'20'!AA32</f>
        <v>50497.440000000002</v>
      </c>
      <c r="F26" s="534">
        <f>MAX('20'!$AB$6:$AB$29)</f>
        <v>108.75718479923914</v>
      </c>
      <c r="G26" s="534">
        <f>MIN('20'!$AB$6:$AB$29)</f>
        <v>95.750509683995929</v>
      </c>
      <c r="H26" s="534">
        <f>'20'!$AB$32</f>
        <v>97.639649106827449</v>
      </c>
      <c r="I26" s="535">
        <f>'20'!$AL$40</f>
        <v>0</v>
      </c>
      <c r="J26" s="536">
        <f>'20'!$AL$41</f>
        <v>0</v>
      </c>
      <c r="K26" s="535">
        <f>'20'!$AQ$40</f>
        <v>2122.4499999999994</v>
      </c>
      <c r="L26" s="536">
        <f>'20'!$AQ$41</f>
        <v>8.2032759766862995</v>
      </c>
      <c r="M26" s="537">
        <f>'20'!$O$20</f>
        <v>3.2</v>
      </c>
      <c r="N26" s="537">
        <f>'20'!$O$21</f>
        <v>2.6</v>
      </c>
      <c r="O26" s="537">
        <f>'20'!$O$19</f>
        <v>2.7666666666666671</v>
      </c>
      <c r="P26" s="538">
        <f>'20'!$Y$34</f>
        <v>2994.5833333333335</v>
      </c>
      <c r="Q26" s="533">
        <f>'20'!$AB$36</f>
        <v>4</v>
      </c>
      <c r="R26" s="539" t="s">
        <v>282</v>
      </c>
      <c r="S26" s="533">
        <f>'20'!$Y$36</f>
        <v>1</v>
      </c>
      <c r="T26" s="540">
        <v>1</v>
      </c>
      <c r="U26" s="539">
        <v>80</v>
      </c>
      <c r="V26" s="541">
        <f>'20'!$A$41</f>
        <v>12</v>
      </c>
      <c r="W26" s="541">
        <f>'20'!$J$41</f>
        <v>12</v>
      </c>
      <c r="X26" s="542">
        <f>'20'!$B$41</f>
        <v>12</v>
      </c>
      <c r="Y26" s="542">
        <f>'20'!$H$45</f>
        <v>12</v>
      </c>
      <c r="Z26" s="543">
        <f>'20'!$C$41</f>
        <v>12</v>
      </c>
      <c r="AA26" s="543">
        <f>'20'!$O$41</f>
        <v>0</v>
      </c>
      <c r="AB26" s="543">
        <f>'20'!$Q$45</f>
        <v>11</v>
      </c>
      <c r="AC26" s="544">
        <f>'20'!$O$51</f>
        <v>12</v>
      </c>
      <c r="AD26" s="545">
        <f>'20'!$R$51</f>
        <v>12</v>
      </c>
      <c r="AE26" s="546">
        <f>'20'!$O$57</f>
        <v>12</v>
      </c>
      <c r="AF26" s="546">
        <f>'20'!$R$57</f>
        <v>12</v>
      </c>
      <c r="AG26" s="547">
        <f>'20'!$L$45</f>
        <v>0</v>
      </c>
      <c r="AH26" s="548">
        <f>'20'!$L$37</f>
        <v>0</v>
      </c>
    </row>
    <row r="27" spans="1:34" ht="17.25" customHeight="1">
      <c r="A27" s="531">
        <v>21</v>
      </c>
      <c r="B27" s="550">
        <f>'21'!$C$37</f>
        <v>69.7</v>
      </c>
      <c r="C27" s="550">
        <f>'21'!$D$37</f>
        <v>37.799999999999997</v>
      </c>
      <c r="D27" s="550">
        <f>'21'!$E$37</f>
        <v>23.9</v>
      </c>
      <c r="E27" s="533">
        <f>'21'!AA32</f>
        <v>50497.440000000002</v>
      </c>
      <c r="F27" s="534">
        <f>MAX('21'!$AB$6:$AB$29)</f>
        <v>105.99584895014709</v>
      </c>
      <c r="G27" s="534">
        <f>MIN('21'!$AB$6:$AB$29)</f>
        <v>94.941700960219478</v>
      </c>
      <c r="H27" s="534">
        <f>'21'!$AB$32</f>
        <v>98.022563377892411</v>
      </c>
      <c r="I27" s="535">
        <f>'21'!$AL$40</f>
        <v>0</v>
      </c>
      <c r="J27" s="536">
        <f>'21'!$AL$41</f>
        <v>0</v>
      </c>
      <c r="K27" s="535">
        <f>'21'!$AQ$40</f>
        <v>2270</v>
      </c>
      <c r="L27" s="536">
        <f>'21'!$AQ$41</f>
        <v>8.8075029060879633</v>
      </c>
      <c r="M27" s="537">
        <f>'21'!$O$20</f>
        <v>3.4</v>
      </c>
      <c r="N27" s="537">
        <f>'21'!$O$21</f>
        <v>3</v>
      </c>
      <c r="O27" s="537">
        <f>'21'!$O$19</f>
        <v>3.2333333333333325</v>
      </c>
      <c r="P27" s="538">
        <f>'21'!$Y$34</f>
        <v>2983.0416666666665</v>
      </c>
      <c r="Q27" s="533">
        <f>'21'!$AB$36</f>
        <v>7</v>
      </c>
      <c r="R27" s="539" t="s">
        <v>282</v>
      </c>
      <c r="S27" s="533">
        <f>'21'!$Y$36</f>
        <v>0</v>
      </c>
      <c r="T27" s="540">
        <v>1</v>
      </c>
      <c r="U27" s="539">
        <v>80</v>
      </c>
      <c r="V27" s="541">
        <f>'21'!$A$41</f>
        <v>12</v>
      </c>
      <c r="W27" s="541">
        <f>'21'!$J$41</f>
        <v>12</v>
      </c>
      <c r="X27" s="542">
        <f>'21'!$B$41</f>
        <v>12</v>
      </c>
      <c r="Y27" s="542">
        <f>'21'!$H$45</f>
        <v>12</v>
      </c>
      <c r="Z27" s="543">
        <f>'21'!$C$41</f>
        <v>12</v>
      </c>
      <c r="AA27" s="543">
        <f>'21'!$O$41</f>
        <v>0</v>
      </c>
      <c r="AB27" s="543">
        <f>'21'!$Q$45</f>
        <v>12</v>
      </c>
      <c r="AC27" s="544">
        <f>'21'!$O$51</f>
        <v>12</v>
      </c>
      <c r="AD27" s="545">
        <f>'21'!$R$51</f>
        <v>12</v>
      </c>
      <c r="AE27" s="546">
        <f>'21'!$O$57</f>
        <v>12</v>
      </c>
      <c r="AF27" s="546">
        <f>'21'!$R$57</f>
        <v>12</v>
      </c>
      <c r="AG27" s="547">
        <f>'21'!$L$45</f>
        <v>0</v>
      </c>
      <c r="AH27" s="548">
        <f>'21'!$L$37</f>
        <v>0</v>
      </c>
    </row>
    <row r="28" spans="1:34" ht="17.25" customHeight="1">
      <c r="A28" s="531">
        <v>22</v>
      </c>
      <c r="B28" s="550">
        <f>'22'!$C$37</f>
        <v>72.7</v>
      </c>
      <c r="C28" s="550">
        <f>'22'!$D$37</f>
        <v>38.799999999999997</v>
      </c>
      <c r="D28" s="550">
        <f>'22'!$E$37</f>
        <v>24.9</v>
      </c>
      <c r="E28" s="533">
        <f>'22'!AA32</f>
        <v>50497.440000000002</v>
      </c>
      <c r="F28" s="534">
        <f>MAX('22'!$AB$6:$AB$29)</f>
        <v>130.92766825965751</v>
      </c>
      <c r="G28" s="534">
        <f>MIN('22'!$AB$6:$AB$29)</f>
        <v>10.306138443151315</v>
      </c>
      <c r="H28" s="534">
        <f>'22'!$AB$32</f>
        <v>95.367391540196977</v>
      </c>
      <c r="I28" s="535">
        <f>'22'!$AL$40</f>
        <v>0</v>
      </c>
      <c r="J28" s="536">
        <f>'22'!$AL$41</f>
        <v>0</v>
      </c>
      <c r="K28" s="535">
        <f>'22'!$AQ$40</f>
        <v>2270</v>
      </c>
      <c r="L28" s="536">
        <f>'22'!$AQ$41</f>
        <v>6.5345930416659463</v>
      </c>
      <c r="M28" s="537">
        <f>'22'!$O$20</f>
        <v>3</v>
      </c>
      <c r="N28" s="537">
        <f>'22'!$O$21</f>
        <v>3</v>
      </c>
      <c r="O28" s="537">
        <f>'22'!$O$19</f>
        <v>3</v>
      </c>
      <c r="P28" s="538">
        <f>'22'!$Y$34</f>
        <v>4020.625</v>
      </c>
      <c r="Q28" s="533">
        <f>'22'!$AB$36</f>
        <v>0</v>
      </c>
      <c r="R28" s="539" t="s">
        <v>282</v>
      </c>
      <c r="S28" s="533">
        <f>'22'!$Y$36</f>
        <v>0</v>
      </c>
      <c r="T28" s="540">
        <v>1</v>
      </c>
      <c r="U28" s="539">
        <v>80</v>
      </c>
      <c r="V28" s="541">
        <f>'22'!$A$41</f>
        <v>12</v>
      </c>
      <c r="W28" s="541">
        <f>'22'!$J$41</f>
        <v>12</v>
      </c>
      <c r="X28" s="542">
        <f>'22'!$B$41</f>
        <v>12</v>
      </c>
      <c r="Y28" s="542">
        <f>'22'!$H$45</f>
        <v>12</v>
      </c>
      <c r="Z28" s="543">
        <f>'22'!$C$41</f>
        <v>12</v>
      </c>
      <c r="AA28" s="543">
        <f>'22'!$O$41</f>
        <v>0</v>
      </c>
      <c r="AB28" s="543">
        <f>'22'!$Q$45</f>
        <v>4</v>
      </c>
      <c r="AC28" s="544">
        <f>'22'!$O$51</f>
        <v>12</v>
      </c>
      <c r="AD28" s="545">
        <f>'22'!$R$51</f>
        <v>12</v>
      </c>
      <c r="AE28" s="546">
        <f>'22'!$O$57</f>
        <v>12</v>
      </c>
      <c r="AF28" s="546">
        <f>'22'!$R$57</f>
        <v>12</v>
      </c>
      <c r="AG28" s="547">
        <f>'22'!$L$45</f>
        <v>0</v>
      </c>
      <c r="AH28" s="548">
        <f>'22'!$L$37</f>
        <v>0</v>
      </c>
    </row>
    <row r="29" spans="1:34" ht="17.25" customHeight="1">
      <c r="A29" s="531">
        <v>23</v>
      </c>
      <c r="B29" s="550">
        <f>'23'!$C$37</f>
        <v>67.7</v>
      </c>
      <c r="C29" s="550">
        <f>'23'!$D$37</f>
        <v>25.9</v>
      </c>
      <c r="D29" s="550">
        <f>'23'!$E$37</f>
        <v>19.899999999999999</v>
      </c>
      <c r="E29" s="533">
        <f>'23'!AA32</f>
        <v>49965.920000000006</v>
      </c>
      <c r="F29" s="534">
        <f>MAX('23'!$AB$6:$AB$29)</f>
        <v>106.64560881952188</v>
      </c>
      <c r="G29" s="534">
        <f>MIN('23'!$AB$6:$AB$29)</f>
        <v>95.222437832399024</v>
      </c>
      <c r="H29" s="534">
        <f>'23'!$AB$32</f>
        <v>102.17241254644021</v>
      </c>
      <c r="I29" s="535">
        <f>'23'!$AL$40</f>
        <v>0</v>
      </c>
      <c r="J29" s="536">
        <f>'23'!$AL$41</f>
        <v>0</v>
      </c>
      <c r="K29" s="535">
        <f>'23'!$AQ$40</f>
        <v>2300.2666666666664</v>
      </c>
      <c r="L29" s="536">
        <f>'23'!$AQ$41</f>
        <v>9.3940275068799846</v>
      </c>
      <c r="M29" s="537">
        <f>'23'!$O$20</f>
        <v>3.2</v>
      </c>
      <c r="N29" s="537">
        <f>'23'!$O$21</f>
        <v>2.5</v>
      </c>
      <c r="O29" s="537">
        <f>'23'!$O$19</f>
        <v>2.933333333333334</v>
      </c>
      <c r="P29" s="538">
        <f>'23'!$Y$34</f>
        <v>2834.0833333333335</v>
      </c>
      <c r="Q29" s="533">
        <f>'23'!$AB$36</f>
        <v>5</v>
      </c>
      <c r="R29" s="539" t="s">
        <v>282</v>
      </c>
      <c r="S29" s="533">
        <f>'23'!$Y$36</f>
        <v>0</v>
      </c>
      <c r="T29" s="540">
        <v>1</v>
      </c>
      <c r="U29" s="539">
        <v>80</v>
      </c>
      <c r="V29" s="541">
        <f>'23'!$A$41</f>
        <v>12</v>
      </c>
      <c r="W29" s="541">
        <f>'23'!$J$41</f>
        <v>12</v>
      </c>
      <c r="X29" s="542">
        <f>'23'!$B$41</f>
        <v>12</v>
      </c>
      <c r="Y29" s="542">
        <f>'23'!$H$45</f>
        <v>12</v>
      </c>
      <c r="Z29" s="543">
        <f>'23'!$C$41</f>
        <v>12</v>
      </c>
      <c r="AA29" s="543">
        <f>'23'!$O$41</f>
        <v>0</v>
      </c>
      <c r="AB29" s="543">
        <f>'23'!$Q$45</f>
        <v>7</v>
      </c>
      <c r="AC29" s="544">
        <f>'23'!$O$51</f>
        <v>12</v>
      </c>
      <c r="AD29" s="545">
        <f>'23'!$R$51</f>
        <v>12</v>
      </c>
      <c r="AE29" s="546">
        <f>'23'!$O$57</f>
        <v>12</v>
      </c>
      <c r="AF29" s="546">
        <f>'23'!$R$57</f>
        <v>12</v>
      </c>
      <c r="AG29" s="547">
        <f>'23'!$L$45</f>
        <v>1</v>
      </c>
      <c r="AH29" s="548" t="str">
        <f>'23'!$L$37</f>
        <v>*</v>
      </c>
    </row>
    <row r="30" spans="1:34" ht="17.25" customHeight="1">
      <c r="A30" s="531">
        <v>24</v>
      </c>
      <c r="B30" s="550">
        <f>'24'!$C$37</f>
        <v>68.7</v>
      </c>
      <c r="C30" s="550">
        <f>'24'!$D$37</f>
        <v>33.9</v>
      </c>
      <c r="D30" s="550">
        <f>'24'!$E$37</f>
        <v>22.9</v>
      </c>
      <c r="E30" s="533">
        <f>'24'!AA32</f>
        <v>50497.440000000002</v>
      </c>
      <c r="F30" s="534">
        <f>MAX('24'!$AB$6:$AB$29)</f>
        <v>110.40066322461487</v>
      </c>
      <c r="G30" s="534">
        <f>MIN('24'!$AB$6:$AB$29)</f>
        <v>100.18188397516475</v>
      </c>
      <c r="H30" s="534">
        <f>'24'!$AB$32</f>
        <v>105.34668287982448</v>
      </c>
      <c r="I30" s="535">
        <f>'24'!$AL$40</f>
        <v>0</v>
      </c>
      <c r="J30" s="536">
        <f>'24'!$AL$41</f>
        <v>0</v>
      </c>
      <c r="K30" s="535">
        <f>'24'!$AQ$40</f>
        <v>2360.7999999999993</v>
      </c>
      <c r="L30" s="536">
        <f>'24'!$AQ$41</f>
        <v>9.8426706957910959</v>
      </c>
      <c r="M30" s="537">
        <f>'24'!$O$20</f>
        <v>3.4</v>
      </c>
      <c r="N30" s="537">
        <f>'24'!$O$21</f>
        <v>3</v>
      </c>
      <c r="O30" s="537">
        <f>'24'!$O$19</f>
        <v>3.1666666666666661</v>
      </c>
      <c r="P30" s="538">
        <f>'24'!$Y$34</f>
        <v>2776.0833333333335</v>
      </c>
      <c r="Q30" s="533">
        <f>'24'!$AB$36</f>
        <v>3</v>
      </c>
      <c r="R30" s="539" t="s">
        <v>282</v>
      </c>
      <c r="S30" s="533">
        <f>'24'!$Y$36</f>
        <v>1</v>
      </c>
      <c r="T30" s="540">
        <v>1</v>
      </c>
      <c r="U30" s="539">
        <v>80</v>
      </c>
      <c r="V30" s="541">
        <f>'24'!$A$41</f>
        <v>12</v>
      </c>
      <c r="W30" s="541">
        <f>'24'!$J$41</f>
        <v>12</v>
      </c>
      <c r="X30" s="542">
        <f>'24'!$B$41</f>
        <v>12</v>
      </c>
      <c r="Y30" s="542">
        <f>'24'!$H$45</f>
        <v>12</v>
      </c>
      <c r="Z30" s="543">
        <f>'24'!$C$41</f>
        <v>12</v>
      </c>
      <c r="AA30" s="543">
        <f>'24'!$O$41</f>
        <v>0</v>
      </c>
      <c r="AB30" s="543">
        <f>'24'!$Q$45</f>
        <v>12</v>
      </c>
      <c r="AC30" s="544">
        <f>'24'!$O$51</f>
        <v>12</v>
      </c>
      <c r="AD30" s="545">
        <f>'24'!$R$51</f>
        <v>12</v>
      </c>
      <c r="AE30" s="546">
        <f>'24'!$O$57</f>
        <v>12</v>
      </c>
      <c r="AF30" s="546">
        <f>'24'!$R$57</f>
        <v>12</v>
      </c>
      <c r="AG30" s="547">
        <f>'24'!$L$45</f>
        <v>0</v>
      </c>
      <c r="AH30" s="548">
        <f>'24'!$L$37</f>
        <v>0</v>
      </c>
    </row>
    <row r="31" spans="1:34" ht="17.25" customHeight="1">
      <c r="A31" s="531">
        <v>25</v>
      </c>
      <c r="B31" s="550">
        <f>'25'!$C$37</f>
        <v>59.7</v>
      </c>
      <c r="C31" s="550">
        <f>'25'!$D$37</f>
        <v>25.9</v>
      </c>
      <c r="D31" s="550">
        <f>'25'!$E$37</f>
        <v>19.899999999999999</v>
      </c>
      <c r="E31" s="533">
        <f>'25'!AA32</f>
        <v>48606.18</v>
      </c>
      <c r="F31" s="534">
        <f>MAX('25'!$AB$6:$AB$29)</f>
        <v>104.51736607852487</v>
      </c>
      <c r="G31" s="534">
        <f>MIN('25'!$AB$6:$AB$29)</f>
        <v>93.198220879489767</v>
      </c>
      <c r="H31" s="534">
        <f>'25'!$AB$32</f>
        <v>97.84234011337891</v>
      </c>
      <c r="I31" s="535">
        <f>'25'!$AL$40</f>
        <v>0</v>
      </c>
      <c r="J31" s="536">
        <f>'25'!$AL$41</f>
        <v>0</v>
      </c>
      <c r="K31" s="535">
        <f>'25'!$AQ$40</f>
        <v>2360.7999999999993</v>
      </c>
      <c r="L31" s="536">
        <f>'25'!$AQ$41</f>
        <v>9.5019601213906775</v>
      </c>
      <c r="M31" s="537">
        <f>'25'!$O$20</f>
        <v>3.6</v>
      </c>
      <c r="N31" s="537">
        <f>'25'!$O$21</f>
        <v>3.4</v>
      </c>
      <c r="O31" s="537">
        <f>'25'!$O$19</f>
        <v>3.4666666666666663</v>
      </c>
      <c r="P31" s="538">
        <f>'25'!$Y$34</f>
        <v>2875.625</v>
      </c>
      <c r="Q31" s="533">
        <f>'25'!$AB$36</f>
        <v>5</v>
      </c>
      <c r="R31" s="539" t="s">
        <v>282</v>
      </c>
      <c r="S31" s="533">
        <f>'25'!$Y$36</f>
        <v>0</v>
      </c>
      <c r="T31" s="540">
        <v>1</v>
      </c>
      <c r="U31" s="539">
        <v>80</v>
      </c>
      <c r="V31" s="541">
        <f>'25'!$A$41</f>
        <v>12</v>
      </c>
      <c r="W31" s="541">
        <f>'25'!$J$41</f>
        <v>12</v>
      </c>
      <c r="X31" s="542">
        <f>'25'!$B$41</f>
        <v>12</v>
      </c>
      <c r="Y31" s="542">
        <f>'25'!$H$45</f>
        <v>12</v>
      </c>
      <c r="Z31" s="543">
        <f>'25'!$C$41</f>
        <v>12</v>
      </c>
      <c r="AA31" s="543">
        <f>'25'!$O$41</f>
        <v>0</v>
      </c>
      <c r="AB31" s="543">
        <f>'25'!$Q$45</f>
        <v>11</v>
      </c>
      <c r="AC31" s="544">
        <f>'25'!$O$51</f>
        <v>12</v>
      </c>
      <c r="AD31" s="545">
        <f>'25'!$R$51</f>
        <v>12</v>
      </c>
      <c r="AE31" s="546">
        <f>'25'!$O$57</f>
        <v>12</v>
      </c>
      <c r="AF31" s="546">
        <f>'25'!$R$57</f>
        <v>12</v>
      </c>
      <c r="AG31" s="547">
        <f>'25'!$L$45</f>
        <v>0</v>
      </c>
      <c r="AH31" s="548">
        <f>'25'!$L$37</f>
        <v>0</v>
      </c>
    </row>
    <row r="32" spans="1:34" ht="17.25" customHeight="1">
      <c r="A32" s="531">
        <v>26</v>
      </c>
      <c r="B32" s="550">
        <f>'26'!$C$37</f>
        <v>58.8</v>
      </c>
      <c r="C32" s="550">
        <f>'26'!$D$37</f>
        <v>15.9</v>
      </c>
      <c r="D32" s="550">
        <f>'26'!$E$37</f>
        <v>11</v>
      </c>
      <c r="E32" s="533">
        <f>'26'!AA32</f>
        <v>47975.76</v>
      </c>
      <c r="F32" s="534">
        <f>MAX('26'!$AB$6:$AB$29)</f>
        <v>115.44178794178795</v>
      </c>
      <c r="G32" s="534">
        <f>MIN('26'!$AB$9:$AB$29)</f>
        <v>94.530983997276138</v>
      </c>
      <c r="H32" s="534">
        <f>'26'!$AB$32</f>
        <v>99.712958927157786</v>
      </c>
      <c r="I32" s="535">
        <f>'26'!$AL$40</f>
        <v>0</v>
      </c>
      <c r="J32" s="536">
        <f>'26'!$AL$41</f>
        <v>0</v>
      </c>
      <c r="K32" s="535">
        <f>'26'!$AQ$40</f>
        <v>2360.7999999999993</v>
      </c>
      <c r="L32" s="536">
        <f>'26'!$AQ$41</f>
        <v>9.8013328617002333</v>
      </c>
      <c r="M32" s="537">
        <f>'26'!$O$20</f>
        <v>3.6</v>
      </c>
      <c r="N32" s="537">
        <f>'26'!$O$21</f>
        <v>3.3</v>
      </c>
      <c r="O32" s="537">
        <f>'26'!$O$19</f>
        <v>3.4999999999999996</v>
      </c>
      <c r="P32" s="538">
        <f>'26'!$Y$34</f>
        <v>2787.7916666666665</v>
      </c>
      <c r="Q32" s="533">
        <f>'26'!$AB$36</f>
        <v>3</v>
      </c>
      <c r="R32" s="539" t="s">
        <v>282</v>
      </c>
      <c r="S32" s="533">
        <f>'26'!$Y$36</f>
        <v>0</v>
      </c>
      <c r="T32" s="540">
        <v>1</v>
      </c>
      <c r="U32" s="539">
        <v>80</v>
      </c>
      <c r="V32" s="541">
        <f>'26'!$A$41</f>
        <v>12</v>
      </c>
      <c r="W32" s="541">
        <f>'26'!$J$41</f>
        <v>12</v>
      </c>
      <c r="X32" s="542">
        <f>'26'!$B$41</f>
        <v>12</v>
      </c>
      <c r="Y32" s="542">
        <f>'26'!$H$45</f>
        <v>12</v>
      </c>
      <c r="Z32" s="543">
        <f>'26'!$C$41</f>
        <v>12</v>
      </c>
      <c r="AA32" s="543">
        <f>'26'!$O$41</f>
        <v>0</v>
      </c>
      <c r="AB32" s="543">
        <f>'26'!$Q$45</f>
        <v>12</v>
      </c>
      <c r="AC32" s="544">
        <f>'26'!$O$51</f>
        <v>12</v>
      </c>
      <c r="AD32" s="545">
        <f>'26'!$R$51</f>
        <v>12</v>
      </c>
      <c r="AE32" s="546">
        <f>'26'!$O$57</f>
        <v>12</v>
      </c>
      <c r="AF32" s="546">
        <f>'26'!$R$57</f>
        <v>12</v>
      </c>
      <c r="AG32" s="547">
        <f>'26'!$L$45</f>
        <v>1</v>
      </c>
      <c r="AH32" s="548" t="str">
        <f>'26'!$L$37</f>
        <v>*</v>
      </c>
    </row>
    <row r="33" spans="1:35" ht="17.25" customHeight="1">
      <c r="A33" s="531">
        <v>27</v>
      </c>
      <c r="B33" s="550">
        <f>'27'!$C$37</f>
        <v>61.7</v>
      </c>
      <c r="C33" s="550">
        <f>'27'!$D$37</f>
        <v>21.9</v>
      </c>
      <c r="D33" s="550">
        <f>'27'!$E$37</f>
        <v>17.899999999999999</v>
      </c>
      <c r="E33" s="533">
        <f>'27'!AA32</f>
        <v>50497.440000000002</v>
      </c>
      <c r="F33" s="534">
        <f>MAX('27'!$AB$6:$AB$29)</f>
        <v>106.84846638228721</v>
      </c>
      <c r="G33" s="534">
        <f>MIN('27'!$AB$6:$AB$29)</f>
        <v>97.759683098591552</v>
      </c>
      <c r="H33" s="534">
        <f>'27'!$AB$32</f>
        <v>107.3081515163487</v>
      </c>
      <c r="I33" s="535">
        <f>'27'!$AL$40</f>
        <v>0</v>
      </c>
      <c r="J33" s="536">
        <f>'27'!$AL$41</f>
        <v>0</v>
      </c>
      <c r="K33" s="535">
        <f>'27'!$AQ$40</f>
        <v>2360.7999999999993</v>
      </c>
      <c r="L33" s="536">
        <f>'27'!$AQ$41</f>
        <v>9.737297545217718</v>
      </c>
      <c r="M33" s="537">
        <f>'27'!$O$20</f>
        <v>3.5</v>
      </c>
      <c r="N33" s="537">
        <f>'27'!$O$21</f>
        <v>3.5</v>
      </c>
      <c r="O33" s="537">
        <f>'27'!$O$19</f>
        <v>3.5</v>
      </c>
      <c r="P33" s="538">
        <f>'27'!$Y$34</f>
        <v>2806.125</v>
      </c>
      <c r="Q33" s="533">
        <f>'27'!$AB$36</f>
        <v>0</v>
      </c>
      <c r="R33" s="539" t="s">
        <v>282</v>
      </c>
      <c r="S33" s="533">
        <f>'27'!$Y$36</f>
        <v>0</v>
      </c>
      <c r="T33" s="540">
        <v>1</v>
      </c>
      <c r="U33" s="539">
        <v>80</v>
      </c>
      <c r="V33" s="541">
        <f>'27'!$A$41</f>
        <v>12</v>
      </c>
      <c r="W33" s="541">
        <f>'27'!$J$41</f>
        <v>12</v>
      </c>
      <c r="X33" s="542">
        <f>'27'!$B$41</f>
        <v>12</v>
      </c>
      <c r="Y33" s="542">
        <f>'27'!$H$45</f>
        <v>12</v>
      </c>
      <c r="Z33" s="543">
        <f>'27'!$C$41</f>
        <v>12</v>
      </c>
      <c r="AA33" s="543">
        <f>'27'!$O$41</f>
        <v>0</v>
      </c>
      <c r="AB33" s="543">
        <f>'27'!$Q$45</f>
        <v>5</v>
      </c>
      <c r="AC33" s="544">
        <f>'27'!$O$51</f>
        <v>12</v>
      </c>
      <c r="AD33" s="545">
        <f>'27'!$R$51</f>
        <v>12</v>
      </c>
      <c r="AE33" s="546">
        <f>'27'!$O$57</f>
        <v>12</v>
      </c>
      <c r="AF33" s="546">
        <f>'27'!$R$57</f>
        <v>2</v>
      </c>
      <c r="AG33" s="547">
        <f>'27'!$L$45</f>
        <v>0</v>
      </c>
      <c r="AH33" s="548">
        <f>'27'!$L$37</f>
        <v>0</v>
      </c>
    </row>
    <row r="34" spans="1:35" ht="17.25" customHeight="1">
      <c r="A34" s="531">
        <v>28</v>
      </c>
      <c r="B34" s="550">
        <f>'28'!$C$37</f>
        <v>64.7</v>
      </c>
      <c r="C34" s="550">
        <f>'28'!$D$37</f>
        <v>23.9</v>
      </c>
      <c r="D34" s="550">
        <f>'28'!$E$37</f>
        <v>18.899999999999999</v>
      </c>
      <c r="E34" s="533">
        <f>'28'!AA32</f>
        <v>50497.440000000002</v>
      </c>
      <c r="F34" s="534">
        <f>MAX('28'!$AB$6:$AB$29)</f>
        <v>114.96087944750415</v>
      </c>
      <c r="G34" s="534">
        <f>MIN('28'!$AB$6:$AB$29)</f>
        <v>102.6090433832709</v>
      </c>
      <c r="H34" s="534">
        <f>'28'!$AB$32</f>
        <v>107.3081515163487</v>
      </c>
      <c r="I34" s="535">
        <f>'28'!$AL$40</f>
        <v>0</v>
      </c>
      <c r="J34" s="536">
        <f>'28'!$AL$41</f>
        <v>0</v>
      </c>
      <c r="K34" s="535">
        <f>'28'!$AQ$40</f>
        <v>2360.7999999999993</v>
      </c>
      <c r="L34" s="536">
        <f>'28'!$AQ$41</f>
        <v>10.020747803822891</v>
      </c>
      <c r="M34" s="537">
        <f>'28'!$O$20</f>
        <v>3.5</v>
      </c>
      <c r="N34" s="537">
        <f>'28'!$O$21</f>
        <v>2.8</v>
      </c>
      <c r="O34" s="537">
        <f>'28'!$O$19</f>
        <v>3.2083333333333335</v>
      </c>
      <c r="P34" s="538">
        <f>'28'!$Y$34</f>
        <v>2726.75</v>
      </c>
      <c r="Q34" s="533">
        <f>'28'!$AB$36</f>
        <v>3</v>
      </c>
      <c r="R34" s="539" t="s">
        <v>282</v>
      </c>
      <c r="S34" s="533">
        <f>'28'!$Y$36</f>
        <v>0</v>
      </c>
      <c r="T34" s="540">
        <v>1</v>
      </c>
      <c r="U34" s="539">
        <v>80</v>
      </c>
      <c r="V34" s="541">
        <f>'28'!$A$41</f>
        <v>12</v>
      </c>
      <c r="W34" s="541">
        <f>'28'!$J$41</f>
        <v>12</v>
      </c>
      <c r="X34" s="542">
        <f>'28'!$B$41</f>
        <v>12</v>
      </c>
      <c r="Y34" s="542">
        <f>'28'!$H$45</f>
        <v>12</v>
      </c>
      <c r="Z34" s="543">
        <f>'28'!$C$41</f>
        <v>12</v>
      </c>
      <c r="AA34" s="543">
        <f>'28'!$O$41</f>
        <v>0</v>
      </c>
      <c r="AB34" s="543">
        <f>'28'!$Q$45</f>
        <v>6</v>
      </c>
      <c r="AC34" s="544">
        <f>'28'!$O$51</f>
        <v>12</v>
      </c>
      <c r="AD34" s="545">
        <f>'28'!$R$51</f>
        <v>12</v>
      </c>
      <c r="AE34" s="546">
        <f>'28'!$O$57</f>
        <v>12</v>
      </c>
      <c r="AF34" s="546">
        <f>'28'!$R$57</f>
        <v>12</v>
      </c>
      <c r="AG34" s="547">
        <f>'28'!$L$45</f>
        <v>0</v>
      </c>
      <c r="AH34" s="548">
        <f>'28'!$L$37</f>
        <v>0</v>
      </c>
    </row>
    <row r="35" spans="1:35" ht="17.25" customHeight="1">
      <c r="A35" s="531">
        <v>29</v>
      </c>
      <c r="B35" s="550">
        <f>'29'!$C$37</f>
        <v>51.8</v>
      </c>
      <c r="C35" s="550">
        <f>'29'!$D$37</f>
        <v>15.9</v>
      </c>
      <c r="D35" s="550">
        <f>'29'!$E$37</f>
        <v>11.9</v>
      </c>
      <c r="E35" s="533">
        <f>'29'!AA32</f>
        <v>50497.440000000002</v>
      </c>
      <c r="F35" s="534">
        <f>MAX('29'!$AB$6:$AB$29)</f>
        <v>125.58253354342739</v>
      </c>
      <c r="G35" s="534">
        <f>MIN('29'!$AB$6:$AB$29)</f>
        <v>104.256352320926</v>
      </c>
      <c r="H35" s="534">
        <f>'29'!$AB$32</f>
        <v>112.29032711501917</v>
      </c>
      <c r="I35" s="535">
        <f>'29'!$AL$40</f>
        <v>0</v>
      </c>
      <c r="J35" s="536">
        <f>'29'!$AL$41</f>
        <v>0</v>
      </c>
      <c r="K35" s="535">
        <f>'29'!$AQ$40</f>
        <v>2360.7999999999993</v>
      </c>
      <c r="L35" s="536">
        <f>'29'!$AQ$41</f>
        <v>10.455640589569159</v>
      </c>
      <c r="M35" s="537">
        <f>'29'!$O$20</f>
        <v>4</v>
      </c>
      <c r="N35" s="537">
        <f>'29'!$O$21</f>
        <v>3.4</v>
      </c>
      <c r="O35" s="537">
        <f>'29'!$O$19</f>
        <v>3.8333333333333335</v>
      </c>
      <c r="P35" s="538">
        <f>'29'!$Y$34</f>
        <v>2613.3333333333335</v>
      </c>
      <c r="Q35" s="533">
        <f>'29'!$AB$36</f>
        <v>3</v>
      </c>
      <c r="R35" s="539" t="s">
        <v>282</v>
      </c>
      <c r="S35" s="533">
        <f>'29'!$Y$36</f>
        <v>0</v>
      </c>
      <c r="T35" s="540">
        <v>1</v>
      </c>
      <c r="U35" s="539">
        <v>80</v>
      </c>
      <c r="V35" s="541">
        <f>'29'!$A$41</f>
        <v>12</v>
      </c>
      <c r="W35" s="541">
        <f>'29'!$J$41</f>
        <v>12</v>
      </c>
      <c r="X35" s="542">
        <f>'29'!$B$41</f>
        <v>12</v>
      </c>
      <c r="Y35" s="542">
        <f>'29'!$H$45</f>
        <v>12</v>
      </c>
      <c r="Z35" s="543">
        <f>'29'!$C$41</f>
        <v>12</v>
      </c>
      <c r="AA35" s="543">
        <f>'29'!$O$41</f>
        <v>0</v>
      </c>
      <c r="AB35" s="543">
        <f>'29'!$Q$45</f>
        <v>9</v>
      </c>
      <c r="AC35" s="544">
        <f>'29'!$O$51</f>
        <v>12</v>
      </c>
      <c r="AD35" s="545">
        <f>'29'!$R$51</f>
        <v>12</v>
      </c>
      <c r="AE35" s="546">
        <f>'29'!$O$57</f>
        <v>12</v>
      </c>
      <c r="AF35" s="546">
        <f>'29'!$R$57</f>
        <v>4</v>
      </c>
      <c r="AG35" s="547">
        <f>'29'!$L$45</f>
        <v>0</v>
      </c>
      <c r="AH35" s="548">
        <f>'29'!$L$37</f>
        <v>0</v>
      </c>
    </row>
    <row r="36" spans="1:35" ht="17.25" customHeight="1">
      <c r="A36" s="531">
        <v>30</v>
      </c>
      <c r="B36" s="550">
        <f>'30'!$C$37</f>
        <v>55.8</v>
      </c>
      <c r="C36" s="550">
        <f>'30'!$D$37</f>
        <v>18</v>
      </c>
      <c r="D36" s="550">
        <f>'30'!$E$37</f>
        <v>11.9</v>
      </c>
      <c r="E36" s="533">
        <f>'30'!AA32</f>
        <v>50182.23</v>
      </c>
      <c r="F36" s="534">
        <f>MAX('30'!$AB$6:$AB$29)</f>
        <v>120.70654917618981</v>
      </c>
      <c r="G36" s="534">
        <f>MIN('30'!$AB$6:$AB$29)</f>
        <v>99.567480598144996</v>
      </c>
      <c r="H36" s="534">
        <f>'30'!$AB$32</f>
        <v>109.73416406094645</v>
      </c>
      <c r="I36" s="535" t="e">
        <f>'30'!$AL$40</f>
        <v>#REF!</v>
      </c>
      <c r="J36" s="536" t="e">
        <f>'30'!$AL$41</f>
        <v>#REF!</v>
      </c>
      <c r="K36" s="535">
        <f>'30'!$AQ$40</f>
        <v>2194.333333333333</v>
      </c>
      <c r="L36" s="536">
        <f>'30'!$AQ$41</f>
        <v>9.5681192533872856</v>
      </c>
      <c r="M36" s="537">
        <f>'30'!$O$20</f>
        <v>4</v>
      </c>
      <c r="N36" s="537">
        <f>'30'!$O$21</f>
        <v>3.5</v>
      </c>
      <c r="O36" s="537">
        <f>'30'!$O$19</f>
        <v>3.7083333333333335</v>
      </c>
      <c r="P36" s="538">
        <f>'30'!$Y$34</f>
        <v>2654.375</v>
      </c>
      <c r="Q36" s="533">
        <f>'30'!$AB$36</f>
        <v>0</v>
      </c>
      <c r="R36" s="539" t="s">
        <v>282</v>
      </c>
      <c r="S36" s="533">
        <f>'30'!$Y$36</f>
        <v>0</v>
      </c>
      <c r="T36" s="540">
        <v>1</v>
      </c>
      <c r="U36" s="539">
        <v>80</v>
      </c>
      <c r="V36" s="541">
        <f>'30'!$A$41</f>
        <v>12</v>
      </c>
      <c r="W36" s="541">
        <f>'30'!$J$41</f>
        <v>12</v>
      </c>
      <c r="X36" s="542">
        <f>'30'!$B$41</f>
        <v>12</v>
      </c>
      <c r="Y36" s="542">
        <f>'30'!$H$45</f>
        <v>12</v>
      </c>
      <c r="Z36" s="543">
        <f>'30'!$C$41</f>
        <v>12</v>
      </c>
      <c r="AA36" s="543">
        <f>'30'!$O$41</f>
        <v>0</v>
      </c>
      <c r="AB36" s="543">
        <f>'30'!$Q$45</f>
        <v>4</v>
      </c>
      <c r="AC36" s="544">
        <f>'30'!$O$51</f>
        <v>12</v>
      </c>
      <c r="AD36" s="545">
        <f>'30'!$R$51</f>
        <v>12</v>
      </c>
      <c r="AE36" s="546">
        <f>'30'!$O$57</f>
        <v>12</v>
      </c>
      <c r="AF36" s="546">
        <f>'30'!$R$57</f>
        <v>7</v>
      </c>
      <c r="AG36" s="547">
        <f>'30'!$L$45</f>
        <v>0</v>
      </c>
      <c r="AH36" s="548">
        <f>'30'!$L$37</f>
        <v>0</v>
      </c>
    </row>
    <row r="37" spans="1:35" ht="17.25" customHeight="1">
      <c r="A37" s="531">
        <v>31</v>
      </c>
      <c r="B37" s="550">
        <f>'31'!$C$37</f>
        <v>45.9</v>
      </c>
      <c r="C37" s="550">
        <f>'31'!$D$37</f>
        <v>9</v>
      </c>
      <c r="D37" s="550">
        <f>'31'!$E$37</f>
        <v>5</v>
      </c>
      <c r="E37" s="533">
        <f>'31'!AA32</f>
        <v>12148.220000000001</v>
      </c>
      <c r="F37" s="534" t="e">
        <f>MAX('31'!$AB$6:$AB$29)</f>
        <v>#DIV/0!</v>
      </c>
      <c r="G37" s="534" t="e">
        <f>MIN('31'!$AB$6:$AB$29)</f>
        <v>#DIV/0!</v>
      </c>
      <c r="H37" s="534" t="e">
        <f>'31'!$AB$32</f>
        <v>#DIV/0!</v>
      </c>
      <c r="I37" s="535">
        <f>'31'!$AL$40</f>
        <v>0</v>
      </c>
      <c r="J37" s="536">
        <f>'31'!$AL$41</f>
        <v>0</v>
      </c>
      <c r="K37" s="535">
        <f>'31'!$AQ$40</f>
        <v>733.9666666666667</v>
      </c>
      <c r="L37" s="536">
        <f>'31'!$AQ$41</f>
        <v>12.190841283761639</v>
      </c>
      <c r="M37" s="537">
        <f>'31'!$O$20</f>
        <v>3.7</v>
      </c>
      <c r="N37" s="537">
        <f>'31'!$O$21</f>
        <v>3.5</v>
      </c>
      <c r="O37" s="537">
        <f>'31'!$O$19</f>
        <v>3.6500000000000004</v>
      </c>
      <c r="P37" s="538">
        <f>'31'!$Y$34</f>
        <v>2787.3333333333335</v>
      </c>
      <c r="Q37" s="533">
        <f>'31'!$AB$36</f>
        <v>0</v>
      </c>
      <c r="R37" s="539" t="s">
        <v>282</v>
      </c>
      <c r="S37" s="533">
        <f>'31'!$Y$36</f>
        <v>0</v>
      </c>
      <c r="T37" s="540">
        <v>1</v>
      </c>
      <c r="U37" s="539">
        <v>80</v>
      </c>
      <c r="V37" s="541">
        <f>'31'!$A$41</f>
        <v>4</v>
      </c>
      <c r="W37" s="541">
        <f>'31'!$J$41</f>
        <v>4</v>
      </c>
      <c r="X37" s="542">
        <f>'31'!$B$41</f>
        <v>4</v>
      </c>
      <c r="Y37" s="542">
        <f>'31'!$H$45</f>
        <v>4</v>
      </c>
      <c r="Z37" s="543">
        <f>'31'!$C$41</f>
        <v>4</v>
      </c>
      <c r="AA37" s="543">
        <f>'31'!$O$41</f>
        <v>0</v>
      </c>
      <c r="AB37" s="543">
        <f>'31'!$Q$45</f>
        <v>0</v>
      </c>
      <c r="AC37" s="544">
        <f>'30'!$O$51</f>
        <v>12</v>
      </c>
      <c r="AD37" s="545">
        <f>'30'!$R$51</f>
        <v>12</v>
      </c>
      <c r="AE37" s="546">
        <f>'31'!$O$57</f>
        <v>4</v>
      </c>
      <c r="AF37" s="546">
        <f>'31'!$R$57</f>
        <v>4</v>
      </c>
      <c r="AG37" s="547">
        <f>'31'!$L$45</f>
        <v>0</v>
      </c>
      <c r="AH37" s="548">
        <f>'31'!$L$37</f>
        <v>0</v>
      </c>
    </row>
    <row r="38" spans="1:35" ht="17.25" customHeight="1">
      <c r="A38" s="551" t="s">
        <v>283</v>
      </c>
      <c r="B38" s="532">
        <f>MAX('Parte3 '!B7:B37)</f>
        <v>72.7</v>
      </c>
      <c r="C38" s="532">
        <f>MAX('Parte3 '!C7:C37)</f>
        <v>38.799999999999997</v>
      </c>
      <c r="D38" s="532">
        <f>MAX('Parte3 '!D7:D37)</f>
        <v>24.9</v>
      </c>
      <c r="E38" s="533"/>
      <c r="F38" s="534"/>
      <c r="G38" s="534"/>
      <c r="H38" s="534"/>
      <c r="I38" s="535"/>
      <c r="J38" s="536"/>
      <c r="K38" s="535"/>
      <c r="L38" s="536"/>
      <c r="M38" s="537">
        <f>MAX('Parte3 '!M7:M37)</f>
        <v>4</v>
      </c>
      <c r="N38" s="534"/>
      <c r="O38" s="534"/>
      <c r="P38" s="1189"/>
      <c r="Q38" s="1189"/>
      <c r="R38" s="1189"/>
      <c r="S38" s="1189"/>
      <c r="T38" s="1189"/>
      <c r="U38" s="1189"/>
      <c r="V38" s="1190"/>
      <c r="W38" s="1190"/>
      <c r="X38" s="1190"/>
      <c r="Y38" s="1190"/>
      <c r="Z38" s="1190"/>
      <c r="AA38" s="1190"/>
      <c r="AB38" s="1190"/>
      <c r="AC38" s="1190"/>
      <c r="AD38" s="1190"/>
      <c r="AE38" s="1190"/>
      <c r="AF38" s="1190"/>
      <c r="AG38" s="1190"/>
      <c r="AH38" s="1190"/>
    </row>
    <row r="39" spans="1:35" ht="17.25" customHeight="1">
      <c r="A39" s="552" t="s">
        <v>284</v>
      </c>
      <c r="B39" s="532">
        <f>MIN('Parte3 '!B7:B37)</f>
        <v>0</v>
      </c>
      <c r="C39" s="532">
        <f>MIN('Parte3 '!C7:C37)</f>
        <v>4</v>
      </c>
      <c r="D39" s="532">
        <f>MIN('Parte3 '!D7:D37)</f>
        <v>2</v>
      </c>
      <c r="E39" s="553"/>
      <c r="F39" s="553"/>
      <c r="G39" s="553"/>
      <c r="H39" s="553"/>
      <c r="I39" s="553"/>
      <c r="J39" s="553"/>
      <c r="K39" s="553"/>
      <c r="L39" s="553"/>
      <c r="M39" s="552"/>
      <c r="N39" s="537">
        <f>MIN('Parte3 '!N7:N37)</f>
        <v>2.5</v>
      </c>
      <c r="O39" s="552"/>
      <c r="P39" s="553"/>
      <c r="Q39" s="1191" t="s">
        <v>285</v>
      </c>
      <c r="R39" s="1191"/>
      <c r="S39" s="1192" t="s">
        <v>286</v>
      </c>
      <c r="T39" s="1192"/>
      <c r="U39" s="1192"/>
      <c r="V39" s="554">
        <f>'Parte3 '!$A$37*12</f>
        <v>372</v>
      </c>
      <c r="W39" s="555"/>
      <c r="X39" s="554">
        <f>'Parte3 '!V39</f>
        <v>372</v>
      </c>
      <c r="Y39" s="555"/>
      <c r="Z39" s="555">
        <f>'Parte3 '!A37*12</f>
        <v>372</v>
      </c>
      <c r="AA39" s="555"/>
      <c r="AB39" s="556"/>
      <c r="AC39" s="554">
        <f>'Parte3 '!V39</f>
        <v>372</v>
      </c>
      <c r="AD39" s="521"/>
      <c r="AE39" s="557">
        <f>V39</f>
        <v>372</v>
      </c>
      <c r="AF39" s="521"/>
      <c r="AG39" s="406">
        <v>8</v>
      </c>
      <c r="AH39" s="521"/>
    </row>
    <row r="40" spans="1:35" ht="17.25" customHeight="1">
      <c r="A40" s="552" t="s">
        <v>287</v>
      </c>
      <c r="B40" s="532">
        <f>AVERAGE('Parte3 '!B7:B37)</f>
        <v>55.316129032258075</v>
      </c>
      <c r="C40" s="532">
        <f>AVERAGE('Parte3 '!C7:C37)</f>
        <v>17.125806451612899</v>
      </c>
      <c r="D40" s="532">
        <f>AVERAGE('Parte3 '!D7:D37)</f>
        <v>12.206451612903223</v>
      </c>
      <c r="E40" s="558">
        <f>AVERAGE('Parte3 '!E7:E37)</f>
        <v>50410.183870967732</v>
      </c>
      <c r="F40" s="1198"/>
      <c r="G40" s="1198"/>
      <c r="H40" s="559" t="e">
        <f>AVERAGE('Parte3 '!H7:H37)</f>
        <v>#DIV/0!</v>
      </c>
      <c r="I40" s="559"/>
      <c r="J40" s="559"/>
      <c r="K40" s="559"/>
      <c r="L40" s="559"/>
      <c r="M40" s="559"/>
      <c r="N40" s="559"/>
      <c r="O40" s="537">
        <f>AVERAGE('Parte3 '!O7:O37)</f>
        <v>3.4400537634408601</v>
      </c>
      <c r="P40" s="558">
        <f>AVERAGE('Parte3 '!P7:P37)</f>
        <v>2859.3236378511624</v>
      </c>
      <c r="Q40" s="533">
        <f>SUM('Parte3 '!Q7:Q37)</f>
        <v>93</v>
      </c>
      <c r="R40" s="533"/>
      <c r="S40" s="533">
        <f>SUM('Parte3 '!S7:S37)</f>
        <v>2574</v>
      </c>
      <c r="T40" s="533">
        <f>SUM('Parte3 '!T7:T37)</f>
        <v>31</v>
      </c>
      <c r="U40" s="533"/>
      <c r="V40" s="560">
        <f>SUM('Parte3 '!V7:V37)</f>
        <v>364</v>
      </c>
      <c r="W40" s="560">
        <f>SUM('Parte3 '!W7:W37)</f>
        <v>364</v>
      </c>
      <c r="X40" s="542">
        <f>SUM('Parte3 '!X7:X37)</f>
        <v>364</v>
      </c>
      <c r="Y40" s="542">
        <f>SUM('Parte3 '!Y7:Y37)</f>
        <v>363</v>
      </c>
      <c r="Z40" s="543">
        <f>SUM('Parte3 '!Z7:Z37)</f>
        <v>364</v>
      </c>
      <c r="AA40" s="543">
        <f>SUM('Parte3 '!AA7:AA37)</f>
        <v>0</v>
      </c>
      <c r="AB40" s="543">
        <f>SUM('Parte3 '!AB7:AB37)</f>
        <v>157</v>
      </c>
      <c r="AC40" s="544">
        <f>SUM('Parte3 '!AC7:AC37)</f>
        <v>372</v>
      </c>
      <c r="AD40" s="544">
        <f>SUM('Parte3 '!AD7:AD37)</f>
        <v>372</v>
      </c>
      <c r="AE40" s="546">
        <f>SUM(AE7:AE37)</f>
        <v>363</v>
      </c>
      <c r="AF40" s="546">
        <f>SUM(AF7:AF37)</f>
        <v>157</v>
      </c>
      <c r="AG40" s="547">
        <f>SUM('Parte3 '!AG7:AG37)</f>
        <v>10</v>
      </c>
      <c r="AH40" s="521"/>
    </row>
    <row r="41" spans="1:35" ht="12.75" customHeight="1">
      <c r="A41" s="561" t="s">
        <v>221</v>
      </c>
      <c r="B41" s="562"/>
      <c r="C41" s="562"/>
      <c r="D41" s="563"/>
      <c r="E41" s="563"/>
      <c r="F41" s="563"/>
      <c r="G41" s="563"/>
      <c r="H41" s="563"/>
      <c r="I41" s="563"/>
      <c r="J41" s="563"/>
      <c r="K41" s="563"/>
      <c r="L41" s="563"/>
      <c r="M41" s="563"/>
      <c r="N41" s="1199"/>
      <c r="O41" s="1199"/>
      <c r="P41" s="1199"/>
      <c r="Q41" s="1199"/>
      <c r="R41" s="1199"/>
      <c r="S41" s="1199"/>
      <c r="T41" s="1199"/>
      <c r="U41" s="1199"/>
      <c r="V41" s="1199"/>
      <c r="W41" s="1199"/>
      <c r="X41" s="1199"/>
      <c r="Y41" s="1199"/>
      <c r="Z41" s="1199"/>
      <c r="AA41" s="1199"/>
      <c r="AB41" s="1199"/>
    </row>
    <row r="42" spans="1:35" ht="12.75" customHeight="1">
      <c r="A42" s="564"/>
      <c r="B42" s="565"/>
      <c r="C42" s="565"/>
      <c r="D42" s="563"/>
      <c r="E42" s="563"/>
      <c r="F42" s="563"/>
      <c r="G42" s="563"/>
      <c r="H42" s="563"/>
      <c r="I42" s="563"/>
      <c r="J42" s="563"/>
      <c r="K42" s="563"/>
      <c r="L42" s="563"/>
      <c r="M42" s="563"/>
      <c r="N42" s="566"/>
      <c r="O42" s="567"/>
      <c r="P42" s="1200" t="s">
        <v>288</v>
      </c>
      <c r="Q42" s="1200"/>
      <c r="R42" s="567"/>
      <c r="U42" s="1201"/>
      <c r="V42" s="1201"/>
      <c r="W42" s="1201"/>
      <c r="X42" s="1201"/>
      <c r="Y42" s="568"/>
      <c r="Z42" s="568"/>
      <c r="AA42" s="567"/>
      <c r="AB42" s="569"/>
    </row>
    <row r="43" spans="1:35" ht="12.75" customHeight="1">
      <c r="A43" s="570"/>
      <c r="B43" s="565"/>
      <c r="C43" s="565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1199"/>
      <c r="O43" s="1199"/>
      <c r="P43" s="1199"/>
      <c r="Q43" s="1199"/>
      <c r="R43" s="1199"/>
      <c r="S43" s="1199"/>
      <c r="T43" s="1199"/>
      <c r="U43" s="1199"/>
      <c r="V43" s="1199"/>
      <c r="W43" s="1199"/>
      <c r="X43" s="1199"/>
      <c r="Y43" s="1199"/>
      <c r="Z43" s="1199"/>
      <c r="AA43" s="1199"/>
      <c r="AB43" s="1199"/>
    </row>
    <row r="44" spans="1:35" ht="12.75" customHeight="1">
      <c r="A44" s="570"/>
      <c r="B44" s="565"/>
      <c r="C44" s="565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1"/>
      <c r="O44" s="571"/>
      <c r="P44" s="572" t="s">
        <v>289</v>
      </c>
      <c r="Q44" s="571"/>
      <c r="R44" s="571"/>
      <c r="T44" s="572"/>
      <c r="U44" s="573"/>
      <c r="V44" s="573"/>
      <c r="W44" s="573"/>
      <c r="X44" s="573"/>
      <c r="Y44" s="573"/>
      <c r="Z44" s="573" t="s">
        <v>246</v>
      </c>
      <c r="AA44" s="568"/>
      <c r="AB44" s="574"/>
    </row>
    <row r="45" spans="1:35" ht="13.5" customHeight="1">
      <c r="A45" s="575"/>
      <c r="B45" s="576"/>
      <c r="C45" s="576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1202"/>
      <c r="O45" s="1202"/>
      <c r="P45" s="1202"/>
      <c r="Q45" s="1202"/>
      <c r="R45" s="1202"/>
      <c r="S45" s="1202"/>
      <c r="T45" s="1202"/>
      <c r="U45" s="1202"/>
      <c r="V45" s="1202"/>
      <c r="W45" s="1202"/>
      <c r="X45" s="1202"/>
      <c r="Y45" s="1202"/>
      <c r="Z45" s="1202"/>
      <c r="AA45" s="1202"/>
      <c r="AB45" s="1202"/>
    </row>
    <row r="46" spans="1:35" ht="17.25" customHeight="1">
      <c r="A46" s="578"/>
      <c r="B46" s="579"/>
      <c r="C46" s="579"/>
      <c r="D46" s="579"/>
      <c r="E46" s="579"/>
      <c r="F46" s="579"/>
      <c r="G46" s="579"/>
      <c r="H46" s="579"/>
      <c r="I46" s="579"/>
      <c r="J46" s="579"/>
      <c r="K46" s="579"/>
      <c r="L46" s="579"/>
      <c r="M46" s="580"/>
      <c r="N46" s="580"/>
      <c r="O46" s="580"/>
      <c r="P46" s="580"/>
      <c r="Q46" s="581"/>
      <c r="R46" s="581"/>
      <c r="S46" s="581"/>
      <c r="T46" s="581"/>
      <c r="U46" s="581"/>
      <c r="V46" s="581"/>
      <c r="W46" s="581"/>
      <c r="X46" s="582"/>
      <c r="Y46" s="582"/>
      <c r="Z46" s="582"/>
      <c r="AA46" s="582"/>
      <c r="AB46" s="582"/>
      <c r="AC46" s="582"/>
      <c r="AD46" s="582"/>
      <c r="AE46" s="582"/>
      <c r="AF46" s="582"/>
      <c r="AG46" s="582"/>
    </row>
    <row r="47" spans="1:35" ht="17.25" customHeight="1">
      <c r="A47" s="578"/>
      <c r="B47" s="579"/>
      <c r="C47" s="579"/>
      <c r="D47" s="579"/>
      <c r="E47" s="579"/>
      <c r="F47" s="579"/>
      <c r="G47" s="579"/>
      <c r="H47" s="579"/>
      <c r="I47" s="579"/>
      <c r="J47" s="579"/>
      <c r="K47" s="579"/>
      <c r="L47" s="579"/>
      <c r="M47" s="580"/>
      <c r="N47" s="580"/>
      <c r="O47" s="580"/>
      <c r="P47" s="580"/>
      <c r="Q47" s="581"/>
      <c r="R47" s="581"/>
      <c r="S47" s="581"/>
      <c r="T47" s="581"/>
      <c r="U47" s="581"/>
      <c r="V47" s="581"/>
      <c r="W47" s="581"/>
      <c r="X47" s="582"/>
      <c r="Y47" s="582"/>
      <c r="Z47" s="582"/>
      <c r="AA47" s="582"/>
      <c r="AB47" s="582"/>
      <c r="AC47" s="582"/>
      <c r="AD47" s="582"/>
      <c r="AE47" s="582"/>
      <c r="AF47" s="582"/>
      <c r="AG47" s="582"/>
    </row>
    <row r="48" spans="1:35" ht="12.75" customHeight="1">
      <c r="AG48" s="583" t="s">
        <v>290</v>
      </c>
      <c r="AH48" s="584">
        <f>MAX('Parte3 '!AH7:AH36)</f>
        <v>0</v>
      </c>
      <c r="AI48" s="585"/>
    </row>
    <row r="49" spans="1:35" ht="12.75" customHeight="1">
      <c r="W49" s="586"/>
      <c r="AG49" s="583" t="s">
        <v>291</v>
      </c>
      <c r="AH49" s="584">
        <f>MIN('Parte3 '!AH7:AH36)</f>
        <v>0</v>
      </c>
      <c r="AI49" s="585"/>
    </row>
    <row r="50" spans="1:35" ht="12.75" customHeight="1">
      <c r="W50" s="586"/>
      <c r="AG50" s="583" t="s">
        <v>292</v>
      </c>
      <c r="AH50" s="584">
        <f>AVERAGE('Parte3 '!AH7:AH36)</f>
        <v>0</v>
      </c>
      <c r="AI50" s="585"/>
    </row>
    <row r="51" spans="1:35" ht="12.75" customHeight="1">
      <c r="A51" s="486"/>
      <c r="B51" s="1203" t="s">
        <v>293</v>
      </c>
      <c r="C51" s="1203"/>
      <c r="D51" s="1203"/>
      <c r="W51" s="586"/>
      <c r="AI51" s="120"/>
    </row>
    <row r="52" spans="1:35" ht="12.75" customHeight="1">
      <c r="A52" s="587"/>
      <c r="B52" s="588" t="s">
        <v>212</v>
      </c>
      <c r="C52" s="588" t="s">
        <v>294</v>
      </c>
      <c r="D52" s="589" t="s">
        <v>43</v>
      </c>
      <c r="W52" s="586"/>
    </row>
    <row r="53" spans="1:35" ht="12.75" customHeight="1">
      <c r="A53" s="590">
        <v>1</v>
      </c>
      <c r="B53" s="591">
        <v>59.8</v>
      </c>
      <c r="C53" s="591">
        <v>29.9</v>
      </c>
      <c r="D53" s="510">
        <v>27.9</v>
      </c>
      <c r="I53" s="592"/>
      <c r="J53" s="592"/>
      <c r="K53" s="592"/>
      <c r="W53" s="586"/>
    </row>
    <row r="54" spans="1:35" ht="12.75" customHeight="1">
      <c r="A54" s="416">
        <v>2</v>
      </c>
      <c r="B54" s="591">
        <v>57.8</v>
      </c>
      <c r="C54" s="591">
        <v>30.9</v>
      </c>
      <c r="D54" s="510">
        <v>26.9</v>
      </c>
      <c r="I54" s="592"/>
      <c r="J54" s="592"/>
      <c r="K54" s="592"/>
      <c r="W54" s="586"/>
    </row>
    <row r="55" spans="1:35" ht="12.75" customHeight="1">
      <c r="A55" s="416">
        <v>3</v>
      </c>
      <c r="B55" s="591">
        <v>63.7</v>
      </c>
      <c r="C55" s="591">
        <v>39.799999999999997</v>
      </c>
      <c r="D55" s="510">
        <v>37.799999999999997</v>
      </c>
      <c r="I55" s="592"/>
      <c r="J55" s="592"/>
      <c r="K55" s="592"/>
      <c r="W55" s="586"/>
    </row>
    <row r="56" spans="1:35" ht="12.75" customHeight="1">
      <c r="A56" s="416">
        <v>4</v>
      </c>
      <c r="B56" s="591">
        <v>60.7</v>
      </c>
      <c r="C56" s="591">
        <v>38.799999999999997</v>
      </c>
      <c r="D56" s="510">
        <v>35.799999999999997</v>
      </c>
      <c r="I56" s="592"/>
      <c r="J56" s="592"/>
      <c r="K56" s="592"/>
      <c r="W56" s="586"/>
    </row>
    <row r="57" spans="1:35" ht="12.75" customHeight="1">
      <c r="A57" s="416">
        <v>5</v>
      </c>
      <c r="B57" s="591">
        <v>59.8</v>
      </c>
      <c r="C57" s="591">
        <v>36.799999999999997</v>
      </c>
      <c r="D57" s="510">
        <v>33.799999999999997</v>
      </c>
      <c r="I57" s="592"/>
      <c r="J57" s="592"/>
      <c r="K57" s="592"/>
      <c r="W57" s="586"/>
    </row>
    <row r="58" spans="1:35" ht="12.75" customHeight="1">
      <c r="A58" s="416">
        <v>6</v>
      </c>
      <c r="B58" s="591">
        <v>61.7</v>
      </c>
      <c r="C58" s="591">
        <v>31.9</v>
      </c>
      <c r="D58" s="510">
        <v>31.9</v>
      </c>
      <c r="I58" s="592"/>
      <c r="J58" s="592"/>
      <c r="K58" s="592"/>
      <c r="W58" s="586"/>
    </row>
    <row r="59" spans="1:35" ht="12.75" customHeight="1">
      <c r="A59" s="416">
        <v>7</v>
      </c>
      <c r="B59" s="591">
        <v>58.7</v>
      </c>
      <c r="C59" s="591">
        <v>33.9</v>
      </c>
      <c r="D59" s="510">
        <v>31.9</v>
      </c>
      <c r="I59" s="592"/>
      <c r="J59" s="592"/>
      <c r="K59" s="592"/>
      <c r="W59" s="586"/>
    </row>
    <row r="60" spans="1:35" ht="12.75" customHeight="1">
      <c r="A60" s="416">
        <v>8</v>
      </c>
      <c r="B60" s="591">
        <v>60.7</v>
      </c>
      <c r="C60" s="591">
        <v>35.799999999999997</v>
      </c>
      <c r="D60" s="510">
        <v>34.9</v>
      </c>
      <c r="I60" s="592"/>
      <c r="J60" s="592"/>
      <c r="K60" s="592"/>
      <c r="W60" s="586"/>
    </row>
    <row r="61" spans="1:35" ht="12.75" customHeight="1">
      <c r="A61" s="416">
        <v>9</v>
      </c>
      <c r="B61" s="591">
        <v>61.7</v>
      </c>
      <c r="C61" s="591">
        <v>33.9</v>
      </c>
      <c r="D61" s="510">
        <v>27.9</v>
      </c>
      <c r="I61" s="592"/>
      <c r="J61" s="592"/>
      <c r="K61" s="592"/>
      <c r="W61" s="586"/>
    </row>
    <row r="62" spans="1:35" ht="12.75" customHeight="1">
      <c r="A62" s="416">
        <v>10</v>
      </c>
      <c r="B62" s="591">
        <v>60.7</v>
      </c>
      <c r="C62" s="591">
        <v>34.9</v>
      </c>
      <c r="D62" s="510">
        <v>29.9</v>
      </c>
      <c r="I62" s="592"/>
      <c r="J62" s="592"/>
      <c r="K62" s="592"/>
      <c r="W62" s="586"/>
    </row>
    <row r="63" spans="1:35" ht="12.75" customHeight="1">
      <c r="A63" s="416">
        <v>11</v>
      </c>
      <c r="B63" s="591">
        <v>61.7</v>
      </c>
      <c r="C63" s="591">
        <v>35.799999999999997</v>
      </c>
      <c r="D63" s="510">
        <v>31.9</v>
      </c>
      <c r="I63" s="592"/>
      <c r="J63" s="592"/>
      <c r="K63" s="592"/>
      <c r="W63" s="586"/>
    </row>
    <row r="64" spans="1:35" ht="12.75" customHeight="1">
      <c r="A64" s="416">
        <v>12</v>
      </c>
      <c r="B64" s="591">
        <v>57.8</v>
      </c>
      <c r="C64" s="591">
        <v>33.799999999999997</v>
      </c>
      <c r="D64" s="510">
        <v>29.9</v>
      </c>
      <c r="I64" s="592"/>
      <c r="J64" s="592"/>
      <c r="K64" s="592"/>
      <c r="W64" s="586"/>
    </row>
    <row r="65" spans="1:23" ht="12.75" customHeight="1">
      <c r="A65" s="416">
        <v>13</v>
      </c>
      <c r="B65" s="591">
        <v>59.8</v>
      </c>
      <c r="C65" s="591">
        <v>34.9</v>
      </c>
      <c r="D65" s="510">
        <v>30.9</v>
      </c>
      <c r="I65" s="592"/>
      <c r="J65" s="592"/>
      <c r="K65" s="592"/>
      <c r="W65" s="586"/>
    </row>
    <row r="66" spans="1:23" ht="12.75" customHeight="1">
      <c r="A66" s="416">
        <v>14</v>
      </c>
      <c r="B66" s="591">
        <v>57.7</v>
      </c>
      <c r="C66" s="591">
        <v>27.8</v>
      </c>
      <c r="D66" s="510">
        <v>25.8</v>
      </c>
      <c r="I66" s="592"/>
      <c r="J66" s="592"/>
      <c r="K66" s="592"/>
      <c r="W66" s="586"/>
    </row>
    <row r="67" spans="1:23" ht="12.75" customHeight="1">
      <c r="A67" s="416">
        <v>15</v>
      </c>
      <c r="B67" s="591">
        <v>60.7</v>
      </c>
      <c r="C67" s="591">
        <v>33.9</v>
      </c>
      <c r="D67" s="591">
        <v>29.9</v>
      </c>
      <c r="I67" s="592"/>
      <c r="J67" s="592"/>
      <c r="K67" s="592"/>
      <c r="W67" s="586"/>
    </row>
    <row r="68" spans="1:23" ht="12.75" customHeight="1">
      <c r="A68" s="416">
        <v>16</v>
      </c>
      <c r="B68" s="480"/>
      <c r="C68" s="480"/>
      <c r="D68" s="480"/>
      <c r="I68" s="592"/>
      <c r="J68" s="592"/>
      <c r="K68" s="592"/>
      <c r="W68" s="586"/>
    </row>
    <row r="69" spans="1:23" ht="12.75" customHeight="1">
      <c r="A69" s="416">
        <v>17</v>
      </c>
      <c r="B69" s="480"/>
      <c r="C69" s="480"/>
      <c r="D69" s="480"/>
      <c r="I69" s="592"/>
      <c r="J69" s="592"/>
      <c r="K69" s="592"/>
      <c r="W69" s="586"/>
    </row>
    <row r="70" spans="1:23" ht="12.75" customHeight="1">
      <c r="A70" s="416">
        <v>18</v>
      </c>
      <c r="B70" s="480"/>
      <c r="C70" s="480"/>
      <c r="D70" s="480"/>
      <c r="I70" s="592"/>
      <c r="J70" s="592"/>
      <c r="K70" s="592"/>
      <c r="W70" s="586"/>
    </row>
    <row r="71" spans="1:23" ht="12.75" customHeight="1">
      <c r="A71" s="416">
        <v>19</v>
      </c>
      <c r="B71" s="480"/>
      <c r="C71" s="480"/>
      <c r="D71" s="480"/>
      <c r="I71" s="592"/>
      <c r="J71" s="592"/>
      <c r="K71" s="592"/>
      <c r="W71" s="586"/>
    </row>
    <row r="72" spans="1:23" ht="12.75" customHeight="1">
      <c r="A72" s="416">
        <v>20</v>
      </c>
      <c r="B72" s="480"/>
      <c r="C72" s="480"/>
      <c r="D72" s="480"/>
      <c r="I72" s="592"/>
      <c r="J72" s="592"/>
      <c r="K72" s="592"/>
      <c r="W72" s="586"/>
    </row>
    <row r="73" spans="1:23" ht="12.75" customHeight="1">
      <c r="A73" s="416">
        <v>21</v>
      </c>
      <c r="B73" s="480"/>
      <c r="C73" s="480"/>
      <c r="D73" s="480"/>
      <c r="I73" s="592"/>
      <c r="J73" s="592"/>
      <c r="K73" s="592"/>
      <c r="W73" s="586"/>
    </row>
    <row r="74" spans="1:23" ht="12.75" customHeight="1">
      <c r="A74" s="416">
        <v>22</v>
      </c>
      <c r="B74" s="480"/>
      <c r="C74" s="480"/>
      <c r="D74" s="480"/>
      <c r="I74" s="592"/>
      <c r="J74" s="592"/>
      <c r="K74" s="592"/>
      <c r="W74" s="586"/>
    </row>
    <row r="75" spans="1:23" ht="12.75" customHeight="1">
      <c r="A75" s="416">
        <v>23</v>
      </c>
      <c r="B75" s="480"/>
      <c r="C75" s="480"/>
      <c r="D75" s="480"/>
      <c r="I75" s="592"/>
      <c r="J75" s="592"/>
      <c r="K75" s="592"/>
      <c r="W75" s="586"/>
    </row>
    <row r="76" spans="1:23" ht="12.75" customHeight="1">
      <c r="A76" s="416">
        <v>24</v>
      </c>
      <c r="B76" s="480"/>
      <c r="C76" s="480"/>
      <c r="D76" s="480"/>
      <c r="I76" s="592"/>
      <c r="J76" s="592"/>
      <c r="K76" s="592"/>
      <c r="W76" s="586"/>
    </row>
    <row r="77" spans="1:23" ht="12.75" customHeight="1">
      <c r="A77" s="416">
        <v>25</v>
      </c>
      <c r="B77" s="480"/>
      <c r="C77" s="480"/>
      <c r="D77" s="480"/>
      <c r="I77" s="592"/>
      <c r="J77" s="592"/>
      <c r="K77" s="592"/>
      <c r="W77" s="586"/>
    </row>
    <row r="78" spans="1:23" ht="12.75" customHeight="1">
      <c r="A78" s="416">
        <v>26</v>
      </c>
      <c r="B78" s="480"/>
      <c r="C78" s="480"/>
      <c r="D78" s="480"/>
      <c r="I78" s="592"/>
      <c r="J78" s="592"/>
      <c r="K78" s="592"/>
      <c r="W78" s="586"/>
    </row>
    <row r="79" spans="1:23" ht="12.75" customHeight="1">
      <c r="A79" s="416">
        <v>27</v>
      </c>
      <c r="B79" s="480"/>
      <c r="C79" s="480"/>
      <c r="D79" s="480"/>
      <c r="I79" s="592"/>
      <c r="J79" s="592"/>
      <c r="K79" s="592"/>
      <c r="W79" s="586"/>
    </row>
    <row r="80" spans="1:23" ht="12.75" customHeight="1">
      <c r="A80" s="416">
        <v>28</v>
      </c>
      <c r="B80" s="486"/>
      <c r="C80" s="486"/>
      <c r="D80" s="486"/>
      <c r="W80" s="586"/>
    </row>
    <row r="81" spans="1:23" ht="12.75" customHeight="1">
      <c r="A81" s="416">
        <v>29</v>
      </c>
      <c r="B81" s="486"/>
      <c r="C81" s="486"/>
      <c r="D81" s="486"/>
      <c r="W81" s="586"/>
    </row>
    <row r="82" spans="1:23" ht="12.75" customHeight="1">
      <c r="A82" s="416">
        <v>30</v>
      </c>
      <c r="B82" s="486"/>
      <c r="C82" s="486"/>
      <c r="D82" s="486"/>
      <c r="W82" s="586"/>
    </row>
    <row r="83" spans="1:23" ht="12.75" customHeight="1">
      <c r="A83" s="514">
        <v>31</v>
      </c>
      <c r="B83" s="486"/>
      <c r="C83" s="486"/>
      <c r="D83" s="486"/>
      <c r="W83" s="586"/>
    </row>
    <row r="84" spans="1:23" ht="12.75" customHeight="1">
      <c r="B84" s="593" t="s">
        <v>295</v>
      </c>
      <c r="C84" s="594" t="s">
        <v>296</v>
      </c>
      <c r="D84" s="594" t="s">
        <v>287</v>
      </c>
      <c r="W84" s="586"/>
    </row>
    <row r="85" spans="1:23" ht="12.75" customHeight="1">
      <c r="A85" s="593" t="s">
        <v>212</v>
      </c>
      <c r="B85" s="595">
        <f>MAX('Parte3 '!B53:B83)</f>
        <v>63.7</v>
      </c>
      <c r="C85" s="595">
        <f>MIN('Parte3 '!B52:B83)</f>
        <v>57.7</v>
      </c>
      <c r="D85" s="595">
        <f>AVERAGE('Parte3 '!B51:B83)</f>
        <v>60.20000000000001</v>
      </c>
      <c r="W85" s="586"/>
    </row>
    <row r="86" spans="1:23" ht="12.75" customHeight="1">
      <c r="A86" s="594" t="s">
        <v>294</v>
      </c>
      <c r="B86" s="595">
        <f>MAX('Parte3 '!C53:C83)</f>
        <v>39.799999999999997</v>
      </c>
      <c r="C86" s="595">
        <f>MIN('Parte3 '!C53:C83)</f>
        <v>27.8</v>
      </c>
      <c r="D86" s="595">
        <f>AVERAGE('Parte3 '!C52:C83)</f>
        <v>34.18666666666666</v>
      </c>
      <c r="W86" s="586"/>
    </row>
    <row r="87" spans="1:23" ht="13.5" customHeight="1">
      <c r="A87" s="594" t="s">
        <v>43</v>
      </c>
      <c r="B87" s="596">
        <f>MAX('Parte3 '!D54:D83)</f>
        <v>37.799999999999997</v>
      </c>
      <c r="C87" s="596">
        <f>MIN('Parte3 '!D54:D83)</f>
        <v>25.8</v>
      </c>
      <c r="D87" s="596">
        <f>AVERAGE('Parte3 '!D53:D83)</f>
        <v>31.13999999999999</v>
      </c>
      <c r="W87" s="586"/>
    </row>
    <row r="88" spans="1:23" ht="13.5" customHeight="1">
      <c r="B88" s="1158" t="s">
        <v>293</v>
      </c>
      <c r="C88" s="1158"/>
      <c r="D88" s="1158"/>
      <c r="E88" s="1158"/>
      <c r="F88" s="1158"/>
      <c r="G88" s="1158"/>
      <c r="H88" s="1158"/>
      <c r="I88" s="1158"/>
      <c r="J88" s="1158"/>
      <c r="W88" s="586"/>
    </row>
    <row r="89" spans="1:23" ht="13.5" customHeight="1">
      <c r="B89" s="1204" t="s">
        <v>212</v>
      </c>
      <c r="C89" s="1204"/>
      <c r="D89" s="1204"/>
      <c r="E89" s="1204" t="s">
        <v>213</v>
      </c>
      <c r="F89" s="1204"/>
      <c r="G89" s="1204"/>
      <c r="H89" s="1204" t="s">
        <v>297</v>
      </c>
      <c r="I89" s="1204"/>
      <c r="J89" s="1204"/>
      <c r="W89" s="586"/>
    </row>
    <row r="90" spans="1:23" ht="13.5" customHeight="1">
      <c r="B90" s="597">
        <f>'Parte3 '!B85</f>
        <v>63.7</v>
      </c>
      <c r="C90" s="598">
        <f>'Parte3 '!C85</f>
        <v>57.7</v>
      </c>
      <c r="D90" s="598">
        <f>'Parte3 '!D85</f>
        <v>60.20000000000001</v>
      </c>
      <c r="E90" s="598">
        <f>'Parte3 '!B86</f>
        <v>39.799999999999997</v>
      </c>
      <c r="F90" s="598">
        <f>'Parte3 '!C86</f>
        <v>27.8</v>
      </c>
      <c r="G90" s="598">
        <f>'Parte3 '!D86</f>
        <v>34.18666666666666</v>
      </c>
      <c r="H90" s="598">
        <f>'Parte3 '!B87</f>
        <v>37.799999999999997</v>
      </c>
      <c r="I90" s="598">
        <f>'Parte3 '!C87</f>
        <v>25.8</v>
      </c>
      <c r="J90" s="599">
        <f>'Parte3 '!D87</f>
        <v>31.13999999999999</v>
      </c>
      <c r="W90" s="586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4" t="s">
        <v>298</v>
      </c>
      <c r="B1" s="1214"/>
      <c r="C1" s="1214"/>
      <c r="D1" s="1214"/>
      <c r="E1" s="1214"/>
      <c r="F1" s="1214"/>
      <c r="G1" s="1215" t="s">
        <v>206</v>
      </c>
      <c r="H1" s="1215"/>
      <c r="I1" s="1215"/>
      <c r="J1" s="1215"/>
      <c r="K1" s="1215"/>
      <c r="L1" s="1215"/>
      <c r="M1" s="1215"/>
      <c r="N1" s="1215"/>
      <c r="O1" s="1215"/>
      <c r="P1" s="1215"/>
      <c r="Q1" s="1215"/>
      <c r="R1" s="1215"/>
      <c r="S1" s="1215"/>
      <c r="T1" s="1215"/>
      <c r="U1" s="1215"/>
      <c r="V1" s="1205" t="s">
        <v>236</v>
      </c>
      <c r="W1" s="1205"/>
      <c r="X1" s="1205"/>
      <c r="Y1" s="1205"/>
    </row>
    <row r="2" spans="1:29" ht="18" customHeight="1">
      <c r="A2" s="1214"/>
      <c r="B2" s="1214"/>
      <c r="C2" s="1214"/>
      <c r="D2" s="1214"/>
      <c r="E2" s="1214"/>
      <c r="F2" s="1214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06">
        <f>'1'!$U$25</f>
        <v>44317</v>
      </c>
      <c r="W2" s="1206"/>
      <c r="X2" s="1206">
        <f>'1'!$U$25</f>
        <v>44317</v>
      </c>
      <c r="Y2" s="1206"/>
      <c r="Z2" s="514"/>
      <c r="AA2" s="514"/>
      <c r="AB2" s="514"/>
      <c r="AC2" s="514"/>
    </row>
    <row r="3" spans="1:29" ht="3.75" customHeight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514"/>
      <c r="AA3" s="514"/>
      <c r="AB3" s="514"/>
      <c r="AC3" s="514"/>
    </row>
    <row r="4" spans="1:29" s="415" customFormat="1" ht="27.75" customHeight="1">
      <c r="A4" s="1207" t="s">
        <v>208</v>
      </c>
      <c r="B4" s="1208" t="s">
        <v>299</v>
      </c>
      <c r="C4" s="1208"/>
      <c r="D4" s="1208"/>
      <c r="E4" s="1208"/>
      <c r="F4" s="1208"/>
      <c r="G4" s="1208"/>
      <c r="H4" s="1208"/>
      <c r="I4" s="1208"/>
      <c r="J4" s="1208"/>
      <c r="K4" s="1208"/>
      <c r="L4" s="1208"/>
      <c r="M4" s="1208"/>
      <c r="N4" s="1208"/>
      <c r="O4" s="1208"/>
      <c r="P4" s="1208"/>
      <c r="Q4" s="1208"/>
      <c r="R4" s="1208"/>
      <c r="S4" s="1208"/>
      <c r="T4" s="1208"/>
      <c r="U4" s="1208"/>
      <c r="V4" s="1208"/>
      <c r="W4" s="1208"/>
      <c r="X4" s="1208"/>
      <c r="Y4" s="1208"/>
      <c r="Z4" s="600"/>
      <c r="AA4" s="600"/>
      <c r="AB4" s="600"/>
      <c r="AC4" s="600"/>
    </row>
    <row r="5" spans="1:29" ht="22.35" customHeight="1">
      <c r="A5" s="1207"/>
      <c r="B5" s="1209" t="s">
        <v>300</v>
      </c>
      <c r="C5" s="1209"/>
      <c r="D5" s="1209"/>
      <c r="E5" s="1209"/>
      <c r="F5" s="1209"/>
      <c r="G5" s="1209"/>
      <c r="H5" s="1209"/>
      <c r="I5" s="1209"/>
      <c r="J5" s="1209"/>
      <c r="K5" s="1209"/>
      <c r="L5" s="1209"/>
      <c r="M5" s="1209"/>
      <c r="N5" s="1209"/>
      <c r="O5" s="1209"/>
      <c r="P5" s="1209"/>
      <c r="Q5" s="1209"/>
      <c r="R5" s="1209"/>
      <c r="S5" s="1209"/>
      <c r="T5" s="1209"/>
      <c r="U5" s="1209"/>
      <c r="V5" s="1209"/>
      <c r="W5" s="1209"/>
      <c r="X5" s="1209"/>
      <c r="Y5" s="1209"/>
      <c r="Z5" s="600"/>
      <c r="AA5" s="600"/>
      <c r="AB5" s="600"/>
      <c r="AC5" s="600"/>
    </row>
    <row r="6" spans="1:29" ht="17.25" customHeight="1">
      <c r="A6" s="1207"/>
      <c r="B6" s="1210" t="s">
        <v>301</v>
      </c>
      <c r="C6" s="1210"/>
      <c r="D6" s="1210"/>
      <c r="E6" s="1211" t="s">
        <v>302</v>
      </c>
      <c r="F6" s="1211"/>
      <c r="G6" s="1211"/>
      <c r="H6" s="1211" t="s">
        <v>303</v>
      </c>
      <c r="I6" s="1211"/>
      <c r="J6" s="1211"/>
      <c r="K6" s="1211" t="s">
        <v>304</v>
      </c>
      <c r="L6" s="1211"/>
      <c r="M6" s="1211"/>
      <c r="N6" s="1211" t="s">
        <v>305</v>
      </c>
      <c r="O6" s="1211"/>
      <c r="P6" s="1211"/>
      <c r="Q6" s="1211" t="s">
        <v>306</v>
      </c>
      <c r="R6" s="1211"/>
      <c r="S6" s="1211"/>
      <c r="T6" s="1211" t="s">
        <v>307</v>
      </c>
      <c r="U6" s="1211"/>
      <c r="V6" s="1211"/>
      <c r="W6" s="1212" t="s">
        <v>308</v>
      </c>
      <c r="X6" s="1212"/>
      <c r="Y6" s="1212"/>
      <c r="Z6" s="600"/>
      <c r="AA6" s="600"/>
      <c r="AB6" s="600"/>
      <c r="AC6" s="600"/>
    </row>
    <row r="7" spans="1:29" ht="17.25" customHeight="1">
      <c r="A7" s="1207"/>
      <c r="B7" s="601" t="s">
        <v>216</v>
      </c>
      <c r="C7" s="602" t="s">
        <v>217</v>
      </c>
      <c r="D7" s="602" t="s">
        <v>218</v>
      </c>
      <c r="E7" s="602" t="s">
        <v>216</v>
      </c>
      <c r="F7" s="602" t="s">
        <v>217</v>
      </c>
      <c r="G7" s="602" t="s">
        <v>218</v>
      </c>
      <c r="H7" s="602" t="s">
        <v>216</v>
      </c>
      <c r="I7" s="602" t="s">
        <v>217</v>
      </c>
      <c r="J7" s="602" t="s">
        <v>218</v>
      </c>
      <c r="K7" s="602" t="s">
        <v>216</v>
      </c>
      <c r="L7" s="602" t="s">
        <v>217</v>
      </c>
      <c r="M7" s="602" t="s">
        <v>218</v>
      </c>
      <c r="N7" s="603" t="s">
        <v>216</v>
      </c>
      <c r="O7" s="603" t="s">
        <v>217</v>
      </c>
      <c r="P7" s="603" t="s">
        <v>218</v>
      </c>
      <c r="Q7" s="603" t="s">
        <v>216</v>
      </c>
      <c r="R7" s="603" t="s">
        <v>217</v>
      </c>
      <c r="S7" s="603" t="s">
        <v>218</v>
      </c>
      <c r="T7" s="602" t="s">
        <v>309</v>
      </c>
      <c r="U7" s="602" t="s">
        <v>217</v>
      </c>
      <c r="V7" s="602" t="s">
        <v>218</v>
      </c>
      <c r="W7" s="602" t="s">
        <v>216</v>
      </c>
      <c r="X7" s="602" t="s">
        <v>217</v>
      </c>
      <c r="Y7" s="604" t="s">
        <v>218</v>
      </c>
      <c r="Z7" s="600"/>
      <c r="AA7" s="600"/>
      <c r="AB7" s="600"/>
      <c r="AC7" s="600"/>
    </row>
    <row r="8" spans="1:29" ht="18.75" customHeight="1">
      <c r="A8" s="605">
        <v>1</v>
      </c>
      <c r="B8" s="606">
        <v>0</v>
      </c>
      <c r="C8" s="607">
        <v>0</v>
      </c>
      <c r="D8" s="607">
        <v>0</v>
      </c>
      <c r="E8" s="606">
        <v>0</v>
      </c>
      <c r="F8" s="607">
        <v>0</v>
      </c>
      <c r="G8" s="607">
        <v>0</v>
      </c>
      <c r="H8" s="606">
        <v>0</v>
      </c>
      <c r="I8" s="607">
        <v>0</v>
      </c>
      <c r="J8" s="607">
        <v>0</v>
      </c>
      <c r="K8" s="606">
        <v>0</v>
      </c>
      <c r="L8" s="607">
        <v>0</v>
      </c>
      <c r="M8" s="607">
        <v>0</v>
      </c>
      <c r="N8" s="606">
        <v>0</v>
      </c>
      <c r="O8" s="607">
        <v>0</v>
      </c>
      <c r="P8" s="607">
        <v>0</v>
      </c>
      <c r="Q8" s="606">
        <v>0</v>
      </c>
      <c r="R8" s="607">
        <v>0</v>
      </c>
      <c r="S8" s="607">
        <v>0</v>
      </c>
      <c r="T8" s="606">
        <v>0</v>
      </c>
      <c r="U8" s="607">
        <v>0</v>
      </c>
      <c r="V8" s="607">
        <v>0</v>
      </c>
      <c r="W8" s="606">
        <v>0</v>
      </c>
      <c r="X8" s="607">
        <v>0</v>
      </c>
      <c r="Y8" s="608">
        <v>0</v>
      </c>
      <c r="Z8" s="600"/>
      <c r="AA8" s="600"/>
      <c r="AB8" s="600"/>
      <c r="AC8" s="600"/>
    </row>
    <row r="9" spans="1:29" ht="18.75" customHeight="1">
      <c r="A9" s="605">
        <v>2</v>
      </c>
      <c r="B9" s="606">
        <v>0</v>
      </c>
      <c r="C9" s="607">
        <v>0</v>
      </c>
      <c r="D9" s="607">
        <v>0</v>
      </c>
      <c r="E9" s="606">
        <v>0</v>
      </c>
      <c r="F9" s="607">
        <v>0</v>
      </c>
      <c r="G9" s="607">
        <v>0</v>
      </c>
      <c r="H9" s="606">
        <v>0</v>
      </c>
      <c r="I9" s="607">
        <v>0</v>
      </c>
      <c r="J9" s="607">
        <v>0</v>
      </c>
      <c r="K9" s="606">
        <v>0</v>
      </c>
      <c r="L9" s="607">
        <v>0</v>
      </c>
      <c r="M9" s="607">
        <v>0</v>
      </c>
      <c r="N9" s="606">
        <v>0</v>
      </c>
      <c r="O9" s="607">
        <v>0</v>
      </c>
      <c r="P9" s="607">
        <v>0</v>
      </c>
      <c r="Q9" s="606">
        <v>0</v>
      </c>
      <c r="R9" s="607">
        <v>0</v>
      </c>
      <c r="S9" s="607">
        <v>0</v>
      </c>
      <c r="T9" s="606">
        <v>0</v>
      </c>
      <c r="U9" s="607">
        <v>0</v>
      </c>
      <c r="V9" s="607">
        <v>0</v>
      </c>
      <c r="W9" s="606">
        <v>0</v>
      </c>
      <c r="X9" s="607">
        <v>0</v>
      </c>
      <c r="Y9" s="608">
        <v>0</v>
      </c>
      <c r="Z9" s="600"/>
      <c r="AA9" s="600"/>
      <c r="AB9" s="600"/>
      <c r="AC9" s="600"/>
    </row>
    <row r="10" spans="1:29" ht="18.75" customHeight="1">
      <c r="A10" s="605">
        <v>3</v>
      </c>
      <c r="B10" s="606">
        <v>0</v>
      </c>
      <c r="C10" s="607">
        <v>0</v>
      </c>
      <c r="D10" s="607">
        <v>0</v>
      </c>
      <c r="E10" s="606">
        <v>0</v>
      </c>
      <c r="F10" s="607">
        <v>0</v>
      </c>
      <c r="G10" s="607">
        <v>0</v>
      </c>
      <c r="H10" s="606">
        <v>0</v>
      </c>
      <c r="I10" s="607">
        <v>0</v>
      </c>
      <c r="J10" s="607">
        <v>0</v>
      </c>
      <c r="K10" s="606">
        <v>0</v>
      </c>
      <c r="L10" s="607">
        <v>0</v>
      </c>
      <c r="M10" s="607">
        <v>0</v>
      </c>
      <c r="N10" s="606">
        <v>0</v>
      </c>
      <c r="O10" s="607">
        <v>0</v>
      </c>
      <c r="P10" s="607">
        <v>0</v>
      </c>
      <c r="Q10" s="606">
        <v>0</v>
      </c>
      <c r="R10" s="607">
        <v>0</v>
      </c>
      <c r="S10" s="607">
        <v>0</v>
      </c>
      <c r="T10" s="606">
        <v>0</v>
      </c>
      <c r="U10" s="607">
        <v>0</v>
      </c>
      <c r="V10" s="607">
        <v>0</v>
      </c>
      <c r="W10" s="606">
        <v>0</v>
      </c>
      <c r="X10" s="607">
        <v>0</v>
      </c>
      <c r="Y10" s="608">
        <v>0</v>
      </c>
      <c r="Z10" s="600"/>
      <c r="AA10" s="600"/>
      <c r="AB10" s="600"/>
      <c r="AC10" s="600"/>
    </row>
    <row r="11" spans="1:29" ht="18.75" customHeight="1">
      <c r="A11" s="605">
        <v>4</v>
      </c>
      <c r="B11" s="606">
        <v>0</v>
      </c>
      <c r="C11" s="607">
        <v>0</v>
      </c>
      <c r="D11" s="607">
        <v>0</v>
      </c>
      <c r="E11" s="606">
        <v>0</v>
      </c>
      <c r="F11" s="607">
        <v>0</v>
      </c>
      <c r="G11" s="607">
        <v>0</v>
      </c>
      <c r="H11" s="606">
        <v>0</v>
      </c>
      <c r="I11" s="607">
        <v>0</v>
      </c>
      <c r="J11" s="607">
        <v>0</v>
      </c>
      <c r="K11" s="606">
        <v>0</v>
      </c>
      <c r="L11" s="607">
        <v>0</v>
      </c>
      <c r="M11" s="607">
        <v>0</v>
      </c>
      <c r="N11" s="606">
        <v>0</v>
      </c>
      <c r="O11" s="607">
        <v>0</v>
      </c>
      <c r="P11" s="607">
        <v>0</v>
      </c>
      <c r="Q11" s="606">
        <v>0</v>
      </c>
      <c r="R11" s="607">
        <v>0</v>
      </c>
      <c r="S11" s="607">
        <v>0</v>
      </c>
      <c r="T11" s="606">
        <v>0</v>
      </c>
      <c r="U11" s="607">
        <v>0</v>
      </c>
      <c r="V11" s="607">
        <v>0</v>
      </c>
      <c r="W11" s="606">
        <v>0</v>
      </c>
      <c r="X11" s="607">
        <v>0</v>
      </c>
      <c r="Y11" s="608">
        <v>0</v>
      </c>
      <c r="Z11" s="600"/>
      <c r="AA11" s="600"/>
      <c r="AB11" s="600"/>
      <c r="AC11" s="600"/>
    </row>
    <row r="12" spans="1:29" ht="18.75" customHeight="1">
      <c r="A12" s="609">
        <v>5</v>
      </c>
      <c r="B12" s="606">
        <v>0</v>
      </c>
      <c r="C12" s="607">
        <v>0</v>
      </c>
      <c r="D12" s="607">
        <v>0</v>
      </c>
      <c r="E12" s="606">
        <v>0</v>
      </c>
      <c r="F12" s="607">
        <v>0</v>
      </c>
      <c r="G12" s="607">
        <v>0</v>
      </c>
      <c r="H12" s="606">
        <v>0</v>
      </c>
      <c r="I12" s="607">
        <v>0</v>
      </c>
      <c r="J12" s="607">
        <v>0</v>
      </c>
      <c r="K12" s="606">
        <v>0</v>
      </c>
      <c r="L12" s="607">
        <v>0</v>
      </c>
      <c r="M12" s="607">
        <v>0</v>
      </c>
      <c r="N12" s="606">
        <v>0</v>
      </c>
      <c r="O12" s="607">
        <v>0</v>
      </c>
      <c r="P12" s="607">
        <v>0</v>
      </c>
      <c r="Q12" s="606">
        <v>0</v>
      </c>
      <c r="R12" s="607">
        <v>0</v>
      </c>
      <c r="S12" s="607">
        <v>0</v>
      </c>
      <c r="T12" s="606">
        <v>0</v>
      </c>
      <c r="U12" s="607">
        <v>0</v>
      </c>
      <c r="V12" s="607">
        <v>0</v>
      </c>
      <c r="W12" s="606">
        <v>0</v>
      </c>
      <c r="X12" s="607">
        <v>0</v>
      </c>
      <c r="Y12" s="608">
        <v>0</v>
      </c>
      <c r="Z12" s="600"/>
      <c r="AA12" s="600"/>
      <c r="AB12" s="600"/>
      <c r="AC12" s="600"/>
    </row>
    <row r="13" spans="1:29" ht="18.75" customHeight="1">
      <c r="A13" s="508">
        <v>6</v>
      </c>
      <c r="B13" s="606">
        <v>0</v>
      </c>
      <c r="C13" s="607">
        <v>0</v>
      </c>
      <c r="D13" s="607">
        <v>0</v>
      </c>
      <c r="E13" s="606">
        <v>0</v>
      </c>
      <c r="F13" s="607">
        <v>0</v>
      </c>
      <c r="G13" s="607">
        <v>0</v>
      </c>
      <c r="H13" s="606">
        <v>0</v>
      </c>
      <c r="I13" s="607">
        <v>0</v>
      </c>
      <c r="J13" s="607">
        <v>0</v>
      </c>
      <c r="K13" s="606">
        <v>0</v>
      </c>
      <c r="L13" s="607">
        <v>0</v>
      </c>
      <c r="M13" s="607">
        <v>0</v>
      </c>
      <c r="N13" s="606">
        <v>0</v>
      </c>
      <c r="O13" s="607">
        <v>0</v>
      </c>
      <c r="P13" s="607">
        <v>0</v>
      </c>
      <c r="Q13" s="606">
        <v>0</v>
      </c>
      <c r="R13" s="607">
        <v>0</v>
      </c>
      <c r="S13" s="607">
        <v>0</v>
      </c>
      <c r="T13" s="606">
        <v>0</v>
      </c>
      <c r="U13" s="607">
        <v>0</v>
      </c>
      <c r="V13" s="607">
        <v>0</v>
      </c>
      <c r="W13" s="606">
        <v>0</v>
      </c>
      <c r="X13" s="607">
        <v>0</v>
      </c>
      <c r="Y13" s="608">
        <v>0</v>
      </c>
      <c r="Z13" s="600"/>
      <c r="AA13" s="600"/>
      <c r="AB13" s="600"/>
      <c r="AC13" s="600"/>
    </row>
    <row r="14" spans="1:29" ht="18.75" customHeight="1">
      <c r="A14" s="508">
        <v>7</v>
      </c>
      <c r="B14" s="606">
        <v>0</v>
      </c>
      <c r="C14" s="607">
        <v>0</v>
      </c>
      <c r="D14" s="607">
        <v>0</v>
      </c>
      <c r="E14" s="606">
        <v>0</v>
      </c>
      <c r="F14" s="607">
        <v>0</v>
      </c>
      <c r="G14" s="607">
        <v>0</v>
      </c>
      <c r="H14" s="606">
        <v>0</v>
      </c>
      <c r="I14" s="607">
        <v>0</v>
      </c>
      <c r="J14" s="607">
        <v>0</v>
      </c>
      <c r="K14" s="606">
        <v>0</v>
      </c>
      <c r="L14" s="607">
        <v>0</v>
      </c>
      <c r="M14" s="607">
        <v>0</v>
      </c>
      <c r="N14" s="606">
        <v>0</v>
      </c>
      <c r="O14" s="607">
        <v>0</v>
      </c>
      <c r="P14" s="607">
        <v>0</v>
      </c>
      <c r="Q14" s="606">
        <v>0</v>
      </c>
      <c r="R14" s="607">
        <v>0</v>
      </c>
      <c r="S14" s="607">
        <v>0</v>
      </c>
      <c r="T14" s="606">
        <v>0</v>
      </c>
      <c r="U14" s="607">
        <v>0</v>
      </c>
      <c r="V14" s="607">
        <v>0</v>
      </c>
      <c r="W14" s="606">
        <v>0</v>
      </c>
      <c r="X14" s="607">
        <v>0</v>
      </c>
      <c r="Y14" s="608">
        <v>0</v>
      </c>
      <c r="Z14" s="600"/>
      <c r="AA14" s="600"/>
      <c r="AB14" s="600"/>
      <c r="AC14" s="600"/>
    </row>
    <row r="15" spans="1:29" ht="18.75" customHeight="1">
      <c r="A15" s="508">
        <v>8</v>
      </c>
      <c r="B15" s="606">
        <v>0</v>
      </c>
      <c r="C15" s="607">
        <v>0</v>
      </c>
      <c r="D15" s="607">
        <v>0</v>
      </c>
      <c r="E15" s="606">
        <v>0</v>
      </c>
      <c r="F15" s="607">
        <v>0</v>
      </c>
      <c r="G15" s="607">
        <v>0</v>
      </c>
      <c r="H15" s="606">
        <v>0</v>
      </c>
      <c r="I15" s="607">
        <v>0</v>
      </c>
      <c r="J15" s="607">
        <v>0</v>
      </c>
      <c r="K15" s="606">
        <v>0</v>
      </c>
      <c r="L15" s="607">
        <v>0</v>
      </c>
      <c r="M15" s="607">
        <v>0</v>
      </c>
      <c r="N15" s="606">
        <v>0</v>
      </c>
      <c r="O15" s="607">
        <v>0</v>
      </c>
      <c r="P15" s="607">
        <v>0</v>
      </c>
      <c r="Q15" s="606">
        <v>0</v>
      </c>
      <c r="R15" s="607">
        <v>0</v>
      </c>
      <c r="S15" s="607">
        <v>0</v>
      </c>
      <c r="T15" s="606">
        <v>0</v>
      </c>
      <c r="U15" s="607">
        <v>0</v>
      </c>
      <c r="V15" s="607">
        <v>0</v>
      </c>
      <c r="W15" s="606">
        <v>0</v>
      </c>
      <c r="X15" s="607">
        <v>0</v>
      </c>
      <c r="Y15" s="608">
        <v>0</v>
      </c>
      <c r="Z15" s="600"/>
      <c r="AA15" s="600"/>
      <c r="AB15" s="600"/>
      <c r="AC15" s="600"/>
    </row>
    <row r="16" spans="1:29" ht="18.75" customHeight="1">
      <c r="A16" s="508">
        <v>9</v>
      </c>
      <c r="B16" s="606">
        <v>0</v>
      </c>
      <c r="C16" s="607">
        <v>0</v>
      </c>
      <c r="D16" s="607">
        <v>0</v>
      </c>
      <c r="E16" s="606">
        <v>0</v>
      </c>
      <c r="F16" s="607">
        <v>0</v>
      </c>
      <c r="G16" s="607">
        <v>0</v>
      </c>
      <c r="H16" s="606">
        <v>0</v>
      </c>
      <c r="I16" s="607">
        <v>0</v>
      </c>
      <c r="J16" s="607">
        <v>0</v>
      </c>
      <c r="K16" s="606">
        <v>0</v>
      </c>
      <c r="L16" s="607">
        <v>0</v>
      </c>
      <c r="M16" s="607">
        <v>0</v>
      </c>
      <c r="N16" s="606">
        <v>0</v>
      </c>
      <c r="O16" s="607">
        <v>0</v>
      </c>
      <c r="P16" s="607">
        <v>0</v>
      </c>
      <c r="Q16" s="606">
        <v>0</v>
      </c>
      <c r="R16" s="607">
        <v>0</v>
      </c>
      <c r="S16" s="607">
        <v>0</v>
      </c>
      <c r="T16" s="606">
        <v>0</v>
      </c>
      <c r="U16" s="607">
        <v>0</v>
      </c>
      <c r="V16" s="607">
        <v>0</v>
      </c>
      <c r="W16" s="606">
        <v>0</v>
      </c>
      <c r="X16" s="607">
        <v>0</v>
      </c>
      <c r="Y16" s="608">
        <v>0</v>
      </c>
      <c r="Z16" s="600"/>
      <c r="AA16" s="600"/>
      <c r="AB16" s="600"/>
      <c r="AC16" s="600"/>
    </row>
    <row r="17" spans="1:29" ht="18.75" customHeight="1">
      <c r="A17" s="508">
        <v>10</v>
      </c>
      <c r="B17" s="606">
        <v>0</v>
      </c>
      <c r="C17" s="607">
        <v>0</v>
      </c>
      <c r="D17" s="607">
        <v>0</v>
      </c>
      <c r="E17" s="606">
        <v>0</v>
      </c>
      <c r="F17" s="607">
        <v>0</v>
      </c>
      <c r="G17" s="607">
        <v>0</v>
      </c>
      <c r="H17" s="606">
        <v>0</v>
      </c>
      <c r="I17" s="607">
        <v>0</v>
      </c>
      <c r="J17" s="607">
        <v>0</v>
      </c>
      <c r="K17" s="606">
        <v>0</v>
      </c>
      <c r="L17" s="607">
        <v>0</v>
      </c>
      <c r="M17" s="607">
        <v>0</v>
      </c>
      <c r="N17" s="606">
        <v>0</v>
      </c>
      <c r="O17" s="607">
        <v>0</v>
      </c>
      <c r="P17" s="607">
        <v>0</v>
      </c>
      <c r="Q17" s="606">
        <v>0</v>
      </c>
      <c r="R17" s="607">
        <v>0</v>
      </c>
      <c r="S17" s="607">
        <v>0</v>
      </c>
      <c r="T17" s="606">
        <v>0</v>
      </c>
      <c r="U17" s="607">
        <v>0</v>
      </c>
      <c r="V17" s="607">
        <v>0</v>
      </c>
      <c r="W17" s="606">
        <v>0</v>
      </c>
      <c r="X17" s="607">
        <v>0</v>
      </c>
      <c r="Y17" s="608">
        <v>0</v>
      </c>
      <c r="Z17" s="600"/>
      <c r="AA17" s="600"/>
      <c r="AB17" s="600"/>
      <c r="AC17" s="600"/>
    </row>
    <row r="18" spans="1:29" ht="18.75" customHeight="1">
      <c r="A18" s="508">
        <v>11</v>
      </c>
      <c r="B18" s="606">
        <v>0</v>
      </c>
      <c r="C18" s="607">
        <v>0</v>
      </c>
      <c r="D18" s="607">
        <v>0</v>
      </c>
      <c r="E18" s="606">
        <v>0</v>
      </c>
      <c r="F18" s="607">
        <v>0</v>
      </c>
      <c r="G18" s="607">
        <v>0</v>
      </c>
      <c r="H18" s="606">
        <v>0</v>
      </c>
      <c r="I18" s="607">
        <v>0</v>
      </c>
      <c r="J18" s="607">
        <v>0</v>
      </c>
      <c r="K18" s="606">
        <v>0</v>
      </c>
      <c r="L18" s="607">
        <v>0</v>
      </c>
      <c r="M18" s="607">
        <v>0</v>
      </c>
      <c r="N18" s="606">
        <v>0</v>
      </c>
      <c r="O18" s="607">
        <v>0</v>
      </c>
      <c r="P18" s="607">
        <v>0</v>
      </c>
      <c r="Q18" s="606">
        <v>0</v>
      </c>
      <c r="R18" s="607">
        <v>0</v>
      </c>
      <c r="S18" s="607">
        <v>0</v>
      </c>
      <c r="T18" s="606">
        <v>0</v>
      </c>
      <c r="U18" s="607">
        <v>0</v>
      </c>
      <c r="V18" s="607">
        <v>0</v>
      </c>
      <c r="W18" s="606">
        <v>0</v>
      </c>
      <c r="X18" s="607">
        <v>0</v>
      </c>
      <c r="Y18" s="608">
        <v>0</v>
      </c>
      <c r="Z18" s="600"/>
      <c r="AA18" s="600"/>
      <c r="AB18" s="600"/>
      <c r="AC18" s="600"/>
    </row>
    <row r="19" spans="1:29" ht="18.75" customHeight="1">
      <c r="A19" s="508">
        <v>12</v>
      </c>
      <c r="B19" s="606">
        <v>0</v>
      </c>
      <c r="C19" s="607">
        <v>0</v>
      </c>
      <c r="D19" s="607">
        <v>0</v>
      </c>
      <c r="E19" s="606">
        <v>0</v>
      </c>
      <c r="F19" s="607">
        <v>0</v>
      </c>
      <c r="G19" s="607">
        <v>0</v>
      </c>
      <c r="H19" s="606">
        <v>0</v>
      </c>
      <c r="I19" s="607">
        <v>0</v>
      </c>
      <c r="J19" s="607">
        <v>0</v>
      </c>
      <c r="K19" s="606">
        <v>0</v>
      </c>
      <c r="L19" s="607">
        <v>0</v>
      </c>
      <c r="M19" s="607">
        <v>0</v>
      </c>
      <c r="N19" s="606">
        <v>0</v>
      </c>
      <c r="O19" s="607">
        <v>0</v>
      </c>
      <c r="P19" s="607">
        <v>0</v>
      </c>
      <c r="Q19" s="606">
        <v>0</v>
      </c>
      <c r="R19" s="607">
        <v>0</v>
      </c>
      <c r="S19" s="607">
        <v>0</v>
      </c>
      <c r="T19" s="606">
        <v>0</v>
      </c>
      <c r="U19" s="607">
        <v>0</v>
      </c>
      <c r="V19" s="607">
        <v>0</v>
      </c>
      <c r="W19" s="606">
        <v>0</v>
      </c>
      <c r="X19" s="607">
        <v>0</v>
      </c>
      <c r="Y19" s="608">
        <v>0</v>
      </c>
      <c r="Z19" s="600"/>
      <c r="AA19" s="600"/>
      <c r="AB19" s="600"/>
      <c r="AC19" s="600"/>
    </row>
    <row r="20" spans="1:29" ht="18.75" customHeight="1">
      <c r="A20" s="508">
        <v>13</v>
      </c>
      <c r="B20" s="606">
        <v>0</v>
      </c>
      <c r="C20" s="607">
        <v>0</v>
      </c>
      <c r="D20" s="607">
        <v>0</v>
      </c>
      <c r="E20" s="606">
        <v>0</v>
      </c>
      <c r="F20" s="607">
        <v>0</v>
      </c>
      <c r="G20" s="607">
        <v>0</v>
      </c>
      <c r="H20" s="606">
        <v>0</v>
      </c>
      <c r="I20" s="607">
        <v>0</v>
      </c>
      <c r="J20" s="607">
        <v>0</v>
      </c>
      <c r="K20" s="606">
        <v>0</v>
      </c>
      <c r="L20" s="607">
        <v>0</v>
      </c>
      <c r="M20" s="607">
        <v>0</v>
      </c>
      <c r="N20" s="606">
        <v>0</v>
      </c>
      <c r="O20" s="607">
        <v>0</v>
      </c>
      <c r="P20" s="607">
        <v>0</v>
      </c>
      <c r="Q20" s="606">
        <v>0</v>
      </c>
      <c r="R20" s="607">
        <v>0</v>
      </c>
      <c r="S20" s="607">
        <v>0</v>
      </c>
      <c r="T20" s="606">
        <v>0</v>
      </c>
      <c r="U20" s="607">
        <v>0</v>
      </c>
      <c r="V20" s="607">
        <v>0</v>
      </c>
      <c r="W20" s="606">
        <v>0</v>
      </c>
      <c r="X20" s="607">
        <v>0</v>
      </c>
      <c r="Y20" s="608">
        <v>0</v>
      </c>
      <c r="Z20" s="600"/>
      <c r="AA20" s="600"/>
      <c r="AB20" s="600"/>
      <c r="AC20" s="600"/>
    </row>
    <row r="21" spans="1:29" ht="18.75" customHeight="1">
      <c r="A21" s="508">
        <v>14</v>
      </c>
      <c r="B21" s="606">
        <v>0</v>
      </c>
      <c r="C21" s="607">
        <v>0</v>
      </c>
      <c r="D21" s="607">
        <v>0</v>
      </c>
      <c r="E21" s="606">
        <v>0</v>
      </c>
      <c r="F21" s="607">
        <v>0</v>
      </c>
      <c r="G21" s="607">
        <v>0</v>
      </c>
      <c r="H21" s="606">
        <v>0</v>
      </c>
      <c r="I21" s="607">
        <v>0</v>
      </c>
      <c r="J21" s="607">
        <v>0</v>
      </c>
      <c r="K21" s="606">
        <v>0</v>
      </c>
      <c r="L21" s="607">
        <v>0</v>
      </c>
      <c r="M21" s="607">
        <v>0</v>
      </c>
      <c r="N21" s="606">
        <v>0</v>
      </c>
      <c r="O21" s="607">
        <v>0</v>
      </c>
      <c r="P21" s="607">
        <v>0</v>
      </c>
      <c r="Q21" s="606">
        <v>0</v>
      </c>
      <c r="R21" s="607">
        <v>0</v>
      </c>
      <c r="S21" s="607">
        <v>0</v>
      </c>
      <c r="T21" s="606">
        <v>0</v>
      </c>
      <c r="U21" s="607">
        <v>0</v>
      </c>
      <c r="V21" s="607">
        <v>0</v>
      </c>
      <c r="W21" s="606">
        <v>0</v>
      </c>
      <c r="X21" s="607">
        <v>0</v>
      </c>
      <c r="Y21" s="608">
        <v>0</v>
      </c>
      <c r="Z21" s="600"/>
      <c r="AA21" s="600"/>
      <c r="AB21" s="600"/>
      <c r="AC21" s="600"/>
    </row>
    <row r="22" spans="1:29" ht="18.75" customHeight="1">
      <c r="A22" s="508">
        <v>15</v>
      </c>
      <c r="B22" s="606">
        <v>0</v>
      </c>
      <c r="C22" s="607">
        <v>0</v>
      </c>
      <c r="D22" s="607">
        <v>0</v>
      </c>
      <c r="E22" s="606">
        <v>0</v>
      </c>
      <c r="F22" s="607">
        <v>0</v>
      </c>
      <c r="G22" s="607">
        <v>0</v>
      </c>
      <c r="H22" s="606">
        <v>0</v>
      </c>
      <c r="I22" s="607">
        <v>0</v>
      </c>
      <c r="J22" s="607">
        <v>0</v>
      </c>
      <c r="K22" s="606">
        <v>0</v>
      </c>
      <c r="L22" s="607">
        <v>0</v>
      </c>
      <c r="M22" s="607">
        <v>0</v>
      </c>
      <c r="N22" s="606">
        <v>0</v>
      </c>
      <c r="O22" s="607">
        <v>0</v>
      </c>
      <c r="P22" s="607">
        <v>0</v>
      </c>
      <c r="Q22" s="606">
        <v>0</v>
      </c>
      <c r="R22" s="607">
        <v>0</v>
      </c>
      <c r="S22" s="607">
        <v>0</v>
      </c>
      <c r="T22" s="606">
        <v>0</v>
      </c>
      <c r="U22" s="607">
        <v>0</v>
      </c>
      <c r="V22" s="607">
        <v>0</v>
      </c>
      <c r="W22" s="606">
        <v>0</v>
      </c>
      <c r="X22" s="607">
        <v>0</v>
      </c>
      <c r="Y22" s="608">
        <v>0</v>
      </c>
      <c r="Z22" s="600"/>
      <c r="AA22" s="600"/>
      <c r="AB22" s="600"/>
      <c r="AC22" s="600"/>
    </row>
    <row r="23" spans="1:29" ht="18.75" customHeight="1">
      <c r="A23" s="508">
        <v>16</v>
      </c>
      <c r="B23" s="606">
        <v>0</v>
      </c>
      <c r="C23" s="607">
        <v>0</v>
      </c>
      <c r="D23" s="607">
        <v>0</v>
      </c>
      <c r="E23" s="606">
        <v>0</v>
      </c>
      <c r="F23" s="607">
        <v>0</v>
      </c>
      <c r="G23" s="607">
        <v>0</v>
      </c>
      <c r="H23" s="606">
        <v>0</v>
      </c>
      <c r="I23" s="607">
        <v>0</v>
      </c>
      <c r="J23" s="607">
        <v>0</v>
      </c>
      <c r="K23" s="606">
        <v>0</v>
      </c>
      <c r="L23" s="607">
        <v>0</v>
      </c>
      <c r="M23" s="607">
        <v>0</v>
      </c>
      <c r="N23" s="606">
        <v>0</v>
      </c>
      <c r="O23" s="607">
        <v>0</v>
      </c>
      <c r="P23" s="607">
        <v>0</v>
      </c>
      <c r="Q23" s="606">
        <v>0</v>
      </c>
      <c r="R23" s="607">
        <v>0</v>
      </c>
      <c r="S23" s="607">
        <v>0</v>
      </c>
      <c r="T23" s="606">
        <v>0</v>
      </c>
      <c r="U23" s="607">
        <v>0</v>
      </c>
      <c r="V23" s="607">
        <v>0</v>
      </c>
      <c r="W23" s="606">
        <v>0</v>
      </c>
      <c r="X23" s="607">
        <v>0</v>
      </c>
      <c r="Y23" s="608">
        <v>0</v>
      </c>
      <c r="Z23" s="600"/>
      <c r="AA23" s="600"/>
      <c r="AB23" s="600"/>
      <c r="AC23" s="600"/>
    </row>
    <row r="24" spans="1:29" ht="18.75" customHeight="1">
      <c r="A24" s="508">
        <v>17</v>
      </c>
      <c r="B24" s="606">
        <v>0</v>
      </c>
      <c r="C24" s="607">
        <v>0</v>
      </c>
      <c r="D24" s="607">
        <v>0</v>
      </c>
      <c r="E24" s="606">
        <v>0</v>
      </c>
      <c r="F24" s="607">
        <v>0</v>
      </c>
      <c r="G24" s="607">
        <v>0</v>
      </c>
      <c r="H24" s="606">
        <v>0</v>
      </c>
      <c r="I24" s="607">
        <v>0</v>
      </c>
      <c r="J24" s="607">
        <v>0</v>
      </c>
      <c r="K24" s="606">
        <v>0</v>
      </c>
      <c r="L24" s="607">
        <v>0</v>
      </c>
      <c r="M24" s="607">
        <v>0</v>
      </c>
      <c r="N24" s="606">
        <v>0</v>
      </c>
      <c r="O24" s="607">
        <v>0</v>
      </c>
      <c r="P24" s="607">
        <v>0</v>
      </c>
      <c r="Q24" s="606">
        <v>0</v>
      </c>
      <c r="R24" s="607">
        <v>0</v>
      </c>
      <c r="S24" s="607">
        <v>0</v>
      </c>
      <c r="T24" s="606">
        <v>0</v>
      </c>
      <c r="U24" s="607">
        <v>0</v>
      </c>
      <c r="V24" s="607">
        <v>0</v>
      </c>
      <c r="W24" s="606">
        <v>0</v>
      </c>
      <c r="X24" s="607">
        <v>0</v>
      </c>
      <c r="Y24" s="608">
        <v>0</v>
      </c>
      <c r="Z24" s="600"/>
      <c r="AA24" s="600"/>
      <c r="AB24" s="600"/>
      <c r="AC24" s="600"/>
    </row>
    <row r="25" spans="1:29" ht="18.75" customHeight="1">
      <c r="A25" s="508">
        <v>18</v>
      </c>
      <c r="B25" s="606">
        <v>0</v>
      </c>
      <c r="C25" s="607">
        <v>0</v>
      </c>
      <c r="D25" s="607">
        <v>0</v>
      </c>
      <c r="E25" s="606">
        <v>0</v>
      </c>
      <c r="F25" s="607">
        <v>0</v>
      </c>
      <c r="G25" s="607">
        <v>0</v>
      </c>
      <c r="H25" s="606">
        <v>0</v>
      </c>
      <c r="I25" s="607">
        <v>0</v>
      </c>
      <c r="J25" s="607">
        <v>0</v>
      </c>
      <c r="K25" s="606">
        <v>0</v>
      </c>
      <c r="L25" s="607">
        <v>0</v>
      </c>
      <c r="M25" s="607">
        <v>0</v>
      </c>
      <c r="N25" s="606">
        <v>0</v>
      </c>
      <c r="O25" s="607">
        <v>0</v>
      </c>
      <c r="P25" s="607">
        <v>0</v>
      </c>
      <c r="Q25" s="606">
        <v>0</v>
      </c>
      <c r="R25" s="607">
        <v>0</v>
      </c>
      <c r="S25" s="607">
        <v>0</v>
      </c>
      <c r="T25" s="606">
        <v>0</v>
      </c>
      <c r="U25" s="607">
        <v>0</v>
      </c>
      <c r="V25" s="607">
        <v>0</v>
      </c>
      <c r="W25" s="606">
        <v>0</v>
      </c>
      <c r="X25" s="607">
        <v>0</v>
      </c>
      <c r="Y25" s="608">
        <v>0</v>
      </c>
      <c r="Z25" s="600"/>
      <c r="AA25" s="600"/>
      <c r="AB25" s="600"/>
      <c r="AC25" s="600"/>
    </row>
    <row r="26" spans="1:29" ht="18.75" customHeight="1">
      <c r="A26" s="508">
        <v>19</v>
      </c>
      <c r="B26" s="606">
        <v>0</v>
      </c>
      <c r="C26" s="607">
        <v>0</v>
      </c>
      <c r="D26" s="607">
        <v>0</v>
      </c>
      <c r="E26" s="606">
        <v>0</v>
      </c>
      <c r="F26" s="607">
        <v>0</v>
      </c>
      <c r="G26" s="607">
        <v>0</v>
      </c>
      <c r="H26" s="606">
        <v>0</v>
      </c>
      <c r="I26" s="607">
        <v>0</v>
      </c>
      <c r="J26" s="607">
        <v>0</v>
      </c>
      <c r="K26" s="606">
        <v>0</v>
      </c>
      <c r="L26" s="607">
        <v>0</v>
      </c>
      <c r="M26" s="607">
        <v>0</v>
      </c>
      <c r="N26" s="606">
        <v>0</v>
      </c>
      <c r="O26" s="607">
        <v>0</v>
      </c>
      <c r="P26" s="607">
        <v>0</v>
      </c>
      <c r="Q26" s="606">
        <v>0</v>
      </c>
      <c r="R26" s="607">
        <v>0</v>
      </c>
      <c r="S26" s="607">
        <v>0</v>
      </c>
      <c r="T26" s="606">
        <v>0</v>
      </c>
      <c r="U26" s="607">
        <v>0</v>
      </c>
      <c r="V26" s="607">
        <v>0</v>
      </c>
      <c r="W26" s="606">
        <v>0</v>
      </c>
      <c r="X26" s="607">
        <v>0</v>
      </c>
      <c r="Y26" s="608">
        <v>0</v>
      </c>
      <c r="Z26" s="600"/>
      <c r="AA26" s="600"/>
      <c r="AB26" s="600"/>
      <c r="AC26" s="600"/>
    </row>
    <row r="27" spans="1:29" ht="18.75" customHeight="1">
      <c r="A27" s="508">
        <v>20</v>
      </c>
      <c r="B27" s="606">
        <v>0</v>
      </c>
      <c r="C27" s="607">
        <v>0</v>
      </c>
      <c r="D27" s="607">
        <v>0</v>
      </c>
      <c r="E27" s="606">
        <v>0</v>
      </c>
      <c r="F27" s="607">
        <v>0</v>
      </c>
      <c r="G27" s="607">
        <v>0</v>
      </c>
      <c r="H27" s="606">
        <v>0</v>
      </c>
      <c r="I27" s="607">
        <v>0</v>
      </c>
      <c r="J27" s="607">
        <v>0</v>
      </c>
      <c r="K27" s="606">
        <v>0</v>
      </c>
      <c r="L27" s="607">
        <v>0</v>
      </c>
      <c r="M27" s="607">
        <v>0</v>
      </c>
      <c r="N27" s="606">
        <v>0</v>
      </c>
      <c r="O27" s="607">
        <v>0</v>
      </c>
      <c r="P27" s="607">
        <v>0</v>
      </c>
      <c r="Q27" s="606">
        <v>0</v>
      </c>
      <c r="R27" s="607">
        <v>0</v>
      </c>
      <c r="S27" s="607">
        <v>0</v>
      </c>
      <c r="T27" s="606">
        <v>0</v>
      </c>
      <c r="U27" s="607">
        <v>0</v>
      </c>
      <c r="V27" s="607">
        <v>0</v>
      </c>
      <c r="W27" s="606">
        <v>0</v>
      </c>
      <c r="X27" s="607">
        <v>0</v>
      </c>
      <c r="Y27" s="608">
        <v>0</v>
      </c>
      <c r="Z27" s="600"/>
      <c r="AA27" s="600"/>
      <c r="AB27" s="600"/>
      <c r="AC27" s="600"/>
    </row>
    <row r="28" spans="1:29" ht="18.75" customHeight="1">
      <c r="A28" s="508">
        <v>21</v>
      </c>
      <c r="B28" s="606">
        <v>0</v>
      </c>
      <c r="C28" s="607">
        <v>0</v>
      </c>
      <c r="D28" s="607">
        <v>0</v>
      </c>
      <c r="E28" s="606">
        <v>0</v>
      </c>
      <c r="F28" s="607">
        <v>0</v>
      </c>
      <c r="G28" s="607">
        <v>0</v>
      </c>
      <c r="H28" s="606">
        <v>0</v>
      </c>
      <c r="I28" s="607">
        <v>0</v>
      </c>
      <c r="J28" s="607">
        <v>0</v>
      </c>
      <c r="K28" s="606">
        <v>0</v>
      </c>
      <c r="L28" s="607">
        <v>0</v>
      </c>
      <c r="M28" s="607">
        <v>0</v>
      </c>
      <c r="N28" s="606">
        <v>0</v>
      </c>
      <c r="O28" s="607">
        <v>0</v>
      </c>
      <c r="P28" s="607">
        <v>0</v>
      </c>
      <c r="Q28" s="606">
        <v>0</v>
      </c>
      <c r="R28" s="607">
        <v>0</v>
      </c>
      <c r="S28" s="607">
        <v>0</v>
      </c>
      <c r="T28" s="606">
        <v>0</v>
      </c>
      <c r="U28" s="607">
        <v>0</v>
      </c>
      <c r="V28" s="607">
        <v>0</v>
      </c>
      <c r="W28" s="606">
        <v>0</v>
      </c>
      <c r="X28" s="607">
        <v>0</v>
      </c>
      <c r="Y28" s="608">
        <v>0</v>
      </c>
      <c r="Z28" s="600"/>
      <c r="AA28" s="600"/>
      <c r="AB28" s="600"/>
      <c r="AC28" s="600"/>
    </row>
    <row r="29" spans="1:29" ht="18.75" customHeight="1">
      <c r="A29" s="508">
        <v>22</v>
      </c>
      <c r="B29" s="606">
        <v>0</v>
      </c>
      <c r="C29" s="607">
        <v>0</v>
      </c>
      <c r="D29" s="607">
        <v>0</v>
      </c>
      <c r="E29" s="606">
        <v>0</v>
      </c>
      <c r="F29" s="607">
        <v>0</v>
      </c>
      <c r="G29" s="607">
        <v>0</v>
      </c>
      <c r="H29" s="606">
        <v>0</v>
      </c>
      <c r="I29" s="607">
        <v>0</v>
      </c>
      <c r="J29" s="607">
        <v>0</v>
      </c>
      <c r="K29" s="606">
        <v>0</v>
      </c>
      <c r="L29" s="607">
        <v>0</v>
      </c>
      <c r="M29" s="607">
        <v>0</v>
      </c>
      <c r="N29" s="606">
        <v>0</v>
      </c>
      <c r="O29" s="607">
        <v>0</v>
      </c>
      <c r="P29" s="607">
        <v>0</v>
      </c>
      <c r="Q29" s="606">
        <v>0</v>
      </c>
      <c r="R29" s="607">
        <v>0</v>
      </c>
      <c r="S29" s="607">
        <v>0</v>
      </c>
      <c r="T29" s="606">
        <v>0</v>
      </c>
      <c r="U29" s="607">
        <v>0</v>
      </c>
      <c r="V29" s="607">
        <v>0</v>
      </c>
      <c r="W29" s="606">
        <v>0</v>
      </c>
      <c r="X29" s="607">
        <v>0</v>
      </c>
      <c r="Y29" s="608">
        <v>0</v>
      </c>
      <c r="Z29" s="600"/>
      <c r="AA29" s="600"/>
      <c r="AB29" s="600"/>
      <c r="AC29" s="600"/>
    </row>
    <row r="30" spans="1:29" ht="18.75" customHeight="1">
      <c r="A30" s="508">
        <v>23</v>
      </c>
      <c r="B30" s="606">
        <v>0</v>
      </c>
      <c r="C30" s="607">
        <v>0</v>
      </c>
      <c r="D30" s="607">
        <v>0</v>
      </c>
      <c r="E30" s="606">
        <v>0</v>
      </c>
      <c r="F30" s="607">
        <v>0</v>
      </c>
      <c r="G30" s="607">
        <v>0</v>
      </c>
      <c r="H30" s="606">
        <v>0</v>
      </c>
      <c r="I30" s="607">
        <v>0</v>
      </c>
      <c r="J30" s="607">
        <v>0</v>
      </c>
      <c r="K30" s="606">
        <v>0</v>
      </c>
      <c r="L30" s="607">
        <v>0</v>
      </c>
      <c r="M30" s="607">
        <v>0</v>
      </c>
      <c r="N30" s="606">
        <v>0</v>
      </c>
      <c r="O30" s="607">
        <v>0</v>
      </c>
      <c r="P30" s="607">
        <v>0</v>
      </c>
      <c r="Q30" s="606">
        <v>0</v>
      </c>
      <c r="R30" s="607">
        <v>0</v>
      </c>
      <c r="S30" s="607">
        <v>0</v>
      </c>
      <c r="T30" s="606">
        <v>0</v>
      </c>
      <c r="U30" s="607">
        <v>0</v>
      </c>
      <c r="V30" s="607">
        <v>0</v>
      </c>
      <c r="W30" s="606">
        <v>0</v>
      </c>
      <c r="X30" s="607">
        <v>0</v>
      </c>
      <c r="Y30" s="608">
        <v>0</v>
      </c>
      <c r="Z30" s="600"/>
      <c r="AA30" s="600"/>
      <c r="AB30" s="600"/>
      <c r="AC30" s="600"/>
    </row>
    <row r="31" spans="1:29" ht="18.75" customHeight="1">
      <c r="A31" s="508">
        <v>24</v>
      </c>
      <c r="B31" s="606">
        <v>0</v>
      </c>
      <c r="C31" s="607">
        <v>0</v>
      </c>
      <c r="D31" s="607">
        <v>0</v>
      </c>
      <c r="E31" s="606">
        <v>0</v>
      </c>
      <c r="F31" s="607">
        <v>0</v>
      </c>
      <c r="G31" s="607">
        <v>0</v>
      </c>
      <c r="H31" s="606">
        <v>0</v>
      </c>
      <c r="I31" s="607">
        <v>0</v>
      </c>
      <c r="J31" s="607">
        <v>0</v>
      </c>
      <c r="K31" s="606">
        <v>0</v>
      </c>
      <c r="L31" s="607">
        <v>0</v>
      </c>
      <c r="M31" s="607">
        <v>0</v>
      </c>
      <c r="N31" s="606">
        <v>0</v>
      </c>
      <c r="O31" s="607">
        <v>0</v>
      </c>
      <c r="P31" s="607">
        <v>0</v>
      </c>
      <c r="Q31" s="606">
        <v>0</v>
      </c>
      <c r="R31" s="607">
        <v>0</v>
      </c>
      <c r="S31" s="607">
        <v>0</v>
      </c>
      <c r="T31" s="606">
        <v>0</v>
      </c>
      <c r="U31" s="607">
        <v>0</v>
      </c>
      <c r="V31" s="607">
        <v>0</v>
      </c>
      <c r="W31" s="606">
        <v>0</v>
      </c>
      <c r="X31" s="607">
        <v>0</v>
      </c>
      <c r="Y31" s="608">
        <v>0</v>
      </c>
      <c r="Z31" s="600"/>
      <c r="AA31" s="600"/>
      <c r="AB31" s="600"/>
      <c r="AC31" s="600"/>
    </row>
    <row r="32" spans="1:29" ht="18.75" customHeight="1">
      <c r="A32" s="508">
        <v>25</v>
      </c>
      <c r="B32" s="606">
        <v>0</v>
      </c>
      <c r="C32" s="607">
        <v>0</v>
      </c>
      <c r="D32" s="607">
        <v>0</v>
      </c>
      <c r="E32" s="606">
        <v>0</v>
      </c>
      <c r="F32" s="607">
        <v>0</v>
      </c>
      <c r="G32" s="607">
        <v>0</v>
      </c>
      <c r="H32" s="606">
        <v>0</v>
      </c>
      <c r="I32" s="607">
        <v>0</v>
      </c>
      <c r="J32" s="607">
        <v>0</v>
      </c>
      <c r="K32" s="606">
        <v>0</v>
      </c>
      <c r="L32" s="607">
        <v>0</v>
      </c>
      <c r="M32" s="607">
        <v>0</v>
      </c>
      <c r="N32" s="606">
        <v>0</v>
      </c>
      <c r="O32" s="607">
        <v>0</v>
      </c>
      <c r="P32" s="607">
        <v>0</v>
      </c>
      <c r="Q32" s="606">
        <v>0</v>
      </c>
      <c r="R32" s="607">
        <v>0</v>
      </c>
      <c r="S32" s="607">
        <v>0</v>
      </c>
      <c r="T32" s="606">
        <v>0</v>
      </c>
      <c r="U32" s="607">
        <v>0</v>
      </c>
      <c r="V32" s="607">
        <v>0</v>
      </c>
      <c r="W32" s="606">
        <v>0</v>
      </c>
      <c r="X32" s="607">
        <v>0</v>
      </c>
      <c r="Y32" s="608">
        <v>0</v>
      </c>
      <c r="Z32" s="600"/>
      <c r="AA32" s="600"/>
      <c r="AB32" s="600"/>
      <c r="AC32" s="600"/>
    </row>
    <row r="33" spans="1:29" ht="18.75" customHeight="1">
      <c r="A33" s="508">
        <v>26</v>
      </c>
      <c r="B33" s="606">
        <v>0</v>
      </c>
      <c r="C33" s="607">
        <v>0</v>
      </c>
      <c r="D33" s="607">
        <v>0</v>
      </c>
      <c r="E33" s="606">
        <v>0</v>
      </c>
      <c r="F33" s="607">
        <v>0</v>
      </c>
      <c r="G33" s="607">
        <v>0</v>
      </c>
      <c r="H33" s="606">
        <v>0</v>
      </c>
      <c r="I33" s="607">
        <v>0</v>
      </c>
      <c r="J33" s="607">
        <v>0</v>
      </c>
      <c r="K33" s="606">
        <v>0</v>
      </c>
      <c r="L33" s="607">
        <v>0</v>
      </c>
      <c r="M33" s="607">
        <v>0</v>
      </c>
      <c r="N33" s="606">
        <v>0</v>
      </c>
      <c r="O33" s="607">
        <v>0</v>
      </c>
      <c r="P33" s="607">
        <v>0</v>
      </c>
      <c r="Q33" s="606">
        <v>0</v>
      </c>
      <c r="R33" s="607">
        <v>0</v>
      </c>
      <c r="S33" s="607">
        <v>0</v>
      </c>
      <c r="T33" s="606">
        <v>0</v>
      </c>
      <c r="U33" s="607">
        <v>0</v>
      </c>
      <c r="V33" s="607">
        <v>0</v>
      </c>
      <c r="W33" s="606">
        <v>0</v>
      </c>
      <c r="X33" s="607">
        <v>0</v>
      </c>
      <c r="Y33" s="608">
        <v>0</v>
      </c>
      <c r="Z33" s="600"/>
      <c r="AA33" s="600"/>
      <c r="AB33" s="600"/>
      <c r="AC33" s="600"/>
    </row>
    <row r="34" spans="1:29" ht="18.75" customHeight="1">
      <c r="A34" s="508">
        <v>27</v>
      </c>
      <c r="B34" s="606">
        <v>0</v>
      </c>
      <c r="C34" s="607">
        <v>0</v>
      </c>
      <c r="D34" s="607">
        <v>0</v>
      </c>
      <c r="E34" s="606">
        <v>0</v>
      </c>
      <c r="F34" s="607">
        <v>0</v>
      </c>
      <c r="G34" s="607">
        <v>0</v>
      </c>
      <c r="H34" s="606">
        <v>0</v>
      </c>
      <c r="I34" s="607">
        <v>0</v>
      </c>
      <c r="J34" s="607">
        <v>0</v>
      </c>
      <c r="K34" s="606">
        <v>0</v>
      </c>
      <c r="L34" s="607">
        <v>0</v>
      </c>
      <c r="M34" s="607">
        <v>0</v>
      </c>
      <c r="N34" s="606">
        <v>0</v>
      </c>
      <c r="O34" s="607">
        <v>0</v>
      </c>
      <c r="P34" s="607">
        <v>0</v>
      </c>
      <c r="Q34" s="606">
        <v>0</v>
      </c>
      <c r="R34" s="607">
        <v>0</v>
      </c>
      <c r="S34" s="607">
        <v>0</v>
      </c>
      <c r="T34" s="606">
        <v>0</v>
      </c>
      <c r="U34" s="607">
        <v>0</v>
      </c>
      <c r="V34" s="607">
        <v>0</v>
      </c>
      <c r="W34" s="606">
        <v>0</v>
      </c>
      <c r="X34" s="607">
        <v>0</v>
      </c>
      <c r="Y34" s="608">
        <v>0</v>
      </c>
      <c r="Z34" s="610"/>
      <c r="AA34" s="610"/>
      <c r="AB34" s="610"/>
      <c r="AC34" s="610"/>
    </row>
    <row r="35" spans="1:29" ht="18.75" customHeight="1">
      <c r="A35" s="508">
        <v>28</v>
      </c>
      <c r="B35" s="606">
        <v>0</v>
      </c>
      <c r="C35" s="607">
        <v>0</v>
      </c>
      <c r="D35" s="607">
        <v>0</v>
      </c>
      <c r="E35" s="606">
        <v>0</v>
      </c>
      <c r="F35" s="607">
        <v>0</v>
      </c>
      <c r="G35" s="607">
        <v>0</v>
      </c>
      <c r="H35" s="606">
        <v>0</v>
      </c>
      <c r="I35" s="607">
        <v>0</v>
      </c>
      <c r="J35" s="607">
        <v>0</v>
      </c>
      <c r="K35" s="606">
        <v>0</v>
      </c>
      <c r="L35" s="607">
        <v>0</v>
      </c>
      <c r="M35" s="607">
        <v>0</v>
      </c>
      <c r="N35" s="606">
        <v>0</v>
      </c>
      <c r="O35" s="607">
        <v>0</v>
      </c>
      <c r="P35" s="607">
        <v>0</v>
      </c>
      <c r="Q35" s="606">
        <v>0</v>
      </c>
      <c r="R35" s="607">
        <v>0</v>
      </c>
      <c r="S35" s="607">
        <v>0</v>
      </c>
      <c r="T35" s="606">
        <v>0</v>
      </c>
      <c r="U35" s="607">
        <v>0</v>
      </c>
      <c r="V35" s="607">
        <v>0</v>
      </c>
      <c r="W35" s="606">
        <v>0</v>
      </c>
      <c r="X35" s="607">
        <v>0</v>
      </c>
      <c r="Y35" s="608">
        <v>0</v>
      </c>
      <c r="Z35" s="586"/>
    </row>
    <row r="36" spans="1:29" ht="18.75" customHeight="1">
      <c r="A36" s="508">
        <v>29</v>
      </c>
      <c r="B36" s="606">
        <v>0</v>
      </c>
      <c r="C36" s="607">
        <v>0</v>
      </c>
      <c r="D36" s="607">
        <v>0</v>
      </c>
      <c r="E36" s="606">
        <v>0</v>
      </c>
      <c r="F36" s="607">
        <v>0</v>
      </c>
      <c r="G36" s="607">
        <v>0</v>
      </c>
      <c r="H36" s="606">
        <v>0</v>
      </c>
      <c r="I36" s="607">
        <v>0</v>
      </c>
      <c r="J36" s="607">
        <v>0</v>
      </c>
      <c r="K36" s="606">
        <v>0</v>
      </c>
      <c r="L36" s="607">
        <v>0</v>
      </c>
      <c r="M36" s="607">
        <v>0</v>
      </c>
      <c r="N36" s="606">
        <v>0</v>
      </c>
      <c r="O36" s="607">
        <v>0</v>
      </c>
      <c r="P36" s="607">
        <v>0</v>
      </c>
      <c r="Q36" s="606">
        <v>0</v>
      </c>
      <c r="R36" s="607">
        <v>0</v>
      </c>
      <c r="S36" s="607">
        <v>0</v>
      </c>
      <c r="T36" s="606">
        <v>0</v>
      </c>
      <c r="U36" s="607">
        <v>0</v>
      </c>
      <c r="V36" s="607">
        <v>0</v>
      </c>
      <c r="W36" s="606">
        <v>0</v>
      </c>
      <c r="X36" s="607">
        <v>0</v>
      </c>
      <c r="Y36" s="608">
        <v>0</v>
      </c>
      <c r="Z36" s="586"/>
    </row>
    <row r="37" spans="1:29" ht="18.75" customHeight="1">
      <c r="A37" s="508">
        <v>30</v>
      </c>
      <c r="B37" s="606">
        <v>0</v>
      </c>
      <c r="C37" s="607">
        <v>0</v>
      </c>
      <c r="D37" s="607">
        <v>0</v>
      </c>
      <c r="E37" s="606">
        <v>0</v>
      </c>
      <c r="F37" s="607">
        <v>0</v>
      </c>
      <c r="G37" s="607">
        <v>0</v>
      </c>
      <c r="H37" s="606">
        <v>0</v>
      </c>
      <c r="I37" s="607">
        <v>0</v>
      </c>
      <c r="J37" s="607">
        <v>0</v>
      </c>
      <c r="K37" s="606">
        <v>0</v>
      </c>
      <c r="L37" s="607">
        <v>0</v>
      </c>
      <c r="M37" s="607">
        <v>0</v>
      </c>
      <c r="N37" s="606">
        <v>0</v>
      </c>
      <c r="O37" s="607">
        <v>0</v>
      </c>
      <c r="P37" s="607">
        <v>0</v>
      </c>
      <c r="Q37" s="606">
        <v>0</v>
      </c>
      <c r="R37" s="607">
        <v>0</v>
      </c>
      <c r="S37" s="607">
        <v>0</v>
      </c>
      <c r="T37" s="606">
        <v>0</v>
      </c>
      <c r="U37" s="607">
        <v>0</v>
      </c>
      <c r="V37" s="607">
        <v>0</v>
      </c>
      <c r="W37" s="606">
        <v>0</v>
      </c>
      <c r="X37" s="607">
        <v>0</v>
      </c>
      <c r="Y37" s="608">
        <v>0</v>
      </c>
      <c r="Z37" s="586"/>
    </row>
    <row r="38" spans="1:29" ht="19.5" customHeight="1">
      <c r="A38" s="1223" t="s">
        <v>244</v>
      </c>
      <c r="B38" s="1223"/>
      <c r="C38" s="1223"/>
      <c r="D38" s="611">
        <f>AVERAGE('Parte4 '!D8:D37)</f>
        <v>0</v>
      </c>
      <c r="E38" s="1213"/>
      <c r="F38" s="1213"/>
      <c r="G38" s="611">
        <f>AVERAGE('Parte4 '!D7:D37)</f>
        <v>0</v>
      </c>
      <c r="H38" s="1213"/>
      <c r="I38" s="1213"/>
      <c r="J38" s="611">
        <f>AVERAGE('Parte4 '!D7:D37)</f>
        <v>0</v>
      </c>
      <c r="K38" s="1213"/>
      <c r="L38" s="1213"/>
      <c r="M38" s="611">
        <f>AVERAGE('Parte4 '!D7:D37)</f>
        <v>0</v>
      </c>
      <c r="N38" s="1213"/>
      <c r="O38" s="1213"/>
      <c r="P38" s="611">
        <f>AVERAGE('Parte4 '!D7:D37)</f>
        <v>0</v>
      </c>
      <c r="Q38" s="1213"/>
      <c r="R38" s="1213"/>
      <c r="S38" s="611">
        <f>AVERAGE('Parte4 '!D7:D37)</f>
        <v>0</v>
      </c>
      <c r="T38" s="1213"/>
      <c r="U38" s="1213"/>
      <c r="V38" s="611">
        <f>AVERAGE('Parte4 '!D7:D37)</f>
        <v>0</v>
      </c>
      <c r="W38" s="1216"/>
      <c r="X38" s="1216"/>
      <c r="Y38" s="611">
        <f>AVERAGE('Parte4 '!D7:D37)</f>
        <v>0</v>
      </c>
      <c r="Z38" s="586"/>
    </row>
    <row r="39" spans="1:29" ht="12.75" customHeight="1">
      <c r="Z39" s="586"/>
    </row>
    <row r="40" spans="1:29" ht="13.5" customHeight="1">
      <c r="Z40" s="586"/>
    </row>
    <row r="41" spans="1:29" ht="13.5" customHeight="1">
      <c r="B41" s="1217" t="s">
        <v>88</v>
      </c>
      <c r="C41" s="1217"/>
      <c r="D41" s="1217"/>
      <c r="E41" s="1217"/>
      <c r="F41" s="1217"/>
      <c r="G41" s="1217"/>
      <c r="I41" s="1218"/>
      <c r="J41" s="1218"/>
      <c r="K41" s="1219" t="s">
        <v>310</v>
      </c>
      <c r="L41" s="1219"/>
      <c r="M41" s="1219"/>
      <c r="N41" s="1219"/>
      <c r="O41" s="1217" t="s">
        <v>311</v>
      </c>
      <c r="P41" s="1217"/>
      <c r="Q41" s="1217"/>
      <c r="R41" s="1217"/>
      <c r="Z41" s="586"/>
    </row>
    <row r="42" spans="1:29" ht="13.5" customHeight="1">
      <c r="B42" s="1220"/>
      <c r="C42" s="1220"/>
      <c r="D42" s="1217" t="s">
        <v>283</v>
      </c>
      <c r="E42" s="1217"/>
      <c r="F42" s="1217" t="s">
        <v>284</v>
      </c>
      <c r="G42" s="1217"/>
      <c r="I42" s="1218"/>
      <c r="J42" s="1218"/>
      <c r="K42" s="1221" t="s">
        <v>283</v>
      </c>
      <c r="L42" s="1221"/>
      <c r="M42" s="1222" t="s">
        <v>284</v>
      </c>
      <c r="N42" s="1222"/>
      <c r="O42" s="1221" t="s">
        <v>283</v>
      </c>
      <c r="P42" s="1221"/>
      <c r="Q42" s="1222" t="s">
        <v>284</v>
      </c>
      <c r="R42" s="1222"/>
    </row>
    <row r="43" spans="1:29" ht="13.5" customHeight="1">
      <c r="B43" s="1217" t="s">
        <v>312</v>
      </c>
      <c r="C43" s="1217"/>
      <c r="D43" s="1225">
        <f>MAX('Parte4 '!B8:B37)</f>
        <v>0</v>
      </c>
      <c r="E43" s="1225"/>
      <c r="F43" s="1225">
        <f>MIN('Parte4 '!C8:C37)</f>
        <v>0</v>
      </c>
      <c r="G43" s="1225"/>
      <c r="I43" s="1217" t="s">
        <v>212</v>
      </c>
      <c r="J43" s="1217"/>
      <c r="K43" s="1221">
        <f>MAX('Parte4 '!U8:U37)</f>
        <v>0</v>
      </c>
      <c r="L43" s="1221"/>
      <c r="M43" s="1224">
        <f>MIN('Parte4 '!U8:U37)</f>
        <v>0</v>
      </c>
      <c r="N43" s="1224"/>
      <c r="O43" s="1221">
        <f>MAX('Parte4 '!W8:W37)</f>
        <v>0</v>
      </c>
      <c r="P43" s="1221"/>
      <c r="Q43" s="1222">
        <f>MIN('Parte4 '!W8:W37)</f>
        <v>0</v>
      </c>
      <c r="R43" s="1222"/>
    </row>
    <row r="44" spans="1:29" ht="13.5" customHeight="1">
      <c r="B44" s="1217" t="s">
        <v>313</v>
      </c>
      <c r="C44" s="1217"/>
      <c r="D44" s="1225">
        <f>MAX('Parte4 '!E8:E37)</f>
        <v>0</v>
      </c>
      <c r="E44" s="1225"/>
      <c r="F44" s="1225">
        <f>MIN('Parte4 '!F8:F37)</f>
        <v>0</v>
      </c>
      <c r="G44" s="1225"/>
      <c r="I44" s="1217" t="s">
        <v>214</v>
      </c>
      <c r="J44" s="1217"/>
      <c r="K44" s="1221">
        <f>MAX('Parte4 '!V8:V37)</f>
        <v>0</v>
      </c>
      <c r="L44" s="1221"/>
      <c r="M44" s="1222">
        <f>MIN('Parte4 '!V8:V37)</f>
        <v>0</v>
      </c>
      <c r="N44" s="1222"/>
      <c r="O44" s="1221">
        <f>MAX('Parte4 '!X8:X37)</f>
        <v>0</v>
      </c>
      <c r="P44" s="1221"/>
      <c r="Q44" s="1222">
        <f>MIN('Parte4 '!X8:X37)</f>
        <v>0</v>
      </c>
      <c r="R44" s="1222"/>
    </row>
    <row r="45" spans="1:29" ht="13.5" customHeight="1">
      <c r="B45" s="1217" t="s">
        <v>314</v>
      </c>
      <c r="C45" s="1217"/>
      <c r="D45" s="1225">
        <f>MAX('Parte4 '!H8:H37)</f>
        <v>0</v>
      </c>
      <c r="E45" s="1225"/>
      <c r="F45" s="1225">
        <f>MIN('Parte4 '!I8:I37)</f>
        <v>0</v>
      </c>
      <c r="G45" s="1225"/>
    </row>
    <row r="46" spans="1:29" ht="13.5" customHeight="1">
      <c r="B46" s="1217" t="s">
        <v>315</v>
      </c>
      <c r="C46" s="1217"/>
      <c r="D46" s="1225">
        <f>MAX('Parte4 '!K8:K37)</f>
        <v>0</v>
      </c>
      <c r="E46" s="1225"/>
      <c r="F46" s="1225">
        <f>MIN('Parte4 '!L8:L37)</f>
        <v>0</v>
      </c>
      <c r="G46" s="1225"/>
    </row>
    <row r="47" spans="1:29" ht="13.5" customHeight="1">
      <c r="B47" s="1217" t="s">
        <v>316</v>
      </c>
      <c r="C47" s="1217"/>
      <c r="D47" s="1225">
        <f>MAX('Parte4 '!N8:N37)</f>
        <v>0</v>
      </c>
      <c r="E47" s="1225"/>
      <c r="F47" s="1225">
        <f>MIN('Parte4 '!O8:O37)</f>
        <v>0</v>
      </c>
      <c r="G47" s="1225"/>
    </row>
    <row r="48" spans="1:29" ht="13.5" customHeight="1">
      <c r="B48" s="1217" t="s">
        <v>317</v>
      </c>
      <c r="C48" s="1217"/>
      <c r="D48" s="1225">
        <f>MAX('Parte4 '!Q8:Q37)</f>
        <v>0</v>
      </c>
      <c r="E48" s="1225"/>
      <c r="F48" s="1225">
        <f>MIN('Parte4 '!R8:R37)</f>
        <v>0</v>
      </c>
      <c r="G48" s="1225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4" t="s">
        <v>298</v>
      </c>
      <c r="B1" s="1214"/>
      <c r="C1" s="1214"/>
      <c r="D1" s="1214"/>
      <c r="E1" s="1214"/>
      <c r="F1" s="1214"/>
      <c r="G1" s="1215" t="s">
        <v>206</v>
      </c>
      <c r="H1" s="1215"/>
      <c r="I1" s="1215"/>
      <c r="J1" s="1215"/>
      <c r="K1" s="1215"/>
      <c r="L1" s="1215"/>
      <c r="M1" s="1215"/>
      <c r="N1" s="1215"/>
      <c r="O1" s="1215"/>
      <c r="P1" s="1215"/>
      <c r="Q1" s="1215"/>
      <c r="R1" s="1215"/>
      <c r="S1" s="1215"/>
      <c r="T1" s="1215"/>
      <c r="U1" s="1215"/>
      <c r="V1" s="1226" t="s">
        <v>236</v>
      </c>
      <c r="W1" s="1226"/>
      <c r="X1" s="1226"/>
      <c r="Y1" s="1226"/>
    </row>
    <row r="2" spans="1:25" ht="18" customHeight="1">
      <c r="A2" s="1214"/>
      <c r="B2" s="1214"/>
      <c r="C2" s="1214"/>
      <c r="D2" s="1214"/>
      <c r="E2" s="1214"/>
      <c r="F2" s="1214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27">
        <f>'1'!$U$25</f>
        <v>44317</v>
      </c>
      <c r="W2" s="1227"/>
      <c r="X2" s="1227">
        <f>'1'!$U$25</f>
        <v>44317</v>
      </c>
      <c r="Y2" s="1227"/>
    </row>
    <row r="3" spans="1:25" ht="3" customHeight="1">
      <c r="A3" s="414"/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</row>
    <row r="4" spans="1:25" s="415" customFormat="1" ht="27.75" customHeight="1">
      <c r="A4" s="1143" t="s">
        <v>208</v>
      </c>
      <c r="B4" s="1208" t="s">
        <v>318</v>
      </c>
      <c r="C4" s="1208"/>
      <c r="D4" s="1208"/>
      <c r="E4" s="1208"/>
      <c r="F4" s="1208"/>
      <c r="G4" s="1208"/>
      <c r="H4" s="1208"/>
      <c r="I4" s="1208"/>
      <c r="J4" s="1208"/>
      <c r="K4" s="1208"/>
      <c r="L4" s="1208"/>
      <c r="M4" s="1208"/>
      <c r="N4" s="1208"/>
      <c r="O4" s="1208"/>
      <c r="P4" s="1208"/>
      <c r="Q4" s="1208"/>
      <c r="R4" s="1208"/>
      <c r="S4" s="1208"/>
      <c r="T4" s="1208"/>
      <c r="U4" s="1208"/>
      <c r="V4" s="1208"/>
      <c r="W4" s="1208"/>
      <c r="X4" s="1208"/>
      <c r="Y4" s="1208"/>
    </row>
    <row r="5" spans="1:25" ht="22.35" customHeight="1">
      <c r="A5" s="1143"/>
      <c r="B5" s="1209" t="s">
        <v>300</v>
      </c>
      <c r="C5" s="1209"/>
      <c r="D5" s="1209"/>
      <c r="E5" s="1209"/>
      <c r="F5" s="1209"/>
      <c r="G5" s="1209"/>
      <c r="H5" s="1209"/>
      <c r="I5" s="1209"/>
      <c r="J5" s="1209"/>
      <c r="K5" s="1209"/>
      <c r="L5" s="1209"/>
      <c r="M5" s="1209"/>
      <c r="N5" s="1209"/>
      <c r="O5" s="1209"/>
      <c r="P5" s="1209"/>
      <c r="Q5" s="1209"/>
      <c r="R5" s="1209"/>
      <c r="S5" s="1209"/>
      <c r="T5" s="1209"/>
      <c r="U5" s="1209"/>
      <c r="V5" s="1209"/>
      <c r="W5" s="1209"/>
      <c r="X5" s="1209"/>
      <c r="Y5" s="1209"/>
    </row>
    <row r="6" spans="1:25" ht="17.25" customHeight="1">
      <c r="A6" s="1143"/>
      <c r="B6" s="1210" t="s">
        <v>319</v>
      </c>
      <c r="C6" s="1210"/>
      <c r="D6" s="1210"/>
      <c r="E6" s="1211" t="s">
        <v>320</v>
      </c>
      <c r="F6" s="1211"/>
      <c r="G6" s="1211"/>
      <c r="H6" s="1211" t="s">
        <v>321</v>
      </c>
      <c r="I6" s="1211"/>
      <c r="J6" s="1211"/>
      <c r="K6" s="1211" t="s">
        <v>322</v>
      </c>
      <c r="L6" s="1211"/>
      <c r="M6" s="1211"/>
      <c r="N6" s="1211" t="s">
        <v>323</v>
      </c>
      <c r="O6" s="1211"/>
      <c r="P6" s="1211"/>
      <c r="Q6" s="1211" t="s">
        <v>324</v>
      </c>
      <c r="R6" s="1211"/>
      <c r="S6" s="1211"/>
      <c r="T6" s="1211" t="s">
        <v>325</v>
      </c>
      <c r="U6" s="1211"/>
      <c r="V6" s="1211"/>
      <c r="W6" s="1212" t="s">
        <v>326</v>
      </c>
      <c r="X6" s="1212"/>
      <c r="Y6" s="1212"/>
    </row>
    <row r="7" spans="1:25" ht="17.25" customHeight="1">
      <c r="A7" s="1143"/>
      <c r="B7" s="420" t="s">
        <v>216</v>
      </c>
      <c r="C7" s="418" t="s">
        <v>217</v>
      </c>
      <c r="D7" s="418" t="s">
        <v>218</v>
      </c>
      <c r="E7" s="418" t="s">
        <v>216</v>
      </c>
      <c r="F7" s="418" t="s">
        <v>217</v>
      </c>
      <c r="G7" s="418" t="s">
        <v>218</v>
      </c>
      <c r="H7" s="418" t="s">
        <v>216</v>
      </c>
      <c r="I7" s="418" t="s">
        <v>217</v>
      </c>
      <c r="J7" s="418" t="s">
        <v>218</v>
      </c>
      <c r="K7" s="418" t="s">
        <v>216</v>
      </c>
      <c r="L7" s="418" t="s">
        <v>217</v>
      </c>
      <c r="M7" s="418" t="s">
        <v>218</v>
      </c>
      <c r="N7" s="421" t="s">
        <v>216</v>
      </c>
      <c r="O7" s="421" t="s">
        <v>217</v>
      </c>
      <c r="P7" s="421" t="s">
        <v>218</v>
      </c>
      <c r="Q7" s="421" t="s">
        <v>216</v>
      </c>
      <c r="R7" s="421" t="s">
        <v>217</v>
      </c>
      <c r="S7" s="421" t="s">
        <v>218</v>
      </c>
      <c r="T7" s="421" t="s">
        <v>216</v>
      </c>
      <c r="U7" s="418" t="s">
        <v>217</v>
      </c>
      <c r="V7" s="418" t="s">
        <v>218</v>
      </c>
      <c r="W7" s="418" t="s">
        <v>216</v>
      </c>
      <c r="X7" s="418" t="s">
        <v>217</v>
      </c>
      <c r="Y7" s="422" t="s">
        <v>218</v>
      </c>
    </row>
    <row r="8" spans="1:25" ht="19.5" customHeight="1">
      <c r="A8" s="502">
        <v>1</v>
      </c>
      <c r="B8" s="606">
        <f>MAX('1'!$J$22:$J$23)</f>
        <v>0</v>
      </c>
      <c r="C8" s="607" t="e">
        <f>#VALUE!</f>
        <v>#VALUE!</v>
      </c>
      <c r="D8" s="607" t="e">
        <f>#VALUE!</f>
        <v>#VALUE!</v>
      </c>
      <c r="E8" s="607" t="e">
        <f>#VALUE!</f>
        <v>#VALUE!</v>
      </c>
      <c r="F8" s="607" t="e">
        <f>#VALUE!</f>
        <v>#VALUE!</v>
      </c>
      <c r="G8" s="607" t="e">
        <f>#VALUE!</f>
        <v>#VALUE!</v>
      </c>
      <c r="H8" s="607" t="e">
        <f>#VALUE!</f>
        <v>#VALUE!</v>
      </c>
      <c r="I8" s="607" t="e">
        <f>#VALUE!</f>
        <v>#VALUE!</v>
      </c>
      <c r="J8" s="607" t="e">
        <f>#VALUE!</f>
        <v>#VALUE!</v>
      </c>
      <c r="K8" s="607" t="e">
        <f>#VALUE!</f>
        <v>#VALUE!</v>
      </c>
      <c r="L8" s="607" t="e">
        <f>#VALUE!</f>
        <v>#VALUE!</v>
      </c>
      <c r="M8" s="607" t="e">
        <f>#VALUE!</f>
        <v>#VALUE!</v>
      </c>
      <c r="N8" s="607" t="e">
        <f>#VALUE!</f>
        <v>#VALUE!</v>
      </c>
      <c r="O8" s="607" t="e">
        <f>#VALUE!</f>
        <v>#VALUE!</v>
      </c>
      <c r="P8" s="607" t="e">
        <f>#VALUE!</f>
        <v>#VALUE!</v>
      </c>
      <c r="Q8" s="607" t="e">
        <f>#VALUE!</f>
        <v>#VALUE!</v>
      </c>
      <c r="R8" s="607" t="e">
        <f>#VALUE!</f>
        <v>#VALUE!</v>
      </c>
      <c r="S8" s="607" t="e">
        <f>#VALUE!</f>
        <v>#VALUE!</v>
      </c>
      <c r="T8" s="607" t="e">
        <f>#VALUE!</f>
        <v>#VALUE!</v>
      </c>
      <c r="U8" s="607" t="e">
        <f>#VALUE!</f>
        <v>#VALUE!</v>
      </c>
      <c r="V8" s="607" t="e">
        <f>#VALUE!</f>
        <v>#VALUE!</v>
      </c>
      <c r="W8" s="607" t="e">
        <f>#VALUE!</f>
        <v>#VALUE!</v>
      </c>
      <c r="X8" s="607" t="e">
        <f>#VALUE!</f>
        <v>#VALUE!</v>
      </c>
      <c r="Y8" s="607" t="e">
        <f>#VALUE!</f>
        <v>#VALUE!</v>
      </c>
    </row>
    <row r="9" spans="1:25" ht="19.5" customHeight="1">
      <c r="A9" s="508">
        <v>2</v>
      </c>
      <c r="B9" s="612" t="e">
        <f>#VALUE!</f>
        <v>#VALUE!</v>
      </c>
      <c r="C9" s="443" t="e">
        <f>#VALUE!</f>
        <v>#VALUE!</v>
      </c>
      <c r="D9" s="443" t="e">
        <f>#VALUE!</f>
        <v>#VALUE!</v>
      </c>
      <c r="E9" s="443" t="e">
        <f>#VALUE!</f>
        <v>#VALUE!</v>
      </c>
      <c r="F9" s="443" t="e">
        <f>#VALUE!</f>
        <v>#VALUE!</v>
      </c>
      <c r="G9" s="443" t="e">
        <f>#VALUE!</f>
        <v>#VALUE!</v>
      </c>
      <c r="H9" s="443" t="e">
        <f>#VALUE!</f>
        <v>#VALUE!</v>
      </c>
      <c r="I9" s="443" t="e">
        <f>#VALUE!</f>
        <v>#VALUE!</v>
      </c>
      <c r="J9" s="443" t="e">
        <f>#VALUE!</f>
        <v>#VALUE!</v>
      </c>
      <c r="K9" s="443" t="e">
        <f>#VALUE!</f>
        <v>#VALUE!</v>
      </c>
      <c r="L9" s="443" t="e">
        <f>#VALUE!</f>
        <v>#VALUE!</v>
      </c>
      <c r="M9" s="443" t="e">
        <f>#VALUE!</f>
        <v>#VALUE!</v>
      </c>
      <c r="N9" s="443" t="e">
        <f>#VALUE!</f>
        <v>#VALUE!</v>
      </c>
      <c r="O9" s="443" t="e">
        <f>#VALUE!</f>
        <v>#VALUE!</v>
      </c>
      <c r="P9" s="443" t="e">
        <f>#VALUE!</f>
        <v>#VALUE!</v>
      </c>
      <c r="Q9" s="443" t="e">
        <f>#VALUE!</f>
        <v>#VALUE!</v>
      </c>
      <c r="R9" s="443" t="e">
        <f>#VALUE!</f>
        <v>#VALUE!</v>
      </c>
      <c r="S9" s="443" t="e">
        <f>#VALUE!</f>
        <v>#VALUE!</v>
      </c>
      <c r="T9" s="443" t="e">
        <f>#VALUE!</f>
        <v>#VALUE!</v>
      </c>
      <c r="U9" s="443" t="e">
        <f>#VALUE!</f>
        <v>#VALUE!</v>
      </c>
      <c r="V9" s="443" t="e">
        <f>#VALUE!</f>
        <v>#VALUE!</v>
      </c>
      <c r="W9" s="443" t="e">
        <f>#VALUE!</f>
        <v>#VALUE!</v>
      </c>
      <c r="X9" s="443" t="e">
        <f>#VALUE!</f>
        <v>#VALUE!</v>
      </c>
      <c r="Y9" s="443" t="e">
        <f>#VALUE!</f>
        <v>#VALUE!</v>
      </c>
    </row>
    <row r="10" spans="1:25" ht="19.5" customHeight="1">
      <c r="A10" s="508">
        <v>3</v>
      </c>
      <c r="B10" s="612">
        <f>MAX('3'!$J$25)</f>
        <v>0</v>
      </c>
      <c r="C10" s="443">
        <f>MIN('3'!$J$26)</f>
        <v>0</v>
      </c>
      <c r="D10" s="443">
        <f>MIN('3'!$J$26)</f>
        <v>0</v>
      </c>
      <c r="E10" s="443" t="e">
        <f>#VALUE!</f>
        <v>#VALUE!</v>
      </c>
      <c r="F10" s="443" t="e">
        <f>#VALUE!</f>
        <v>#VALUE!</v>
      </c>
      <c r="G10" s="443" t="e">
        <f>#VALUE!</f>
        <v>#VALUE!</v>
      </c>
      <c r="H10" s="443" t="e">
        <f>#VALUE!</f>
        <v>#VALUE!</v>
      </c>
      <c r="I10" s="443" t="e">
        <f>#VALUE!</f>
        <v>#VALUE!</v>
      </c>
      <c r="J10" s="443" t="e">
        <f>#VALUE!</f>
        <v>#VALUE!</v>
      </c>
      <c r="K10" s="443" t="e">
        <f>#VALUE!</f>
        <v>#VALUE!</v>
      </c>
      <c r="L10" s="443" t="e">
        <f>#VALUE!</f>
        <v>#VALUE!</v>
      </c>
      <c r="M10" s="443" t="e">
        <f>#VALUE!</f>
        <v>#VALUE!</v>
      </c>
      <c r="N10" s="443" t="e">
        <f>#VALUE!</f>
        <v>#VALUE!</v>
      </c>
      <c r="O10" s="443" t="e">
        <f>#VALUE!</f>
        <v>#VALUE!</v>
      </c>
      <c r="P10" s="443" t="e">
        <f>#VALUE!</f>
        <v>#VALUE!</v>
      </c>
      <c r="Q10" s="443" t="e">
        <f>#VALUE!</f>
        <v>#VALUE!</v>
      </c>
      <c r="R10" s="443" t="e">
        <f>#VALUE!</f>
        <v>#VALUE!</v>
      </c>
      <c r="S10" s="443" t="e">
        <f>#VALUE!</f>
        <v>#VALUE!</v>
      </c>
      <c r="T10" s="443" t="e">
        <f>#VALUE!</f>
        <v>#VALUE!</v>
      </c>
      <c r="U10" s="443" t="e">
        <f>#VALUE!</f>
        <v>#VALUE!</v>
      </c>
      <c r="V10" s="443" t="e">
        <f>#VALUE!</f>
        <v>#VALUE!</v>
      </c>
      <c r="W10" s="443" t="e">
        <f>#VALUE!</f>
        <v>#VALUE!</v>
      </c>
      <c r="X10" s="443" t="e">
        <f>#VALUE!</f>
        <v>#VALUE!</v>
      </c>
      <c r="Y10" s="443" t="e">
        <f>#VALUE!</f>
        <v>#VALUE!</v>
      </c>
    </row>
    <row r="11" spans="1:25" ht="19.5" customHeight="1">
      <c r="A11" s="508">
        <v>4</v>
      </c>
      <c r="B11" s="612" t="e">
        <f>#VALUE!</f>
        <v>#VALUE!</v>
      </c>
      <c r="C11" s="443" t="e">
        <f>#VALUE!</f>
        <v>#VALUE!</v>
      </c>
      <c r="D11" s="443" t="e">
        <f>#VALUE!</f>
        <v>#VALUE!</v>
      </c>
      <c r="E11" s="443" t="e">
        <f>#VALUE!</f>
        <v>#VALUE!</v>
      </c>
      <c r="F11" s="443" t="e">
        <f>#VALUE!</f>
        <v>#VALUE!</v>
      </c>
      <c r="G11" s="443" t="e">
        <f>#VALUE!</f>
        <v>#VALUE!</v>
      </c>
      <c r="H11" s="443" t="e">
        <f>#VALUE!</f>
        <v>#VALUE!</v>
      </c>
      <c r="I11" s="443" t="e">
        <f>#VALUE!</f>
        <v>#VALUE!</v>
      </c>
      <c r="J11" s="443" t="e">
        <f>#VALUE!</f>
        <v>#VALUE!</v>
      </c>
      <c r="K11" s="443" t="e">
        <f>#VALUE!</f>
        <v>#VALUE!</v>
      </c>
      <c r="L11" s="443" t="e">
        <f>#VALUE!</f>
        <v>#VALUE!</v>
      </c>
      <c r="M11" s="443" t="e">
        <f>#VALUE!</f>
        <v>#VALUE!</v>
      </c>
      <c r="N11" s="443" t="e">
        <f>#VALUE!</f>
        <v>#VALUE!</v>
      </c>
      <c r="O11" s="443" t="e">
        <f>#VALUE!</f>
        <v>#VALUE!</v>
      </c>
      <c r="P11" s="443" t="e">
        <f>#VALUE!</f>
        <v>#VALUE!</v>
      </c>
      <c r="Q11" s="443" t="e">
        <f>#VALUE!</f>
        <v>#VALUE!</v>
      </c>
      <c r="R11" s="443" t="e">
        <f>#VALUE!</f>
        <v>#VALUE!</v>
      </c>
      <c r="S11" s="443" t="e">
        <f>#VALUE!</f>
        <v>#VALUE!</v>
      </c>
      <c r="T11" s="443" t="e">
        <f>#VALUE!</f>
        <v>#VALUE!</v>
      </c>
      <c r="U11" s="443" t="e">
        <f>#VALUE!</f>
        <v>#VALUE!</v>
      </c>
      <c r="V11" s="443" t="e">
        <f>#VALUE!</f>
        <v>#VALUE!</v>
      </c>
      <c r="W11" s="443" t="e">
        <f>#VALUE!</f>
        <v>#VALUE!</v>
      </c>
      <c r="X11" s="443" t="e">
        <f>#VALUE!</f>
        <v>#VALUE!</v>
      </c>
      <c r="Y11" s="443" t="e">
        <f>#VALUE!</f>
        <v>#VALUE!</v>
      </c>
    </row>
    <row r="12" spans="1:25" ht="19.5" customHeight="1">
      <c r="A12" s="508">
        <v>5</v>
      </c>
      <c r="B12" s="437" t="e">
        <f>#VALUE!</f>
        <v>#VALUE!</v>
      </c>
      <c r="C12" s="426" t="e">
        <f>#VALUE!</f>
        <v>#VALUE!</v>
      </c>
      <c r="D12" s="426" t="e">
        <f>#VALUE!</f>
        <v>#VALUE!</v>
      </c>
      <c r="E12" s="426" t="e">
        <f>#VALUE!</f>
        <v>#VALUE!</v>
      </c>
      <c r="F12" s="426" t="e">
        <f>#VALUE!</f>
        <v>#VALUE!</v>
      </c>
      <c r="G12" s="426" t="e">
        <f>#VALUE!</f>
        <v>#VALUE!</v>
      </c>
      <c r="H12" s="426" t="e">
        <f>#VALUE!</f>
        <v>#VALUE!</v>
      </c>
      <c r="I12" s="426" t="e">
        <f>#VALUE!</f>
        <v>#VALUE!</v>
      </c>
      <c r="J12" s="426" t="e">
        <f>#VALUE!</f>
        <v>#VALUE!</v>
      </c>
      <c r="K12" s="426" t="e">
        <f>#VALUE!</f>
        <v>#VALUE!</v>
      </c>
      <c r="L12" s="426" t="e">
        <f>#VALUE!</f>
        <v>#VALUE!</v>
      </c>
      <c r="M12" s="426" t="e">
        <f>#VALUE!</f>
        <v>#VALUE!</v>
      </c>
      <c r="N12" s="426" t="e">
        <f>#VALUE!</f>
        <v>#VALUE!</v>
      </c>
      <c r="O12" s="426" t="e">
        <f>#VALUE!</f>
        <v>#VALUE!</v>
      </c>
      <c r="P12" s="426" t="e">
        <f>#VALUE!</f>
        <v>#VALUE!</v>
      </c>
      <c r="Q12" s="426" t="e">
        <f>#VALUE!</f>
        <v>#VALUE!</v>
      </c>
      <c r="R12" s="426" t="e">
        <f>#VALUE!</f>
        <v>#VALUE!</v>
      </c>
      <c r="S12" s="426" t="e">
        <f>#VALUE!</f>
        <v>#VALUE!</v>
      </c>
      <c r="T12" s="426" t="e">
        <f>#VALUE!</f>
        <v>#VALUE!</v>
      </c>
      <c r="U12" s="426" t="e">
        <f>#VALUE!</f>
        <v>#VALUE!</v>
      </c>
      <c r="V12" s="426" t="e">
        <f>#VALUE!</f>
        <v>#VALUE!</v>
      </c>
      <c r="W12" s="426" t="e">
        <f>#VALUE!</f>
        <v>#VALUE!</v>
      </c>
      <c r="X12" s="443" t="e">
        <f>#VALUE!</f>
        <v>#VALUE!</v>
      </c>
      <c r="Y12" s="443" t="e">
        <f>#VALUE!</f>
        <v>#VALUE!</v>
      </c>
    </row>
    <row r="13" spans="1:25" ht="19.5" customHeight="1">
      <c r="A13" s="508">
        <v>6</v>
      </c>
      <c r="B13" s="437" t="e">
        <f>#VALUE!</f>
        <v>#VALUE!</v>
      </c>
      <c r="C13" s="426" t="e">
        <f>#VALUE!</f>
        <v>#VALUE!</v>
      </c>
      <c r="D13" s="426" t="e">
        <f>#VALUE!</f>
        <v>#VALUE!</v>
      </c>
      <c r="E13" s="426" t="e">
        <f>#VALUE!</f>
        <v>#VALUE!</v>
      </c>
      <c r="F13" s="426" t="e">
        <f>#VALUE!</f>
        <v>#VALUE!</v>
      </c>
      <c r="G13" s="426" t="e">
        <f>#VALUE!</f>
        <v>#VALUE!</v>
      </c>
      <c r="H13" s="426" t="e">
        <f>#VALUE!</f>
        <v>#VALUE!</v>
      </c>
      <c r="I13" s="426" t="e">
        <f>#VALUE!</f>
        <v>#VALUE!</v>
      </c>
      <c r="J13" s="426" t="e">
        <f>#VALUE!</f>
        <v>#VALUE!</v>
      </c>
      <c r="K13" s="426" t="e">
        <f>#VALUE!</f>
        <v>#VALUE!</v>
      </c>
      <c r="L13" s="426" t="e">
        <f>#VALUE!</f>
        <v>#VALUE!</v>
      </c>
      <c r="M13" s="426" t="e">
        <f>#VALUE!</f>
        <v>#VALUE!</v>
      </c>
      <c r="N13" s="426" t="e">
        <f>#VALUE!</f>
        <v>#VALUE!</v>
      </c>
      <c r="O13" s="426" t="e">
        <f>#VALUE!</f>
        <v>#VALUE!</v>
      </c>
      <c r="P13" s="426" t="e">
        <f>#VALUE!</f>
        <v>#VALUE!</v>
      </c>
      <c r="Q13" s="426" t="e">
        <f>#VALUE!</f>
        <v>#VALUE!</v>
      </c>
      <c r="R13" s="426" t="e">
        <f>#VALUE!</f>
        <v>#VALUE!</v>
      </c>
      <c r="S13" s="426" t="e">
        <f>#VALUE!</f>
        <v>#VALUE!</v>
      </c>
      <c r="T13" s="426" t="e">
        <f>#VALUE!</f>
        <v>#VALUE!</v>
      </c>
      <c r="U13" s="426" t="e">
        <f>#VALUE!</f>
        <v>#VALUE!</v>
      </c>
      <c r="V13" s="426" t="e">
        <f>#VALUE!</f>
        <v>#VALUE!</v>
      </c>
      <c r="W13" s="426" t="e">
        <f>#VALUE!</f>
        <v>#VALUE!</v>
      </c>
      <c r="X13" s="426" t="e">
        <f>#VALUE!</f>
        <v>#VALUE!</v>
      </c>
      <c r="Y13" s="426" t="e">
        <f>#VALUE!</f>
        <v>#VALUE!</v>
      </c>
    </row>
    <row r="14" spans="1:25" ht="19.5" customHeight="1">
      <c r="A14" s="508">
        <v>7</v>
      </c>
      <c r="B14" s="612" t="e">
        <f>#VALUE!</f>
        <v>#VALUE!</v>
      </c>
      <c r="C14" s="443" t="e">
        <f>#VALUE!</f>
        <v>#VALUE!</v>
      </c>
      <c r="D14" s="443" t="e">
        <f>#VALUE!</f>
        <v>#VALUE!</v>
      </c>
      <c r="E14" s="426" t="e">
        <f>#VALUE!</f>
        <v>#VALUE!</v>
      </c>
      <c r="F14" s="426" t="e">
        <f>#VALUE!</f>
        <v>#VALUE!</v>
      </c>
      <c r="G14" s="426" t="e">
        <f>#VALUE!</f>
        <v>#VALUE!</v>
      </c>
      <c r="H14" s="443" t="e">
        <f>#VALUE!</f>
        <v>#VALUE!</v>
      </c>
      <c r="I14" s="443" t="e">
        <f>#VALUE!</f>
        <v>#VALUE!</v>
      </c>
      <c r="J14" s="443" t="e">
        <f>#VALUE!</f>
        <v>#VALUE!</v>
      </c>
      <c r="K14" s="426" t="e">
        <f>#VALUE!</f>
        <v>#VALUE!</v>
      </c>
      <c r="L14" s="426" t="e">
        <f>#VALUE!</f>
        <v>#VALUE!</v>
      </c>
      <c r="M14" s="426" t="e">
        <f>#VALUE!</f>
        <v>#VALUE!</v>
      </c>
      <c r="N14" s="426" t="e">
        <f>#VALUE!</f>
        <v>#VALUE!</v>
      </c>
      <c r="O14" s="426" t="e">
        <f>#VALUE!</f>
        <v>#VALUE!</v>
      </c>
      <c r="P14" s="426" t="e">
        <f>#VALUE!</f>
        <v>#VALUE!</v>
      </c>
      <c r="Q14" s="426" t="e">
        <f>#VALUE!</f>
        <v>#VALUE!</v>
      </c>
      <c r="R14" s="426" t="e">
        <f>#VALUE!</f>
        <v>#VALUE!</v>
      </c>
      <c r="S14" s="426" t="e">
        <f>#VALUE!</f>
        <v>#VALUE!</v>
      </c>
      <c r="T14" s="426" t="e">
        <f>#VALUE!</f>
        <v>#VALUE!</v>
      </c>
      <c r="U14" s="426" t="e">
        <f>#VALUE!</f>
        <v>#VALUE!</v>
      </c>
      <c r="V14" s="426" t="e">
        <f>#VALUE!</f>
        <v>#VALUE!</v>
      </c>
      <c r="W14" s="426" t="e">
        <f>#VALUE!</f>
        <v>#VALUE!</v>
      </c>
      <c r="X14" s="426" t="e">
        <f>#VALUE!</f>
        <v>#VALUE!</v>
      </c>
      <c r="Y14" s="426" t="e">
        <f>#VALUE!</f>
        <v>#VALUE!</v>
      </c>
    </row>
    <row r="15" spans="1:25" ht="19.5" customHeight="1">
      <c r="A15" s="508">
        <v>8</v>
      </c>
      <c r="B15" s="437" t="e">
        <f>#VALUE!</f>
        <v>#VALUE!</v>
      </c>
      <c r="C15" s="426" t="e">
        <f>#VALUE!</f>
        <v>#VALUE!</v>
      </c>
      <c r="D15" s="426" t="e">
        <f>#VALUE!</f>
        <v>#VALUE!</v>
      </c>
      <c r="E15" s="426" t="e">
        <f>#VALUE!</f>
        <v>#VALUE!</v>
      </c>
      <c r="F15" s="426" t="e">
        <f>#VALUE!</f>
        <v>#VALUE!</v>
      </c>
      <c r="G15" s="426" t="e">
        <f>#VALUE!</f>
        <v>#VALUE!</v>
      </c>
      <c r="H15" s="426" t="e">
        <f>#VALUE!</f>
        <v>#VALUE!</v>
      </c>
      <c r="I15" s="426" t="e">
        <f>#VALUE!</f>
        <v>#VALUE!</v>
      </c>
      <c r="J15" s="426" t="e">
        <f>#VALUE!</f>
        <v>#VALUE!</v>
      </c>
      <c r="K15" s="426" t="e">
        <f>#VALUE!</f>
        <v>#VALUE!</v>
      </c>
      <c r="L15" s="426" t="e">
        <f>#VALUE!</f>
        <v>#VALUE!</v>
      </c>
      <c r="M15" s="426" t="e">
        <f>#VALUE!</f>
        <v>#VALUE!</v>
      </c>
      <c r="N15" s="426" t="e">
        <f>#VALUE!</f>
        <v>#VALUE!</v>
      </c>
      <c r="O15" s="426" t="e">
        <f>#VALUE!</f>
        <v>#VALUE!</v>
      </c>
      <c r="P15" s="426" t="e">
        <f>#VALUE!</f>
        <v>#VALUE!</v>
      </c>
      <c r="Q15" s="426" t="e">
        <f>#VALUE!</f>
        <v>#VALUE!</v>
      </c>
      <c r="R15" s="426" t="e">
        <f>#VALUE!</f>
        <v>#VALUE!</v>
      </c>
      <c r="S15" s="426" t="e">
        <f>#VALUE!</f>
        <v>#VALUE!</v>
      </c>
      <c r="T15" s="426" t="e">
        <f>#VALUE!</f>
        <v>#VALUE!</v>
      </c>
      <c r="U15" s="426" t="e">
        <f>#VALUE!</f>
        <v>#VALUE!</v>
      </c>
      <c r="V15" s="426" t="e">
        <f>#VALUE!</f>
        <v>#VALUE!</v>
      </c>
      <c r="W15" s="426" t="e">
        <f>#VALUE!</f>
        <v>#VALUE!</v>
      </c>
      <c r="X15" s="426" t="e">
        <f>#VALUE!</f>
        <v>#VALUE!</v>
      </c>
      <c r="Y15" s="426" t="e">
        <f>#VALUE!</f>
        <v>#VALUE!</v>
      </c>
    </row>
    <row r="16" spans="1:25" ht="19.5" customHeight="1">
      <c r="A16" s="508">
        <v>9</v>
      </c>
      <c r="B16" s="437" t="e">
        <f>#VALUE!</f>
        <v>#VALUE!</v>
      </c>
      <c r="C16" s="426" t="e">
        <f>#VALUE!</f>
        <v>#VALUE!</v>
      </c>
      <c r="D16" s="426" t="e">
        <f>#VALUE!</f>
        <v>#VALUE!</v>
      </c>
      <c r="E16" s="426" t="e">
        <f>#VALUE!</f>
        <v>#VALUE!</v>
      </c>
      <c r="F16" s="426" t="e">
        <f>#VALUE!</f>
        <v>#VALUE!</v>
      </c>
      <c r="G16" s="426" t="e">
        <f>#VALUE!</f>
        <v>#VALUE!</v>
      </c>
      <c r="H16" s="426" t="e">
        <f>#VALUE!</f>
        <v>#VALUE!</v>
      </c>
      <c r="I16" s="426" t="e">
        <f>#VALUE!</f>
        <v>#VALUE!</v>
      </c>
      <c r="J16" s="426" t="e">
        <f>#VALUE!</f>
        <v>#VALUE!</v>
      </c>
      <c r="K16" s="426" t="e">
        <f>#VALUE!</f>
        <v>#VALUE!</v>
      </c>
      <c r="L16" s="426" t="e">
        <f>#VALUE!</f>
        <v>#VALUE!</v>
      </c>
      <c r="M16" s="426" t="e">
        <f>#VALUE!</f>
        <v>#VALUE!</v>
      </c>
      <c r="N16" s="426" t="e">
        <f>#VALUE!</f>
        <v>#VALUE!</v>
      </c>
      <c r="O16" s="426" t="e">
        <f>#VALUE!</f>
        <v>#VALUE!</v>
      </c>
      <c r="P16" s="426" t="e">
        <f>#VALUE!</f>
        <v>#VALUE!</v>
      </c>
      <c r="Q16" s="426" t="e">
        <f>#VALUE!</f>
        <v>#VALUE!</v>
      </c>
      <c r="R16" s="426" t="e">
        <f>#VALUE!</f>
        <v>#VALUE!</v>
      </c>
      <c r="S16" s="426" t="e">
        <f>#VALUE!</f>
        <v>#VALUE!</v>
      </c>
      <c r="T16" s="426" t="e">
        <f>#VALUE!</f>
        <v>#VALUE!</v>
      </c>
      <c r="U16" s="426" t="e">
        <f>#VALUE!</f>
        <v>#VALUE!</v>
      </c>
      <c r="V16" s="426" t="e">
        <f>#VALUE!</f>
        <v>#VALUE!</v>
      </c>
      <c r="W16" s="426" t="e">
        <f>#VALUE!</f>
        <v>#VALUE!</v>
      </c>
      <c r="X16" s="426" t="e">
        <f>#VALUE!</f>
        <v>#VALUE!</v>
      </c>
      <c r="Y16" s="426" t="e">
        <f>#VALUE!</f>
        <v>#VALUE!</v>
      </c>
    </row>
    <row r="17" spans="1:25" ht="19.5" customHeight="1">
      <c r="A17" s="508">
        <v>10</v>
      </c>
      <c r="B17" s="437" t="e">
        <f>#VALUE!</f>
        <v>#VALUE!</v>
      </c>
      <c r="C17" s="426" t="e">
        <f>#VALUE!</f>
        <v>#VALUE!</v>
      </c>
      <c r="D17" s="426" t="e">
        <f>#VALUE!</f>
        <v>#VALUE!</v>
      </c>
      <c r="E17" s="426" t="e">
        <f>#VALUE!</f>
        <v>#VALUE!</v>
      </c>
      <c r="F17" s="426" t="e">
        <f>#VALUE!</f>
        <v>#VALUE!</v>
      </c>
      <c r="G17" s="426" t="e">
        <f>#VALUE!</f>
        <v>#VALUE!</v>
      </c>
      <c r="H17" s="426" t="e">
        <f>#VALUE!</f>
        <v>#VALUE!</v>
      </c>
      <c r="I17" s="426" t="e">
        <f>#VALUE!</f>
        <v>#VALUE!</v>
      </c>
      <c r="J17" s="426" t="e">
        <f>#VALUE!</f>
        <v>#VALUE!</v>
      </c>
      <c r="K17" s="426" t="e">
        <f>#VALUE!</f>
        <v>#VALUE!</v>
      </c>
      <c r="L17" s="426" t="e">
        <f>#VALUE!</f>
        <v>#VALUE!</v>
      </c>
      <c r="M17" s="426" t="e">
        <f>#VALUE!</f>
        <v>#VALUE!</v>
      </c>
      <c r="N17" s="426" t="e">
        <f>#VALUE!</f>
        <v>#VALUE!</v>
      </c>
      <c r="O17" s="426" t="e">
        <f>#VALUE!</f>
        <v>#VALUE!</v>
      </c>
      <c r="P17" s="426" t="e">
        <f>#VALUE!</f>
        <v>#VALUE!</v>
      </c>
      <c r="Q17" s="426" t="e">
        <f>#VALUE!</f>
        <v>#VALUE!</v>
      </c>
      <c r="R17" s="426" t="e">
        <f>#VALUE!</f>
        <v>#VALUE!</v>
      </c>
      <c r="S17" s="426" t="e">
        <f>#VALUE!</f>
        <v>#VALUE!</v>
      </c>
      <c r="T17" s="426" t="e">
        <f>#VALUE!</f>
        <v>#VALUE!</v>
      </c>
      <c r="U17" s="426" t="e">
        <f>#VALUE!</f>
        <v>#VALUE!</v>
      </c>
      <c r="V17" s="426" t="e">
        <f>#VALUE!</f>
        <v>#VALUE!</v>
      </c>
      <c r="W17" s="426" t="e">
        <f>#VALUE!</f>
        <v>#VALUE!</v>
      </c>
      <c r="X17" s="426" t="e">
        <f>#VALUE!</f>
        <v>#VALUE!</v>
      </c>
      <c r="Y17" s="426" t="e">
        <f>#VALUE!</f>
        <v>#VALUE!</v>
      </c>
    </row>
    <row r="18" spans="1:25" ht="19.5" customHeight="1">
      <c r="A18" s="508">
        <v>11</v>
      </c>
      <c r="B18" s="437" t="e">
        <f>#VALUE!</f>
        <v>#VALUE!</v>
      </c>
      <c r="C18" s="426" t="e">
        <f>#VALUE!</f>
        <v>#VALUE!</v>
      </c>
      <c r="D18" s="426" t="e">
        <f>#VALUE!</f>
        <v>#VALUE!</v>
      </c>
      <c r="E18" s="426" t="e">
        <f>#VALUE!</f>
        <v>#VALUE!</v>
      </c>
      <c r="F18" s="426" t="e">
        <f>#VALUE!</f>
        <v>#VALUE!</v>
      </c>
      <c r="G18" s="426" t="e">
        <f>#VALUE!</f>
        <v>#VALUE!</v>
      </c>
      <c r="H18" s="426" t="e">
        <f>#VALUE!</f>
        <v>#VALUE!</v>
      </c>
      <c r="I18" s="426" t="e">
        <f>#VALUE!</f>
        <v>#VALUE!</v>
      </c>
      <c r="J18" s="426" t="e">
        <f>#VALUE!</f>
        <v>#VALUE!</v>
      </c>
      <c r="K18" s="426" t="e">
        <f>#VALUE!</f>
        <v>#VALUE!</v>
      </c>
      <c r="L18" s="426" t="e">
        <f>#VALUE!</f>
        <v>#VALUE!</v>
      </c>
      <c r="M18" s="426" t="e">
        <f>#VALUE!</f>
        <v>#VALUE!</v>
      </c>
      <c r="N18" s="426" t="e">
        <f>#VALUE!</f>
        <v>#VALUE!</v>
      </c>
      <c r="O18" s="426" t="e">
        <f>#VALUE!</f>
        <v>#VALUE!</v>
      </c>
      <c r="P18" s="426" t="e">
        <f>#VALUE!</f>
        <v>#VALUE!</v>
      </c>
      <c r="Q18" s="426" t="e">
        <f>#VALUE!</f>
        <v>#VALUE!</v>
      </c>
      <c r="R18" s="426" t="e">
        <f>#VALUE!</f>
        <v>#VALUE!</v>
      </c>
      <c r="S18" s="426" t="e">
        <f>#VALUE!</f>
        <v>#VALUE!</v>
      </c>
      <c r="T18" s="426" t="e">
        <f>#VALUE!</f>
        <v>#VALUE!</v>
      </c>
      <c r="U18" s="426" t="e">
        <f>#VALUE!</f>
        <v>#VALUE!</v>
      </c>
      <c r="V18" s="426" t="e">
        <f>#VALUE!</f>
        <v>#VALUE!</v>
      </c>
      <c r="W18" s="426" t="e">
        <f>#VALUE!</f>
        <v>#VALUE!</v>
      </c>
      <c r="X18" s="426" t="e">
        <f>#VALUE!</f>
        <v>#VALUE!</v>
      </c>
      <c r="Y18" s="426" t="e">
        <f>#VALUE!</f>
        <v>#VALUE!</v>
      </c>
    </row>
    <row r="19" spans="1:25" ht="19.5" customHeight="1">
      <c r="A19" s="508">
        <v>12</v>
      </c>
      <c r="B19" s="437" t="e">
        <f>#VALUE!</f>
        <v>#VALUE!</v>
      </c>
      <c r="C19" s="426" t="e">
        <f>#VALUE!</f>
        <v>#VALUE!</v>
      </c>
      <c r="D19" s="426" t="e">
        <f>#VALUE!</f>
        <v>#VALUE!</v>
      </c>
      <c r="E19" s="426" t="e">
        <f>#VALUE!</f>
        <v>#VALUE!</v>
      </c>
      <c r="F19" s="426" t="e">
        <f>#VALUE!</f>
        <v>#VALUE!</v>
      </c>
      <c r="G19" s="426" t="e">
        <f>#VALUE!</f>
        <v>#VALUE!</v>
      </c>
      <c r="H19" s="426" t="e">
        <f>#VALUE!</f>
        <v>#VALUE!</v>
      </c>
      <c r="I19" s="426" t="e">
        <f>#VALUE!</f>
        <v>#VALUE!</v>
      </c>
      <c r="J19" s="426" t="e">
        <f>#VALUE!</f>
        <v>#VALUE!</v>
      </c>
      <c r="K19" s="426" t="e">
        <f>#VALUE!</f>
        <v>#VALUE!</v>
      </c>
      <c r="L19" s="426" t="e">
        <f>#VALUE!</f>
        <v>#VALUE!</v>
      </c>
      <c r="M19" s="426" t="e">
        <f>#VALUE!</f>
        <v>#VALUE!</v>
      </c>
      <c r="N19" s="426" t="e">
        <f>#VALUE!</f>
        <v>#VALUE!</v>
      </c>
      <c r="O19" s="426" t="e">
        <f>#VALUE!</f>
        <v>#VALUE!</v>
      </c>
      <c r="P19" s="426" t="e">
        <f>#VALUE!</f>
        <v>#VALUE!</v>
      </c>
      <c r="Q19" s="426" t="e">
        <f>#VALUE!</f>
        <v>#VALUE!</v>
      </c>
      <c r="R19" s="426" t="e">
        <f>#VALUE!</f>
        <v>#VALUE!</v>
      </c>
      <c r="S19" s="426" t="e">
        <f>#VALUE!</f>
        <v>#VALUE!</v>
      </c>
      <c r="T19" s="426" t="e">
        <f>#VALUE!</f>
        <v>#VALUE!</v>
      </c>
      <c r="U19" s="426" t="e">
        <f>#VALUE!</f>
        <v>#VALUE!</v>
      </c>
      <c r="V19" s="426" t="e">
        <f>#VALUE!</f>
        <v>#VALUE!</v>
      </c>
      <c r="W19" s="426" t="e">
        <f>#VALUE!</f>
        <v>#VALUE!</v>
      </c>
      <c r="X19" s="426" t="e">
        <f>#VALUE!</f>
        <v>#VALUE!</v>
      </c>
      <c r="Y19" s="426" t="e">
        <f>#VALUE!</f>
        <v>#VALUE!</v>
      </c>
    </row>
    <row r="20" spans="1:25" ht="19.5" customHeight="1">
      <c r="A20" s="508">
        <v>13</v>
      </c>
      <c r="B20" s="437" t="e">
        <f>#VALUE!</f>
        <v>#VALUE!</v>
      </c>
      <c r="C20" s="426" t="e">
        <f>#VALUE!</f>
        <v>#VALUE!</v>
      </c>
      <c r="D20" s="426" t="e">
        <f>#VALUE!</f>
        <v>#VALUE!</v>
      </c>
      <c r="E20" s="426" t="e">
        <f>#VALUE!</f>
        <v>#VALUE!</v>
      </c>
      <c r="F20" s="426" t="e">
        <f>#VALUE!</f>
        <v>#VALUE!</v>
      </c>
      <c r="G20" s="426" t="e">
        <f>#VALUE!</f>
        <v>#VALUE!</v>
      </c>
      <c r="H20" s="426" t="e">
        <f>#VALUE!</f>
        <v>#VALUE!</v>
      </c>
      <c r="I20" s="426" t="e">
        <f>#VALUE!</f>
        <v>#VALUE!</v>
      </c>
      <c r="J20" s="426" t="e">
        <f>#VALUE!</f>
        <v>#VALUE!</v>
      </c>
      <c r="K20" s="426" t="e">
        <f>#VALUE!</f>
        <v>#VALUE!</v>
      </c>
      <c r="L20" s="426" t="e">
        <f>#VALUE!</f>
        <v>#VALUE!</v>
      </c>
      <c r="M20" s="426" t="e">
        <f>#VALUE!</f>
        <v>#VALUE!</v>
      </c>
      <c r="N20" s="426" t="e">
        <f>#VALUE!</f>
        <v>#VALUE!</v>
      </c>
      <c r="O20" s="426" t="e">
        <f>#VALUE!</f>
        <v>#VALUE!</v>
      </c>
      <c r="P20" s="426" t="e">
        <f>#VALUE!</f>
        <v>#VALUE!</v>
      </c>
      <c r="Q20" s="426" t="e">
        <f>#VALUE!</f>
        <v>#VALUE!</v>
      </c>
      <c r="R20" s="426" t="e">
        <f>#VALUE!</f>
        <v>#VALUE!</v>
      </c>
      <c r="S20" s="426" t="e">
        <f>#VALUE!</f>
        <v>#VALUE!</v>
      </c>
      <c r="T20" s="426" t="e">
        <f>#VALUE!</f>
        <v>#VALUE!</v>
      </c>
      <c r="U20" s="426" t="e">
        <f>#VALUE!</f>
        <v>#VALUE!</v>
      </c>
      <c r="V20" s="426" t="e">
        <f>#VALUE!</f>
        <v>#VALUE!</v>
      </c>
      <c r="W20" s="426" t="e">
        <f>#VALUE!</f>
        <v>#VALUE!</v>
      </c>
      <c r="X20" s="426" t="e">
        <f>#VALUE!</f>
        <v>#VALUE!</v>
      </c>
      <c r="Y20" s="426" t="e">
        <f>#VALUE!</f>
        <v>#VALUE!</v>
      </c>
    </row>
    <row r="21" spans="1:25" ht="19.5" customHeight="1">
      <c r="A21" s="508">
        <v>14</v>
      </c>
      <c r="B21" s="437" t="e">
        <f>#VALUE!</f>
        <v>#VALUE!</v>
      </c>
      <c r="C21" s="426" t="e">
        <f>#VALUE!</f>
        <v>#VALUE!</v>
      </c>
      <c r="D21" s="426" t="e">
        <f>#VALUE!</f>
        <v>#VALUE!</v>
      </c>
      <c r="E21" s="426" t="e">
        <f>#VALUE!</f>
        <v>#VALUE!</v>
      </c>
      <c r="F21" s="426" t="e">
        <f>#VALUE!</f>
        <v>#VALUE!</v>
      </c>
      <c r="G21" s="426" t="e">
        <f>#VALUE!</f>
        <v>#VALUE!</v>
      </c>
      <c r="H21" s="426" t="e">
        <f>#VALUE!</f>
        <v>#VALUE!</v>
      </c>
      <c r="I21" s="426" t="e">
        <f>#VALUE!</f>
        <v>#VALUE!</v>
      </c>
      <c r="J21" s="426" t="e">
        <f>#VALUE!</f>
        <v>#VALUE!</v>
      </c>
      <c r="K21" s="426" t="e">
        <f>#VALUE!</f>
        <v>#VALUE!</v>
      </c>
      <c r="L21" s="426" t="e">
        <f>#VALUE!</f>
        <v>#VALUE!</v>
      </c>
      <c r="M21" s="426" t="e">
        <f>#VALUE!</f>
        <v>#VALUE!</v>
      </c>
      <c r="N21" s="426" t="e">
        <f>#VALUE!</f>
        <v>#VALUE!</v>
      </c>
      <c r="O21" s="426" t="e">
        <f>#VALUE!</f>
        <v>#VALUE!</v>
      </c>
      <c r="P21" s="426" t="e">
        <f>#VALUE!</f>
        <v>#VALUE!</v>
      </c>
      <c r="Q21" s="426" t="e">
        <f>#VALUE!</f>
        <v>#VALUE!</v>
      </c>
      <c r="R21" s="426" t="e">
        <f>#VALUE!</f>
        <v>#VALUE!</v>
      </c>
      <c r="S21" s="426" t="e">
        <f>#VALUE!</f>
        <v>#VALUE!</v>
      </c>
      <c r="T21" s="426" t="e">
        <f>#VALUE!</f>
        <v>#VALUE!</v>
      </c>
      <c r="U21" s="426" t="e">
        <f>#VALUE!</f>
        <v>#VALUE!</v>
      </c>
      <c r="V21" s="426" t="e">
        <f>#VALUE!</f>
        <v>#VALUE!</v>
      </c>
      <c r="W21" s="426" t="e">
        <f>#VALUE!</f>
        <v>#VALUE!</v>
      </c>
      <c r="X21" s="426" t="e">
        <f>#VALUE!</f>
        <v>#VALUE!</v>
      </c>
      <c r="Y21" s="426" t="e">
        <f>#VALUE!</f>
        <v>#VALUE!</v>
      </c>
    </row>
    <row r="22" spans="1:25" ht="19.5" customHeight="1">
      <c r="A22" s="508">
        <v>15</v>
      </c>
      <c r="B22" s="437" t="e">
        <f>#VALUE!</f>
        <v>#VALUE!</v>
      </c>
      <c r="C22" s="426" t="e">
        <f>#VALUE!</f>
        <v>#VALUE!</v>
      </c>
      <c r="D22" s="426" t="e">
        <f>#VALUE!</f>
        <v>#VALUE!</v>
      </c>
      <c r="E22" s="426" t="e">
        <f>#VALUE!</f>
        <v>#VALUE!</v>
      </c>
      <c r="F22" s="426" t="e">
        <f>#VALUE!</f>
        <v>#VALUE!</v>
      </c>
      <c r="G22" s="426" t="e">
        <f>#VALUE!</f>
        <v>#VALUE!</v>
      </c>
      <c r="H22" s="426" t="e">
        <f>#VALUE!</f>
        <v>#VALUE!</v>
      </c>
      <c r="I22" s="426" t="e">
        <f>#VALUE!</f>
        <v>#VALUE!</v>
      </c>
      <c r="J22" s="426" t="e">
        <f>#VALUE!</f>
        <v>#VALUE!</v>
      </c>
      <c r="K22" s="426" t="e">
        <f>#VALUE!</f>
        <v>#VALUE!</v>
      </c>
      <c r="L22" s="426" t="e">
        <f>#VALUE!</f>
        <v>#VALUE!</v>
      </c>
      <c r="M22" s="426" t="e">
        <f>#VALUE!</f>
        <v>#VALUE!</v>
      </c>
      <c r="N22" s="426" t="e">
        <f>#VALUE!</f>
        <v>#VALUE!</v>
      </c>
      <c r="O22" s="426" t="e">
        <f>#VALUE!</f>
        <v>#VALUE!</v>
      </c>
      <c r="P22" s="426" t="e">
        <f>#VALUE!</f>
        <v>#VALUE!</v>
      </c>
      <c r="Q22" s="426" t="e">
        <f>#VALUE!</f>
        <v>#VALUE!</v>
      </c>
      <c r="R22" s="426" t="e">
        <f>#VALUE!</f>
        <v>#VALUE!</v>
      </c>
      <c r="S22" s="426" t="e">
        <f>#VALUE!</f>
        <v>#VALUE!</v>
      </c>
      <c r="T22" s="426" t="e">
        <f>#VALUE!</f>
        <v>#VALUE!</v>
      </c>
      <c r="U22" s="426" t="e">
        <f>#VALUE!</f>
        <v>#VALUE!</v>
      </c>
      <c r="V22" s="426" t="e">
        <f>#VALUE!</f>
        <v>#VALUE!</v>
      </c>
      <c r="W22" s="426" t="e">
        <f>#VALUE!</f>
        <v>#VALUE!</v>
      </c>
      <c r="X22" s="426" t="e">
        <f>#VALUE!</f>
        <v>#VALUE!</v>
      </c>
      <c r="Y22" s="426" t="e">
        <f>#VALUE!</f>
        <v>#VALUE!</v>
      </c>
    </row>
    <row r="23" spans="1:25" ht="19.5" customHeight="1">
      <c r="A23" s="508">
        <v>16</v>
      </c>
      <c r="B23" s="437" t="e">
        <f>#VALUE!</f>
        <v>#VALUE!</v>
      </c>
      <c r="C23" s="426" t="e">
        <f>#VALUE!</f>
        <v>#VALUE!</v>
      </c>
      <c r="D23" s="426" t="e">
        <f>#VALUE!</f>
        <v>#VALUE!</v>
      </c>
      <c r="E23" s="426" t="e">
        <f>#VALUE!</f>
        <v>#VALUE!</v>
      </c>
      <c r="F23" s="426" t="e">
        <f>#VALUE!</f>
        <v>#VALUE!</v>
      </c>
      <c r="G23" s="426" t="e">
        <f>#VALUE!</f>
        <v>#VALUE!</v>
      </c>
      <c r="H23" s="426" t="e">
        <f>#VALUE!</f>
        <v>#VALUE!</v>
      </c>
      <c r="I23" s="426" t="e">
        <f>#VALUE!</f>
        <v>#VALUE!</v>
      </c>
      <c r="J23" s="426" t="e">
        <f>#VALUE!</f>
        <v>#VALUE!</v>
      </c>
      <c r="K23" s="426" t="e">
        <f>#VALUE!</f>
        <v>#VALUE!</v>
      </c>
      <c r="L23" s="426" t="e">
        <f>#VALUE!</f>
        <v>#VALUE!</v>
      </c>
      <c r="M23" s="426" t="e">
        <f>#VALUE!</f>
        <v>#VALUE!</v>
      </c>
      <c r="N23" s="426" t="e">
        <f>#VALUE!</f>
        <v>#VALUE!</v>
      </c>
      <c r="O23" s="426" t="e">
        <f>#VALUE!</f>
        <v>#VALUE!</v>
      </c>
      <c r="P23" s="426" t="e">
        <f>#VALUE!</f>
        <v>#VALUE!</v>
      </c>
      <c r="Q23" s="426" t="e">
        <f>#VALUE!</f>
        <v>#VALUE!</v>
      </c>
      <c r="R23" s="426" t="e">
        <f>#VALUE!</f>
        <v>#VALUE!</v>
      </c>
      <c r="S23" s="426" t="e">
        <f>#VALUE!</f>
        <v>#VALUE!</v>
      </c>
      <c r="T23" s="426" t="e">
        <f>#VALUE!</f>
        <v>#VALUE!</v>
      </c>
      <c r="U23" s="426" t="e">
        <f>#VALUE!</f>
        <v>#VALUE!</v>
      </c>
      <c r="V23" s="426" t="e">
        <f>#VALUE!</f>
        <v>#VALUE!</v>
      </c>
      <c r="W23" s="426" t="e">
        <f>#VALUE!</f>
        <v>#VALUE!</v>
      </c>
      <c r="X23" s="426" t="e">
        <f>#VALUE!</f>
        <v>#VALUE!</v>
      </c>
      <c r="Y23" s="426" t="e">
        <f>#VALUE!</f>
        <v>#VALUE!</v>
      </c>
    </row>
    <row r="24" spans="1:25" ht="19.5" customHeight="1">
      <c r="A24" s="508">
        <v>17</v>
      </c>
      <c r="B24" s="437" t="e">
        <f>#VALUE!</f>
        <v>#VALUE!</v>
      </c>
      <c r="C24" s="426" t="e">
        <f>#VALUE!</f>
        <v>#VALUE!</v>
      </c>
      <c r="D24" s="426" t="e">
        <f>#VALUE!</f>
        <v>#VALUE!</v>
      </c>
      <c r="E24" s="426" t="e">
        <f>#VALUE!</f>
        <v>#VALUE!</v>
      </c>
      <c r="F24" s="426" t="e">
        <f>#VALUE!</f>
        <v>#VALUE!</v>
      </c>
      <c r="G24" s="426" t="e">
        <f>#VALUE!</f>
        <v>#VALUE!</v>
      </c>
      <c r="H24" s="426" t="e">
        <f>#VALUE!</f>
        <v>#VALUE!</v>
      </c>
      <c r="I24" s="426" t="e">
        <f>#VALUE!</f>
        <v>#VALUE!</v>
      </c>
      <c r="J24" s="426" t="e">
        <f>#VALUE!</f>
        <v>#VALUE!</v>
      </c>
      <c r="K24" s="426" t="e">
        <f>#VALUE!</f>
        <v>#VALUE!</v>
      </c>
      <c r="L24" s="426" t="e">
        <f>#VALUE!</f>
        <v>#VALUE!</v>
      </c>
      <c r="M24" s="426" t="e">
        <f>#VALUE!</f>
        <v>#VALUE!</v>
      </c>
      <c r="N24" s="426" t="e">
        <f>#VALUE!</f>
        <v>#VALUE!</v>
      </c>
      <c r="O24" s="426" t="e">
        <f>#VALUE!</f>
        <v>#VALUE!</v>
      </c>
      <c r="P24" s="426" t="e">
        <f>#VALUE!</f>
        <v>#VALUE!</v>
      </c>
      <c r="Q24" s="426" t="e">
        <f>#VALUE!</f>
        <v>#VALUE!</v>
      </c>
      <c r="R24" s="426" t="e">
        <f>#VALUE!</f>
        <v>#VALUE!</v>
      </c>
      <c r="S24" s="426" t="e">
        <f>#VALUE!</f>
        <v>#VALUE!</v>
      </c>
      <c r="T24" s="426" t="e">
        <f>#VALUE!</f>
        <v>#VALUE!</v>
      </c>
      <c r="U24" s="426" t="e">
        <f>#VALUE!</f>
        <v>#VALUE!</v>
      </c>
      <c r="V24" s="426" t="e">
        <f>#VALUE!</f>
        <v>#VALUE!</v>
      </c>
      <c r="W24" s="426" t="e">
        <f>#VALUE!</f>
        <v>#VALUE!</v>
      </c>
      <c r="X24" s="426" t="e">
        <f>#VALUE!</f>
        <v>#VALUE!</v>
      </c>
      <c r="Y24" s="426" t="e">
        <f>#VALUE!</f>
        <v>#VALUE!</v>
      </c>
    </row>
    <row r="25" spans="1:25" ht="19.5" customHeight="1">
      <c r="A25" s="508">
        <v>18</v>
      </c>
      <c r="B25" s="437" t="e">
        <f>#VALUE!</f>
        <v>#VALUE!</v>
      </c>
      <c r="C25" s="426" t="e">
        <f>#VALUE!</f>
        <v>#VALUE!</v>
      </c>
      <c r="D25" s="426" t="e">
        <f>#VALUE!</f>
        <v>#VALUE!</v>
      </c>
      <c r="E25" s="426" t="e">
        <f>#VALUE!</f>
        <v>#VALUE!</v>
      </c>
      <c r="F25" s="426" t="e">
        <f>#VALUE!</f>
        <v>#VALUE!</v>
      </c>
      <c r="G25" s="426" t="e">
        <f>#VALUE!</f>
        <v>#VALUE!</v>
      </c>
      <c r="H25" s="426" t="e">
        <f>#VALUE!</f>
        <v>#VALUE!</v>
      </c>
      <c r="I25" s="426" t="e">
        <f>#VALUE!</f>
        <v>#VALUE!</v>
      </c>
      <c r="J25" s="426" t="e">
        <f>#VALUE!</f>
        <v>#VALUE!</v>
      </c>
      <c r="K25" s="426" t="e">
        <f>#VALUE!</f>
        <v>#VALUE!</v>
      </c>
      <c r="L25" s="426" t="e">
        <f>#VALUE!</f>
        <v>#VALUE!</v>
      </c>
      <c r="M25" s="426" t="e">
        <f>#VALUE!</f>
        <v>#VALUE!</v>
      </c>
      <c r="N25" s="426" t="e">
        <f>#VALUE!</f>
        <v>#VALUE!</v>
      </c>
      <c r="O25" s="426" t="e">
        <f>#VALUE!</f>
        <v>#VALUE!</v>
      </c>
      <c r="P25" s="426" t="e">
        <f>#VALUE!</f>
        <v>#VALUE!</v>
      </c>
      <c r="Q25" s="426" t="e">
        <f>#VALUE!</f>
        <v>#VALUE!</v>
      </c>
      <c r="R25" s="426" t="e">
        <f>#VALUE!</f>
        <v>#VALUE!</v>
      </c>
      <c r="S25" s="426" t="e">
        <f>#VALUE!</f>
        <v>#VALUE!</v>
      </c>
      <c r="T25" s="426" t="e">
        <f>#VALUE!</f>
        <v>#VALUE!</v>
      </c>
      <c r="U25" s="426" t="e">
        <f>#VALUE!</f>
        <v>#VALUE!</v>
      </c>
      <c r="V25" s="426" t="e">
        <f>#VALUE!</f>
        <v>#VALUE!</v>
      </c>
      <c r="W25" s="426" t="e">
        <f>#VALUE!</f>
        <v>#VALUE!</v>
      </c>
      <c r="X25" s="426" t="e">
        <f>#VALUE!</f>
        <v>#VALUE!</v>
      </c>
      <c r="Y25" s="426" t="e">
        <f>#VALUE!</f>
        <v>#VALUE!</v>
      </c>
    </row>
    <row r="26" spans="1:25" ht="19.5" customHeight="1">
      <c r="A26" s="508">
        <v>19</v>
      </c>
      <c r="B26" s="437" t="e">
        <f>#VALUE!</f>
        <v>#VALUE!</v>
      </c>
      <c r="C26" s="426" t="e">
        <f>#VALUE!</f>
        <v>#VALUE!</v>
      </c>
      <c r="D26" s="426" t="e">
        <f>#VALUE!</f>
        <v>#VALUE!</v>
      </c>
      <c r="E26" s="426" t="e">
        <f>#VALUE!</f>
        <v>#VALUE!</v>
      </c>
      <c r="F26" s="426" t="e">
        <f>#VALUE!</f>
        <v>#VALUE!</v>
      </c>
      <c r="G26" s="426" t="e">
        <f>#VALUE!</f>
        <v>#VALUE!</v>
      </c>
      <c r="H26" s="426" t="e">
        <f>#VALUE!</f>
        <v>#VALUE!</v>
      </c>
      <c r="I26" s="426" t="e">
        <f>#VALUE!</f>
        <v>#VALUE!</v>
      </c>
      <c r="J26" s="426" t="e">
        <f>#VALUE!</f>
        <v>#VALUE!</v>
      </c>
      <c r="K26" s="426" t="e">
        <f>#VALUE!</f>
        <v>#VALUE!</v>
      </c>
      <c r="L26" s="426" t="e">
        <f>#VALUE!</f>
        <v>#VALUE!</v>
      </c>
      <c r="M26" s="426" t="e">
        <f>#VALUE!</f>
        <v>#VALUE!</v>
      </c>
      <c r="N26" s="426" t="e">
        <f>#VALUE!</f>
        <v>#VALUE!</v>
      </c>
      <c r="O26" s="426" t="e">
        <f>#VALUE!</f>
        <v>#VALUE!</v>
      </c>
      <c r="P26" s="426" t="e">
        <f>#VALUE!</f>
        <v>#VALUE!</v>
      </c>
      <c r="Q26" s="426" t="e">
        <f>#VALUE!</f>
        <v>#VALUE!</v>
      </c>
      <c r="R26" s="426" t="e">
        <f>#VALUE!</f>
        <v>#VALUE!</v>
      </c>
      <c r="S26" s="426" t="e">
        <f>#VALUE!</f>
        <v>#VALUE!</v>
      </c>
      <c r="T26" s="426" t="e">
        <f>#VALUE!</f>
        <v>#VALUE!</v>
      </c>
      <c r="U26" s="426" t="e">
        <f>#VALUE!</f>
        <v>#VALUE!</v>
      </c>
      <c r="V26" s="426" t="e">
        <f>#VALUE!</f>
        <v>#VALUE!</v>
      </c>
      <c r="W26" s="426" t="e">
        <f>#VALUE!</f>
        <v>#VALUE!</v>
      </c>
      <c r="X26" s="426" t="e">
        <f>#VALUE!</f>
        <v>#VALUE!</v>
      </c>
      <c r="Y26" s="426" t="e">
        <f>#VALUE!</f>
        <v>#VALUE!</v>
      </c>
    </row>
    <row r="27" spans="1:25" ht="19.5" customHeight="1">
      <c r="A27" s="508">
        <v>20</v>
      </c>
      <c r="B27" s="437" t="e">
        <f>#VALUE!</f>
        <v>#VALUE!</v>
      </c>
      <c r="C27" s="426" t="e">
        <f>#VALUE!</f>
        <v>#VALUE!</v>
      </c>
      <c r="D27" s="426" t="e">
        <f>#VALUE!</f>
        <v>#VALUE!</v>
      </c>
      <c r="E27" s="426" t="e">
        <f>#VALUE!</f>
        <v>#VALUE!</v>
      </c>
      <c r="F27" s="426" t="e">
        <f>#VALUE!</f>
        <v>#VALUE!</v>
      </c>
      <c r="G27" s="426" t="e">
        <f>#VALUE!</f>
        <v>#VALUE!</v>
      </c>
      <c r="H27" s="426" t="e">
        <f>#VALUE!</f>
        <v>#VALUE!</v>
      </c>
      <c r="I27" s="426" t="e">
        <f>#VALUE!</f>
        <v>#VALUE!</v>
      </c>
      <c r="J27" s="426" t="e">
        <f>#VALUE!</f>
        <v>#VALUE!</v>
      </c>
      <c r="K27" s="426" t="e">
        <f>#VALUE!</f>
        <v>#VALUE!</v>
      </c>
      <c r="L27" s="426" t="e">
        <f>#VALUE!</f>
        <v>#VALUE!</v>
      </c>
      <c r="M27" s="426" t="e">
        <f>#VALUE!</f>
        <v>#VALUE!</v>
      </c>
      <c r="N27" s="426" t="e">
        <f>#VALUE!</f>
        <v>#VALUE!</v>
      </c>
      <c r="O27" s="426" t="e">
        <f>#VALUE!</f>
        <v>#VALUE!</v>
      </c>
      <c r="P27" s="426" t="e">
        <f>#VALUE!</f>
        <v>#VALUE!</v>
      </c>
      <c r="Q27" s="426" t="e">
        <f>#VALUE!</f>
        <v>#VALUE!</v>
      </c>
      <c r="R27" s="426" t="e">
        <f>#VALUE!</f>
        <v>#VALUE!</v>
      </c>
      <c r="S27" s="426" t="e">
        <f>#VALUE!</f>
        <v>#VALUE!</v>
      </c>
      <c r="T27" s="426" t="e">
        <f>#VALUE!</f>
        <v>#VALUE!</v>
      </c>
      <c r="U27" s="426" t="e">
        <f>#VALUE!</f>
        <v>#VALUE!</v>
      </c>
      <c r="V27" s="426" t="e">
        <f>#VALUE!</f>
        <v>#VALUE!</v>
      </c>
      <c r="W27" s="426" t="e">
        <f>#VALUE!</f>
        <v>#VALUE!</v>
      </c>
      <c r="X27" s="426" t="e">
        <f>#VALUE!</f>
        <v>#VALUE!</v>
      </c>
      <c r="Y27" s="426" t="e">
        <f>#VALUE!</f>
        <v>#VALUE!</v>
      </c>
    </row>
    <row r="28" spans="1:25" ht="19.5" customHeight="1">
      <c r="A28" s="508">
        <v>21</v>
      </c>
      <c r="B28" s="437" t="e">
        <f>#VALUE!</f>
        <v>#VALUE!</v>
      </c>
      <c r="C28" s="426" t="e">
        <f>#VALUE!</f>
        <v>#VALUE!</v>
      </c>
      <c r="D28" s="426" t="e">
        <f>#VALUE!</f>
        <v>#VALUE!</v>
      </c>
      <c r="E28" s="426" t="e">
        <f>#VALUE!</f>
        <v>#VALUE!</v>
      </c>
      <c r="F28" s="426" t="e">
        <f>#VALUE!</f>
        <v>#VALUE!</v>
      </c>
      <c r="G28" s="426" t="e">
        <f>#VALUE!</f>
        <v>#VALUE!</v>
      </c>
      <c r="H28" s="426" t="e">
        <f>#VALUE!</f>
        <v>#VALUE!</v>
      </c>
      <c r="I28" s="426" t="e">
        <f>#VALUE!</f>
        <v>#VALUE!</v>
      </c>
      <c r="J28" s="426" t="e">
        <f>#VALUE!</f>
        <v>#VALUE!</v>
      </c>
      <c r="K28" s="426" t="e">
        <f>#VALUE!</f>
        <v>#VALUE!</v>
      </c>
      <c r="L28" s="426" t="e">
        <f>#VALUE!</f>
        <v>#VALUE!</v>
      </c>
      <c r="M28" s="426" t="e">
        <f>#VALUE!</f>
        <v>#VALUE!</v>
      </c>
      <c r="N28" s="426" t="e">
        <f>#VALUE!</f>
        <v>#VALUE!</v>
      </c>
      <c r="O28" s="426" t="e">
        <f>#VALUE!</f>
        <v>#VALUE!</v>
      </c>
      <c r="P28" s="426" t="e">
        <f>#VALUE!</f>
        <v>#VALUE!</v>
      </c>
      <c r="Q28" s="426" t="e">
        <f>#VALUE!</f>
        <v>#VALUE!</v>
      </c>
      <c r="R28" s="426" t="e">
        <f>#VALUE!</f>
        <v>#VALUE!</v>
      </c>
      <c r="S28" s="426" t="e">
        <f>#VALUE!</f>
        <v>#VALUE!</v>
      </c>
      <c r="T28" s="426" t="e">
        <f>#VALUE!</f>
        <v>#VALUE!</v>
      </c>
      <c r="U28" s="426" t="e">
        <f>#VALUE!</f>
        <v>#VALUE!</v>
      </c>
      <c r="V28" s="426" t="e">
        <f>#VALUE!</f>
        <v>#VALUE!</v>
      </c>
      <c r="W28" s="426" t="e">
        <f>#VALUE!</f>
        <v>#VALUE!</v>
      </c>
      <c r="X28" s="426" t="e">
        <f>#VALUE!</f>
        <v>#VALUE!</v>
      </c>
      <c r="Y28" s="426" t="e">
        <f>#VALUE!</f>
        <v>#VALUE!</v>
      </c>
    </row>
    <row r="29" spans="1:25" ht="19.5" customHeight="1">
      <c r="A29" s="508">
        <v>22</v>
      </c>
      <c r="B29" s="437" t="e">
        <f>#VALUE!</f>
        <v>#VALUE!</v>
      </c>
      <c r="C29" s="426" t="e">
        <f>#VALUE!</f>
        <v>#VALUE!</v>
      </c>
      <c r="D29" s="426" t="e">
        <f>#VALUE!</f>
        <v>#VALUE!</v>
      </c>
      <c r="E29" s="426" t="e">
        <f>#VALUE!</f>
        <v>#VALUE!</v>
      </c>
      <c r="F29" s="426" t="e">
        <f>#VALUE!</f>
        <v>#VALUE!</v>
      </c>
      <c r="G29" s="426" t="e">
        <f>#VALUE!</f>
        <v>#VALUE!</v>
      </c>
      <c r="H29" s="426" t="e">
        <f>#VALUE!</f>
        <v>#VALUE!</v>
      </c>
      <c r="I29" s="426" t="e">
        <f>#VALUE!</f>
        <v>#VALUE!</v>
      </c>
      <c r="J29" s="426" t="e">
        <f>#VALUE!</f>
        <v>#VALUE!</v>
      </c>
      <c r="K29" s="426" t="e">
        <f>#VALUE!</f>
        <v>#VALUE!</v>
      </c>
      <c r="L29" s="426" t="e">
        <f>#VALUE!</f>
        <v>#VALUE!</v>
      </c>
      <c r="M29" s="426" t="e">
        <f>#VALUE!</f>
        <v>#VALUE!</v>
      </c>
      <c r="N29" s="426" t="e">
        <f>#VALUE!</f>
        <v>#VALUE!</v>
      </c>
      <c r="O29" s="426" t="e">
        <f>#VALUE!</f>
        <v>#VALUE!</v>
      </c>
      <c r="P29" s="426" t="e">
        <f>#VALUE!</f>
        <v>#VALUE!</v>
      </c>
      <c r="Q29" s="426" t="e">
        <f>#VALUE!</f>
        <v>#VALUE!</v>
      </c>
      <c r="R29" s="426" t="e">
        <f>#VALUE!</f>
        <v>#VALUE!</v>
      </c>
      <c r="S29" s="426" t="e">
        <f>#VALUE!</f>
        <v>#VALUE!</v>
      </c>
      <c r="T29" s="426" t="e">
        <f>#VALUE!</f>
        <v>#VALUE!</v>
      </c>
      <c r="U29" s="426" t="e">
        <f>#VALUE!</f>
        <v>#VALUE!</v>
      </c>
      <c r="V29" s="426" t="e">
        <f>#VALUE!</f>
        <v>#VALUE!</v>
      </c>
      <c r="W29" s="426" t="e">
        <f>#VALUE!</f>
        <v>#VALUE!</v>
      </c>
      <c r="X29" s="426" t="e">
        <f>#VALUE!</f>
        <v>#VALUE!</v>
      </c>
      <c r="Y29" s="426" t="e">
        <f>#VALUE!</f>
        <v>#VALUE!</v>
      </c>
    </row>
    <row r="30" spans="1:25" ht="19.5" customHeight="1">
      <c r="A30" s="508">
        <v>23</v>
      </c>
      <c r="B30" s="437" t="e">
        <f>#VALUE!</f>
        <v>#VALUE!</v>
      </c>
      <c r="C30" s="426" t="e">
        <f>#VALUE!</f>
        <v>#VALUE!</v>
      </c>
      <c r="D30" s="426" t="e">
        <f>#VALUE!</f>
        <v>#VALUE!</v>
      </c>
      <c r="E30" s="426" t="e">
        <f>#VALUE!</f>
        <v>#VALUE!</v>
      </c>
      <c r="F30" s="426" t="e">
        <f>#VALUE!</f>
        <v>#VALUE!</v>
      </c>
      <c r="G30" s="426" t="e">
        <f>#VALUE!</f>
        <v>#VALUE!</v>
      </c>
      <c r="H30" s="426" t="e">
        <f>#VALUE!</f>
        <v>#VALUE!</v>
      </c>
      <c r="I30" s="426" t="e">
        <f>#VALUE!</f>
        <v>#VALUE!</v>
      </c>
      <c r="J30" s="426" t="e">
        <f>#VALUE!</f>
        <v>#VALUE!</v>
      </c>
      <c r="K30" s="426" t="e">
        <f>#VALUE!</f>
        <v>#VALUE!</v>
      </c>
      <c r="L30" s="426" t="e">
        <f>#VALUE!</f>
        <v>#VALUE!</v>
      </c>
      <c r="M30" s="426" t="e">
        <f>#VALUE!</f>
        <v>#VALUE!</v>
      </c>
      <c r="N30" s="426" t="e">
        <f>#VALUE!</f>
        <v>#VALUE!</v>
      </c>
      <c r="O30" s="426" t="e">
        <f>#VALUE!</f>
        <v>#VALUE!</v>
      </c>
      <c r="P30" s="426" t="e">
        <f>#VALUE!</f>
        <v>#VALUE!</v>
      </c>
      <c r="Q30" s="426" t="e">
        <f>#VALUE!</f>
        <v>#VALUE!</v>
      </c>
      <c r="R30" s="426" t="e">
        <f>#VALUE!</f>
        <v>#VALUE!</v>
      </c>
      <c r="S30" s="426" t="e">
        <f>#VALUE!</f>
        <v>#VALUE!</v>
      </c>
      <c r="T30" s="426" t="e">
        <f>#VALUE!</f>
        <v>#VALUE!</v>
      </c>
      <c r="U30" s="426" t="e">
        <f>#VALUE!</f>
        <v>#VALUE!</v>
      </c>
      <c r="V30" s="426" t="e">
        <f>#VALUE!</f>
        <v>#VALUE!</v>
      </c>
      <c r="W30" s="426" t="e">
        <f>#VALUE!</f>
        <v>#VALUE!</v>
      </c>
      <c r="X30" s="426" t="e">
        <f>#VALUE!</f>
        <v>#VALUE!</v>
      </c>
      <c r="Y30" s="426" t="e">
        <f>#VALUE!</f>
        <v>#VALUE!</v>
      </c>
    </row>
    <row r="31" spans="1:25" ht="19.5" customHeight="1">
      <c r="A31" s="508">
        <v>24</v>
      </c>
      <c r="B31" s="437" t="e">
        <f>#VALUE!</f>
        <v>#VALUE!</v>
      </c>
      <c r="C31" s="426" t="e">
        <f>#VALUE!</f>
        <v>#VALUE!</v>
      </c>
      <c r="D31" s="426" t="e">
        <f>#VALUE!</f>
        <v>#VALUE!</v>
      </c>
      <c r="E31" s="426" t="e">
        <f>#VALUE!</f>
        <v>#VALUE!</v>
      </c>
      <c r="F31" s="426" t="e">
        <f>#VALUE!</f>
        <v>#VALUE!</v>
      </c>
      <c r="G31" s="426" t="e">
        <f>#VALUE!</f>
        <v>#VALUE!</v>
      </c>
      <c r="H31" s="426" t="e">
        <f>#VALUE!</f>
        <v>#VALUE!</v>
      </c>
      <c r="I31" s="426" t="e">
        <f>#VALUE!</f>
        <v>#VALUE!</v>
      </c>
      <c r="J31" s="426" t="e">
        <f>#VALUE!</f>
        <v>#VALUE!</v>
      </c>
      <c r="K31" s="426" t="e">
        <f>#VALUE!</f>
        <v>#VALUE!</v>
      </c>
      <c r="L31" s="426" t="e">
        <f>#VALUE!</f>
        <v>#VALUE!</v>
      </c>
      <c r="M31" s="426" t="e">
        <f>#VALUE!</f>
        <v>#VALUE!</v>
      </c>
      <c r="N31" s="426" t="e">
        <f>#VALUE!</f>
        <v>#VALUE!</v>
      </c>
      <c r="O31" s="426" t="e">
        <f>#VALUE!</f>
        <v>#VALUE!</v>
      </c>
      <c r="P31" s="426" t="e">
        <f>#VALUE!</f>
        <v>#VALUE!</v>
      </c>
      <c r="Q31" s="426" t="e">
        <f>#VALUE!</f>
        <v>#VALUE!</v>
      </c>
      <c r="R31" s="426" t="e">
        <f>#VALUE!</f>
        <v>#VALUE!</v>
      </c>
      <c r="S31" s="426" t="e">
        <f>#VALUE!</f>
        <v>#VALUE!</v>
      </c>
      <c r="T31" s="426" t="e">
        <f>#VALUE!</f>
        <v>#VALUE!</v>
      </c>
      <c r="U31" s="426" t="e">
        <f>#VALUE!</f>
        <v>#VALUE!</v>
      </c>
      <c r="V31" s="426" t="e">
        <f>#VALUE!</f>
        <v>#VALUE!</v>
      </c>
      <c r="W31" s="426" t="e">
        <f>#VALUE!</f>
        <v>#VALUE!</v>
      </c>
      <c r="X31" s="426" t="e">
        <f>#VALUE!</f>
        <v>#VALUE!</v>
      </c>
      <c r="Y31" s="426" t="e">
        <f>#VALUE!</f>
        <v>#VALUE!</v>
      </c>
    </row>
    <row r="32" spans="1:25" ht="19.5" customHeight="1">
      <c r="A32" s="508">
        <v>25</v>
      </c>
      <c r="B32" s="437" t="e">
        <f>#VALUE!</f>
        <v>#VALUE!</v>
      </c>
      <c r="C32" s="426" t="e">
        <f>#VALUE!</f>
        <v>#VALUE!</v>
      </c>
      <c r="D32" s="426" t="e">
        <f>#VALUE!</f>
        <v>#VALUE!</v>
      </c>
      <c r="E32" s="426" t="e">
        <f>#VALUE!</f>
        <v>#VALUE!</v>
      </c>
      <c r="F32" s="426" t="e">
        <f>#VALUE!</f>
        <v>#VALUE!</v>
      </c>
      <c r="G32" s="426" t="e">
        <f>#VALUE!</f>
        <v>#VALUE!</v>
      </c>
      <c r="H32" s="426" t="e">
        <f>#VALUE!</f>
        <v>#VALUE!</v>
      </c>
      <c r="I32" s="426" t="e">
        <f>#VALUE!</f>
        <v>#VALUE!</v>
      </c>
      <c r="J32" s="426" t="e">
        <f>#VALUE!</f>
        <v>#VALUE!</v>
      </c>
      <c r="K32" s="426" t="e">
        <f>#VALUE!</f>
        <v>#VALUE!</v>
      </c>
      <c r="L32" s="426" t="e">
        <f>#VALUE!</f>
        <v>#VALUE!</v>
      </c>
      <c r="M32" s="426" t="e">
        <f>#VALUE!</f>
        <v>#VALUE!</v>
      </c>
      <c r="N32" s="426" t="e">
        <f>#VALUE!</f>
        <v>#VALUE!</v>
      </c>
      <c r="O32" s="426" t="e">
        <f>#VALUE!</f>
        <v>#VALUE!</v>
      </c>
      <c r="P32" s="426" t="e">
        <f>#VALUE!</f>
        <v>#VALUE!</v>
      </c>
      <c r="Q32" s="426" t="e">
        <f>#VALUE!</f>
        <v>#VALUE!</v>
      </c>
      <c r="R32" s="426" t="e">
        <f>#VALUE!</f>
        <v>#VALUE!</v>
      </c>
      <c r="S32" s="426" t="e">
        <f>#VALUE!</f>
        <v>#VALUE!</v>
      </c>
      <c r="T32" s="426" t="e">
        <f>#VALUE!</f>
        <v>#VALUE!</v>
      </c>
      <c r="U32" s="426" t="e">
        <f>#VALUE!</f>
        <v>#VALUE!</v>
      </c>
      <c r="V32" s="426" t="e">
        <f>#VALUE!</f>
        <v>#VALUE!</v>
      </c>
      <c r="W32" s="426" t="e">
        <f>#VALUE!</f>
        <v>#VALUE!</v>
      </c>
      <c r="X32" s="426" t="e">
        <f>#VALUE!</f>
        <v>#VALUE!</v>
      </c>
      <c r="Y32" s="426" t="e">
        <f>#VALUE!</f>
        <v>#VALUE!</v>
      </c>
    </row>
    <row r="33" spans="1:25" ht="19.5" customHeight="1">
      <c r="A33" s="508">
        <v>26</v>
      </c>
      <c r="B33" s="437" t="e">
        <f>#VALUE!</f>
        <v>#VALUE!</v>
      </c>
      <c r="C33" s="426" t="e">
        <f>#VALUE!</f>
        <v>#VALUE!</v>
      </c>
      <c r="D33" s="426" t="e">
        <f>#VALUE!</f>
        <v>#VALUE!</v>
      </c>
      <c r="E33" s="426" t="e">
        <f>#VALUE!</f>
        <v>#VALUE!</v>
      </c>
      <c r="F33" s="426" t="e">
        <f>#VALUE!</f>
        <v>#VALUE!</v>
      </c>
      <c r="G33" s="426" t="e">
        <f>#VALUE!</f>
        <v>#VALUE!</v>
      </c>
      <c r="H33" s="426" t="e">
        <f>#VALUE!</f>
        <v>#VALUE!</v>
      </c>
      <c r="I33" s="426" t="e">
        <f>#VALUE!</f>
        <v>#VALUE!</v>
      </c>
      <c r="J33" s="426" t="e">
        <f>#VALUE!</f>
        <v>#VALUE!</v>
      </c>
      <c r="K33" s="426" t="e">
        <f>#VALUE!</f>
        <v>#VALUE!</v>
      </c>
      <c r="L33" s="426" t="e">
        <f>#VALUE!</f>
        <v>#VALUE!</v>
      </c>
      <c r="M33" s="426" t="e">
        <f>#VALUE!</f>
        <v>#VALUE!</v>
      </c>
      <c r="N33" s="426" t="e">
        <f>#VALUE!</f>
        <v>#VALUE!</v>
      </c>
      <c r="O33" s="426" t="e">
        <f>#VALUE!</f>
        <v>#VALUE!</v>
      </c>
      <c r="P33" s="426" t="e">
        <f>#VALUE!</f>
        <v>#VALUE!</v>
      </c>
      <c r="Q33" s="426" t="e">
        <f>#VALUE!</f>
        <v>#VALUE!</v>
      </c>
      <c r="R33" s="426" t="e">
        <f>#VALUE!</f>
        <v>#VALUE!</v>
      </c>
      <c r="S33" s="426" t="e">
        <f>#VALUE!</f>
        <v>#VALUE!</v>
      </c>
      <c r="T33" s="426" t="e">
        <f>#VALUE!</f>
        <v>#VALUE!</v>
      </c>
      <c r="U33" s="426" t="e">
        <f>#VALUE!</f>
        <v>#VALUE!</v>
      </c>
      <c r="V33" s="426" t="e">
        <f>#VALUE!</f>
        <v>#VALUE!</v>
      </c>
      <c r="W33" s="426" t="e">
        <f>#VALUE!</f>
        <v>#VALUE!</v>
      </c>
      <c r="X33" s="426" t="e">
        <f>#VALUE!</f>
        <v>#VALUE!</v>
      </c>
      <c r="Y33" s="426" t="e">
        <f>#VALUE!</f>
        <v>#VALUE!</v>
      </c>
    </row>
    <row r="34" spans="1:25" ht="19.5" customHeight="1">
      <c r="A34" s="508">
        <v>27</v>
      </c>
      <c r="B34" s="437" t="e">
        <f>#VALUE!</f>
        <v>#VALUE!</v>
      </c>
      <c r="C34" s="426" t="e">
        <f>#VALUE!</f>
        <v>#VALUE!</v>
      </c>
      <c r="D34" s="426" t="e">
        <f>#VALUE!</f>
        <v>#VALUE!</v>
      </c>
      <c r="E34" s="426" t="e">
        <f>#VALUE!</f>
        <v>#VALUE!</v>
      </c>
      <c r="F34" s="426" t="e">
        <f>#VALUE!</f>
        <v>#VALUE!</v>
      </c>
      <c r="G34" s="426" t="e">
        <f>#VALUE!</f>
        <v>#VALUE!</v>
      </c>
      <c r="H34" s="426" t="e">
        <f>#VALUE!</f>
        <v>#VALUE!</v>
      </c>
      <c r="I34" s="426" t="e">
        <f>#VALUE!</f>
        <v>#VALUE!</v>
      </c>
      <c r="J34" s="426" t="e">
        <f>#VALUE!</f>
        <v>#VALUE!</v>
      </c>
      <c r="K34" s="426" t="e">
        <f>#VALUE!</f>
        <v>#VALUE!</v>
      </c>
      <c r="L34" s="426" t="e">
        <f>#VALUE!</f>
        <v>#VALUE!</v>
      </c>
      <c r="M34" s="426" t="e">
        <f>#VALUE!</f>
        <v>#VALUE!</v>
      </c>
      <c r="N34" s="426" t="e">
        <f>#VALUE!</f>
        <v>#VALUE!</v>
      </c>
      <c r="O34" s="426" t="e">
        <f>#VALUE!</f>
        <v>#VALUE!</v>
      </c>
      <c r="P34" s="426" t="e">
        <f>#VALUE!</f>
        <v>#VALUE!</v>
      </c>
      <c r="Q34" s="426" t="e">
        <f>#VALUE!</f>
        <v>#VALUE!</v>
      </c>
      <c r="R34" s="426" t="e">
        <f>#VALUE!</f>
        <v>#VALUE!</v>
      </c>
      <c r="S34" s="426" t="e">
        <f>#VALUE!</f>
        <v>#VALUE!</v>
      </c>
      <c r="T34" s="426" t="e">
        <f>#VALUE!</f>
        <v>#VALUE!</v>
      </c>
      <c r="U34" s="426" t="e">
        <f>#VALUE!</f>
        <v>#VALUE!</v>
      </c>
      <c r="V34" s="426" t="e">
        <f>#VALUE!</f>
        <v>#VALUE!</v>
      </c>
      <c r="W34" s="426" t="e">
        <f>#VALUE!</f>
        <v>#VALUE!</v>
      </c>
      <c r="X34" s="426" t="e">
        <f>#VALUE!</f>
        <v>#VALUE!</v>
      </c>
      <c r="Y34" s="426" t="e">
        <f>#VALUE!</f>
        <v>#VALUE!</v>
      </c>
    </row>
    <row r="35" spans="1:25" ht="19.5" customHeight="1">
      <c r="A35" s="508">
        <v>28</v>
      </c>
      <c r="B35" s="437" t="e">
        <f>#VALUE!</f>
        <v>#VALUE!</v>
      </c>
      <c r="C35" s="426" t="e">
        <f>#VALUE!</f>
        <v>#VALUE!</v>
      </c>
      <c r="D35" s="426" t="e">
        <f>#VALUE!</f>
        <v>#VALUE!</v>
      </c>
      <c r="E35" s="426" t="e">
        <f>#VALUE!</f>
        <v>#VALUE!</v>
      </c>
      <c r="F35" s="426" t="e">
        <f>#VALUE!</f>
        <v>#VALUE!</v>
      </c>
      <c r="G35" s="426" t="e">
        <f>#VALUE!</f>
        <v>#VALUE!</v>
      </c>
      <c r="H35" s="426" t="e">
        <f>#VALUE!</f>
        <v>#VALUE!</v>
      </c>
      <c r="I35" s="426" t="e">
        <f>#VALUE!</f>
        <v>#VALUE!</v>
      </c>
      <c r="J35" s="426" t="e">
        <f>#VALUE!</f>
        <v>#VALUE!</v>
      </c>
      <c r="K35" s="426" t="e">
        <f>#VALUE!</f>
        <v>#VALUE!</v>
      </c>
      <c r="L35" s="426" t="e">
        <f>#VALUE!</f>
        <v>#VALUE!</v>
      </c>
      <c r="M35" s="426" t="e">
        <f>#VALUE!</f>
        <v>#VALUE!</v>
      </c>
      <c r="N35" s="426" t="e">
        <f>#VALUE!</f>
        <v>#VALUE!</v>
      </c>
      <c r="O35" s="426" t="e">
        <f>#VALUE!</f>
        <v>#VALUE!</v>
      </c>
      <c r="P35" s="426" t="e">
        <f>#VALUE!</f>
        <v>#VALUE!</v>
      </c>
      <c r="Q35" s="426" t="e">
        <f>#VALUE!</f>
        <v>#VALUE!</v>
      </c>
      <c r="R35" s="426" t="e">
        <f>#VALUE!</f>
        <v>#VALUE!</v>
      </c>
      <c r="S35" s="426" t="e">
        <f>#VALUE!</f>
        <v>#VALUE!</v>
      </c>
      <c r="T35" s="426" t="e">
        <f>#VALUE!</f>
        <v>#VALUE!</v>
      </c>
      <c r="U35" s="426" t="e">
        <f>#VALUE!</f>
        <v>#VALUE!</v>
      </c>
      <c r="V35" s="426" t="e">
        <f>#VALUE!</f>
        <v>#VALUE!</v>
      </c>
      <c r="W35" s="426" t="e">
        <f>#VALUE!</f>
        <v>#VALUE!</v>
      </c>
      <c r="X35" s="426" t="e">
        <f>#VALUE!</f>
        <v>#VALUE!</v>
      </c>
      <c r="Y35" s="426" t="e">
        <f>#VALUE!</f>
        <v>#VALUE!</v>
      </c>
    </row>
    <row r="36" spans="1:25" ht="19.5" customHeight="1">
      <c r="A36" s="508">
        <v>29</v>
      </c>
      <c r="B36" s="437" t="e">
        <f>#VALUE!</f>
        <v>#VALUE!</v>
      </c>
      <c r="C36" s="426" t="e">
        <f>#VALUE!</f>
        <v>#VALUE!</v>
      </c>
      <c r="D36" s="426" t="e">
        <f>#VALUE!</f>
        <v>#VALUE!</v>
      </c>
      <c r="E36" s="426" t="e">
        <f>#VALUE!</f>
        <v>#VALUE!</v>
      </c>
      <c r="F36" s="426" t="e">
        <f>#VALUE!</f>
        <v>#VALUE!</v>
      </c>
      <c r="G36" s="426" t="e">
        <f>#VALUE!</f>
        <v>#VALUE!</v>
      </c>
      <c r="H36" s="426" t="e">
        <f>#VALUE!</f>
        <v>#VALUE!</v>
      </c>
      <c r="I36" s="426" t="e">
        <f>#VALUE!</f>
        <v>#VALUE!</v>
      </c>
      <c r="J36" s="426" t="e">
        <f>#VALUE!</f>
        <v>#VALUE!</v>
      </c>
      <c r="K36" s="426" t="e">
        <f>#VALUE!</f>
        <v>#VALUE!</v>
      </c>
      <c r="L36" s="426" t="e">
        <f>#VALUE!</f>
        <v>#VALUE!</v>
      </c>
      <c r="M36" s="426" t="e">
        <f>#VALUE!</f>
        <v>#VALUE!</v>
      </c>
      <c r="N36" s="426" t="e">
        <f>#VALUE!</f>
        <v>#VALUE!</v>
      </c>
      <c r="O36" s="426" t="e">
        <f>#VALUE!</f>
        <v>#VALUE!</v>
      </c>
      <c r="P36" s="426" t="e">
        <f>#VALUE!</f>
        <v>#VALUE!</v>
      </c>
      <c r="Q36" s="426" t="e">
        <f>#VALUE!</f>
        <v>#VALUE!</v>
      </c>
      <c r="R36" s="426" t="e">
        <f>#VALUE!</f>
        <v>#VALUE!</v>
      </c>
      <c r="S36" s="426" t="e">
        <f>#VALUE!</f>
        <v>#VALUE!</v>
      </c>
      <c r="T36" s="426" t="e">
        <f>#VALUE!</f>
        <v>#VALUE!</v>
      </c>
      <c r="U36" s="426" t="e">
        <f>#VALUE!</f>
        <v>#VALUE!</v>
      </c>
      <c r="V36" s="426" t="e">
        <f>#VALUE!</f>
        <v>#VALUE!</v>
      </c>
      <c r="W36" s="426" t="e">
        <f>#VALUE!</f>
        <v>#VALUE!</v>
      </c>
      <c r="X36" s="426" t="e">
        <f>#VALUE!</f>
        <v>#VALUE!</v>
      </c>
      <c r="Y36" s="426" t="e">
        <f>#VALUE!</f>
        <v>#VALUE!</v>
      </c>
    </row>
    <row r="37" spans="1:25" ht="19.5" customHeight="1">
      <c r="A37" s="613">
        <v>30</v>
      </c>
      <c r="B37" s="437" t="e">
        <f>#VALUE!</f>
        <v>#VALUE!</v>
      </c>
      <c r="C37" s="426" t="e">
        <f>#VALUE!</f>
        <v>#VALUE!</v>
      </c>
      <c r="D37" s="426" t="e">
        <f>#VALUE!</f>
        <v>#VALUE!</v>
      </c>
      <c r="E37" s="426" t="e">
        <f>#VALUE!</f>
        <v>#VALUE!</v>
      </c>
      <c r="F37" s="426" t="e">
        <f>#VALUE!</f>
        <v>#VALUE!</v>
      </c>
      <c r="G37" s="426" t="e">
        <f>#VALUE!</f>
        <v>#VALUE!</v>
      </c>
      <c r="H37" s="426" t="e">
        <f>#VALUE!</f>
        <v>#VALUE!</v>
      </c>
      <c r="I37" s="426" t="e">
        <f>#VALUE!</f>
        <v>#VALUE!</v>
      </c>
      <c r="J37" s="426" t="e">
        <f>#VALUE!</f>
        <v>#VALUE!</v>
      </c>
      <c r="K37" s="426" t="e">
        <f>#VALUE!</f>
        <v>#VALUE!</v>
      </c>
      <c r="L37" s="426" t="e">
        <f>#VALUE!</f>
        <v>#VALUE!</v>
      </c>
      <c r="M37" s="426" t="e">
        <f>#VALUE!</f>
        <v>#VALUE!</v>
      </c>
      <c r="N37" s="426" t="e">
        <f>#VALUE!</f>
        <v>#VALUE!</v>
      </c>
      <c r="O37" s="426" t="e">
        <f>#VALUE!</f>
        <v>#VALUE!</v>
      </c>
      <c r="P37" s="426" t="e">
        <f>#VALUE!</f>
        <v>#VALUE!</v>
      </c>
      <c r="Q37" s="426" t="e">
        <f>#VALUE!</f>
        <v>#VALUE!</v>
      </c>
      <c r="R37" s="426" t="e">
        <f>#VALUE!</f>
        <v>#VALUE!</v>
      </c>
      <c r="S37" s="426" t="e">
        <f>#VALUE!</f>
        <v>#VALUE!</v>
      </c>
      <c r="T37" s="426" t="e">
        <f>#VALUE!</f>
        <v>#VALUE!</v>
      </c>
      <c r="U37" s="426" t="e">
        <f>#VALUE!</f>
        <v>#VALUE!</v>
      </c>
      <c r="V37" s="426" t="e">
        <f>#VALUE!</f>
        <v>#VALUE!</v>
      </c>
      <c r="W37" s="426" t="e">
        <f>#VALUE!</f>
        <v>#VALUE!</v>
      </c>
      <c r="X37" s="426" t="e">
        <f>#VALUE!</f>
        <v>#VALUE!</v>
      </c>
      <c r="Y37" s="426" t="e">
        <f>#VALUE!</f>
        <v>#VALUE!</v>
      </c>
    </row>
    <row r="38" spans="1:25" ht="19.5" customHeight="1">
      <c r="A38" s="1223" t="s">
        <v>244</v>
      </c>
      <c r="B38" s="1223"/>
      <c r="C38" s="1223"/>
      <c r="D38" s="611" t="e">
        <f>AVERAGE('Parte5 '!D8:D37)</f>
        <v>#VALUE!</v>
      </c>
      <c r="E38" s="1213"/>
      <c r="F38" s="1213"/>
      <c r="G38" s="611" t="e">
        <f>AVERAGE('Parte5 '!G8:G37)</f>
        <v>#VALUE!</v>
      </c>
      <c r="H38" s="1213"/>
      <c r="I38" s="1213"/>
      <c r="J38" s="611" t="e">
        <f>AVERAGE('Parte5 '!J8:J37)</f>
        <v>#VALUE!</v>
      </c>
      <c r="K38" s="1213"/>
      <c r="L38" s="1213"/>
      <c r="M38" s="611" t="e">
        <f>AVERAGE('Parte5 '!M8:M37)</f>
        <v>#VALUE!</v>
      </c>
      <c r="N38" s="1213"/>
      <c r="O38" s="1213"/>
      <c r="P38" s="611" t="e">
        <f>AVERAGE('Parte5 '!P8:P37)</f>
        <v>#VALUE!</v>
      </c>
      <c r="Q38" s="1213"/>
      <c r="R38" s="1213"/>
      <c r="S38" s="611" t="e">
        <f>AVERAGE('Parte5 '!S8:S37)</f>
        <v>#VALUE!</v>
      </c>
      <c r="T38" s="1213"/>
      <c r="U38" s="1213"/>
      <c r="V38" s="611" t="e">
        <f>AVERAGE('Parte5 '!V8:V37)</f>
        <v>#VALUE!</v>
      </c>
      <c r="W38" s="1216"/>
      <c r="X38" s="1216"/>
      <c r="Y38" s="611" t="e">
        <f>AVERAGE('Parte5 '!Y8:Y37)</f>
        <v>#VALUE!</v>
      </c>
    </row>
    <row r="39" spans="1:25" ht="13.5" customHeight="1"/>
    <row r="40" spans="1:25" ht="13.5" customHeight="1">
      <c r="C40" s="1217" t="s">
        <v>87</v>
      </c>
      <c r="D40" s="1217"/>
      <c r="E40" s="1217"/>
      <c r="F40" s="1217"/>
      <c r="G40" s="1217"/>
      <c r="H40" s="1217"/>
    </row>
    <row r="41" spans="1:25" ht="13.5" customHeight="1">
      <c r="C41" s="1218"/>
      <c r="D41" s="1218"/>
      <c r="E41" s="1217" t="s">
        <v>283</v>
      </c>
      <c r="F41" s="1217"/>
      <c r="G41" s="1217" t="s">
        <v>284</v>
      </c>
      <c r="H41" s="1217"/>
    </row>
    <row r="42" spans="1:25" ht="13.5" customHeight="1">
      <c r="C42" s="1228" t="s">
        <v>312</v>
      </c>
      <c r="D42" s="1228"/>
      <c r="E42" s="1225" t="e">
        <f>MAX('Parte5 '!B8:B37)</f>
        <v>#VALUE!</v>
      </c>
      <c r="F42" s="1225"/>
      <c r="G42" s="1225" t="e">
        <f>MIN('Parte5 '!C8:C37)</f>
        <v>#VALUE!</v>
      </c>
      <c r="H42" s="1225"/>
    </row>
    <row r="43" spans="1:25" ht="13.5" customHeight="1">
      <c r="C43" s="1228" t="s">
        <v>313</v>
      </c>
      <c r="D43" s="1228"/>
      <c r="E43" s="1225" t="e">
        <f>MAX('Parte5 '!E8:E37)</f>
        <v>#VALUE!</v>
      </c>
      <c r="F43" s="1225"/>
      <c r="G43" s="1225" t="e">
        <f>MIN('Parte5 '!F8:F37)</f>
        <v>#VALUE!</v>
      </c>
      <c r="H43" s="1225"/>
    </row>
    <row r="44" spans="1:25" ht="13.5" customHeight="1">
      <c r="C44" s="1228" t="s">
        <v>314</v>
      </c>
      <c r="D44" s="1228"/>
      <c r="E44" s="1225" t="e">
        <f>MAX('Parte5 '!H8:H37)</f>
        <v>#VALUE!</v>
      </c>
      <c r="F44" s="1225"/>
      <c r="G44" s="1225" t="e">
        <f>MIN('Parte5 '!I8:I37)</f>
        <v>#VALUE!</v>
      </c>
      <c r="H44" s="1225"/>
    </row>
    <row r="45" spans="1:25" ht="13.5" customHeight="1">
      <c r="C45" s="1228" t="s">
        <v>315</v>
      </c>
      <c r="D45" s="1228"/>
      <c r="E45" s="1225" t="e">
        <f>MAX('Parte5 '!K8:K37)</f>
        <v>#VALUE!</v>
      </c>
      <c r="F45" s="1225"/>
      <c r="G45" s="1225" t="e">
        <f>MIN('Parte5 '!L8:L37)</f>
        <v>#VALUE!</v>
      </c>
      <c r="H45" s="1225"/>
    </row>
    <row r="46" spans="1:25" ht="13.5" customHeight="1">
      <c r="C46" s="1228" t="s">
        <v>316</v>
      </c>
      <c r="D46" s="1228"/>
      <c r="E46" s="1225" t="e">
        <f>MAX('Parte5 '!N8:N37)</f>
        <v>#VALUE!</v>
      </c>
      <c r="F46" s="1225"/>
      <c r="G46" s="1225" t="e">
        <f>MIN('Parte5 '!O8:O37)</f>
        <v>#VALUE!</v>
      </c>
      <c r="H46" s="1225"/>
    </row>
    <row r="47" spans="1:25" ht="13.5" customHeight="1">
      <c r="C47" s="1228" t="s">
        <v>317</v>
      </c>
      <c r="D47" s="1228"/>
      <c r="E47" s="1225" t="e">
        <f>MAX('Parte5 '!Q8:Q37)</f>
        <v>#VALUE!</v>
      </c>
      <c r="F47" s="1225"/>
      <c r="G47" s="1225" t="e">
        <f>MIN('Parte5 '!R8:R37)</f>
        <v>#VALUE!</v>
      </c>
      <c r="H47" s="1225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L4" sqref="L4:M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29"/>
      <c r="B1" s="1229"/>
      <c r="C1" s="1230" t="s">
        <v>327</v>
      </c>
      <c r="D1" s="1230"/>
      <c r="E1" s="1230"/>
      <c r="F1" s="1230"/>
      <c r="G1" s="1230"/>
      <c r="H1" s="1230"/>
      <c r="I1" s="1230"/>
      <c r="J1" s="1230"/>
      <c r="K1" s="1230"/>
      <c r="L1" s="1230"/>
      <c r="M1" s="1230" t="s">
        <v>328</v>
      </c>
    </row>
    <row r="2" spans="1:17" ht="12.75" customHeight="1">
      <c r="A2" s="1229"/>
      <c r="B2" s="1229"/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</row>
    <row r="3" spans="1:17" ht="21.75" customHeight="1">
      <c r="A3" s="1229"/>
      <c r="B3" s="1229"/>
      <c r="C3" s="1230"/>
      <c r="D3" s="1230"/>
      <c r="E3" s="1230"/>
      <c r="F3" s="1230"/>
      <c r="G3" s="1230"/>
      <c r="H3" s="1230"/>
      <c r="I3" s="1230"/>
      <c r="J3" s="1230"/>
      <c r="K3" s="1230"/>
      <c r="L3" s="1230"/>
      <c r="M3" s="614">
        <f>'1'!$U$25</f>
        <v>44317</v>
      </c>
    </row>
    <row r="4" spans="1:17" ht="12.75" customHeight="1">
      <c r="A4" s="1231" t="s">
        <v>329</v>
      </c>
      <c r="B4" s="1231"/>
      <c r="C4" s="1231"/>
      <c r="D4" s="1231"/>
      <c r="E4" s="1231"/>
      <c r="F4" s="1231"/>
      <c r="G4" s="1231"/>
      <c r="H4" s="1231"/>
      <c r="I4" s="1231"/>
      <c r="J4" s="1231"/>
      <c r="K4" s="1232" t="s">
        <v>330</v>
      </c>
      <c r="L4" s="1233" t="s">
        <v>331</v>
      </c>
      <c r="M4" s="1233"/>
    </row>
    <row r="5" spans="1:17" ht="12.75" customHeight="1">
      <c r="A5" s="1231"/>
      <c r="B5" s="1231"/>
      <c r="C5" s="1231"/>
      <c r="D5" s="1231"/>
      <c r="E5" s="1231"/>
      <c r="F5" s="1231"/>
      <c r="G5" s="1231"/>
      <c r="H5" s="1231"/>
      <c r="I5" s="1231"/>
      <c r="J5" s="1231"/>
      <c r="K5" s="1232"/>
      <c r="L5" s="1233"/>
      <c r="M5" s="1233"/>
    </row>
    <row r="6" spans="1:17" ht="15.75" customHeight="1">
      <c r="A6" s="1234" t="s">
        <v>332</v>
      </c>
      <c r="B6" s="1235" t="s">
        <v>333</v>
      </c>
      <c r="C6" s="1236" t="s">
        <v>334</v>
      </c>
      <c r="D6" s="1237" t="s">
        <v>335</v>
      </c>
      <c r="E6" s="1237"/>
      <c r="F6" s="1237"/>
      <c r="G6" s="1237"/>
      <c r="H6" s="1237"/>
      <c r="I6" s="1237"/>
      <c r="J6" s="1237"/>
      <c r="K6" s="1237"/>
      <c r="L6" s="1237"/>
      <c r="M6" s="616" t="s">
        <v>336</v>
      </c>
      <c r="N6" s="617"/>
      <c r="O6" s="618"/>
      <c r="P6" s="618"/>
      <c r="Q6" s="618"/>
    </row>
    <row r="7" spans="1:17" ht="15.75" customHeight="1">
      <c r="A7" s="1234"/>
      <c r="B7" s="1235"/>
      <c r="C7" s="1236" t="s">
        <v>337</v>
      </c>
      <c r="D7" s="1237" t="s">
        <v>248</v>
      </c>
      <c r="E7" s="1237"/>
      <c r="F7" s="1237" t="s">
        <v>338</v>
      </c>
      <c r="G7" s="1237"/>
      <c r="H7" s="1237" t="s">
        <v>339</v>
      </c>
      <c r="I7" s="1237"/>
      <c r="J7" s="1237" t="s">
        <v>340</v>
      </c>
      <c r="K7" s="1237"/>
      <c r="L7" s="615" t="s">
        <v>341</v>
      </c>
      <c r="M7" s="552" t="s">
        <v>342</v>
      </c>
      <c r="N7" s="619"/>
      <c r="O7" s="618"/>
      <c r="P7" s="618"/>
      <c r="Q7" s="618"/>
    </row>
    <row r="8" spans="1:17" ht="15.75" customHeight="1">
      <c r="A8" s="1234"/>
      <c r="B8" s="1235"/>
      <c r="C8" s="1236"/>
      <c r="D8" s="615" t="s">
        <v>343</v>
      </c>
      <c r="E8" s="615" t="s">
        <v>46</v>
      </c>
      <c r="F8" s="615" t="s">
        <v>343</v>
      </c>
      <c r="G8" s="615" t="s">
        <v>46</v>
      </c>
      <c r="H8" s="615" t="s">
        <v>343</v>
      </c>
      <c r="I8" s="615" t="s">
        <v>46</v>
      </c>
      <c r="J8" s="615" t="s">
        <v>343</v>
      </c>
      <c r="K8" s="615" t="s">
        <v>46</v>
      </c>
      <c r="L8" s="615" t="s">
        <v>343</v>
      </c>
      <c r="M8" s="615" t="s">
        <v>46</v>
      </c>
    </row>
    <row r="9" spans="1:17" ht="16.5" customHeight="1">
      <c r="A9" s="620">
        <v>1</v>
      </c>
      <c r="B9" s="621">
        <f>'1'!$Z$37</f>
        <v>24</v>
      </c>
      <c r="C9" s="622">
        <f>'1'!Y30</f>
        <v>234313.2</v>
      </c>
      <c r="D9" s="622">
        <f>'1'!AA32</f>
        <v>56696.57</v>
      </c>
      <c r="E9" s="623">
        <f>'1'!$AB$32</f>
        <v>120.71904135043133</v>
      </c>
      <c r="F9" s="622">
        <f>'1'!AA33</f>
        <v>0</v>
      </c>
      <c r="G9" s="624" t="e">
        <f>'1'!AB33</f>
        <v>#DIV/0!</v>
      </c>
      <c r="H9" s="625">
        <f>'1'!$AK$38</f>
        <v>1589</v>
      </c>
      <c r="I9" s="624">
        <f>'1'!$AK$39</f>
        <v>6.7815214849184766</v>
      </c>
      <c r="J9" s="625" t="e">
        <f>'1'!$AQ$40</f>
        <v>#REF!</v>
      </c>
      <c r="K9" s="624" t="e">
        <f>'1'!$AQ$41</f>
        <v>#REF!</v>
      </c>
      <c r="L9" s="624"/>
      <c r="M9" s="626">
        <f>'1'!$O$19</f>
        <v>3.6750000000000003</v>
      </c>
      <c r="O9" s="627"/>
      <c r="P9" s="120"/>
    </row>
    <row r="10" spans="1:17" ht="16.5" customHeight="1">
      <c r="A10" s="620">
        <v>2</v>
      </c>
      <c r="B10" s="621">
        <f>'2'!$Z$37</f>
        <v>24</v>
      </c>
      <c r="C10" s="622">
        <f>'2'!Y30</f>
        <v>245336.4</v>
      </c>
      <c r="D10" s="622">
        <f>'2'!AA32</f>
        <v>52608.15</v>
      </c>
      <c r="E10" s="623">
        <f>'2'!$AB$32</f>
        <v>107.16088387595748</v>
      </c>
      <c r="F10" s="622">
        <f>'2'!AA33</f>
        <v>0</v>
      </c>
      <c r="G10" s="624" t="e">
        <f>'2'!AB33</f>
        <v>#DIV/0!</v>
      </c>
      <c r="H10" s="625" t="e">
        <f>'2'!$AK$38</f>
        <v>#REF!</v>
      </c>
      <c r="I10" s="624" t="e">
        <f>'2'!$AK$39</f>
        <v>#REF!</v>
      </c>
      <c r="J10" s="625">
        <f>'2'!$AQ$40</f>
        <v>1362</v>
      </c>
      <c r="K10" s="624">
        <f>'2'!$AQ$41</f>
        <v>5.551561040269605</v>
      </c>
      <c r="L10" s="624"/>
      <c r="M10" s="626">
        <f>'2'!$O$19</f>
        <v>3.2999999999999994</v>
      </c>
      <c r="O10" s="627"/>
      <c r="P10" s="120"/>
    </row>
    <row r="11" spans="1:17" ht="16.5" customHeight="1">
      <c r="A11" s="620">
        <v>3</v>
      </c>
      <c r="B11" s="621">
        <f>'3'!$Z$37</f>
        <v>24</v>
      </c>
      <c r="C11" s="622">
        <f>'3'!Y30</f>
        <v>245163.6</v>
      </c>
      <c r="D11" s="622">
        <f>'3'!AA32</f>
        <v>63853.3</v>
      </c>
      <c r="E11" s="623">
        <f>'3'!$AB$32</f>
        <v>130.24107029565295</v>
      </c>
      <c r="F11" s="622">
        <f>'3'!AA33</f>
        <v>0</v>
      </c>
      <c r="G11" s="624" t="e">
        <f>'3'!AB33</f>
        <v>#DIV/0!</v>
      </c>
      <c r="H11" s="625">
        <f>'3'!$AK$38</f>
        <v>1589</v>
      </c>
      <c r="I11" s="624">
        <f>'3'!$AK$39</f>
        <v>6.4813863069395286</v>
      </c>
      <c r="J11" s="625">
        <f>'3'!$AQ$40</f>
        <v>1362</v>
      </c>
      <c r="K11" s="624">
        <f>'3'!$AQ$41</f>
        <v>5.5554739773767396</v>
      </c>
      <c r="L11" s="624"/>
      <c r="M11" s="626">
        <f>'3'!$O$19</f>
        <v>3.3916666666666675</v>
      </c>
      <c r="O11" s="627"/>
      <c r="P11" s="120"/>
    </row>
    <row r="12" spans="1:17" ht="16.5" customHeight="1">
      <c r="A12" s="620">
        <v>4</v>
      </c>
      <c r="B12" s="621">
        <f>'4'!$Z$37</f>
        <v>24</v>
      </c>
      <c r="C12" s="622">
        <f>'4'!Y30</f>
        <v>241066.80000000002</v>
      </c>
      <c r="D12" s="622">
        <f>'4'!AA32</f>
        <v>64350.720000000001</v>
      </c>
      <c r="E12" s="623">
        <f>'4'!$AB$32</f>
        <v>133.88469066361696</v>
      </c>
      <c r="F12" s="622">
        <f>'4'!AA33</f>
        <v>0</v>
      </c>
      <c r="G12" s="624" t="e">
        <f>'4'!AB33</f>
        <v>#DIV/0!</v>
      </c>
      <c r="H12" s="625">
        <f>'4'!$AK$38</f>
        <v>1588.2423874999999</v>
      </c>
      <c r="I12" s="624">
        <f>'4'!$AK$39</f>
        <v>6.5883912156298576</v>
      </c>
      <c r="J12" s="625">
        <f>'4'!$AQ$40</f>
        <v>1598.2313333333323</v>
      </c>
      <c r="K12" s="624">
        <f>'4'!$AQ$41</f>
        <v>6.6298276383696644</v>
      </c>
      <c r="L12" s="624"/>
      <c r="M12" s="626">
        <f>'4'!$O$19</f>
        <v>3.3916666666666675</v>
      </c>
      <c r="O12" s="627"/>
      <c r="P12" s="120"/>
    </row>
    <row r="13" spans="1:17" ht="16.5" customHeight="1">
      <c r="A13" s="620">
        <v>5</v>
      </c>
      <c r="B13" s="621">
        <f>'5'!$Z$37</f>
        <v>24</v>
      </c>
      <c r="C13" s="622">
        <f>'5'!Y30</f>
        <v>246333.6</v>
      </c>
      <c r="D13" s="622">
        <f>'5'!AA32</f>
        <v>63159.040000000001</v>
      </c>
      <c r="E13" s="623">
        <f>'5'!$AB$32</f>
        <v>128.29920728700105</v>
      </c>
      <c r="F13" s="622">
        <f>'5'!AA33</f>
        <v>0</v>
      </c>
      <c r="G13" s="624" t="e">
        <f>'5'!AB33</f>
        <v>#DIV/0!</v>
      </c>
      <c r="H13" s="625">
        <f>'5'!$AK$38</f>
        <v>1678.1429000000001</v>
      </c>
      <c r="I13" s="624">
        <f>'5'!$AK$39</f>
        <v>6.8124807172062596</v>
      </c>
      <c r="J13" s="625">
        <f>'5'!$AQ$40</f>
        <v>1460.3666666666663</v>
      </c>
      <c r="K13" s="624">
        <f>'5'!$AQ$41</f>
        <v>5.9284103616667245</v>
      </c>
      <c r="L13" s="624"/>
      <c r="M13" s="626">
        <f>'5'!$O$19</f>
        <v>3.7833333333333345</v>
      </c>
      <c r="O13" s="627"/>
      <c r="P13" s="120"/>
    </row>
    <row r="14" spans="1:17" ht="15" customHeight="1">
      <c r="A14" s="620">
        <v>6</v>
      </c>
      <c r="B14" s="621">
        <f>'6'!$Z$37</f>
        <v>24</v>
      </c>
      <c r="C14" s="622">
        <f>'6'!Y30</f>
        <v>241869.6</v>
      </c>
      <c r="D14" s="622">
        <f>'6'!AA32</f>
        <v>56562.240000000005</v>
      </c>
      <c r="E14" s="623">
        <f>'6'!$AB$32</f>
        <v>117.3163893376029</v>
      </c>
      <c r="F14" s="622">
        <f>'6'!AA33</f>
        <v>0</v>
      </c>
      <c r="G14" s="624" t="e">
        <f>'6'!AB33</f>
        <v>#DIV/0!</v>
      </c>
      <c r="H14" s="625">
        <f>'6'!$AK$38</f>
        <v>1589</v>
      </c>
      <c r="I14" s="624">
        <f>'6'!$AK$39</f>
        <v>6.5696557153110602</v>
      </c>
      <c r="J14" s="625">
        <f>'6'!$AQ$40</f>
        <v>1362</v>
      </c>
      <c r="K14" s="624">
        <f>'6'!$AQ$41</f>
        <v>5.6311334702666223</v>
      </c>
      <c r="L14" s="624"/>
      <c r="M14" s="626">
        <f>'6'!$O$19</f>
        <v>3.6333333333333342</v>
      </c>
      <c r="O14" s="627"/>
      <c r="P14" s="120"/>
    </row>
    <row r="15" spans="1:17" ht="15" customHeight="1">
      <c r="A15" s="620">
        <v>7</v>
      </c>
      <c r="B15" s="621">
        <f>'7'!$Z$37</f>
        <v>24</v>
      </c>
      <c r="C15" s="622">
        <f>'7'!Y30</f>
        <v>248302.80000000002</v>
      </c>
      <c r="D15" s="622">
        <f>'7'!AA32</f>
        <v>55503.360000000001</v>
      </c>
      <c r="E15" s="623">
        <f>'7'!$AB$32</f>
        <v>117.3163893376029</v>
      </c>
      <c r="F15" s="622">
        <f>'7'!AA33</f>
        <v>0</v>
      </c>
      <c r="G15" s="624" t="e">
        <f>'7'!AB33</f>
        <v>#DIV/0!</v>
      </c>
      <c r="H15" s="625">
        <f>'7'!$AK$38</f>
        <v>1589</v>
      </c>
      <c r="I15" s="624">
        <f>'7'!$AK$39</f>
        <v>6.3994445491553051</v>
      </c>
      <c r="J15" s="625">
        <f>'7'!$AQ$40</f>
        <v>1343.0833333333335</v>
      </c>
      <c r="K15" s="624">
        <f>'7'!$AQ$41</f>
        <v>5.4090543213098412</v>
      </c>
      <c r="L15" s="624"/>
      <c r="M15" s="626">
        <f>'7'!$O$19</f>
        <v>3.6166666666666671</v>
      </c>
      <c r="O15" s="627"/>
      <c r="P15" s="120"/>
    </row>
    <row r="16" spans="1:17" ht="16.5" customHeight="1">
      <c r="A16" s="620">
        <v>8</v>
      </c>
      <c r="B16" s="621">
        <f>'8'!$Z$37</f>
        <v>24</v>
      </c>
      <c r="C16" s="622">
        <f>'8'!Y30</f>
        <v>261126</v>
      </c>
      <c r="D16" s="622">
        <f>'8'!AA32</f>
        <v>55923.840000000004</v>
      </c>
      <c r="E16" s="623">
        <f>'8'!$AB$32</f>
        <v>107.12568839101823</v>
      </c>
      <c r="F16" s="622">
        <f>'8'!AA33</f>
        <v>0</v>
      </c>
      <c r="G16" s="624" t="e">
        <f>'8'!AB33</f>
        <v>#DIV/0!</v>
      </c>
      <c r="H16" s="625">
        <f>'8'!$AK$38</f>
        <v>1759.2499999999998</v>
      </c>
      <c r="I16" s="624">
        <f>'8'!$AK$39</f>
        <v>6.7371690295106568</v>
      </c>
      <c r="J16" s="625">
        <f>'8'!$AQ$40</f>
        <v>1362</v>
      </c>
      <c r="K16" s="624">
        <f>'8'!$AQ$41</f>
        <v>5.2158727970405092</v>
      </c>
      <c r="L16" s="624"/>
      <c r="M16" s="626">
        <f>'8'!$O$19</f>
        <v>3.6666666666666674</v>
      </c>
      <c r="O16" s="627"/>
      <c r="P16" s="120"/>
      <c r="Q16" s="628" t="s">
        <v>153</v>
      </c>
    </row>
    <row r="17" spans="1:16" ht="16.5" customHeight="1">
      <c r="A17" s="620">
        <v>9</v>
      </c>
      <c r="B17" s="621">
        <f>'9'!$Z$37</f>
        <v>24</v>
      </c>
      <c r="C17" s="622">
        <f>'9'!Y30</f>
        <v>254260.80000000002</v>
      </c>
      <c r="D17" s="622">
        <f>'9'!AA32</f>
        <v>55923.840000000004</v>
      </c>
      <c r="E17" s="623">
        <f>'9'!$AB$32</f>
        <v>110.11622347002424</v>
      </c>
      <c r="F17" s="622">
        <f>'9'!AA33</f>
        <v>0</v>
      </c>
      <c r="G17" s="624" t="e">
        <f>'9'!AB33</f>
        <v>#DIV/0!</v>
      </c>
      <c r="H17" s="625">
        <f>'9'!$AK$38</f>
        <v>1815.9999999999998</v>
      </c>
      <c r="I17" s="624">
        <f>'9'!$AK$39</f>
        <v>7.142272815943314</v>
      </c>
      <c r="J17" s="625">
        <f>'9'!$AQ$40</f>
        <v>1362</v>
      </c>
      <c r="K17" s="624">
        <f>'9'!$AQ$41</f>
        <v>5.3567046119574862</v>
      </c>
      <c r="L17" s="624"/>
      <c r="M17" s="626">
        <f>'9'!$O$19</f>
        <v>3.4750000000000014</v>
      </c>
      <c r="O17" s="627"/>
      <c r="P17" s="120"/>
    </row>
    <row r="18" spans="1:16" ht="16.5" customHeight="1">
      <c r="A18" s="620">
        <v>10</v>
      </c>
      <c r="B18" s="621">
        <f>'10'!$Z$37</f>
        <v>24</v>
      </c>
      <c r="C18" s="622">
        <f>'10'!Y30</f>
        <v>238788</v>
      </c>
      <c r="D18" s="622">
        <f>'10'!AA32</f>
        <v>51610.65</v>
      </c>
      <c r="E18" s="623">
        <f>'10'!$AB$32</f>
        <v>108.21263984155814</v>
      </c>
      <c r="F18" s="622">
        <f>'10'!AA33</f>
        <v>0</v>
      </c>
      <c r="G18" s="624" t="e">
        <f>'10'!AB33</f>
        <v>#DIV/0!</v>
      </c>
      <c r="H18" s="625">
        <f>'10'!$AK$38</f>
        <v>1815.9999999999998</v>
      </c>
      <c r="I18" s="624">
        <f>'10'!$AK$39</f>
        <v>7.6050722816891962</v>
      </c>
      <c r="J18" s="625">
        <f>'10'!$AQ$40</f>
        <v>1362</v>
      </c>
      <c r="K18" s="624">
        <f>'10'!$AQ$41</f>
        <v>5.7038042112668981</v>
      </c>
      <c r="L18" s="624"/>
      <c r="M18" s="626">
        <f>'10'!$O$19</f>
        <v>3.4166666666666674</v>
      </c>
      <c r="O18" s="627"/>
      <c r="P18" s="120"/>
    </row>
    <row r="19" spans="1:16" ht="16.5" customHeight="1">
      <c r="A19" s="620">
        <v>11</v>
      </c>
      <c r="B19" s="621">
        <f>'11'!$Z$37</f>
        <v>24</v>
      </c>
      <c r="C19" s="622">
        <f>'11'!Y30</f>
        <v>243378</v>
      </c>
      <c r="D19" s="622">
        <f>'11'!AA32</f>
        <v>49217.98</v>
      </c>
      <c r="E19" s="623">
        <f>'11'!$AB$32</f>
        <v>110.14052555558251</v>
      </c>
      <c r="F19" s="622">
        <f>'11'!AA33</f>
        <v>0</v>
      </c>
      <c r="G19" s="624" t="e">
        <f>'11'!AB33</f>
        <v>#DIV/0!</v>
      </c>
      <c r="H19" s="625">
        <f>'11'!$AK$38</f>
        <v>1815.9999999999998</v>
      </c>
      <c r="I19" s="624">
        <f>'11'!$AK$39</f>
        <v>7.4616440269868258</v>
      </c>
      <c r="J19" s="625">
        <f>'11'!$AQ$40</f>
        <v>1362</v>
      </c>
      <c r="K19" s="624">
        <f>'11'!$AQ$41</f>
        <v>5.5962330202401205</v>
      </c>
      <c r="L19" s="624"/>
      <c r="M19" s="626">
        <f>'11'!$O$19</f>
        <v>3.5</v>
      </c>
      <c r="O19" s="627"/>
      <c r="P19" s="120"/>
    </row>
    <row r="20" spans="1:16" ht="16.5" customHeight="1">
      <c r="A20" s="620">
        <v>12</v>
      </c>
      <c r="B20" s="621">
        <f>'12'!$Z$37</f>
        <v>24</v>
      </c>
      <c r="C20" s="622">
        <f>'12'!Y30</f>
        <v>229050</v>
      </c>
      <c r="D20" s="622">
        <f>'12'!AA32</f>
        <v>55556.76</v>
      </c>
      <c r="E20" s="623" t="e">
        <f>'12'!$AB$32</f>
        <v>#DIV/0!</v>
      </c>
      <c r="F20" s="622">
        <f>'12'!AA33</f>
        <v>0</v>
      </c>
      <c r="G20" s="624" t="e">
        <f>'12'!AB33</f>
        <v>#DIV/0!</v>
      </c>
      <c r="H20" s="625">
        <f>'12'!$AK$38</f>
        <v>1021.5000000000005</v>
      </c>
      <c r="I20" s="624">
        <f>'12'!$AK$39</f>
        <v>4.4597249508840884</v>
      </c>
      <c r="J20" s="625">
        <f>'12'!$AQ$40</f>
        <v>1494.4166666666667</v>
      </c>
      <c r="K20" s="624">
        <f>'12'!$AQ$41</f>
        <v>6.5244124281452383</v>
      </c>
      <c r="L20" s="624"/>
      <c r="M20" s="626">
        <f>'12'!$O$19</f>
        <v>3.5500000000000007</v>
      </c>
      <c r="O20" s="627"/>
      <c r="P20" s="120"/>
    </row>
    <row r="21" spans="1:16" ht="16.5" customHeight="1">
      <c r="A21" s="620">
        <v>13</v>
      </c>
      <c r="B21" s="621">
        <f>'13'!$Z$38</f>
        <v>24</v>
      </c>
      <c r="C21" s="622">
        <f>'13'!Y31</f>
        <v>252018</v>
      </c>
      <c r="D21" s="622">
        <f>'13'!AA33</f>
        <v>50928.36</v>
      </c>
      <c r="E21" s="623" t="e">
        <f>'13'!$AB$33</f>
        <v>#REF!</v>
      </c>
      <c r="F21" s="622">
        <f>'13'!AA34</f>
        <v>0</v>
      </c>
      <c r="G21" s="624" t="e">
        <f>'13'!AB34</f>
        <v>#DIV/0!</v>
      </c>
      <c r="H21" s="625">
        <f>'13'!$AK$39</f>
        <v>1815.9999999999998</v>
      </c>
      <c r="I21" s="624">
        <f>'13'!$AK$40</f>
        <v>7.2058345038846419</v>
      </c>
      <c r="J21" s="625">
        <f>'13'!$AQ$41</f>
        <v>1362</v>
      </c>
      <c r="K21" s="624">
        <f>'13'!$AQ$42</f>
        <v>5.4043758779134823</v>
      </c>
      <c r="L21" s="624"/>
      <c r="M21" s="626">
        <f>'13'!$O$19</f>
        <v>3.6999999999999993</v>
      </c>
      <c r="O21" s="627"/>
      <c r="P21" s="120"/>
    </row>
    <row r="22" spans="1:16" ht="16.5" customHeight="1">
      <c r="A22" s="620">
        <v>14</v>
      </c>
      <c r="B22" s="621">
        <f>'14'!$Z$37</f>
        <v>24</v>
      </c>
      <c r="C22" s="622">
        <f>'14'!Y30</f>
        <v>249058.80000000002</v>
      </c>
      <c r="D22" s="622">
        <f>'14'!AA32</f>
        <v>48015.66</v>
      </c>
      <c r="E22" s="623" t="e">
        <f>'14'!$AB$32</f>
        <v>#REF!</v>
      </c>
      <c r="F22" s="622">
        <f>'14'!AA33</f>
        <v>0</v>
      </c>
      <c r="G22" s="624" t="e">
        <f>'14'!AB33</f>
        <v>#DIV/0!</v>
      </c>
      <c r="H22" s="625" t="e">
        <f>'14'!$AK$38</f>
        <v>#REF!</v>
      </c>
      <c r="I22" s="624" t="e">
        <f>'14'!$AK$39</f>
        <v>#REF!</v>
      </c>
      <c r="J22" s="625" t="e">
        <f>'14'!$AQ$40</f>
        <v>#REF!</v>
      </c>
      <c r="K22" s="624" t="e">
        <f>'14'!$AQ$41</f>
        <v>#REF!</v>
      </c>
      <c r="L22" s="624"/>
      <c r="M22" s="626">
        <f>'14'!$O$19</f>
        <v>3.5250000000000008</v>
      </c>
      <c r="O22" s="627"/>
      <c r="P22" s="120"/>
    </row>
    <row r="23" spans="1:16" ht="16.5" customHeight="1">
      <c r="A23" s="620">
        <v>15</v>
      </c>
      <c r="B23" s="621">
        <f>'15'!$Z$37</f>
        <v>24</v>
      </c>
      <c r="C23" s="622">
        <f>'15'!Y30</f>
        <v>239043.6</v>
      </c>
      <c r="D23" s="622">
        <f>'15'!AA32</f>
        <v>46640.44</v>
      </c>
      <c r="E23" s="623">
        <f>'15'!$AB$32</f>
        <v>99.451132670994824</v>
      </c>
      <c r="F23" s="622">
        <f>'15'!AA33</f>
        <v>0</v>
      </c>
      <c r="G23" s="624" t="e">
        <f>'15'!AB33</f>
        <v>#DIV/0!</v>
      </c>
      <c r="H23" s="625">
        <f>'15'!$AK$38</f>
        <v>1589</v>
      </c>
      <c r="I23" s="624">
        <f>'15'!$AK$39</f>
        <v>6.6473229151502071</v>
      </c>
      <c r="J23" s="625">
        <f>'15'!$AQ$40</f>
        <v>1316.6</v>
      </c>
      <c r="K23" s="624">
        <f>'15'!$AQ$41</f>
        <v>5.5077818439815998</v>
      </c>
      <c r="L23" s="624"/>
      <c r="M23" s="626">
        <f>'15'!$O$19</f>
        <v>3.1749999999999994</v>
      </c>
      <c r="O23" s="627"/>
      <c r="P23" s="629"/>
    </row>
    <row r="24" spans="1:16" ht="16.5" customHeight="1">
      <c r="A24" s="620">
        <v>16</v>
      </c>
      <c r="B24" s="621">
        <f>'16'!$Z$37</f>
        <v>24</v>
      </c>
      <c r="C24" s="622">
        <f>'16'!Y30</f>
        <v>234939.6</v>
      </c>
      <c r="D24" s="622">
        <f>'16'!AA32</f>
        <v>44938.04</v>
      </c>
      <c r="E24" s="623">
        <f>'16'!$AB$32</f>
        <v>95.977580064669795</v>
      </c>
      <c r="F24" s="622">
        <f>'16'!AA33</f>
        <v>0</v>
      </c>
      <c r="G24" s="624" t="e">
        <f>'16'!AB33</f>
        <v>#DIV/0!</v>
      </c>
      <c r="H24" s="625" t="e">
        <f>'16'!$AK$38</f>
        <v>#REF!</v>
      </c>
      <c r="I24" s="624" t="e">
        <f>'16'!$AK$39</f>
        <v>#REF!</v>
      </c>
      <c r="J24" s="625">
        <f>'16'!$AQ$40</f>
        <v>1362</v>
      </c>
      <c r="K24" s="624">
        <f>'16'!$AQ$41</f>
        <v>5.7972346935127153</v>
      </c>
      <c r="L24" s="624"/>
      <c r="M24" s="626">
        <f>'16'!$O$19</f>
        <v>3.1416666666666671</v>
      </c>
      <c r="O24" s="627"/>
      <c r="P24" s="629"/>
    </row>
    <row r="25" spans="1:16" ht="16.5" customHeight="1">
      <c r="A25" s="620">
        <v>17</v>
      </c>
      <c r="B25" s="621">
        <f>'17'!$Z$37</f>
        <v>24</v>
      </c>
      <c r="C25" s="622">
        <f>'17'!Y30</f>
        <v>243745.2</v>
      </c>
      <c r="D25" s="622">
        <f>'17'!AA32</f>
        <v>41240.639999999999</v>
      </c>
      <c r="E25" s="623">
        <f>'17'!$AB$32</f>
        <v>84.55063934805365</v>
      </c>
      <c r="F25" s="622">
        <f>'17'!AA33</f>
        <v>0</v>
      </c>
      <c r="G25" s="624" t="e">
        <f>'17'!AB33</f>
        <v>#DIV/0!</v>
      </c>
      <c r="H25" s="625">
        <f>'17'!$AK$38</f>
        <v>1589</v>
      </c>
      <c r="I25" s="624">
        <f>'17'!$AK$39</f>
        <v>6.5191027351512973</v>
      </c>
      <c r="J25" s="625">
        <f>'17'!$AQ$40</f>
        <v>1362</v>
      </c>
      <c r="K25" s="624">
        <f>'17'!$AQ$41</f>
        <v>5.5878023444153975</v>
      </c>
      <c r="L25" s="624"/>
      <c r="M25" s="626">
        <f>'17'!$O$19</f>
        <v>3.7166666666666668</v>
      </c>
      <c r="N25" t="s">
        <v>344</v>
      </c>
      <c r="O25" s="627"/>
      <c r="P25" s="629"/>
    </row>
    <row r="26" spans="1:16" ht="16.5" customHeight="1">
      <c r="A26" s="620">
        <v>18</v>
      </c>
      <c r="B26" s="621">
        <f>'18'!$Z$37</f>
        <v>24</v>
      </c>
      <c r="C26" s="622">
        <f>'18'!Y30</f>
        <v>220388.4</v>
      </c>
      <c r="D26" s="622">
        <f>'18'!AA32</f>
        <v>40160.68</v>
      </c>
      <c r="E26" s="623" t="e">
        <f>'18'!$AB$32</f>
        <v>#REF!</v>
      </c>
      <c r="F26" s="622">
        <f>'18'!AA33</f>
        <v>0</v>
      </c>
      <c r="G26" s="624" t="e">
        <f>'18'!AB33</f>
        <v>#DIV/0!</v>
      </c>
      <c r="H26" s="625">
        <f>'18'!$AK$38</f>
        <v>988.90563750000001</v>
      </c>
      <c r="I26" s="624">
        <f>'18'!$AK$39</f>
        <v>4.4871038471171802</v>
      </c>
      <c r="J26" s="625">
        <f>'18'!$AQ$40</f>
        <v>1532.2500000000005</v>
      </c>
      <c r="K26" s="624">
        <f>'18'!$AQ$41</f>
        <v>6.9524984073571954</v>
      </c>
      <c r="L26" s="624"/>
      <c r="M26" s="626">
        <f>'18'!$O$19</f>
        <v>3.6583333333333337</v>
      </c>
      <c r="O26" s="627"/>
      <c r="P26" s="120"/>
    </row>
    <row r="27" spans="1:16" ht="16.5" customHeight="1">
      <c r="A27" s="620">
        <v>19</v>
      </c>
      <c r="B27" s="621">
        <f>'19'!$Z$37</f>
        <v>24</v>
      </c>
      <c r="C27" s="622">
        <f>'19'!Y30</f>
        <v>247942.80000000002</v>
      </c>
      <c r="D27" s="622">
        <f>'19'!AA32</f>
        <v>47465.04</v>
      </c>
      <c r="E27" s="623">
        <f>'19'!$AB$32</f>
        <v>96.064803685061236</v>
      </c>
      <c r="F27" s="622">
        <f>'19'!AA33</f>
        <v>0</v>
      </c>
      <c r="G27" s="624" t="e">
        <f>'19'!AB33</f>
        <v>#DIV/0!</v>
      </c>
      <c r="H27" s="625">
        <f>'19'!$AK$38</f>
        <v>0</v>
      </c>
      <c r="I27" s="624">
        <f>'19'!$AK$39</f>
        <v>0</v>
      </c>
      <c r="J27" s="625">
        <f>'19'!$AQ$40</f>
        <v>1816.0000000000007</v>
      </c>
      <c r="K27" s="624">
        <f>'19'!$AQ$41</f>
        <v>7.3242699525858406</v>
      </c>
      <c r="L27" s="624"/>
      <c r="M27" s="626">
        <f>'19'!$O$19</f>
        <v>3.3583333333333338</v>
      </c>
      <c r="O27" s="627"/>
      <c r="P27" s="120"/>
    </row>
    <row r="28" spans="1:16" ht="16.5" customHeight="1">
      <c r="A28" s="620">
        <v>20</v>
      </c>
      <c r="B28" s="621">
        <f>'20'!$Z$37</f>
        <v>24</v>
      </c>
      <c r="C28" s="622">
        <f>'20'!Y30</f>
        <v>258732</v>
      </c>
      <c r="D28" s="622">
        <f>'20'!AA32</f>
        <v>50497.440000000002</v>
      </c>
      <c r="E28" s="623">
        <f>'20'!$AB$32</f>
        <v>97.639649106827449</v>
      </c>
      <c r="F28" s="622">
        <f>'20'!AA33</f>
        <v>0</v>
      </c>
      <c r="G28" s="624" t="e">
        <f>'20'!AB33</f>
        <v>#DIV/0!</v>
      </c>
      <c r="H28" s="625">
        <f>'20'!$AK$38</f>
        <v>0</v>
      </c>
      <c r="I28" s="624">
        <f>'20'!$AK$39</f>
        <v>0</v>
      </c>
      <c r="J28" s="625">
        <f>'20'!$AQ$40</f>
        <v>2122.4499999999994</v>
      </c>
      <c r="K28" s="624">
        <f>'20'!$AQ$41</f>
        <v>8.2032759766862995</v>
      </c>
      <c r="L28" s="624"/>
      <c r="M28" s="626">
        <f>'20'!$O$19</f>
        <v>2.7666666666666671</v>
      </c>
      <c r="O28" s="627"/>
      <c r="P28" s="120"/>
    </row>
    <row r="29" spans="1:16" ht="16.5" customHeight="1">
      <c r="A29" s="620">
        <v>21</v>
      </c>
      <c r="B29" s="621">
        <f>'21'!$Z$37</f>
        <v>24</v>
      </c>
      <c r="C29" s="622">
        <f>'21'!Y30</f>
        <v>257734.80000000002</v>
      </c>
      <c r="D29" s="622">
        <f>'21'!AA32</f>
        <v>50497.440000000002</v>
      </c>
      <c r="E29" s="623">
        <f>'21'!$AB$32</f>
        <v>98.022563377892411</v>
      </c>
      <c r="F29" s="622">
        <f>'21'!AA33</f>
        <v>0</v>
      </c>
      <c r="G29" s="624" t="e">
        <f>'21'!AB33</f>
        <v>#DIV/0!</v>
      </c>
      <c r="H29" s="625">
        <f>'21'!$AK$38</f>
        <v>0</v>
      </c>
      <c r="I29" s="624">
        <f>'21'!$AK$39</f>
        <v>0</v>
      </c>
      <c r="J29" s="625">
        <f>'21'!$AQ$40</f>
        <v>2270</v>
      </c>
      <c r="K29" s="624">
        <f>'21'!$AQ$41</f>
        <v>8.8075029060879633</v>
      </c>
      <c r="L29" s="624"/>
      <c r="M29" s="626">
        <f>'21'!$O$19</f>
        <v>3.2333333333333325</v>
      </c>
      <c r="O29" s="627"/>
      <c r="P29" s="120"/>
    </row>
    <row r="30" spans="1:16" ht="16.5" customHeight="1">
      <c r="A30" s="620">
        <v>22</v>
      </c>
      <c r="B30" s="621">
        <f>'22'!$Z$37</f>
        <v>24</v>
      </c>
      <c r="C30" s="622">
        <f>'22'!Y30</f>
        <v>347382</v>
      </c>
      <c r="D30" s="622">
        <f>'22'!AA32</f>
        <v>50497.440000000002</v>
      </c>
      <c r="E30" s="623">
        <f>'22'!$AB$32</f>
        <v>95.367391540196977</v>
      </c>
      <c r="F30" s="622">
        <f>'22'!AA33</f>
        <v>0</v>
      </c>
      <c r="G30" s="624" t="e">
        <f>'22'!AB33</f>
        <v>#DIV/0!</v>
      </c>
      <c r="H30" s="625">
        <f>'22'!$AK$38</f>
        <v>0</v>
      </c>
      <c r="I30" s="624">
        <f>'22'!$AK$39</f>
        <v>0</v>
      </c>
      <c r="J30" s="625">
        <f>'22'!$AQ$40</f>
        <v>2270</v>
      </c>
      <c r="K30" s="624">
        <f>'22'!$AQ$41</f>
        <v>6.5345930416659463</v>
      </c>
      <c r="L30" s="624"/>
      <c r="M30" s="626">
        <f>'22'!$O$19</f>
        <v>3</v>
      </c>
      <c r="O30" s="627"/>
      <c r="P30" s="120"/>
    </row>
    <row r="31" spans="1:16" ht="16.5" customHeight="1">
      <c r="A31" s="620">
        <v>23</v>
      </c>
      <c r="B31" s="621">
        <f>'23'!$Z$37</f>
        <v>24</v>
      </c>
      <c r="C31" s="622">
        <f>'23'!Y30</f>
        <v>244864.80000000002</v>
      </c>
      <c r="D31" s="622">
        <f>'23'!AA32</f>
        <v>49965.920000000006</v>
      </c>
      <c r="E31" s="623">
        <f>'23'!$AB$32</f>
        <v>102.17241254644021</v>
      </c>
      <c r="F31" s="622">
        <f>'23'!AA33</f>
        <v>0</v>
      </c>
      <c r="G31" s="624" t="e">
        <f>'23'!AB33</f>
        <v>#DIV/0!</v>
      </c>
      <c r="H31" s="625">
        <f>'23'!$AK$38</f>
        <v>0</v>
      </c>
      <c r="I31" s="624">
        <f>'23'!$AK$39</f>
        <v>0</v>
      </c>
      <c r="J31" s="625">
        <f>'23'!$AQ$40</f>
        <v>2300.2666666666664</v>
      </c>
      <c r="K31" s="624">
        <f>'23'!$AQ$41</f>
        <v>9.3940275068799846</v>
      </c>
      <c r="L31" s="624"/>
      <c r="M31" s="626">
        <f>'23'!$O$19</f>
        <v>2.933333333333334</v>
      </c>
      <c r="N31" t="s">
        <v>143</v>
      </c>
      <c r="O31" s="627"/>
      <c r="P31" s="120"/>
    </row>
    <row r="32" spans="1:16" ht="16.5" customHeight="1">
      <c r="A32" s="620">
        <v>24</v>
      </c>
      <c r="B32" s="621">
        <f>'24'!$Z$37</f>
        <v>24</v>
      </c>
      <c r="C32" s="622">
        <f>'24'!Y30</f>
        <v>239853.6</v>
      </c>
      <c r="D32" s="622">
        <f>'24'!AA32</f>
        <v>50497.440000000002</v>
      </c>
      <c r="E32" s="623">
        <f>'24'!$AB$32</f>
        <v>105.34668287982448</v>
      </c>
      <c r="F32" s="622">
        <f>'24'!AA33</f>
        <v>0</v>
      </c>
      <c r="G32" s="624" t="e">
        <f>'24'!AB33</f>
        <v>#DIV/0!</v>
      </c>
      <c r="H32" s="625">
        <f>'24'!$AK$38</f>
        <v>0</v>
      </c>
      <c r="I32" s="624">
        <f>'24'!$AK$39</f>
        <v>0</v>
      </c>
      <c r="J32" s="625">
        <f>'24'!AQ40</f>
        <v>2360.7999999999993</v>
      </c>
      <c r="K32" s="624">
        <f>'24'!$AQ$41</f>
        <v>9.8426706957910959</v>
      </c>
      <c r="L32" s="624"/>
      <c r="M32" s="626">
        <f>'24'!$O$19</f>
        <v>3.1666666666666661</v>
      </c>
      <c r="O32" s="627"/>
      <c r="P32" s="120"/>
    </row>
    <row r="33" spans="1:16" ht="16.5" customHeight="1">
      <c r="A33" s="620">
        <v>25</v>
      </c>
      <c r="B33" s="621">
        <f>'25'!$Z$37</f>
        <v>24</v>
      </c>
      <c r="C33" s="622">
        <f>'25'!Y30</f>
        <v>248454</v>
      </c>
      <c r="D33" s="622">
        <f>'25'!AA32</f>
        <v>48606.18</v>
      </c>
      <c r="E33" s="623">
        <f>'25'!$AB$32</f>
        <v>97.84234011337891</v>
      </c>
      <c r="F33" s="622">
        <f>'25'!AA33</f>
        <v>0</v>
      </c>
      <c r="G33" s="624" t="e">
        <f>'25'!AB33</f>
        <v>#DIV/0!</v>
      </c>
      <c r="H33" s="625">
        <f>'25'!$AK$38</f>
        <v>0</v>
      </c>
      <c r="I33" s="624">
        <f>'25'!$AK$39</f>
        <v>0</v>
      </c>
      <c r="J33" s="625">
        <f>'25'!$AQ$40</f>
        <v>2360.7999999999993</v>
      </c>
      <c r="K33" s="624">
        <f>'25'!$AQ$41</f>
        <v>9.5019601213906775</v>
      </c>
      <c r="L33" s="624"/>
      <c r="M33" s="626">
        <f>'25'!$O$19</f>
        <v>3.4666666666666663</v>
      </c>
      <c r="O33" s="627"/>
      <c r="P33" s="120"/>
    </row>
    <row r="34" spans="1:16" ht="16.5" customHeight="1">
      <c r="A34" s="620">
        <v>26</v>
      </c>
      <c r="B34" s="621">
        <f>'26'!$Z$37</f>
        <v>24</v>
      </c>
      <c r="C34" s="622">
        <f>'26'!Y30</f>
        <v>240865.2</v>
      </c>
      <c r="D34" s="622">
        <f>'26'!AA32</f>
        <v>47975.76</v>
      </c>
      <c r="E34" s="623">
        <f>'26'!$AB$32</f>
        <v>99.712958927157786</v>
      </c>
      <c r="F34" s="622">
        <f>'26'!AA33</f>
        <v>0</v>
      </c>
      <c r="G34" s="624" t="e">
        <f>'26'!AB33</f>
        <v>#DIV/0!</v>
      </c>
      <c r="H34" s="625">
        <f>'26'!$AK$38</f>
        <v>0</v>
      </c>
      <c r="I34" s="624">
        <f>'26'!$AK$39</f>
        <v>0</v>
      </c>
      <c r="J34" s="625">
        <f>'26'!$AQ$40</f>
        <v>2360.7999999999993</v>
      </c>
      <c r="K34" s="624">
        <f>'26'!$AQ$41</f>
        <v>9.8013328617002333</v>
      </c>
      <c r="L34" s="624"/>
      <c r="M34" s="626">
        <f>'26'!$O$19</f>
        <v>3.4999999999999996</v>
      </c>
      <c r="O34" s="627"/>
      <c r="P34" s="120"/>
    </row>
    <row r="35" spans="1:16" ht="16.5" customHeight="1">
      <c r="A35" s="620">
        <v>27</v>
      </c>
      <c r="B35" s="621">
        <f>'27'!$Z$37</f>
        <v>24</v>
      </c>
      <c r="C35" s="622">
        <f>'27'!Y30</f>
        <v>242449.2</v>
      </c>
      <c r="D35" s="622">
        <f>'27'!AA32</f>
        <v>50497.440000000002</v>
      </c>
      <c r="E35" s="623">
        <f>'27'!$AB$32</f>
        <v>107.3081515163487</v>
      </c>
      <c r="F35" s="622">
        <f>'27'!AA33</f>
        <v>0</v>
      </c>
      <c r="G35" s="624" t="e">
        <f>'27'!AB33</f>
        <v>#DIV/0!</v>
      </c>
      <c r="H35" s="625">
        <f>'27'!$AK$38</f>
        <v>0</v>
      </c>
      <c r="I35" s="624">
        <f>'27'!$AK$39</f>
        <v>0</v>
      </c>
      <c r="J35" s="625">
        <f>'27'!$AQ$40</f>
        <v>2360.7999999999993</v>
      </c>
      <c r="K35" s="624">
        <f>'27'!$AQ$41</f>
        <v>9.737297545217718</v>
      </c>
      <c r="L35" s="624"/>
      <c r="M35" s="626">
        <f>'27'!$O$19</f>
        <v>3.5</v>
      </c>
      <c r="O35" s="627"/>
      <c r="P35" s="630"/>
    </row>
    <row r="36" spans="1:16" ht="16.5" customHeight="1">
      <c r="A36" s="620">
        <v>28</v>
      </c>
      <c r="B36" s="621">
        <f>'28'!$Z$37</f>
        <v>24</v>
      </c>
      <c r="C36" s="622">
        <f>'28'!Y30</f>
        <v>235591.2</v>
      </c>
      <c r="D36" s="622">
        <f>'28'!AA32</f>
        <v>50497.440000000002</v>
      </c>
      <c r="E36" s="623">
        <f>'28'!$AB$32</f>
        <v>107.3081515163487</v>
      </c>
      <c r="F36" s="622">
        <f>'28'!AA33</f>
        <v>0</v>
      </c>
      <c r="G36" s="624" t="e">
        <f>'28'!AB33</f>
        <v>#DIV/0!</v>
      </c>
      <c r="H36" s="625">
        <f>'28'!$AK$38</f>
        <v>0</v>
      </c>
      <c r="I36" s="624">
        <f>'28'!$AK$39</f>
        <v>0</v>
      </c>
      <c r="J36" s="625">
        <f>'28'!$AQ$40</f>
        <v>2360.7999999999993</v>
      </c>
      <c r="K36" s="624">
        <f>'28'!$AQ$41</f>
        <v>10.020747803822891</v>
      </c>
      <c r="L36" s="624"/>
      <c r="M36" s="626">
        <f>'28'!$O$19</f>
        <v>3.2083333333333335</v>
      </c>
      <c r="O36" s="627"/>
      <c r="P36" s="120"/>
    </row>
    <row r="37" spans="1:16" ht="16.5" customHeight="1">
      <c r="A37" s="620">
        <v>29</v>
      </c>
      <c r="B37" s="621">
        <f>'29'!$Z$37</f>
        <v>24</v>
      </c>
      <c r="C37" s="622">
        <f>'29'!Y30</f>
        <v>225792</v>
      </c>
      <c r="D37" s="622">
        <f>'29'!AA32</f>
        <v>50497.440000000002</v>
      </c>
      <c r="E37" s="623">
        <f>'29'!$AB$32</f>
        <v>112.29032711501917</v>
      </c>
      <c r="F37" s="622">
        <f>'29'!AA33</f>
        <v>0</v>
      </c>
      <c r="G37" s="624" t="e">
        <f>'29'!AB33</f>
        <v>#DIV/0!</v>
      </c>
      <c r="H37" s="625">
        <f>'29'!$AK$38</f>
        <v>0</v>
      </c>
      <c r="I37" s="624">
        <f>'29'!$AK$39</f>
        <v>0</v>
      </c>
      <c r="J37" s="625">
        <f>'29'!$AQ$40</f>
        <v>2360.7999999999993</v>
      </c>
      <c r="K37" s="624">
        <f>'29'!$AQ$41</f>
        <v>10.455640589569159</v>
      </c>
      <c r="L37" s="624"/>
      <c r="M37" s="626">
        <f>'29'!$O$19</f>
        <v>3.8333333333333335</v>
      </c>
      <c r="O37" s="627"/>
      <c r="P37" s="120"/>
    </row>
    <row r="38" spans="1:16" ht="16.5" customHeight="1">
      <c r="A38" s="620">
        <v>30</v>
      </c>
      <c r="B38" s="621">
        <f>'30'!$Z$37</f>
        <v>24</v>
      </c>
      <c r="C38" s="622">
        <f>'30'!Y30</f>
        <v>229338</v>
      </c>
      <c r="D38" s="622">
        <f>'30'!AA32</f>
        <v>50182.23</v>
      </c>
      <c r="E38" s="623">
        <f>'30'!$AB$32</f>
        <v>109.73416406094645</v>
      </c>
      <c r="F38" s="622">
        <f>'30'!AA33</f>
        <v>0</v>
      </c>
      <c r="G38" s="624" t="e">
        <f>'30'!AB33</f>
        <v>#DIV/0!</v>
      </c>
      <c r="H38" s="625" t="e">
        <f>'30'!$AK$38</f>
        <v>#REF!</v>
      </c>
      <c r="I38" s="624" t="e">
        <f>'30'!$AK$39</f>
        <v>#REF!</v>
      </c>
      <c r="J38" s="625">
        <f>'30'!$AQ$40</f>
        <v>2194.333333333333</v>
      </c>
      <c r="K38" s="624">
        <f>'30'!$AQ$41</f>
        <v>9.5681192533872856</v>
      </c>
      <c r="L38" s="624"/>
      <c r="M38" s="626">
        <f>'30'!$O$19</f>
        <v>3.7083333333333335</v>
      </c>
      <c r="O38" s="627"/>
      <c r="P38" s="120"/>
    </row>
    <row r="39" spans="1:16" ht="16.5" customHeight="1">
      <c r="A39" s="620">
        <v>31</v>
      </c>
      <c r="B39" s="621">
        <f>'31'!$Z$37</f>
        <v>7</v>
      </c>
      <c r="C39" s="622">
        <f>'31'!Y30</f>
        <v>60206.400000000001</v>
      </c>
      <c r="D39" s="622">
        <f>'31'!AA32</f>
        <v>12148.220000000001</v>
      </c>
      <c r="E39" s="623" t="e">
        <f>'31'!$AB$32</f>
        <v>#DIV/0!</v>
      </c>
      <c r="F39" s="622">
        <f>'31'!AA33</f>
        <v>0</v>
      </c>
      <c r="G39" s="624" t="e">
        <f>'31'!AB33</f>
        <v>#DIV/0!</v>
      </c>
      <c r="H39" s="625">
        <f>'31'!$AK$38</f>
        <v>0</v>
      </c>
      <c r="I39" s="624">
        <f>'31'!$AK$39</f>
        <v>0</v>
      </c>
      <c r="J39" s="625">
        <f>'31'!$AQ$40</f>
        <v>733.9666666666667</v>
      </c>
      <c r="K39" s="624">
        <f>'31'!$AQ$41</f>
        <v>12.190841283761639</v>
      </c>
      <c r="L39" s="624"/>
      <c r="M39" s="626">
        <f>'31'!$O$19</f>
        <v>3.6500000000000004</v>
      </c>
      <c r="O39" s="627"/>
      <c r="P39" s="120"/>
    </row>
    <row r="40" spans="1:16" ht="15.75" customHeight="1">
      <c r="A40" s="631" t="s">
        <v>129</v>
      </c>
      <c r="B40" s="632">
        <f>SUM('PROD. QUÍM.'!B9:B39)</f>
        <v>727</v>
      </c>
      <c r="C40" s="632">
        <f>SUM('PROD. QUÍM.'!C10:C39)</f>
        <v>7213075.2000000002</v>
      </c>
      <c r="D40" s="632">
        <f>SUM('PROD. QUÍM.'!D9:D39)</f>
        <v>1562715.6999999997</v>
      </c>
      <c r="E40" s="633"/>
      <c r="F40" s="633">
        <f>SUM('PROD. QUÍM.'!F9:F39)</f>
        <v>0</v>
      </c>
      <c r="G40" s="633"/>
      <c r="H40" s="632" t="e">
        <f>SUM('PROD. QUÍM.'!H9:H38)</f>
        <v>#REF!</v>
      </c>
      <c r="I40" s="624">
        <f>'6'!$AF$37</f>
        <v>0</v>
      </c>
      <c r="J40" s="632" t="e">
        <f>SUM('PROD. QUÍM.'!J9:J39)</f>
        <v>#REF!</v>
      </c>
      <c r="K40" s="633"/>
      <c r="L40" s="632"/>
      <c r="M40" s="633"/>
      <c r="N40" s="634"/>
      <c r="O40" s="120"/>
      <c r="P40" s="120"/>
    </row>
    <row r="41" spans="1:16" ht="15.75" customHeight="1">
      <c r="A41" s="631" t="s">
        <v>287</v>
      </c>
      <c r="B41" s="632">
        <f>AVERAGE('PROD. QUÍM.'!B10:B38)</f>
        <v>24</v>
      </c>
      <c r="C41" s="632">
        <f>AVERAGE('PROD. QUÍM.'!C10:C38)</f>
        <v>246650.64827586207</v>
      </c>
      <c r="D41" s="632">
        <f>AVERAGE('PROD. QUÍM.'!D10:D38)</f>
        <v>51512.789999999986</v>
      </c>
      <c r="E41" s="633">
        <f>AVERAGE('PROD. QUÍM.'!E9:E16)</f>
        <v>120.25792006736049</v>
      </c>
      <c r="F41" s="633">
        <f>AVERAGE('PROD. QUÍM.'!F9:F38)</f>
        <v>0</v>
      </c>
      <c r="G41" s="633" t="e">
        <f>AVERAGE('PROD. QUÍM.'!G16:G39)</f>
        <v>#DIV/0!</v>
      </c>
      <c r="H41" s="632" t="e">
        <f>AVERAGE('PROD. QUÍM.'!H9:H38)</f>
        <v>#REF!</v>
      </c>
      <c r="I41" s="624">
        <f>'6'!$AF$37</f>
        <v>0</v>
      </c>
      <c r="J41" s="632" t="e">
        <f>AVERAGE('PROD. QUÍM.'!J9:J38)</f>
        <v>#REF!</v>
      </c>
      <c r="K41" s="633" t="e">
        <f>AVERAGE('PROD. QUÍM.'!K9:K38)</f>
        <v>#REF!</v>
      </c>
      <c r="L41" s="632" t="s">
        <v>345</v>
      </c>
      <c r="M41" s="633">
        <f>AVERAGE('PROD. QUÍM.'!M9:M38)</f>
        <v>3.4330555555555553</v>
      </c>
      <c r="O41" s="120"/>
      <c r="P41" s="120"/>
    </row>
    <row r="42" spans="1:16" ht="15.75" customHeight="1">
      <c r="A42" s="631" t="s">
        <v>283</v>
      </c>
      <c r="B42" s="632">
        <f>MAX('PROD. QUÍM.'!B9:B38)</f>
        <v>24</v>
      </c>
      <c r="C42" s="632">
        <f>MAX('PROD. QUÍM.'!C9:C38)</f>
        <v>347382</v>
      </c>
      <c r="D42" s="632">
        <f>MAX('PROD. QUÍM.'!D9:D38)</f>
        <v>64350.720000000001</v>
      </c>
      <c r="E42" s="633">
        <f>MAX('PROD. QUÍM.'!E9:E16)</f>
        <v>133.88469066361696</v>
      </c>
      <c r="F42" s="633">
        <f>MAX('PROD. QUÍM.'!F9:F38)</f>
        <v>0</v>
      </c>
      <c r="G42" s="633" t="e">
        <f>MAX('PROD. QUÍM.'!G16:G39)</f>
        <v>#DIV/0!</v>
      </c>
      <c r="H42" s="632" t="e">
        <f>MAX('PROD. QUÍM.'!H9:H38)</f>
        <v>#REF!</v>
      </c>
      <c r="I42" s="624">
        <f>'6'!$AF$37</f>
        <v>0</v>
      </c>
      <c r="J42" s="632" t="e">
        <f>MAX('PROD. QUÍM.'!J9:J38)</f>
        <v>#REF!</v>
      </c>
      <c r="K42" s="633" t="e">
        <f>MAX('PROD. QUÍM.'!K9:K38)</f>
        <v>#REF!</v>
      </c>
      <c r="L42" s="632" t="s">
        <v>345</v>
      </c>
      <c r="M42" s="633">
        <f>MAX('PROD. QUÍM.'!M9:M38)</f>
        <v>3.8333333333333335</v>
      </c>
    </row>
    <row r="43" spans="1:16" ht="16.5" customHeight="1">
      <c r="A43" s="631" t="s">
        <v>284</v>
      </c>
      <c r="B43" s="632">
        <f>MIN('PROD. QUÍM.'!B9:B38)</f>
        <v>24</v>
      </c>
      <c r="C43" s="632">
        <f>MIN('PROD. QUÍM.'!C9:C38)</f>
        <v>220388.4</v>
      </c>
      <c r="D43" s="632">
        <f>MIN('PROD. QUÍM.'!D9:D38)</f>
        <v>40160.68</v>
      </c>
      <c r="E43" s="633">
        <f>MIN('PROD. QUÍM.'!E9:E16)</f>
        <v>107.12568839101823</v>
      </c>
      <c r="F43" s="633">
        <f>MIN('PROD. QUÍM.'!F9:F38)</f>
        <v>0</v>
      </c>
      <c r="G43" s="633" t="e">
        <f>MIN('PROD. QUÍM.'!G16:G39)</f>
        <v>#DIV/0!</v>
      </c>
      <c r="H43" s="632" t="e">
        <f>MIN('PROD. QUÍM.'!H9:H38)</f>
        <v>#REF!</v>
      </c>
      <c r="I43" s="624">
        <f>'6'!$AF$37</f>
        <v>0</v>
      </c>
      <c r="J43" s="632" t="e">
        <f>MIN('PROD. QUÍM.'!J9:J38)</f>
        <v>#REF!</v>
      </c>
      <c r="K43" s="633" t="e">
        <f>MIN('PROD. QUÍM.'!K9:K38)</f>
        <v>#REF!</v>
      </c>
      <c r="L43" s="632" t="s">
        <v>345</v>
      </c>
      <c r="M43" s="633">
        <f>MIN('PROD. QUÍM.'!M9:M38)</f>
        <v>2.7666666666666671</v>
      </c>
    </row>
    <row r="44" spans="1:16" ht="16.5" customHeight="1">
      <c r="A44" s="1238" t="s">
        <v>346</v>
      </c>
      <c r="B44" s="1238"/>
      <c r="C44" s="1238" t="s">
        <v>93</v>
      </c>
      <c r="D44" s="1238"/>
      <c r="E44" s="1238"/>
      <c r="F44" s="1238" t="s">
        <v>347</v>
      </c>
      <c r="G44" s="1238"/>
      <c r="H44" s="1238" t="s">
        <v>336</v>
      </c>
      <c r="I44" s="1238">
        <f>'6'!$AF$37</f>
        <v>0</v>
      </c>
      <c r="J44" s="1238"/>
      <c r="K44" s="1238"/>
      <c r="L44" s="635" t="s">
        <v>341</v>
      </c>
      <c r="M44" s="636"/>
    </row>
    <row r="45" spans="1:16" ht="16.5" customHeight="1">
      <c r="A45" s="1239" t="s">
        <v>348</v>
      </c>
      <c r="B45" s="1239"/>
      <c r="C45" s="1240">
        <v>0</v>
      </c>
      <c r="D45" s="1240"/>
      <c r="E45" s="1240"/>
      <c r="F45" s="1241">
        <v>0</v>
      </c>
      <c r="G45" s="1241"/>
      <c r="H45" s="1240"/>
      <c r="I45" s="1240">
        <f>'6'!$AF$37</f>
        <v>0</v>
      </c>
      <c r="J45" s="1240"/>
      <c r="K45" s="1240"/>
      <c r="L45" s="635"/>
      <c r="M45" s="637"/>
    </row>
    <row r="46" spans="1:16" ht="16.5" customHeight="1">
      <c r="A46" s="1239" t="s">
        <v>122</v>
      </c>
      <c r="B46" s="1239"/>
      <c r="C46" s="1241">
        <f>RECEBIMENTO!$C$160</f>
        <v>953653</v>
      </c>
      <c r="D46" s="1241"/>
      <c r="E46" s="1241"/>
      <c r="F46" s="1241">
        <f>RECEBIMENTO!$H$44</f>
        <v>0</v>
      </c>
      <c r="G46" s="1241"/>
      <c r="H46" s="1241">
        <f>RECEBIMENTO!$L$38</f>
        <v>93910</v>
      </c>
      <c r="I46" s="1241">
        <f>'6'!$AF$37</f>
        <v>0</v>
      </c>
      <c r="J46" s="1241"/>
      <c r="K46" s="1241"/>
      <c r="L46" s="635"/>
      <c r="M46" s="637"/>
    </row>
    <row r="47" spans="1:16" ht="16.5" customHeight="1">
      <c r="A47" s="1239" t="s">
        <v>349</v>
      </c>
      <c r="B47" s="1239"/>
      <c r="C47" s="1241">
        <f>'PROD. QUÍM.'!D40</f>
        <v>1562715.6999999997</v>
      </c>
      <c r="D47" s="1241"/>
      <c r="E47" s="1241"/>
      <c r="F47" s="1241">
        <f>'PROD. QUÍM.'!F40</f>
        <v>0</v>
      </c>
      <c r="G47" s="1241"/>
      <c r="H47" s="1241" t="e">
        <f>'PROD. QUÍM.'!J40</f>
        <v>#REF!</v>
      </c>
      <c r="I47" s="1241">
        <f>'6'!$AF$37</f>
        <v>0</v>
      </c>
      <c r="J47" s="1241">
        <f>SUM('PROD. QUÍM.'!J45,'PROD. QUÍM.'!J46)-'PROD. QUÍM.'!J48</f>
        <v>0</v>
      </c>
      <c r="K47" s="1241"/>
      <c r="L47" s="635"/>
      <c r="M47" s="637"/>
    </row>
    <row r="48" spans="1:16" ht="16.5" customHeight="1">
      <c r="A48" s="1239" t="s">
        <v>350</v>
      </c>
      <c r="B48" s="1239"/>
      <c r="C48" s="1242">
        <f>'PROD. QUÍM.'!C45+'PROD. QUÍM.'!C46-'PROD. QUÍM.'!C47</f>
        <v>-609062.69999999972</v>
      </c>
      <c r="D48" s="1242"/>
      <c r="E48" s="1242"/>
      <c r="F48" s="1241">
        <f>'PROD. QUÍM.'!F45+'PROD. QUÍM.'!F46-'PROD. QUÍM.'!F47</f>
        <v>0</v>
      </c>
      <c r="G48" s="1241"/>
      <c r="H48" s="1241" t="e">
        <f>'PROD. QUÍM.'!H45+'PROD. QUÍM.'!H46-'PROD. QUÍM.'!H47</f>
        <v>#REF!</v>
      </c>
      <c r="I48" s="1241">
        <f>'6'!$AF$37</f>
        <v>0</v>
      </c>
      <c r="J48" s="1241"/>
      <c r="K48" s="1241"/>
      <c r="L48" s="635"/>
      <c r="M48" s="637"/>
    </row>
    <row r="49" spans="1:13" ht="12.75" customHeight="1">
      <c r="A49" s="1243" t="s">
        <v>351</v>
      </c>
      <c r="B49" s="1243"/>
      <c r="C49" s="1243"/>
      <c r="D49" s="1243"/>
      <c r="E49" s="1243"/>
      <c r="F49" s="1243"/>
      <c r="G49" s="1243"/>
      <c r="H49" s="1243"/>
      <c r="I49" s="1243"/>
      <c r="J49" s="1243"/>
      <c r="K49" s="1243"/>
      <c r="L49" s="1243"/>
      <c r="M49" s="1243"/>
    </row>
    <row r="50" spans="1:13" ht="50.1" customHeight="1">
      <c r="A50" s="1244"/>
      <c r="B50" s="1244"/>
      <c r="C50" s="1244"/>
      <c r="D50" s="1244"/>
      <c r="E50" s="1244"/>
      <c r="F50" s="1244"/>
      <c r="G50" s="1244"/>
      <c r="H50" s="1244"/>
      <c r="I50" s="1244"/>
      <c r="J50" s="1244"/>
      <c r="K50" s="1244"/>
      <c r="L50" s="1244"/>
      <c r="M50" s="1244"/>
    </row>
    <row r="52" spans="1:13" ht="15.75" customHeight="1">
      <c r="C52" s="628"/>
      <c r="K52" s="1245" t="s">
        <v>352</v>
      </c>
      <c r="L52" s="1245"/>
      <c r="M52" s="1245"/>
    </row>
    <row r="53" spans="1:13" ht="16.5" customHeight="1">
      <c r="A53" s="638">
        <v>1</v>
      </c>
      <c r="C53" s="639" t="s">
        <v>346</v>
      </c>
      <c r="D53" s="640"/>
      <c r="E53" s="1246" t="s">
        <v>93</v>
      </c>
      <c r="F53" s="1246"/>
      <c r="G53" s="1246"/>
      <c r="K53" s="76"/>
      <c r="L53" s="76"/>
      <c r="M53" s="182">
        <v>3.0833333333333299</v>
      </c>
    </row>
    <row r="54" spans="1:13" ht="16.5" customHeight="1">
      <c r="A54" s="638">
        <v>2</v>
      </c>
      <c r="C54" s="1247" t="s">
        <v>348</v>
      </c>
      <c r="D54" s="1247"/>
      <c r="E54" s="1248" t="e">
        <f>#VALUE!</f>
        <v>#VALUE!</v>
      </c>
      <c r="F54" s="1248"/>
      <c r="G54" s="1248"/>
      <c r="K54" s="76"/>
      <c r="L54" s="76"/>
      <c r="M54" s="182">
        <v>3.05</v>
      </c>
    </row>
    <row r="55" spans="1:13" ht="16.5" customHeight="1">
      <c r="A55" s="638">
        <v>3</v>
      </c>
      <c r="C55" s="1247" t="s">
        <v>122</v>
      </c>
      <c r="D55" s="1247"/>
      <c r="E55" s="1252">
        <f>RECEBIMENTO!$C$44</f>
        <v>103730</v>
      </c>
      <c r="F55" s="1252"/>
      <c r="G55" s="1252"/>
      <c r="K55" s="76"/>
      <c r="L55" s="76"/>
      <c r="M55" s="182">
        <v>2.9916666666666698</v>
      </c>
    </row>
    <row r="56" spans="1:13" ht="16.5" customHeight="1">
      <c r="A56" s="638">
        <v>4</v>
      </c>
      <c r="C56" s="1247" t="s">
        <v>349</v>
      </c>
      <c r="D56" s="1247"/>
      <c r="E56" s="1252">
        <f>'PROD. QUÍM.'!D40</f>
        <v>1562715.6999999997</v>
      </c>
      <c r="F56" s="1252"/>
      <c r="G56" s="1252"/>
      <c r="K56" s="76"/>
      <c r="L56" s="76"/>
      <c r="M56" s="182">
        <v>3</v>
      </c>
    </row>
    <row r="57" spans="1:13" ht="16.5" customHeight="1">
      <c r="A57" s="638">
        <v>5</v>
      </c>
      <c r="C57" s="1247" t="s">
        <v>350</v>
      </c>
      <c r="D57" s="1247"/>
      <c r="E57" s="1253" t="e">
        <f>SUM('PROD. QUÍM.'!E54:E55)-'PROD. QUÍM.'!E56</f>
        <v>#VALUE!</v>
      </c>
      <c r="F57" s="1253"/>
      <c r="G57" s="1253"/>
      <c r="K57" s="76"/>
      <c r="L57" s="76"/>
      <c r="M57" s="182">
        <v>3.1333333333333302</v>
      </c>
    </row>
    <row r="58" spans="1:13" ht="16.5" customHeight="1">
      <c r="A58" s="638">
        <v>6</v>
      </c>
      <c r="C58" s="1249" t="s">
        <v>353</v>
      </c>
      <c r="D58" s="1249"/>
      <c r="E58" s="1250">
        <v>97215</v>
      </c>
      <c r="F58" s="1250"/>
      <c r="G58" s="1250"/>
      <c r="K58" s="76"/>
      <c r="L58" s="76"/>
      <c r="M58" s="182">
        <v>3.0249999999999999</v>
      </c>
    </row>
    <row r="59" spans="1:13" ht="15.75" customHeight="1">
      <c r="A59" s="638">
        <v>7</v>
      </c>
      <c r="C59" s="1251"/>
      <c r="D59" s="1251"/>
      <c r="K59" s="76"/>
      <c r="L59" s="76"/>
      <c r="M59" s="182">
        <v>3.3666666666666698</v>
      </c>
    </row>
    <row r="60" spans="1:13" ht="15.75" customHeight="1">
      <c r="A60" s="638">
        <v>8</v>
      </c>
      <c r="C60" s="628"/>
      <c r="K60" s="76"/>
      <c r="L60" s="76"/>
      <c r="M60" s="182">
        <v>2.94166666666667</v>
      </c>
    </row>
    <row r="61" spans="1:13" ht="15.75" customHeight="1">
      <c r="A61" s="638">
        <v>9</v>
      </c>
      <c r="C61" s="628"/>
      <c r="K61" s="76"/>
      <c r="L61" s="76"/>
      <c r="M61" s="182">
        <v>3.3416666666666699</v>
      </c>
    </row>
    <row r="62" spans="1:13" ht="15.75" customHeight="1">
      <c r="A62" s="638">
        <v>10</v>
      </c>
      <c r="C62" s="628"/>
      <c r="K62" s="76"/>
      <c r="L62" s="76"/>
      <c r="M62" s="182">
        <v>3.31666666666667</v>
      </c>
    </row>
    <row r="63" spans="1:13" ht="15.75" customHeight="1">
      <c r="A63" s="638">
        <v>11</v>
      </c>
      <c r="C63" s="628"/>
      <c r="K63" s="76"/>
      <c r="L63" s="76"/>
      <c r="M63" s="182">
        <v>3.1</v>
      </c>
    </row>
    <row r="64" spans="1:13" ht="15.75" customHeight="1">
      <c r="A64" s="638">
        <v>12</v>
      </c>
      <c r="C64" s="628"/>
      <c r="K64" s="76"/>
      <c r="L64" s="76"/>
      <c r="M64" s="182">
        <v>3.2583333333333302</v>
      </c>
    </row>
    <row r="65" spans="1:13" ht="15.75" customHeight="1">
      <c r="A65" s="638">
        <v>13</v>
      </c>
      <c r="C65" s="628"/>
      <c r="K65" s="76"/>
      <c r="L65" s="76"/>
      <c r="M65" s="182">
        <v>3.0166666666666702</v>
      </c>
    </row>
    <row r="66" spans="1:13" ht="15.75" customHeight="1">
      <c r="A66" s="638">
        <v>14</v>
      </c>
      <c r="C66" s="628"/>
      <c r="K66" s="76"/>
      <c r="L66" s="76"/>
      <c r="M66" s="182">
        <v>3.0249999999999999</v>
      </c>
    </row>
    <row r="67" spans="1:13" ht="15.75" customHeight="1">
      <c r="A67" s="638">
        <v>15</v>
      </c>
      <c r="C67" s="628"/>
      <c r="K67" s="76"/>
      <c r="L67" s="76"/>
      <c r="M67" s="182">
        <v>3.1583333333333301</v>
      </c>
    </row>
    <row r="68" spans="1:13" ht="15.75" customHeight="1">
      <c r="A68" s="638">
        <v>16</v>
      </c>
      <c r="C68" s="628"/>
      <c r="K68" s="76"/>
      <c r="L68" s="76"/>
      <c r="M68" s="182"/>
    </row>
    <row r="69" spans="1:13" ht="15.75" customHeight="1">
      <c r="A69" s="638">
        <v>17</v>
      </c>
      <c r="C69" s="628"/>
      <c r="K69" s="76"/>
      <c r="L69" s="76"/>
      <c r="M69" s="182"/>
    </row>
    <row r="70" spans="1:13" ht="15.75" customHeight="1">
      <c r="A70" s="638">
        <v>18</v>
      </c>
      <c r="C70" s="628"/>
      <c r="K70" s="76"/>
      <c r="L70" s="76"/>
      <c r="M70" s="182"/>
    </row>
    <row r="71" spans="1:13" ht="15.75" customHeight="1">
      <c r="A71" s="638">
        <v>19</v>
      </c>
      <c r="C71" s="628"/>
      <c r="K71" s="76"/>
      <c r="L71" s="76"/>
      <c r="M71" s="182"/>
    </row>
    <row r="72" spans="1:13" ht="15.75" customHeight="1">
      <c r="A72" s="638">
        <v>20</v>
      </c>
      <c r="C72" s="628"/>
      <c r="K72" s="76"/>
      <c r="L72" s="76"/>
      <c r="M72" s="182"/>
    </row>
    <row r="73" spans="1:13" ht="15.75" customHeight="1">
      <c r="A73" s="638">
        <v>21</v>
      </c>
      <c r="C73" s="628"/>
      <c r="K73" s="76"/>
      <c r="L73" s="76"/>
      <c r="M73" s="182"/>
    </row>
    <row r="74" spans="1:13" ht="15.75" customHeight="1">
      <c r="A74" s="638">
        <v>22</v>
      </c>
      <c r="C74" s="628"/>
      <c r="K74" s="76"/>
      <c r="L74" s="76"/>
      <c r="M74" s="182"/>
    </row>
    <row r="75" spans="1:13" ht="15.75" customHeight="1">
      <c r="A75" s="638">
        <v>23</v>
      </c>
      <c r="C75" s="628"/>
      <c r="K75" s="76"/>
      <c r="L75" s="76"/>
      <c r="M75" s="182"/>
    </row>
    <row r="76" spans="1:13" ht="15.75" customHeight="1">
      <c r="A76" s="638">
        <v>24</v>
      </c>
      <c r="C76" s="628"/>
      <c r="K76" s="76"/>
      <c r="L76" s="76"/>
      <c r="M76" s="182"/>
    </row>
    <row r="77" spans="1:13" ht="15.75" customHeight="1">
      <c r="A77" s="638">
        <v>25</v>
      </c>
      <c r="C77" s="628"/>
      <c r="K77" s="76"/>
      <c r="L77" s="76"/>
      <c r="M77" s="182"/>
    </row>
    <row r="78" spans="1:13" ht="15.75" customHeight="1">
      <c r="A78" s="638">
        <v>26</v>
      </c>
      <c r="C78" s="628"/>
      <c r="K78" s="76"/>
      <c r="L78" s="76"/>
      <c r="M78" s="182"/>
    </row>
    <row r="79" spans="1:13" ht="15.75" customHeight="1">
      <c r="A79" s="638">
        <v>27</v>
      </c>
      <c r="C79" s="628"/>
      <c r="K79" s="76"/>
      <c r="L79" s="76"/>
      <c r="M79" s="182"/>
    </row>
    <row r="80" spans="1:13" ht="15.75" customHeight="1">
      <c r="A80" s="638">
        <v>28</v>
      </c>
      <c r="C80" s="628"/>
      <c r="K80" s="76"/>
      <c r="L80" s="76"/>
      <c r="M80" s="182"/>
    </row>
    <row r="81" spans="1:13" ht="15.75" customHeight="1">
      <c r="A81" s="638">
        <v>29</v>
      </c>
      <c r="C81" s="628"/>
      <c r="K81" s="76"/>
      <c r="L81" s="76"/>
      <c r="M81" s="182"/>
    </row>
    <row r="82" spans="1:13" ht="15.75" customHeight="1">
      <c r="A82" s="638">
        <v>30</v>
      </c>
      <c r="C82" s="628"/>
      <c r="K82" s="76"/>
      <c r="L82" s="76"/>
      <c r="M82" s="182"/>
    </row>
    <row r="83" spans="1:13" ht="16.5" customHeight="1">
      <c r="A83" s="638">
        <v>31</v>
      </c>
      <c r="C83" s="628"/>
      <c r="K83" s="76"/>
      <c r="L83" s="76"/>
      <c r="M83" s="182"/>
    </row>
    <row r="84" spans="1:13" ht="15" customHeight="1">
      <c r="C84" s="628"/>
      <c r="K84" s="641" t="s">
        <v>295</v>
      </c>
      <c r="L84" s="642" t="s">
        <v>287</v>
      </c>
      <c r="M84" s="643" t="s">
        <v>284</v>
      </c>
    </row>
    <row r="85" spans="1:13" ht="15" customHeight="1">
      <c r="C85" s="628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28"/>
      <c r="K86" s="76"/>
      <c r="L86" s="182"/>
      <c r="M86" s="182"/>
    </row>
    <row r="87" spans="1:13" ht="15" customHeight="1">
      <c r="C87" s="628"/>
      <c r="K87" s="76"/>
      <c r="L87" s="644" t="s">
        <v>235</v>
      </c>
      <c r="M87" s="182">
        <f>COUNTA('PROD. QUÍM.'!M53:M83)*12</f>
        <v>180</v>
      </c>
    </row>
    <row r="88" spans="1:13" ht="15" customHeight="1">
      <c r="C88" s="628"/>
    </row>
    <row r="89" spans="1:13" ht="15" customHeight="1">
      <c r="C89" s="628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4"/>
      <c r="B1" s="1254"/>
      <c r="C1" s="1255" t="s">
        <v>354</v>
      </c>
      <c r="D1" s="1255"/>
      <c r="E1" s="1255"/>
      <c r="F1" s="1255"/>
      <c r="G1" s="1255"/>
      <c r="H1" s="125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 t="s">
        <v>355</v>
      </c>
      <c r="W1" s="645"/>
      <c r="X1" s="645"/>
      <c r="Y1" s="645"/>
      <c r="Z1" s="645"/>
      <c r="AA1" s="645"/>
      <c r="AB1" s="645"/>
      <c r="AC1" s="645"/>
      <c r="AD1" s="645"/>
      <c r="AE1" s="645"/>
      <c r="AF1" s="645"/>
      <c r="AG1" s="645"/>
      <c r="AH1" s="645"/>
      <c r="AI1" s="645"/>
      <c r="AJ1" s="645"/>
      <c r="AK1" s="645"/>
      <c r="AL1" s="645"/>
      <c r="AM1" s="645"/>
      <c r="AN1" s="645"/>
      <c r="AO1" s="645"/>
      <c r="AP1" s="645"/>
      <c r="AQ1" s="645"/>
      <c r="AR1" s="645"/>
      <c r="AS1" s="645"/>
      <c r="AT1" s="645"/>
      <c r="AU1" s="645"/>
      <c r="AV1" s="645"/>
      <c r="AW1" s="645"/>
      <c r="AX1" s="645"/>
      <c r="AY1" s="1256" t="s">
        <v>356</v>
      </c>
      <c r="AZ1" s="1256"/>
      <c r="BA1" s="1257">
        <f>'PROD. QUÍM.'!M3</f>
        <v>44317</v>
      </c>
      <c r="BB1" s="1257"/>
      <c r="BC1" s="1257"/>
      <c r="BD1" s="646"/>
      <c r="BE1" s="646"/>
      <c r="BF1" s="646"/>
      <c r="BG1" s="646"/>
      <c r="BH1" s="646"/>
      <c r="BI1" s="647"/>
    </row>
    <row r="2" spans="1:61" ht="27" customHeight="1">
      <c r="A2" s="648"/>
      <c r="B2" s="1258" t="s">
        <v>357</v>
      </c>
      <c r="C2" s="1258"/>
      <c r="D2" s="1258"/>
      <c r="E2" s="1258"/>
      <c r="F2" s="1258"/>
      <c r="G2" s="1258"/>
      <c r="H2" s="1258"/>
      <c r="I2" s="1259" t="s">
        <v>358</v>
      </c>
      <c r="J2" s="1259"/>
      <c r="K2" s="1259"/>
      <c r="L2" s="1259"/>
      <c r="M2" s="1260" t="s">
        <v>359</v>
      </c>
      <c r="N2" s="1260"/>
      <c r="O2" s="1261" t="s">
        <v>360</v>
      </c>
      <c r="P2" s="1261"/>
      <c r="Q2" s="1262" t="s">
        <v>361</v>
      </c>
      <c r="R2" s="1262"/>
      <c r="S2" s="1262"/>
      <c r="T2" s="1263" t="s">
        <v>362</v>
      </c>
      <c r="U2" s="1263"/>
      <c r="V2" s="1263"/>
      <c r="W2" s="1263"/>
      <c r="X2" s="1263"/>
      <c r="Y2" s="1263"/>
      <c r="Z2" s="1263"/>
      <c r="AA2" s="1263"/>
      <c r="AB2" s="1263"/>
      <c r="AC2" s="1263" t="s">
        <v>238</v>
      </c>
      <c r="AD2" s="1263"/>
      <c r="AE2" s="1263"/>
      <c r="AF2" s="1263"/>
      <c r="AG2" s="1263"/>
      <c r="AH2" s="1263"/>
      <c r="AI2" s="1263"/>
      <c r="AJ2" s="1263"/>
      <c r="AK2" s="1263"/>
      <c r="AL2" s="1263"/>
      <c r="AM2" s="1263"/>
      <c r="AN2" s="1263"/>
      <c r="AO2" s="1264" t="s">
        <v>211</v>
      </c>
      <c r="AP2" s="1264"/>
      <c r="AQ2" s="1264"/>
      <c r="AR2" s="1264"/>
      <c r="AS2" s="1264"/>
      <c r="AT2" s="1264"/>
      <c r="AU2" s="1263" t="s">
        <v>363</v>
      </c>
      <c r="AV2" s="1263"/>
      <c r="AW2" s="1263"/>
      <c r="AX2" s="1263"/>
      <c r="AY2" s="1263"/>
      <c r="AZ2" s="1263"/>
      <c r="BA2" s="1263"/>
      <c r="BB2" s="1263"/>
      <c r="BC2" s="1263"/>
      <c r="BD2" s="1265" t="s">
        <v>364</v>
      </c>
      <c r="BE2" s="1265"/>
      <c r="BF2" s="1265"/>
      <c r="BG2" s="1266" t="s">
        <v>11</v>
      </c>
      <c r="BH2" s="1266"/>
      <c r="BI2" s="1266"/>
    </row>
    <row r="3" spans="1:61" ht="33.75" customHeight="1">
      <c r="A3" s="1267" t="s">
        <v>365</v>
      </c>
      <c r="B3" s="1268" t="s">
        <v>366</v>
      </c>
      <c r="C3" s="1269" t="s">
        <v>367</v>
      </c>
      <c r="D3" s="1270" t="s">
        <v>368</v>
      </c>
      <c r="E3" s="1271" t="s">
        <v>369</v>
      </c>
      <c r="F3" s="1271" t="s">
        <v>370</v>
      </c>
      <c r="G3" s="1272" t="s">
        <v>371</v>
      </c>
      <c r="H3" s="1273" t="s">
        <v>372</v>
      </c>
      <c r="I3" s="1274" t="s">
        <v>366</v>
      </c>
      <c r="J3" s="1275" t="s">
        <v>369</v>
      </c>
      <c r="K3" s="1275" t="s">
        <v>373</v>
      </c>
      <c r="L3" s="1276" t="s">
        <v>374</v>
      </c>
      <c r="M3" s="1277" t="s">
        <v>375</v>
      </c>
      <c r="N3" s="1278" t="s">
        <v>376</v>
      </c>
      <c r="O3" s="1280" t="s">
        <v>366</v>
      </c>
      <c r="P3" s="1281" t="s">
        <v>377</v>
      </c>
      <c r="Q3" s="1282" t="s">
        <v>366</v>
      </c>
      <c r="R3" s="1283" t="s">
        <v>377</v>
      </c>
      <c r="S3" s="1284" t="s">
        <v>378</v>
      </c>
      <c r="T3" s="1292" t="s">
        <v>212</v>
      </c>
      <c r="U3" s="1292"/>
      <c r="V3" s="1292"/>
      <c r="W3" s="1279" t="s">
        <v>379</v>
      </c>
      <c r="X3" s="1279"/>
      <c r="Y3" s="1279"/>
      <c r="Z3" s="1286" t="s">
        <v>214</v>
      </c>
      <c r="AA3" s="1286"/>
      <c r="AB3" s="1286"/>
      <c r="AC3" s="1292" t="s">
        <v>212</v>
      </c>
      <c r="AD3" s="1292"/>
      <c r="AE3" s="1292"/>
      <c r="AF3" s="1279" t="s">
        <v>379</v>
      </c>
      <c r="AG3" s="1279"/>
      <c r="AH3" s="1279"/>
      <c r="AI3" s="1286" t="s">
        <v>214</v>
      </c>
      <c r="AJ3" s="1286"/>
      <c r="AK3" s="1286"/>
      <c r="AL3" s="1286" t="s">
        <v>215</v>
      </c>
      <c r="AM3" s="1286"/>
      <c r="AN3" s="1286"/>
      <c r="AO3" s="1290" t="s">
        <v>212</v>
      </c>
      <c r="AP3" s="1290"/>
      <c r="AQ3" s="1290"/>
      <c r="AR3" s="1291" t="s">
        <v>214</v>
      </c>
      <c r="AS3" s="1291"/>
      <c r="AT3" s="1291"/>
      <c r="AU3" s="1292" t="s">
        <v>212</v>
      </c>
      <c r="AV3" s="1292"/>
      <c r="AW3" s="1292"/>
      <c r="AX3" s="1279" t="s">
        <v>213</v>
      </c>
      <c r="AY3" s="1279"/>
      <c r="AZ3" s="1279"/>
      <c r="BA3" s="1286" t="s">
        <v>214</v>
      </c>
      <c r="BB3" s="1286"/>
      <c r="BC3" s="1286"/>
      <c r="BD3" s="1287" t="s">
        <v>214</v>
      </c>
      <c r="BE3" s="1287"/>
      <c r="BF3" s="1287"/>
      <c r="BG3" s="1266"/>
      <c r="BH3" s="1266"/>
      <c r="BI3" s="1266"/>
    </row>
    <row r="4" spans="1:61" ht="50.25" customHeight="1">
      <c r="A4" s="1267"/>
      <c r="B4" s="1268"/>
      <c r="C4" s="1269"/>
      <c r="D4" s="1270"/>
      <c r="E4" s="1271"/>
      <c r="F4" s="1271"/>
      <c r="G4" s="1272"/>
      <c r="H4" s="1273"/>
      <c r="I4" s="1274"/>
      <c r="J4" s="1275"/>
      <c r="K4" s="1275"/>
      <c r="L4" s="1276"/>
      <c r="M4" s="1277"/>
      <c r="N4" s="1278"/>
      <c r="O4" s="1280"/>
      <c r="P4" s="1281"/>
      <c r="Q4" s="1282"/>
      <c r="R4" s="1283"/>
      <c r="S4" s="1284"/>
      <c r="T4" s="651" t="s">
        <v>380</v>
      </c>
      <c r="U4" s="650" t="s">
        <v>381</v>
      </c>
      <c r="V4" s="650" t="s">
        <v>382</v>
      </c>
      <c r="W4" s="650" t="s">
        <v>380</v>
      </c>
      <c r="X4" s="650" t="s">
        <v>381</v>
      </c>
      <c r="Y4" s="650" t="s">
        <v>382</v>
      </c>
      <c r="Z4" s="650" t="s">
        <v>380</v>
      </c>
      <c r="AA4" s="650" t="s">
        <v>381</v>
      </c>
      <c r="AB4" s="652" t="s">
        <v>382</v>
      </c>
      <c r="AC4" s="651" t="s">
        <v>380</v>
      </c>
      <c r="AD4" s="650" t="s">
        <v>381</v>
      </c>
      <c r="AE4" s="650" t="s">
        <v>382</v>
      </c>
      <c r="AF4" s="650" t="s">
        <v>380</v>
      </c>
      <c r="AG4" s="650" t="s">
        <v>381</v>
      </c>
      <c r="AH4" s="650" t="s">
        <v>382</v>
      </c>
      <c r="AI4" s="650" t="s">
        <v>380</v>
      </c>
      <c r="AJ4" s="650" t="s">
        <v>381</v>
      </c>
      <c r="AK4" s="650" t="s">
        <v>382</v>
      </c>
      <c r="AL4" s="650" t="s">
        <v>380</v>
      </c>
      <c r="AM4" s="650" t="s">
        <v>381</v>
      </c>
      <c r="AN4" s="652" t="s">
        <v>382</v>
      </c>
      <c r="AO4" s="649" t="s">
        <v>380</v>
      </c>
      <c r="AP4" s="650" t="s">
        <v>381</v>
      </c>
      <c r="AQ4" s="650" t="s">
        <v>382</v>
      </c>
      <c r="AR4" s="650" t="s">
        <v>380</v>
      </c>
      <c r="AS4" s="650" t="s">
        <v>381</v>
      </c>
      <c r="AT4" s="653" t="s">
        <v>382</v>
      </c>
      <c r="AU4" s="651" t="s">
        <v>380</v>
      </c>
      <c r="AV4" s="650" t="s">
        <v>381</v>
      </c>
      <c r="AW4" s="650" t="s">
        <v>382</v>
      </c>
      <c r="AX4" s="650" t="s">
        <v>380</v>
      </c>
      <c r="AY4" s="650" t="s">
        <v>381</v>
      </c>
      <c r="AZ4" s="650" t="s">
        <v>382</v>
      </c>
      <c r="BA4" s="654" t="s">
        <v>380</v>
      </c>
      <c r="BB4" s="654" t="s">
        <v>381</v>
      </c>
      <c r="BC4" s="655" t="s">
        <v>382</v>
      </c>
      <c r="BD4" s="656" t="s">
        <v>380</v>
      </c>
      <c r="BE4" s="657" t="s">
        <v>219</v>
      </c>
      <c r="BF4" s="658" t="s">
        <v>218</v>
      </c>
      <c r="BG4" s="659" t="s">
        <v>380</v>
      </c>
      <c r="BH4" s="660" t="s">
        <v>219</v>
      </c>
      <c r="BI4" s="661" t="s">
        <v>383</v>
      </c>
    </row>
    <row r="5" spans="1:61" ht="15.75" customHeight="1">
      <c r="A5" s="662" t="s">
        <v>384</v>
      </c>
      <c r="B5" s="663">
        <f>'Parte3 '!V39</f>
        <v>372</v>
      </c>
      <c r="C5" s="664">
        <f>'Parte3 '!V40</f>
        <v>364</v>
      </c>
      <c r="D5" s="664">
        <f>'Parte3 '!W40</f>
        <v>364</v>
      </c>
      <c r="E5" s="665">
        <f>'Parte3 '!X40</f>
        <v>364</v>
      </c>
      <c r="F5" s="666">
        <f>'Parte3 '!Y40</f>
        <v>363</v>
      </c>
      <c r="G5" s="667">
        <f>'Parte3 '!AC40</f>
        <v>372</v>
      </c>
      <c r="H5" s="668">
        <f>'Parte3 '!AD40</f>
        <v>372</v>
      </c>
      <c r="I5" s="669">
        <f>'Parte3 '!Z39</f>
        <v>372</v>
      </c>
      <c r="J5" s="670">
        <f>'Parte3 '!Z40</f>
        <v>364</v>
      </c>
      <c r="K5" s="671">
        <f>'Parte3 '!AA40</f>
        <v>0</v>
      </c>
      <c r="L5" s="672">
        <f>'Parte3 '!AB40</f>
        <v>157</v>
      </c>
      <c r="M5" s="673">
        <f>'Parte3 '!AE39</f>
        <v>372</v>
      </c>
      <c r="N5" s="673">
        <f>'Parte3 '!AF40</f>
        <v>157</v>
      </c>
      <c r="O5" s="674">
        <f>'Parte3 '!AG39</f>
        <v>8</v>
      </c>
      <c r="P5" s="675">
        <f>'Parte3 '!AG40</f>
        <v>10</v>
      </c>
      <c r="Q5" s="676"/>
      <c r="R5" s="677"/>
      <c r="S5" s="678"/>
      <c r="T5" s="679">
        <f>'Parte 1'!B39</f>
        <v>1580</v>
      </c>
      <c r="U5" s="679">
        <f>'Parte 1'!C39</f>
        <v>103</v>
      </c>
      <c r="V5" s="679">
        <f>'Parte 1'!D39</f>
        <v>310.48333333333335</v>
      </c>
      <c r="W5" s="680"/>
      <c r="X5" s="680"/>
      <c r="Y5" s="681"/>
      <c r="Z5" s="682">
        <f>'Parte 1'!H39</f>
        <v>14</v>
      </c>
      <c r="AA5" s="682">
        <f>'Parte 1'!I39</f>
        <v>1.3</v>
      </c>
      <c r="AB5" s="682">
        <f>'Parte 1'!J39</f>
        <v>4.1786111111111115</v>
      </c>
      <c r="AC5" s="682">
        <f>'Parte 1'!K39</f>
        <v>342</v>
      </c>
      <c r="AD5" s="682">
        <f>'Parte 1'!L39</f>
        <v>2.8</v>
      </c>
      <c r="AE5" s="682">
        <f>'Parte 1'!M39</f>
        <v>78.020555555555546</v>
      </c>
      <c r="AF5" s="683"/>
      <c r="AG5" s="683"/>
      <c r="AH5" s="684"/>
      <c r="AI5" s="682">
        <f>'Parte 1'!Q39</f>
        <v>2.54</v>
      </c>
      <c r="AJ5" s="682">
        <f>'Parte 1'!R39</f>
        <v>0.38</v>
      </c>
      <c r="AK5" s="682">
        <f>'Parte 1'!S39</f>
        <v>0.86636111111111114</v>
      </c>
      <c r="AL5" s="682">
        <f>'Parte 1'!T39</f>
        <v>3.4</v>
      </c>
      <c r="AM5" s="682">
        <f>'Parte 1'!U39</f>
        <v>0.53</v>
      </c>
      <c r="AN5" s="682">
        <f>'Parte 1'!V39</f>
        <v>1.2978080808080805</v>
      </c>
      <c r="AO5" s="682">
        <f>'Parte 1'!W39</f>
        <v>7.3</v>
      </c>
      <c r="AP5" s="682">
        <f>'Parte 1'!X39</f>
        <v>6.8</v>
      </c>
      <c r="AQ5" s="682">
        <f>'Parte 1'!Y39</f>
        <v>7.2022222222222263</v>
      </c>
      <c r="AR5" s="682">
        <f>'Parte 1'!AC39</f>
        <v>6.3</v>
      </c>
      <c r="AS5" s="682">
        <f>'Parte 1'!AD39</f>
        <v>4.5</v>
      </c>
      <c r="AT5" s="682">
        <f>'Parte 1'!AE39</f>
        <v>5.6598232323232329</v>
      </c>
      <c r="AU5" s="685">
        <f>'Parte3 '!B36</f>
        <v>55.8</v>
      </c>
      <c r="AV5" s="685">
        <f>'Parte3 '!B39</f>
        <v>0</v>
      </c>
      <c r="AW5" s="685">
        <f>'Parte3 '!B40</f>
        <v>55.316129032258075</v>
      </c>
      <c r="AX5" s="685">
        <f>'Parte3 '!C38</f>
        <v>38.799999999999997</v>
      </c>
      <c r="AY5" s="685">
        <f>'Parte3 '!C39</f>
        <v>4</v>
      </c>
      <c r="AZ5" s="685">
        <f>'Parte3 '!C40</f>
        <v>17.125806451612899</v>
      </c>
      <c r="BA5" s="686">
        <f>'Parte3 '!D38</f>
        <v>24.9</v>
      </c>
      <c r="BB5" s="686">
        <f>'Parte3 '!D39</f>
        <v>2</v>
      </c>
      <c r="BC5" s="687">
        <f>'Parte3 '!D40</f>
        <v>12.206451612903223</v>
      </c>
      <c r="BD5" s="688">
        <f>MAX('Parte3 '!AH7:AH37)</f>
        <v>0</v>
      </c>
      <c r="BE5" s="689">
        <f>MIN('Parte3 '!AH7:AH37)</f>
        <v>0</v>
      </c>
      <c r="BF5" s="689">
        <f>AVERAGE('Parte3 '!AH7:AH37)</f>
        <v>0</v>
      </c>
      <c r="BG5" s="690">
        <f>MAX('PROD. QUÍM.'!M9:M37)</f>
        <v>3.8333333333333335</v>
      </c>
      <c r="BH5" s="691">
        <f>MIN('PROD. QUÍM.'!M9:M37)</f>
        <v>2.7666666666666671</v>
      </c>
      <c r="BI5" s="692">
        <f>AVERAGE('PROD. QUÍM.'!M9:M37)</f>
        <v>3.4235632183908047</v>
      </c>
    </row>
    <row r="6" spans="1:61" ht="15.75" customHeight="1">
      <c r="A6" s="693" t="s">
        <v>129</v>
      </c>
      <c r="B6" s="694">
        <f>'Controle qualidade GQL '!B5</f>
        <v>372</v>
      </c>
      <c r="C6" s="695">
        <f>'Controle qualidade GQL '!C5</f>
        <v>364</v>
      </c>
      <c r="D6" s="695">
        <f>'Controle qualidade GQL '!D5</f>
        <v>364</v>
      </c>
      <c r="E6" s="696">
        <f>'Controle qualidade GQL '!E5</f>
        <v>364</v>
      </c>
      <c r="F6" s="696">
        <f>'Controle qualidade GQL '!F5</f>
        <v>363</v>
      </c>
      <c r="G6" s="697">
        <f>'Controle qualidade GQL '!G5</f>
        <v>372</v>
      </c>
      <c r="H6" s="697">
        <f>'Controle qualidade GQL '!H5</f>
        <v>372</v>
      </c>
      <c r="I6" s="698">
        <f>'Controle qualidade GQL '!I5</f>
        <v>372</v>
      </c>
      <c r="J6" s="698">
        <f>'Controle qualidade GQL '!J5</f>
        <v>364</v>
      </c>
      <c r="K6" s="698">
        <f>'Controle qualidade GQL '!K5</f>
        <v>0</v>
      </c>
      <c r="L6" s="699">
        <f>'Controle qualidade GQL '!L5</f>
        <v>157</v>
      </c>
      <c r="M6" s="700">
        <f>M5</f>
        <v>372</v>
      </c>
      <c r="N6" s="700">
        <f>N5</f>
        <v>157</v>
      </c>
      <c r="O6" s="674">
        <f>'Controle qualidade GQL '!O5</f>
        <v>8</v>
      </c>
      <c r="P6" s="701">
        <f>'Controle qualidade GQL '!P5</f>
        <v>10</v>
      </c>
      <c r="Q6" s="702"/>
      <c r="R6" s="703"/>
      <c r="S6" s="704"/>
      <c r="T6" s="705"/>
      <c r="U6" s="706"/>
      <c r="V6" s="706"/>
      <c r="W6" s="707"/>
      <c r="X6" s="707"/>
      <c r="Y6" s="707"/>
      <c r="Z6" s="707"/>
      <c r="AA6" s="707"/>
      <c r="AB6" s="708"/>
      <c r="AC6" s="709"/>
      <c r="AD6" s="707"/>
      <c r="AE6" s="707"/>
      <c r="AF6" s="707"/>
      <c r="AG6" s="707"/>
      <c r="AH6" s="707"/>
      <c r="AI6" s="707"/>
      <c r="AJ6" s="707"/>
      <c r="AK6" s="707"/>
      <c r="AL6" s="707"/>
      <c r="AM6" s="707"/>
      <c r="AN6" s="708"/>
      <c r="AO6" s="709"/>
      <c r="AP6" s="707"/>
      <c r="AQ6" s="707"/>
      <c r="AR6" s="707"/>
      <c r="AS6" s="707"/>
      <c r="AT6" s="708"/>
      <c r="AU6" s="709"/>
      <c r="AV6" s="707"/>
      <c r="AW6" s="707"/>
      <c r="AX6" s="707"/>
      <c r="AY6" s="707"/>
      <c r="AZ6" s="707"/>
      <c r="BA6" s="707"/>
      <c r="BB6" s="707"/>
      <c r="BC6" s="708"/>
      <c r="BD6" s="709"/>
      <c r="BE6" s="707"/>
      <c r="BF6" s="708"/>
      <c r="BG6" s="709"/>
      <c r="BH6" s="707"/>
      <c r="BI6" s="708"/>
    </row>
    <row r="7" spans="1:61" ht="15" customHeight="1">
      <c r="A7" s="710" t="s">
        <v>385</v>
      </c>
      <c r="B7" s="711"/>
      <c r="C7" s="711"/>
      <c r="D7" s="711"/>
      <c r="E7" s="711"/>
      <c r="F7" s="711"/>
      <c r="G7" s="712"/>
      <c r="H7" s="712"/>
      <c r="I7" s="712"/>
      <c r="J7" s="712"/>
      <c r="K7" s="712"/>
      <c r="L7" s="712"/>
      <c r="M7" s="712"/>
      <c r="N7" s="712"/>
      <c r="O7" s="712"/>
      <c r="P7" s="712"/>
      <c r="Q7" s="712"/>
      <c r="R7" s="712"/>
      <c r="S7" s="711"/>
      <c r="T7" s="711"/>
      <c r="U7" s="711"/>
      <c r="V7" s="711"/>
      <c r="W7" s="711"/>
      <c r="X7" s="711"/>
      <c r="Y7" s="120"/>
      <c r="Z7" s="120"/>
      <c r="AA7" s="120"/>
      <c r="AB7" s="120"/>
      <c r="AC7" s="120"/>
      <c r="AD7" s="711"/>
      <c r="AE7" s="711"/>
      <c r="AF7" s="711"/>
      <c r="AG7" s="711"/>
      <c r="AH7" s="711"/>
      <c r="AI7" s="711"/>
      <c r="AJ7" s="711"/>
      <c r="AK7" s="711"/>
      <c r="AL7" s="711"/>
      <c r="AM7" s="711"/>
      <c r="AN7" s="711"/>
      <c r="AO7" s="711"/>
      <c r="AP7" s="711"/>
      <c r="AQ7" s="711"/>
      <c r="AR7" s="711"/>
      <c r="AS7" s="711"/>
      <c r="AT7" s="711"/>
      <c r="AU7" s="711"/>
      <c r="AV7" s="711"/>
      <c r="AW7" s="711"/>
      <c r="AX7" s="711"/>
      <c r="AY7" s="711"/>
      <c r="AZ7" s="711"/>
      <c r="BA7" s="711"/>
      <c r="BB7" s="711"/>
      <c r="BC7" s="711"/>
      <c r="BD7" s="711"/>
      <c r="BE7" s="711"/>
      <c r="BF7" s="711"/>
      <c r="BG7" s="711"/>
      <c r="BH7" s="711"/>
      <c r="BI7" s="713"/>
    </row>
    <row r="8" spans="1:61" ht="15" customHeight="1">
      <c r="A8" s="710" t="s">
        <v>386</v>
      </c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N8" s="711"/>
      <c r="O8" s="711"/>
      <c r="P8" s="711"/>
      <c r="Q8" s="711"/>
      <c r="R8" s="711"/>
      <c r="S8" s="711"/>
      <c r="T8" s="711"/>
      <c r="U8" s="711"/>
      <c r="V8" s="711"/>
      <c r="W8" s="711"/>
      <c r="X8" s="711"/>
      <c r="Y8" s="120"/>
      <c r="Z8" s="120"/>
      <c r="AA8" s="120"/>
      <c r="AB8" s="120"/>
      <c r="AC8" s="120"/>
      <c r="AD8" s="711"/>
      <c r="AE8" s="711"/>
      <c r="AF8" s="711"/>
      <c r="AG8" s="711"/>
      <c r="AH8" s="711"/>
      <c r="AI8" s="711"/>
      <c r="AJ8" s="711"/>
      <c r="AK8" s="711"/>
      <c r="AL8" s="711"/>
      <c r="AM8" s="711"/>
      <c r="AN8" s="711"/>
      <c r="AO8" s="711"/>
      <c r="AP8" s="711"/>
      <c r="AQ8" s="711"/>
      <c r="AR8" s="711"/>
      <c r="AS8" s="711"/>
      <c r="AT8" s="711"/>
      <c r="AU8" s="711"/>
      <c r="AV8" s="711"/>
      <c r="AW8" s="711"/>
      <c r="AX8" s="711"/>
      <c r="AY8" s="711"/>
      <c r="AZ8" s="711"/>
      <c r="BA8" s="711"/>
      <c r="BB8" s="711"/>
      <c r="BC8" s="711"/>
      <c r="BD8" s="711"/>
      <c r="BE8" s="711"/>
      <c r="BF8" s="711"/>
      <c r="BG8" s="711"/>
      <c r="BH8" s="711"/>
      <c r="BI8" s="713"/>
    </row>
    <row r="9" spans="1:61" ht="15" customHeight="1">
      <c r="A9" s="714" t="s">
        <v>387</v>
      </c>
      <c r="B9" s="711"/>
      <c r="C9" s="711"/>
      <c r="D9" s="711"/>
      <c r="E9" s="711"/>
      <c r="F9" s="711"/>
      <c r="G9" s="711"/>
      <c r="H9" s="711"/>
      <c r="I9" s="711"/>
      <c r="J9" s="711"/>
      <c r="K9" s="711"/>
      <c r="L9" s="711"/>
      <c r="M9" s="711"/>
      <c r="N9" s="711"/>
      <c r="O9" s="711"/>
      <c r="P9" s="711"/>
      <c r="Q9" s="711"/>
      <c r="R9" s="711"/>
      <c r="S9" s="711"/>
      <c r="T9" s="711"/>
      <c r="U9" s="711"/>
      <c r="V9" s="711"/>
      <c r="W9" s="711"/>
      <c r="X9" s="711"/>
      <c r="Y9" s="120"/>
      <c r="Z9" s="120"/>
      <c r="AA9" s="120"/>
      <c r="AB9" s="120"/>
      <c r="AC9" s="120"/>
      <c r="AD9" s="711"/>
      <c r="AE9" s="711"/>
      <c r="AF9" s="711"/>
      <c r="AG9" s="711"/>
      <c r="AH9" s="711"/>
      <c r="AI9" s="711"/>
      <c r="AJ9" s="711"/>
      <c r="AK9" s="711"/>
      <c r="AL9" s="711"/>
      <c r="AM9" s="711"/>
      <c r="AN9" s="711"/>
      <c r="AO9" s="711"/>
      <c r="AP9" s="711"/>
      <c r="AQ9" s="711"/>
      <c r="AR9" s="711"/>
      <c r="AS9" s="711"/>
      <c r="AT9" s="711"/>
      <c r="AU9" s="711"/>
      <c r="AV9" s="711"/>
      <c r="AW9" s="711"/>
      <c r="AX9" s="711"/>
      <c r="AY9" s="711"/>
      <c r="AZ9" s="711"/>
      <c r="BA9" s="715"/>
      <c r="BB9" s="711"/>
      <c r="BC9" s="716"/>
      <c r="BD9" s="716"/>
      <c r="BE9" s="716"/>
      <c r="BF9" s="711"/>
      <c r="BG9" s="716"/>
      <c r="BH9" s="716"/>
      <c r="BI9" s="713"/>
    </row>
    <row r="10" spans="1:61" ht="15" customHeight="1">
      <c r="A10" s="710"/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711"/>
      <c r="O10" s="711"/>
      <c r="P10" s="711"/>
      <c r="Q10" s="711"/>
      <c r="R10" s="711"/>
      <c r="S10" s="711"/>
      <c r="T10" s="711"/>
      <c r="U10" s="711"/>
      <c r="V10" s="711"/>
      <c r="W10" s="711"/>
      <c r="X10" s="711"/>
      <c r="Y10" s="120"/>
      <c r="Z10" s="120"/>
      <c r="AA10" s="120"/>
      <c r="AB10" s="120"/>
      <c r="AC10" s="120"/>
      <c r="AD10" s="711"/>
      <c r="AE10" s="711"/>
      <c r="AF10" s="711"/>
      <c r="AG10" s="711"/>
      <c r="AH10" s="711"/>
      <c r="AI10" s="711"/>
      <c r="AJ10" s="711"/>
      <c r="AK10" s="711"/>
      <c r="AL10" s="711"/>
      <c r="AM10" s="711"/>
      <c r="AN10" s="711"/>
      <c r="AO10" s="711"/>
      <c r="AP10" s="711"/>
      <c r="AQ10" s="711"/>
      <c r="AR10" s="711"/>
      <c r="AS10" s="711"/>
      <c r="AT10" s="711"/>
      <c r="AU10" s="711"/>
      <c r="AV10" s="711"/>
      <c r="AW10" s="711"/>
      <c r="AX10" s="711"/>
      <c r="AY10" s="711"/>
      <c r="AZ10" s="711"/>
      <c r="BA10" s="711"/>
      <c r="BB10" s="711"/>
      <c r="BC10" s="711"/>
      <c r="BD10" s="711"/>
      <c r="BE10" s="711"/>
      <c r="BF10" s="711"/>
      <c r="BG10" s="711"/>
      <c r="BH10" s="711"/>
      <c r="BI10" s="713"/>
    </row>
    <row r="11" spans="1:61" ht="15" customHeight="1">
      <c r="A11" s="717" t="s">
        <v>388</v>
      </c>
      <c r="B11" s="711"/>
      <c r="C11" s="711"/>
      <c r="D11" s="711"/>
      <c r="E11" s="711"/>
      <c r="F11" s="711"/>
      <c r="G11" s="711"/>
      <c r="H11" s="711"/>
      <c r="I11" s="711"/>
      <c r="J11" s="711"/>
      <c r="K11" s="711"/>
      <c r="L11" s="711"/>
      <c r="M11" s="711"/>
      <c r="N11" s="711"/>
      <c r="O11" s="711"/>
      <c r="P11" s="711"/>
      <c r="Q11" s="711"/>
      <c r="R11" s="711"/>
      <c r="S11" s="711"/>
      <c r="T11" s="711"/>
      <c r="U11" s="711"/>
      <c r="V11" s="711"/>
      <c r="W11" s="711"/>
      <c r="X11" s="711"/>
      <c r="Y11" s="120"/>
      <c r="Z11" s="120"/>
      <c r="AA11" s="120"/>
      <c r="AB11" s="120"/>
      <c r="AC11" s="120"/>
      <c r="AD11" s="711"/>
      <c r="AE11" s="711"/>
      <c r="AF11" s="711"/>
      <c r="AG11" s="711"/>
      <c r="AH11" s="711"/>
      <c r="AI11" s="711"/>
      <c r="AJ11" s="711"/>
      <c r="AK11" s="711"/>
      <c r="AL11" s="711"/>
      <c r="AM11" s="711"/>
      <c r="AN11" s="711"/>
      <c r="AO11" s="711"/>
      <c r="AP11" s="711"/>
      <c r="AQ11" s="711"/>
      <c r="AR11" s="711"/>
      <c r="AS11" s="711"/>
      <c r="AT11" s="711"/>
      <c r="AU11" s="711"/>
      <c r="AV11" s="711"/>
      <c r="AW11" s="711"/>
      <c r="AX11" s="711"/>
      <c r="AY11" s="711"/>
      <c r="AZ11" s="711"/>
      <c r="BA11" s="711"/>
      <c r="BB11" s="711"/>
      <c r="BC11" s="711"/>
      <c r="BD11" s="711"/>
      <c r="BE11" s="711"/>
      <c r="BF11" s="711"/>
      <c r="BG11" s="711"/>
      <c r="BH11" s="711"/>
      <c r="BI11" s="713"/>
    </row>
    <row r="12" spans="1:61" ht="15" customHeight="1">
      <c r="A12" s="717" t="s">
        <v>389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1"/>
      <c r="N12" s="711"/>
      <c r="O12" s="711"/>
      <c r="P12" s="711"/>
      <c r="Q12" s="711"/>
      <c r="R12" s="711"/>
      <c r="S12" s="711"/>
      <c r="T12" s="718"/>
      <c r="U12" s="718"/>
      <c r="V12" s="719"/>
      <c r="W12" s="719"/>
      <c r="X12" s="720"/>
      <c r="Y12" s="120"/>
      <c r="Z12" s="120"/>
      <c r="AA12" s="120"/>
      <c r="AB12" s="120"/>
      <c r="AC12" s="120"/>
      <c r="AD12" s="711"/>
      <c r="AE12" s="711"/>
      <c r="AF12" s="711"/>
      <c r="AG12" s="711"/>
      <c r="AH12" s="711"/>
      <c r="AI12" s="711"/>
      <c r="AJ12" s="711"/>
      <c r="AK12" s="711"/>
      <c r="AL12" s="711"/>
      <c r="AM12" s="711"/>
      <c r="AN12" s="711"/>
      <c r="AO12" s="711"/>
      <c r="AP12" s="711"/>
      <c r="AQ12" s="711"/>
      <c r="AR12" s="711"/>
      <c r="AS12" s="711"/>
      <c r="AT12" s="711"/>
      <c r="AU12" s="711"/>
      <c r="AV12" s="711"/>
      <c r="AW12" s="711"/>
      <c r="AX12" s="711"/>
      <c r="AY12" s="711"/>
      <c r="AZ12" s="711"/>
      <c r="BA12" s="711"/>
      <c r="BB12" s="711"/>
      <c r="BC12" s="711"/>
      <c r="BD12" s="711"/>
      <c r="BE12" s="711"/>
      <c r="BF12" s="711"/>
      <c r="BG12" s="711"/>
      <c r="BH12" s="711"/>
      <c r="BI12" s="713"/>
    </row>
    <row r="13" spans="1:61" ht="15" customHeight="1">
      <c r="A13" s="721"/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2"/>
      <c r="N13" s="722"/>
      <c r="O13" s="722"/>
      <c r="P13" s="722"/>
      <c r="Q13" s="722"/>
      <c r="R13" s="722"/>
      <c r="S13" s="722"/>
      <c r="T13" s="723"/>
      <c r="U13" s="723"/>
      <c r="V13" s="724"/>
      <c r="W13" s="724"/>
      <c r="X13" s="722"/>
      <c r="Y13" s="725"/>
      <c r="Z13" s="725"/>
      <c r="AA13" s="725"/>
      <c r="AB13" s="725"/>
      <c r="AC13" s="725"/>
      <c r="AD13" s="722"/>
      <c r="AE13" s="722"/>
      <c r="AF13" s="722"/>
      <c r="AG13" s="722"/>
      <c r="AH13" s="722"/>
      <c r="AI13" s="722"/>
      <c r="AJ13" s="722"/>
      <c r="AK13" s="722"/>
      <c r="AL13" s="722"/>
      <c r="AM13" s="722"/>
      <c r="AN13" s="722"/>
      <c r="AO13" s="722"/>
      <c r="AP13" s="722"/>
      <c r="AQ13" s="722"/>
      <c r="AR13" s="722"/>
      <c r="AS13" s="722"/>
      <c r="AT13" s="722"/>
      <c r="AU13" s="722"/>
      <c r="AV13" s="722"/>
      <c r="AW13" s="722"/>
      <c r="AX13" s="722"/>
      <c r="AY13" s="722"/>
      <c r="AZ13" s="722"/>
      <c r="BA13" s="722"/>
      <c r="BB13" s="722"/>
      <c r="BC13" s="722"/>
      <c r="BD13" s="722"/>
      <c r="BE13" s="722"/>
      <c r="BF13" s="722"/>
      <c r="BG13" s="722"/>
      <c r="BH13" s="722"/>
      <c r="BI13" s="726"/>
    </row>
    <row r="14" spans="1:61" ht="15.75" customHeight="1">
      <c r="A14" s="727" t="s">
        <v>390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1"/>
      <c r="N14" s="711"/>
      <c r="O14" s="711"/>
      <c r="P14" s="711"/>
      <c r="Q14" s="711"/>
      <c r="R14" s="711"/>
      <c r="S14" s="711"/>
      <c r="T14" s="718"/>
      <c r="U14" s="718"/>
      <c r="V14" s="719"/>
      <c r="W14" s="719"/>
      <c r="X14" s="711"/>
      <c r="Y14" s="120"/>
      <c r="Z14" s="120"/>
      <c r="AA14" s="120"/>
      <c r="AB14" s="120"/>
      <c r="AC14" s="120"/>
      <c r="AD14" s="711"/>
      <c r="AE14" s="711"/>
      <c r="AF14" s="711"/>
      <c r="AG14" s="711"/>
      <c r="AH14" s="711"/>
      <c r="AI14" s="711"/>
      <c r="AJ14" s="711"/>
      <c r="AK14" s="711"/>
      <c r="AL14" s="711"/>
      <c r="AM14" s="711"/>
      <c r="AN14" s="711"/>
      <c r="AO14" s="711"/>
      <c r="AP14" s="711"/>
      <c r="AQ14" s="711"/>
      <c r="AR14" s="711"/>
      <c r="AS14" s="711"/>
      <c r="AT14" s="711"/>
      <c r="AU14" s="711"/>
      <c r="AV14" s="711"/>
      <c r="AW14" s="711"/>
      <c r="AX14" s="711"/>
      <c r="AY14" s="711"/>
      <c r="AZ14" s="711"/>
      <c r="BA14" s="711"/>
      <c r="BB14" s="711"/>
      <c r="BC14" s="711"/>
      <c r="BD14" s="711"/>
      <c r="BE14" s="711"/>
      <c r="BF14" s="711"/>
      <c r="BG14" s="711"/>
      <c r="BH14" s="711"/>
      <c r="BI14" s="711"/>
    </row>
    <row r="15" spans="1:61" ht="15" customHeight="1">
      <c r="A15" s="1288"/>
      <c r="B15" s="1288"/>
      <c r="C15" s="1288"/>
      <c r="D15" s="1288"/>
      <c r="E15" s="1288"/>
      <c r="F15" s="1288"/>
      <c r="G15" s="1288"/>
      <c r="H15" s="1288"/>
      <c r="I15" s="1288"/>
      <c r="J15" s="1288"/>
      <c r="K15" s="1288"/>
      <c r="L15" s="1288"/>
      <c r="M15" s="1288"/>
      <c r="N15" s="1288"/>
      <c r="O15" s="1288"/>
      <c r="P15" s="1288"/>
      <c r="Q15" s="1288"/>
      <c r="R15" s="1288"/>
      <c r="S15" s="1288"/>
      <c r="T15" s="711"/>
      <c r="U15" s="711"/>
      <c r="V15" s="728"/>
      <c r="W15" s="728"/>
      <c r="X15" s="728"/>
      <c r="AD15" s="728"/>
      <c r="AE15" s="728"/>
      <c r="AF15" s="728"/>
      <c r="AG15" s="728"/>
      <c r="AH15" s="728"/>
      <c r="AI15" s="728"/>
      <c r="AJ15" s="728"/>
      <c r="AK15" s="728"/>
      <c r="AL15" s="728"/>
      <c r="AM15" s="728"/>
      <c r="AN15" s="728"/>
      <c r="AO15" s="728"/>
      <c r="AP15" s="728"/>
      <c r="AQ15" s="728"/>
      <c r="AR15" s="728"/>
      <c r="AS15" s="728"/>
      <c r="AT15" s="728"/>
      <c r="AU15" s="728"/>
      <c r="AV15" s="728"/>
      <c r="AW15" s="728"/>
      <c r="AX15" s="728"/>
      <c r="AY15" s="728"/>
      <c r="AZ15" s="728"/>
      <c r="BA15" s="728"/>
      <c r="BB15" s="728"/>
      <c r="BC15" s="728"/>
      <c r="BD15" s="728"/>
      <c r="BE15" s="728"/>
      <c r="BF15" s="728"/>
      <c r="BG15" s="728"/>
      <c r="BH15" s="728"/>
      <c r="BI15" s="728"/>
    </row>
    <row r="16" spans="1:61" ht="15" customHeight="1">
      <c r="A16" s="1289"/>
      <c r="B16" s="1289"/>
      <c r="C16" s="1289"/>
      <c r="D16" s="1289"/>
      <c r="E16" s="1289"/>
      <c r="F16" s="1289"/>
      <c r="G16" s="1289"/>
      <c r="H16" s="1289"/>
      <c r="I16" s="1289"/>
      <c r="J16" s="1289"/>
      <c r="K16" s="1289"/>
      <c r="L16" s="1289"/>
      <c r="M16" s="729"/>
      <c r="N16" s="729"/>
      <c r="O16" s="730"/>
      <c r="P16" s="731"/>
      <c r="Q16" s="730"/>
      <c r="R16" s="731"/>
      <c r="S16" s="731"/>
      <c r="T16" s="711"/>
      <c r="U16" s="1285"/>
      <c r="V16" s="1285"/>
      <c r="W16" s="1285"/>
      <c r="X16" s="1285"/>
      <c r="Y16" s="1285"/>
      <c r="Z16" s="1285"/>
      <c r="AA16" s="1285"/>
      <c r="AB16" s="1285"/>
      <c r="AC16" s="1285"/>
      <c r="AD16" s="728"/>
      <c r="AE16" s="728"/>
      <c r="AF16" s="728"/>
      <c r="AG16" s="728"/>
      <c r="AH16" s="728"/>
      <c r="AI16" s="728"/>
      <c r="AJ16" s="728"/>
      <c r="AK16" s="728"/>
      <c r="AL16" s="728"/>
      <c r="AM16" s="728"/>
      <c r="AN16" s="728"/>
      <c r="AO16" s="728"/>
      <c r="AP16" s="728"/>
      <c r="AQ16" s="728"/>
      <c r="AR16" s="728"/>
      <c r="AS16" s="728"/>
      <c r="AT16" s="728"/>
      <c r="AU16" s="728"/>
      <c r="AV16" s="728"/>
      <c r="AW16" s="728"/>
      <c r="AX16" s="728"/>
      <c r="AY16" s="728"/>
      <c r="AZ16" s="728"/>
      <c r="BA16" s="728"/>
      <c r="BB16" s="728"/>
      <c r="BC16" s="728"/>
      <c r="BD16" s="728"/>
      <c r="BE16" s="728"/>
      <c r="BF16" s="728"/>
      <c r="BG16" s="728"/>
      <c r="BH16" s="728"/>
      <c r="BI16" s="728"/>
    </row>
    <row r="17" spans="1:61" ht="15" customHeight="1">
      <c r="A17" s="733"/>
      <c r="B17" s="571"/>
      <c r="C17" s="571"/>
      <c r="D17" s="571"/>
      <c r="E17" s="571"/>
      <c r="F17" s="571"/>
      <c r="G17" s="468"/>
      <c r="H17" s="468"/>
      <c r="I17" s="468"/>
      <c r="J17" s="468"/>
      <c r="K17" s="468"/>
      <c r="L17" s="468"/>
      <c r="M17" s="468"/>
      <c r="N17" s="468"/>
      <c r="O17" s="468"/>
      <c r="P17" s="728"/>
      <c r="Q17" s="468"/>
      <c r="R17" s="728"/>
      <c r="S17" s="728"/>
      <c r="T17" s="728"/>
      <c r="U17" s="1285"/>
      <c r="V17" s="1285"/>
      <c r="W17" s="1285"/>
      <c r="X17" s="1285"/>
      <c r="Y17" s="1285"/>
      <c r="Z17" s="1285"/>
      <c r="AA17" s="1285"/>
      <c r="AB17" s="1285"/>
      <c r="AC17" s="1285"/>
      <c r="AD17" s="728"/>
      <c r="AE17" s="728"/>
      <c r="AF17" s="728"/>
      <c r="AG17" s="728"/>
      <c r="AH17" s="728"/>
      <c r="AI17" s="728"/>
      <c r="AJ17" s="728"/>
      <c r="AK17" s="728"/>
      <c r="AL17" s="728"/>
      <c r="AM17" s="728"/>
      <c r="AN17" s="728"/>
      <c r="AO17" s="728"/>
      <c r="AP17" s="728"/>
      <c r="AQ17" s="728"/>
      <c r="AR17" s="728"/>
      <c r="AS17" s="728"/>
      <c r="AT17" s="728"/>
      <c r="AU17" s="728"/>
      <c r="AV17" s="728"/>
      <c r="AW17" s="728"/>
      <c r="AX17" s="728"/>
      <c r="AY17" s="728"/>
      <c r="AZ17" s="728"/>
      <c r="BA17" s="728"/>
      <c r="BB17" s="728"/>
      <c r="BC17" s="728"/>
      <c r="BD17" s="728"/>
      <c r="BE17" s="728"/>
      <c r="BF17" s="728"/>
      <c r="BG17" s="728"/>
      <c r="BH17" s="728"/>
      <c r="BI17" s="728"/>
    </row>
    <row r="18" spans="1:61" ht="15" customHeight="1">
      <c r="A18" s="733"/>
      <c r="B18" s="571"/>
      <c r="C18" s="571"/>
      <c r="D18" s="571"/>
      <c r="E18" s="571"/>
      <c r="F18" s="571"/>
      <c r="G18" s="468"/>
      <c r="H18" s="468"/>
      <c r="I18" s="468"/>
      <c r="J18" s="468"/>
      <c r="K18" s="468"/>
      <c r="L18" s="468"/>
      <c r="M18" s="468"/>
      <c r="N18" s="468"/>
      <c r="O18" s="468"/>
      <c r="P18" s="728"/>
      <c r="Q18" s="468"/>
      <c r="R18" s="728"/>
      <c r="S18" s="728"/>
      <c r="T18" s="728"/>
      <c r="U18" s="732"/>
      <c r="V18" s="732"/>
      <c r="W18" s="732"/>
      <c r="X18" s="732"/>
      <c r="Y18" s="732"/>
      <c r="Z18" s="732"/>
      <c r="AA18" s="732"/>
      <c r="AB18" s="732"/>
      <c r="AC18" s="732"/>
      <c r="AD18" s="728"/>
      <c r="AE18" s="728"/>
      <c r="AF18" s="728"/>
      <c r="AG18" s="728"/>
      <c r="AH18" s="728"/>
      <c r="AI18" s="728"/>
      <c r="AJ18" s="728"/>
      <c r="AK18" s="728"/>
      <c r="AL18" s="728"/>
      <c r="AM18" s="728"/>
      <c r="AN18" s="728"/>
      <c r="AO18" s="728"/>
      <c r="AP18" s="728"/>
      <c r="AQ18" s="728"/>
      <c r="AR18" s="728"/>
      <c r="AS18" s="728"/>
      <c r="AT18" s="728"/>
      <c r="AU18" s="728"/>
      <c r="AV18" s="728"/>
      <c r="AW18" s="728"/>
      <c r="AX18" s="728"/>
      <c r="AY18" s="728"/>
      <c r="AZ18" s="728"/>
      <c r="BA18" s="728"/>
      <c r="BB18" s="728"/>
      <c r="BC18" s="728"/>
      <c r="BD18" s="728"/>
      <c r="BE18" s="728"/>
      <c r="BF18" s="728"/>
      <c r="BG18" s="728"/>
      <c r="BH18" s="728"/>
      <c r="BI18" s="728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4"/>
      <c r="B1" s="1293" t="s">
        <v>391</v>
      </c>
      <c r="C1" s="1293"/>
      <c r="D1" s="1293"/>
      <c r="E1" s="1293"/>
      <c r="F1" s="1293"/>
      <c r="G1" s="1293"/>
      <c r="H1" s="1293"/>
      <c r="I1" s="1293"/>
      <c r="J1" s="1293"/>
      <c r="K1" s="1293"/>
      <c r="L1" s="1293"/>
      <c r="M1" s="1293"/>
      <c r="N1" s="1293"/>
      <c r="O1" s="1293"/>
    </row>
    <row r="2" spans="1:15" ht="15" customHeight="1">
      <c r="A2" s="735" t="s">
        <v>392</v>
      </c>
      <c r="B2" s="736"/>
      <c r="C2" s="736"/>
      <c r="D2" s="736"/>
      <c r="E2" s="736"/>
      <c r="F2" s="736"/>
      <c r="G2" s="736"/>
      <c r="H2" s="736"/>
      <c r="I2" s="736"/>
      <c r="J2" s="737"/>
      <c r="K2" s="737"/>
      <c r="L2" s="736" t="s">
        <v>393</v>
      </c>
      <c r="M2" s="738" t="s">
        <v>394</v>
      </c>
      <c r="N2" s="739"/>
      <c r="O2" s="740"/>
    </row>
    <row r="3" spans="1:15" ht="15" customHeight="1">
      <c r="A3" s="741"/>
      <c r="B3" s="1294" t="s">
        <v>395</v>
      </c>
      <c r="C3" s="1294"/>
      <c r="D3" s="1294"/>
      <c r="E3" s="1294"/>
      <c r="F3" s="1294"/>
      <c r="G3" s="1294"/>
      <c r="H3" s="1294"/>
      <c r="I3" s="1294"/>
      <c r="J3" s="1294"/>
      <c r="K3" s="1294"/>
      <c r="L3" s="1294"/>
      <c r="M3" s="1294"/>
      <c r="N3" s="1294"/>
      <c r="O3" s="1294"/>
    </row>
    <row r="4" spans="1:15" ht="15" customHeight="1">
      <c r="A4" s="742"/>
      <c r="B4" s="1295" t="s">
        <v>88</v>
      </c>
      <c r="C4" s="1295"/>
      <c r="D4" s="1295"/>
      <c r="E4" s="1295"/>
      <c r="F4" s="1296" t="s">
        <v>87</v>
      </c>
      <c r="G4" s="1296"/>
      <c r="H4" s="1296"/>
      <c r="I4" s="1296"/>
      <c r="J4" s="1295" t="s">
        <v>396</v>
      </c>
      <c r="K4" s="1295"/>
      <c r="L4" s="1297" t="s">
        <v>397</v>
      </c>
      <c r="M4" s="1297"/>
      <c r="N4" s="1297"/>
      <c r="O4" s="1297"/>
    </row>
    <row r="5" spans="1:15" ht="33.75" customHeight="1">
      <c r="A5" s="743" t="s">
        <v>330</v>
      </c>
      <c r="B5" s="744" t="s">
        <v>398</v>
      </c>
      <c r="C5" s="745" t="s">
        <v>399</v>
      </c>
      <c r="D5" s="745" t="s">
        <v>400</v>
      </c>
      <c r="E5" s="746" t="s">
        <v>401</v>
      </c>
      <c r="F5" s="747" t="s">
        <v>398</v>
      </c>
      <c r="G5" s="745" t="s">
        <v>402</v>
      </c>
      <c r="H5" s="745" t="s">
        <v>400</v>
      </c>
      <c r="I5" s="748" t="s">
        <v>401</v>
      </c>
      <c r="J5" s="749" t="s">
        <v>398</v>
      </c>
      <c r="K5" s="750" t="s">
        <v>403</v>
      </c>
      <c r="L5" s="747" t="s">
        <v>398</v>
      </c>
      <c r="M5" s="745" t="s">
        <v>404</v>
      </c>
      <c r="N5" s="745" t="s">
        <v>400</v>
      </c>
      <c r="O5" s="746" t="s">
        <v>284</v>
      </c>
    </row>
    <row r="6" spans="1:15" ht="15.95" customHeight="1">
      <c r="A6" s="751" t="s">
        <v>384</v>
      </c>
      <c r="B6" s="752">
        <f>'Controle qualidade GQL '!E5</f>
        <v>364</v>
      </c>
      <c r="C6" s="753">
        <f>'Controle qualidade GQL '!E5-'Controle qualidade GQL '!F5</f>
        <v>1</v>
      </c>
      <c r="D6" s="754">
        <f>'Controle qualidade GQL '!AK5</f>
        <v>0.86636111111111114</v>
      </c>
      <c r="E6" s="755">
        <f>'Controle qualidade GQL '!AI5</f>
        <v>2.54</v>
      </c>
      <c r="F6" s="756">
        <f>'Controle qualidade GQL '!C5</f>
        <v>364</v>
      </c>
      <c r="G6" s="757">
        <f>'Controle qualidade GQL '!C5-'Controle qualidade GQL '!D5</f>
        <v>0</v>
      </c>
      <c r="H6" s="754">
        <f>'Controle qualidade GQL '!AB5</f>
        <v>4.1786111111111115</v>
      </c>
      <c r="I6" s="755">
        <f>'Controle qualidade GQL '!Z5</f>
        <v>14</v>
      </c>
      <c r="J6" s="758" t="s">
        <v>405</v>
      </c>
      <c r="K6" s="759" t="s">
        <v>405</v>
      </c>
      <c r="L6" s="752">
        <f>'Controle qualidade GQL '!G5</f>
        <v>372</v>
      </c>
      <c r="M6" s="757">
        <f>'Controle qualidade GQL '!G5-'Controle qualidade GQL '!H5</f>
        <v>0</v>
      </c>
      <c r="N6" s="760">
        <f>'Controle qualidade GQL '!BI5</f>
        <v>3.4235632183908047</v>
      </c>
      <c r="O6" s="761">
        <f>'Controle qualidade GQL '!BH5</f>
        <v>2.7666666666666671</v>
      </c>
    </row>
    <row r="7" spans="1:15" ht="15.95" hidden="1" customHeight="1">
      <c r="A7" s="762" t="s">
        <v>406</v>
      </c>
      <c r="B7" s="763"/>
      <c r="C7" s="764"/>
      <c r="D7" s="765"/>
      <c r="E7" s="766"/>
      <c r="F7" s="767"/>
      <c r="G7" s="768"/>
      <c r="H7" s="765"/>
      <c r="I7" s="766"/>
      <c r="J7" s="769" t="s">
        <v>405</v>
      </c>
      <c r="K7" s="770" t="s">
        <v>405</v>
      </c>
      <c r="L7" s="763"/>
      <c r="M7" s="768"/>
      <c r="N7" s="771"/>
      <c r="O7" s="772"/>
    </row>
    <row r="8" spans="1:15" ht="15.95" hidden="1" customHeight="1">
      <c r="A8" s="762" t="s">
        <v>407</v>
      </c>
      <c r="B8" s="763"/>
      <c r="C8" s="764"/>
      <c r="D8" s="765"/>
      <c r="E8" s="766"/>
      <c r="F8" s="767"/>
      <c r="G8" s="768"/>
      <c r="H8" s="765"/>
      <c r="I8" s="766"/>
      <c r="J8" s="758" t="s">
        <v>405</v>
      </c>
      <c r="K8" s="759" t="s">
        <v>405</v>
      </c>
      <c r="L8" s="763"/>
      <c r="M8" s="768"/>
      <c r="N8" s="771"/>
      <c r="O8" s="772"/>
    </row>
    <row r="9" spans="1:15" ht="15.95" hidden="1" customHeight="1">
      <c r="A9" s="762" t="s">
        <v>408</v>
      </c>
      <c r="B9" s="763"/>
      <c r="C9" s="764"/>
      <c r="D9" s="765"/>
      <c r="E9" s="766"/>
      <c r="F9" s="767"/>
      <c r="G9" s="768"/>
      <c r="H9" s="765"/>
      <c r="I9" s="766"/>
      <c r="J9" s="773" t="s">
        <v>405</v>
      </c>
      <c r="K9" s="774" t="s">
        <v>405</v>
      </c>
      <c r="L9" s="763"/>
      <c r="M9" s="768"/>
      <c r="N9" s="771"/>
      <c r="O9" s="772"/>
    </row>
    <row r="10" spans="1:15" ht="15.95" hidden="1" customHeight="1">
      <c r="A10" s="762" t="s">
        <v>409</v>
      </c>
      <c r="B10" s="775"/>
      <c r="C10" s="776"/>
      <c r="D10" s="777"/>
      <c r="E10" s="778"/>
      <c r="F10" s="779"/>
      <c r="G10" s="776"/>
      <c r="H10" s="777"/>
      <c r="I10" s="780"/>
      <c r="J10" s="773" t="s">
        <v>405</v>
      </c>
      <c r="K10" s="774" t="s">
        <v>405</v>
      </c>
      <c r="L10" s="779"/>
      <c r="M10" s="776"/>
      <c r="N10" s="781"/>
      <c r="O10" s="782"/>
    </row>
    <row r="11" spans="1:15" ht="15.95" hidden="1" customHeight="1">
      <c r="A11" s="762" t="s">
        <v>410</v>
      </c>
      <c r="B11" s="775"/>
      <c r="C11" s="776"/>
      <c r="D11" s="777"/>
      <c r="E11" s="783"/>
      <c r="F11" s="784"/>
      <c r="G11" s="785"/>
      <c r="H11" s="786"/>
      <c r="I11" s="787"/>
      <c r="J11" s="773" t="s">
        <v>405</v>
      </c>
      <c r="K11" s="774" t="s">
        <v>405</v>
      </c>
      <c r="L11" s="784"/>
      <c r="M11" s="785"/>
      <c r="N11" s="788"/>
      <c r="O11" s="789"/>
    </row>
    <row r="12" spans="1:15" ht="15" hidden="1" customHeight="1">
      <c r="A12" s="790" t="s">
        <v>411</v>
      </c>
      <c r="B12" s="791">
        <v>0</v>
      </c>
      <c r="C12" s="792">
        <v>0</v>
      </c>
      <c r="D12" s="793">
        <v>0</v>
      </c>
      <c r="E12" s="794">
        <v>0</v>
      </c>
      <c r="F12" s="795">
        <v>0</v>
      </c>
      <c r="G12" s="796">
        <v>0</v>
      </c>
      <c r="H12" s="796">
        <v>0</v>
      </c>
      <c r="I12" s="796">
        <v>0</v>
      </c>
      <c r="J12" s="797" t="s">
        <v>405</v>
      </c>
      <c r="K12" s="798" t="s">
        <v>405</v>
      </c>
      <c r="L12" s="799">
        <v>0</v>
      </c>
      <c r="M12" s="800">
        <v>0</v>
      </c>
      <c r="N12" s="801">
        <v>0</v>
      </c>
      <c r="O12" s="802">
        <v>0</v>
      </c>
    </row>
    <row r="13" spans="1:15" ht="13.5" customHeight="1">
      <c r="A13" s="803" t="s">
        <v>129</v>
      </c>
      <c r="B13" s="804">
        <f>SUM(RelatSISÁGUA!B6:B12)</f>
        <v>364</v>
      </c>
      <c r="C13" s="804">
        <f>SUM(RelatSISÁGUA!C6:C12)</f>
        <v>1</v>
      </c>
      <c r="D13" s="805"/>
      <c r="E13" s="806"/>
      <c r="F13" s="804">
        <f>SUM(RelatSISÁGUA!F6:F12)</f>
        <v>364</v>
      </c>
      <c r="G13" s="804">
        <f>SUM(RelatSISÁGUA!G6:G12)</f>
        <v>0</v>
      </c>
      <c r="H13" s="805"/>
      <c r="I13" s="807"/>
      <c r="J13" s="808"/>
      <c r="K13" s="809"/>
      <c r="L13" s="804">
        <f>SUM(RelatSISÁGUA!L6:L12)</f>
        <v>372</v>
      </c>
      <c r="M13" s="810">
        <f>SUM(RelatSISÁGUA!M6:M12)</f>
        <v>0</v>
      </c>
      <c r="N13" s="805"/>
      <c r="O13" s="806"/>
    </row>
    <row r="14" spans="1:15" ht="12.75" customHeight="1">
      <c r="B14" s="811"/>
      <c r="C14" s="811"/>
      <c r="D14" s="811"/>
      <c r="E14" s="811"/>
      <c r="F14" s="811"/>
      <c r="G14" s="811"/>
      <c r="H14" s="811"/>
      <c r="I14" s="811"/>
      <c r="J14" s="811"/>
      <c r="K14" s="811"/>
      <c r="L14" s="812"/>
      <c r="M14" s="813"/>
      <c r="N14" s="814"/>
      <c r="O14" s="815"/>
    </row>
    <row r="15" spans="1:15" ht="12.75" customHeight="1">
      <c r="A15" s="816" t="s">
        <v>412</v>
      </c>
    </row>
    <row r="16" spans="1:15" ht="12.75" customHeight="1">
      <c r="A16" s="816" t="s">
        <v>413</v>
      </c>
      <c r="C16" s="816" t="s">
        <v>414</v>
      </c>
      <c r="D16" s="816"/>
      <c r="E16" s="816" t="s">
        <v>415</v>
      </c>
      <c r="F16" s="816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17"/>
      <c r="B1" s="1298" t="s">
        <v>416</v>
      </c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  <c r="AA1" s="1298"/>
      <c r="AB1" s="1298"/>
      <c r="AC1" s="1298"/>
      <c r="AD1" s="1298"/>
      <c r="AE1" s="1298"/>
      <c r="AF1" s="1298"/>
      <c r="AG1" s="1298"/>
      <c r="AH1" s="1298"/>
      <c r="AI1" s="1298"/>
      <c r="AJ1" s="1298"/>
      <c r="AK1" s="1298"/>
      <c r="AL1" s="1298"/>
      <c r="AM1" s="1298"/>
      <c r="AN1" s="1298"/>
      <c r="AO1" s="1298"/>
      <c r="AP1" s="1298"/>
      <c r="AQ1" s="1298"/>
      <c r="AR1" s="1298"/>
      <c r="AS1" s="1298"/>
      <c r="AT1" s="1298"/>
      <c r="AU1" s="1298"/>
      <c r="AV1" s="1298"/>
      <c r="AW1" s="1298"/>
      <c r="AX1" s="1298"/>
      <c r="AY1" s="1298"/>
      <c r="AZ1" s="1298"/>
      <c r="BA1" s="1298"/>
      <c r="BB1" s="1298"/>
      <c r="BC1" s="1298"/>
      <c r="BD1" s="1298"/>
    </row>
    <row r="2" spans="1:56" ht="16.5" customHeight="1">
      <c r="A2" s="1299" t="s">
        <v>417</v>
      </c>
      <c r="B2" s="1299"/>
      <c r="C2" s="1299"/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299"/>
      <c r="W2" s="1299"/>
      <c r="X2" s="1299"/>
      <c r="Y2" s="1299"/>
      <c r="Z2" s="1299"/>
      <c r="AA2" s="1299"/>
      <c r="AB2" s="1299"/>
      <c r="AC2" s="1299"/>
      <c r="AD2" s="1299"/>
      <c r="AE2" s="1299"/>
      <c r="AF2" s="1299"/>
      <c r="AG2" s="1299"/>
      <c r="AH2" s="1299"/>
      <c r="AI2" s="1299"/>
      <c r="AJ2" s="1299"/>
      <c r="AK2" s="1299"/>
      <c r="AL2" s="1299"/>
      <c r="AM2" s="1299"/>
      <c r="AN2" s="1299"/>
      <c r="AO2" s="1299"/>
      <c r="AP2" s="1299"/>
      <c r="AQ2" s="1299"/>
      <c r="AR2" s="1299"/>
      <c r="AS2" s="1299"/>
      <c r="AT2" s="818"/>
      <c r="AU2" s="818"/>
      <c r="AV2" s="818"/>
      <c r="AW2" s="728"/>
      <c r="AX2" s="728"/>
      <c r="AY2" s="728"/>
      <c r="AZ2" s="819"/>
      <c r="BA2" s="820" t="s">
        <v>393</v>
      </c>
      <c r="BB2" s="1300" t="s">
        <v>418</v>
      </c>
      <c r="BC2" s="1300"/>
      <c r="BD2" s="821"/>
    </row>
    <row r="3" spans="1:56" s="825" customFormat="1" ht="15.75" customHeight="1">
      <c r="A3" s="1301" t="s">
        <v>330</v>
      </c>
      <c r="B3" s="1302" t="s">
        <v>419</v>
      </c>
      <c r="C3" s="1303" t="s">
        <v>420</v>
      </c>
      <c r="D3" s="1304" t="s">
        <v>421</v>
      </c>
      <c r="E3" s="1305" t="s">
        <v>422</v>
      </c>
      <c r="F3" s="1305"/>
      <c r="G3" s="1305"/>
      <c r="H3" s="1305"/>
      <c r="I3" s="1305"/>
      <c r="J3" s="1305"/>
      <c r="K3" s="1305"/>
      <c r="L3" s="1305"/>
      <c r="M3" s="1305"/>
      <c r="N3" s="1305"/>
      <c r="O3" s="1305"/>
      <c r="P3" s="1305"/>
      <c r="Q3" s="1306" t="s">
        <v>423</v>
      </c>
      <c r="R3" s="1306"/>
      <c r="S3" s="1306"/>
      <c r="T3" s="1306"/>
      <c r="U3" s="1306"/>
      <c r="V3" s="1306"/>
      <c r="W3" s="1306"/>
      <c r="X3" s="1306"/>
      <c r="Y3" s="1306"/>
      <c r="Z3" s="1306"/>
      <c r="AA3" s="1306"/>
      <c r="AB3" s="1306"/>
      <c r="AC3" s="1306"/>
      <c r="AD3" s="1306"/>
      <c r="AE3" s="1306"/>
      <c r="AF3" s="1306"/>
      <c r="AG3" s="1306" t="s">
        <v>424</v>
      </c>
      <c r="AH3" s="1306"/>
      <c r="AI3" s="1306"/>
      <c r="AJ3" s="1306"/>
      <c r="AK3" s="1307" t="s">
        <v>425</v>
      </c>
      <c r="AL3" s="1307"/>
      <c r="AM3" s="1307"/>
      <c r="AN3" s="1307"/>
      <c r="AO3" s="1307"/>
      <c r="AP3" s="1307"/>
      <c r="AQ3" s="1307"/>
      <c r="AR3" s="1307"/>
      <c r="AS3" s="1307"/>
      <c r="AT3" s="1307"/>
      <c r="AU3" s="1307"/>
      <c r="AV3" s="1307"/>
      <c r="AW3" s="1308" t="s">
        <v>426</v>
      </c>
      <c r="AX3" s="1308"/>
      <c r="AY3" s="1308"/>
      <c r="AZ3" s="1308"/>
      <c r="BA3" s="1305" t="s">
        <v>427</v>
      </c>
      <c r="BB3" s="1305"/>
      <c r="BC3" s="1305"/>
      <c r="BD3" s="1305"/>
    </row>
    <row r="4" spans="1:56" ht="15.75" customHeight="1">
      <c r="A4" s="1301"/>
      <c r="B4" s="1302"/>
      <c r="C4" s="1303"/>
      <c r="D4" s="1304"/>
      <c r="E4" s="1308" t="s">
        <v>428</v>
      </c>
      <c r="F4" s="1308"/>
      <c r="G4" s="1308"/>
      <c r="H4" s="1308"/>
      <c r="I4" s="1309" t="s">
        <v>429</v>
      </c>
      <c r="J4" s="1309"/>
      <c r="K4" s="1309"/>
      <c r="L4" s="1309"/>
      <c r="M4" s="1308" t="s">
        <v>430</v>
      </c>
      <c r="N4" s="1308"/>
      <c r="O4" s="1308"/>
      <c r="P4" s="1308"/>
      <c r="Q4" s="1313" t="s">
        <v>165</v>
      </c>
      <c r="R4" s="1313"/>
      <c r="S4" s="1313"/>
      <c r="T4" s="1313"/>
      <c r="U4" s="1306" t="s">
        <v>431</v>
      </c>
      <c r="V4" s="1306"/>
      <c r="W4" s="1306"/>
      <c r="X4" s="1306"/>
      <c r="Y4" s="1309" t="s">
        <v>432</v>
      </c>
      <c r="Z4" s="1309"/>
      <c r="AA4" s="1309"/>
      <c r="AB4" s="1309"/>
      <c r="AC4" s="1308" t="s">
        <v>433</v>
      </c>
      <c r="AD4" s="1308"/>
      <c r="AE4" s="1308"/>
      <c r="AF4" s="1308"/>
      <c r="AG4" s="1308" t="s">
        <v>167</v>
      </c>
      <c r="AH4" s="1308"/>
      <c r="AI4" s="1308"/>
      <c r="AJ4" s="1308"/>
      <c r="AK4" s="1310" t="s">
        <v>434</v>
      </c>
      <c r="AL4" s="1310"/>
      <c r="AM4" s="1310"/>
      <c r="AN4" s="1310"/>
      <c r="AO4" s="1306" t="s">
        <v>435</v>
      </c>
      <c r="AP4" s="1306"/>
      <c r="AQ4" s="1306"/>
      <c r="AR4" s="1306"/>
      <c r="AS4" s="1311" t="s">
        <v>436</v>
      </c>
      <c r="AT4" s="1311"/>
      <c r="AU4" s="1311"/>
      <c r="AV4" s="1311"/>
      <c r="AW4" s="1308"/>
      <c r="AX4" s="1308"/>
      <c r="AY4" s="1308"/>
      <c r="AZ4" s="1308"/>
      <c r="BA4" s="1305"/>
      <c r="BB4" s="1305"/>
      <c r="BC4" s="1305"/>
      <c r="BD4" s="1305"/>
    </row>
    <row r="5" spans="1:56" ht="22.5" customHeight="1">
      <c r="A5" s="1301"/>
      <c r="B5" s="1302"/>
      <c r="C5" s="1303"/>
      <c r="D5" s="1304"/>
      <c r="E5" s="826" t="s">
        <v>348</v>
      </c>
      <c r="F5" s="827" t="s">
        <v>122</v>
      </c>
      <c r="G5" s="827" t="s">
        <v>349</v>
      </c>
      <c r="H5" s="828" t="s">
        <v>350</v>
      </c>
      <c r="I5" s="822" t="s">
        <v>348</v>
      </c>
      <c r="J5" s="823" t="s">
        <v>122</v>
      </c>
      <c r="K5" s="823" t="s">
        <v>349</v>
      </c>
      <c r="L5" s="824" t="s">
        <v>350</v>
      </c>
      <c r="M5" s="826" t="s">
        <v>348</v>
      </c>
      <c r="N5" s="827" t="s">
        <v>122</v>
      </c>
      <c r="O5" s="827" t="s">
        <v>349</v>
      </c>
      <c r="P5" s="828" t="s">
        <v>350</v>
      </c>
      <c r="Q5" s="829" t="s">
        <v>348</v>
      </c>
      <c r="R5" s="827" t="s">
        <v>122</v>
      </c>
      <c r="S5" s="827" t="s">
        <v>349</v>
      </c>
      <c r="T5" s="830" t="s">
        <v>350</v>
      </c>
      <c r="U5" s="822" t="s">
        <v>348</v>
      </c>
      <c r="V5" s="823" t="s">
        <v>122</v>
      </c>
      <c r="W5" s="823" t="s">
        <v>349</v>
      </c>
      <c r="X5" s="824" t="s">
        <v>350</v>
      </c>
      <c r="Y5" s="822" t="s">
        <v>348</v>
      </c>
      <c r="Z5" s="823" t="s">
        <v>122</v>
      </c>
      <c r="AA5" s="823" t="s">
        <v>349</v>
      </c>
      <c r="AB5" s="824" t="s">
        <v>350</v>
      </c>
      <c r="AC5" s="826" t="s">
        <v>348</v>
      </c>
      <c r="AD5" s="827" t="s">
        <v>122</v>
      </c>
      <c r="AE5" s="827" t="s">
        <v>349</v>
      </c>
      <c r="AF5" s="828" t="s">
        <v>350</v>
      </c>
      <c r="AG5" s="822" t="s">
        <v>348</v>
      </c>
      <c r="AH5" s="823" t="s">
        <v>122</v>
      </c>
      <c r="AI5" s="823" t="s">
        <v>349</v>
      </c>
      <c r="AJ5" s="824" t="s">
        <v>350</v>
      </c>
      <c r="AK5" s="829" t="s">
        <v>348</v>
      </c>
      <c r="AL5" s="827" t="s">
        <v>122</v>
      </c>
      <c r="AM5" s="827" t="s">
        <v>349</v>
      </c>
      <c r="AN5" s="830" t="s">
        <v>350</v>
      </c>
      <c r="AO5" s="822" t="s">
        <v>348</v>
      </c>
      <c r="AP5" s="823" t="s">
        <v>122</v>
      </c>
      <c r="AQ5" s="823" t="s">
        <v>349</v>
      </c>
      <c r="AR5" s="824" t="s">
        <v>350</v>
      </c>
      <c r="AS5" s="829" t="s">
        <v>348</v>
      </c>
      <c r="AT5" s="827" t="s">
        <v>122</v>
      </c>
      <c r="AU5" s="827" t="s">
        <v>349</v>
      </c>
      <c r="AV5" s="830" t="s">
        <v>350</v>
      </c>
      <c r="AW5" s="826" t="s">
        <v>348</v>
      </c>
      <c r="AX5" s="827" t="s">
        <v>122</v>
      </c>
      <c r="AY5" s="827" t="s">
        <v>349</v>
      </c>
      <c r="AZ5" s="828" t="s">
        <v>350</v>
      </c>
      <c r="BA5" s="829" t="s">
        <v>348</v>
      </c>
      <c r="BB5" s="827" t="s">
        <v>122</v>
      </c>
      <c r="BC5" s="827" t="s">
        <v>349</v>
      </c>
      <c r="BD5" s="831" t="s">
        <v>350</v>
      </c>
    </row>
    <row r="6" spans="1:56" ht="17.100000000000001" customHeight="1">
      <c r="A6" s="832" t="s">
        <v>384</v>
      </c>
      <c r="B6" s="833">
        <f>'PROD. QUÍM.'!C40</f>
        <v>7213075.2000000002</v>
      </c>
      <c r="C6" s="834">
        <f>'PROD. QUÍM.'!B40</f>
        <v>727</v>
      </c>
      <c r="D6" s="835"/>
      <c r="E6" s="836">
        <f>'PROD. QUÍM.'!C45</f>
        <v>0</v>
      </c>
      <c r="F6" s="837">
        <f>'PROD. QUÍM.'!C46</f>
        <v>953653</v>
      </c>
      <c r="G6" s="837">
        <f>'PROD. QUÍM.'!C47</f>
        <v>1562715.6999999997</v>
      </c>
      <c r="H6" s="836">
        <f>'PROD. QUÍM.'!C48</f>
        <v>-609062.69999999972</v>
      </c>
      <c r="I6" s="838"/>
      <c r="J6" s="839"/>
      <c r="K6" s="839"/>
      <c r="L6" s="840"/>
      <c r="M6" s="841"/>
      <c r="N6" s="842"/>
      <c r="O6" s="842"/>
      <c r="P6" s="843"/>
      <c r="Q6" s="844">
        <f>'PROD. QUÍM.'!H45</f>
        <v>0</v>
      </c>
      <c r="R6" s="844">
        <f>'PROD. QUÍM.'!H46</f>
        <v>93910</v>
      </c>
      <c r="S6" s="845" t="e">
        <f>'PROD. QUÍM.'!H47</f>
        <v>#REF!</v>
      </c>
      <c r="T6" s="846" t="e">
        <f>'PROD. QUÍM.'!H48</f>
        <v>#REF!</v>
      </c>
      <c r="U6" s="847"/>
      <c r="V6" s="848"/>
      <c r="W6" s="848"/>
      <c r="X6" s="840"/>
      <c r="Y6" s="849"/>
      <c r="Z6" s="848"/>
      <c r="AA6" s="848"/>
      <c r="AB6" s="850"/>
      <c r="AC6" s="847"/>
      <c r="AD6" s="848"/>
      <c r="AE6" s="848"/>
      <c r="AF6" s="840"/>
      <c r="AG6" s="847"/>
      <c r="AH6" s="848"/>
      <c r="AI6" s="848"/>
      <c r="AJ6" s="840"/>
      <c r="AK6" s="849"/>
      <c r="AL6" s="848"/>
      <c r="AM6" s="848"/>
      <c r="AN6" s="850"/>
      <c r="AO6" s="847"/>
      <c r="AP6" s="848"/>
      <c r="AQ6" s="848"/>
      <c r="AR6" s="840"/>
      <c r="AS6" s="851"/>
      <c r="AT6" s="839"/>
      <c r="AU6" s="839"/>
      <c r="AV6" s="850"/>
      <c r="AW6" s="838"/>
      <c r="AX6" s="839"/>
      <c r="AY6" s="839"/>
      <c r="AZ6" s="840"/>
      <c r="BA6" s="852"/>
      <c r="BB6" s="850"/>
      <c r="BC6" s="850"/>
      <c r="BD6" s="840"/>
    </row>
    <row r="7" spans="1:56" ht="17.100000000000001" hidden="1" customHeight="1">
      <c r="A7" s="853" t="s">
        <v>406</v>
      </c>
      <c r="B7" s="854"/>
      <c r="C7" s="855"/>
      <c r="D7" s="856"/>
      <c r="E7" s="836"/>
      <c r="F7" s="836"/>
      <c r="G7" s="836"/>
      <c r="H7" s="836"/>
      <c r="I7" s="857"/>
      <c r="J7" s="858"/>
      <c r="K7" s="858"/>
      <c r="L7" s="859"/>
      <c r="M7" s="860"/>
      <c r="N7" s="858"/>
      <c r="O7" s="858"/>
      <c r="P7" s="861"/>
      <c r="Q7" s="862"/>
      <c r="R7" s="863"/>
      <c r="S7" s="863"/>
      <c r="T7" s="864"/>
      <c r="U7" s="865"/>
      <c r="V7" s="866"/>
      <c r="W7" s="866"/>
      <c r="X7" s="859"/>
      <c r="Y7" s="867"/>
      <c r="Z7" s="866"/>
      <c r="AA7" s="866"/>
      <c r="AB7" s="861"/>
      <c r="AC7" s="865"/>
      <c r="AD7" s="866"/>
      <c r="AE7" s="866"/>
      <c r="AF7" s="859"/>
      <c r="AG7" s="868"/>
      <c r="AH7" s="869"/>
      <c r="AI7" s="869"/>
      <c r="AJ7" s="870"/>
      <c r="AK7" s="867"/>
      <c r="AL7" s="866"/>
      <c r="AM7" s="866"/>
      <c r="AN7" s="861"/>
      <c r="AO7" s="865"/>
      <c r="AP7" s="866"/>
      <c r="AQ7" s="866"/>
      <c r="AR7" s="859"/>
      <c r="AS7" s="860"/>
      <c r="AT7" s="858"/>
      <c r="AU7" s="858"/>
      <c r="AV7" s="861"/>
      <c r="AW7" s="857"/>
      <c r="AX7" s="858"/>
      <c r="AY7" s="858"/>
      <c r="AZ7" s="859"/>
      <c r="BA7" s="871"/>
      <c r="BB7" s="861"/>
      <c r="BC7" s="861"/>
      <c r="BD7" s="859"/>
    </row>
    <row r="8" spans="1:56" ht="17.100000000000001" hidden="1" customHeight="1">
      <c r="A8" s="853" t="s">
        <v>407</v>
      </c>
      <c r="B8" s="872"/>
      <c r="C8" s="855"/>
      <c r="D8" s="856"/>
      <c r="E8" s="860"/>
      <c r="F8" s="858"/>
      <c r="G8" s="858"/>
      <c r="H8" s="861"/>
      <c r="I8" s="862"/>
      <c r="J8" s="836"/>
      <c r="K8" s="836"/>
      <c r="L8" s="864"/>
      <c r="M8" s="860"/>
      <c r="N8" s="858"/>
      <c r="O8" s="858"/>
      <c r="P8" s="861"/>
      <c r="Q8" s="862"/>
      <c r="R8" s="863"/>
      <c r="S8" s="863"/>
      <c r="T8" s="864"/>
      <c r="U8" s="865"/>
      <c r="V8" s="866"/>
      <c r="W8" s="866"/>
      <c r="X8" s="859"/>
      <c r="Y8" s="867"/>
      <c r="Z8" s="866"/>
      <c r="AA8" s="866"/>
      <c r="AB8" s="861"/>
      <c r="AC8" s="865"/>
      <c r="AD8" s="866"/>
      <c r="AE8" s="866"/>
      <c r="AF8" s="859"/>
      <c r="AG8" s="865"/>
      <c r="AH8" s="866"/>
      <c r="AI8" s="866"/>
      <c r="AJ8" s="859"/>
      <c r="AK8" s="867"/>
      <c r="AL8" s="866"/>
      <c r="AM8" s="866"/>
      <c r="AN8" s="861"/>
      <c r="AO8" s="865"/>
      <c r="AP8" s="866"/>
      <c r="AQ8" s="866"/>
      <c r="AR8" s="859"/>
      <c r="AS8" s="860"/>
      <c r="AT8" s="858"/>
      <c r="AU8" s="858"/>
      <c r="AV8" s="861"/>
      <c r="AW8" s="857"/>
      <c r="AX8" s="858"/>
      <c r="AY8" s="858"/>
      <c r="AZ8" s="859"/>
      <c r="BA8" s="871"/>
      <c r="BB8" s="861"/>
      <c r="BC8" s="861"/>
      <c r="BD8" s="859"/>
    </row>
    <row r="9" spans="1:56" ht="17.100000000000001" hidden="1" customHeight="1">
      <c r="A9" s="853" t="s">
        <v>408</v>
      </c>
      <c r="B9" s="872"/>
      <c r="C9" s="855"/>
      <c r="D9" s="856"/>
      <c r="E9" s="860"/>
      <c r="F9" s="858"/>
      <c r="G9" s="858"/>
      <c r="H9" s="861"/>
      <c r="I9" s="779"/>
      <c r="J9" s="836"/>
      <c r="K9" s="836"/>
      <c r="L9" s="864"/>
      <c r="M9" s="860"/>
      <c r="N9" s="858"/>
      <c r="O9" s="858"/>
      <c r="P9" s="861"/>
      <c r="Q9" s="873"/>
      <c r="R9" s="863"/>
      <c r="S9" s="863"/>
      <c r="T9" s="864"/>
      <c r="U9" s="865"/>
      <c r="V9" s="866"/>
      <c r="W9" s="866"/>
      <c r="X9" s="859"/>
      <c r="Y9" s="867"/>
      <c r="Z9" s="866"/>
      <c r="AA9" s="866"/>
      <c r="AB9" s="861"/>
      <c r="AC9" s="865"/>
      <c r="AD9" s="866"/>
      <c r="AE9" s="866"/>
      <c r="AF9" s="859"/>
      <c r="AG9" s="865"/>
      <c r="AH9" s="866"/>
      <c r="AI9" s="866"/>
      <c r="AJ9" s="859"/>
      <c r="AK9" s="867"/>
      <c r="AL9" s="866"/>
      <c r="AM9" s="866"/>
      <c r="AN9" s="861"/>
      <c r="AO9" s="865"/>
      <c r="AP9" s="866"/>
      <c r="AQ9" s="866"/>
      <c r="AR9" s="859"/>
      <c r="AS9" s="860"/>
      <c r="AT9" s="858"/>
      <c r="AU9" s="858"/>
      <c r="AV9" s="861"/>
      <c r="AW9" s="857"/>
      <c r="AX9" s="858"/>
      <c r="AY9" s="858"/>
      <c r="AZ9" s="859"/>
      <c r="BA9" s="871"/>
      <c r="BB9" s="861"/>
      <c r="BC9" s="861"/>
      <c r="BD9" s="859"/>
    </row>
    <row r="10" spans="1:56" ht="17.100000000000001" hidden="1" customHeight="1">
      <c r="A10" s="853" t="s">
        <v>409</v>
      </c>
      <c r="B10" s="872"/>
      <c r="C10" s="874"/>
      <c r="D10" s="856"/>
      <c r="E10" s="860"/>
      <c r="F10" s="858"/>
      <c r="G10" s="858"/>
      <c r="H10" s="861"/>
      <c r="I10" s="862"/>
      <c r="J10" s="836"/>
      <c r="K10" s="836"/>
      <c r="L10" s="864"/>
      <c r="M10" s="860"/>
      <c r="N10" s="858"/>
      <c r="O10" s="858"/>
      <c r="P10" s="861"/>
      <c r="Q10" s="865"/>
      <c r="R10" s="866"/>
      <c r="S10" s="866"/>
      <c r="T10" s="859"/>
      <c r="U10" s="862"/>
      <c r="V10" s="863"/>
      <c r="W10" s="863"/>
      <c r="X10" s="864"/>
      <c r="Y10" s="867"/>
      <c r="Z10" s="866"/>
      <c r="AA10" s="866"/>
      <c r="AB10" s="861"/>
      <c r="AC10" s="865"/>
      <c r="AD10" s="866"/>
      <c r="AE10" s="866"/>
      <c r="AF10" s="859"/>
      <c r="AG10" s="865"/>
      <c r="AH10" s="866"/>
      <c r="AI10" s="866"/>
      <c r="AJ10" s="859"/>
      <c r="AK10" s="867"/>
      <c r="AL10" s="866"/>
      <c r="AM10" s="866"/>
      <c r="AN10" s="861"/>
      <c r="AO10" s="865"/>
      <c r="AP10" s="866"/>
      <c r="AQ10" s="866"/>
      <c r="AR10" s="859"/>
      <c r="AS10" s="860"/>
      <c r="AT10" s="858"/>
      <c r="AU10" s="858"/>
      <c r="AV10" s="861"/>
      <c r="AW10" s="857"/>
      <c r="AX10" s="858"/>
      <c r="AY10" s="858"/>
      <c r="AZ10" s="859"/>
      <c r="BA10" s="871"/>
      <c r="BB10" s="861"/>
      <c r="BC10" s="861"/>
      <c r="BD10" s="859"/>
    </row>
    <row r="11" spans="1:56" ht="17.100000000000001" hidden="1" customHeight="1">
      <c r="A11" s="853" t="s">
        <v>410</v>
      </c>
      <c r="B11" s="875"/>
      <c r="C11" s="874"/>
      <c r="D11" s="856"/>
      <c r="E11" s="860"/>
      <c r="F11" s="858"/>
      <c r="G11" s="858"/>
      <c r="H11" s="861"/>
      <c r="I11" s="862"/>
      <c r="J11" s="836"/>
      <c r="K11" s="836"/>
      <c r="L11" s="864"/>
      <c r="M11" s="860"/>
      <c r="N11" s="858"/>
      <c r="O11" s="858"/>
      <c r="P11" s="861"/>
      <c r="Q11" s="865"/>
      <c r="R11" s="866"/>
      <c r="S11" s="866"/>
      <c r="T11" s="859"/>
      <c r="U11" s="862"/>
      <c r="V11" s="863"/>
      <c r="W11" s="863"/>
      <c r="X11" s="864"/>
      <c r="Y11" s="867"/>
      <c r="Z11" s="866"/>
      <c r="AA11" s="866"/>
      <c r="AB11" s="861"/>
      <c r="AC11" s="865"/>
      <c r="AD11" s="866"/>
      <c r="AE11" s="866"/>
      <c r="AF11" s="859"/>
      <c r="AG11" s="865"/>
      <c r="AH11" s="866"/>
      <c r="AI11" s="866"/>
      <c r="AJ11" s="859"/>
      <c r="AK11" s="867"/>
      <c r="AL11" s="866"/>
      <c r="AM11" s="866"/>
      <c r="AN11" s="861"/>
      <c r="AO11" s="865"/>
      <c r="AP11" s="866"/>
      <c r="AQ11" s="866"/>
      <c r="AR11" s="859"/>
      <c r="AS11" s="860"/>
      <c r="AT11" s="858"/>
      <c r="AU11" s="858"/>
      <c r="AV11" s="861"/>
      <c r="AW11" s="857"/>
      <c r="AX11" s="858"/>
      <c r="AY11" s="858"/>
      <c r="AZ11" s="859"/>
      <c r="BA11" s="871"/>
      <c r="BB11" s="861"/>
      <c r="BC11" s="861"/>
      <c r="BD11" s="859"/>
    </row>
    <row r="12" spans="1:56" ht="17.100000000000001" hidden="1" customHeight="1">
      <c r="A12" s="876" t="s">
        <v>411</v>
      </c>
      <c r="B12" s="877">
        <v>0</v>
      </c>
      <c r="C12" s="875">
        <v>0</v>
      </c>
      <c r="D12" s="878"/>
      <c r="E12" s="879"/>
      <c r="F12" s="880"/>
      <c r="G12" s="880"/>
      <c r="H12" s="881"/>
      <c r="I12" s="882" t="e">
        <v>#NAME?</v>
      </c>
      <c r="J12" s="883">
        <v>0</v>
      </c>
      <c r="K12" s="883">
        <v>0</v>
      </c>
      <c r="L12" s="884">
        <v>0</v>
      </c>
      <c r="M12" s="879"/>
      <c r="N12" s="880"/>
      <c r="O12" s="880"/>
      <c r="P12" s="881"/>
      <c r="Q12" s="885"/>
      <c r="R12" s="886"/>
      <c r="S12" s="886"/>
      <c r="T12" s="887"/>
      <c r="U12" s="882">
        <v>0</v>
      </c>
      <c r="V12" s="883">
        <v>0</v>
      </c>
      <c r="W12" s="883">
        <v>0</v>
      </c>
      <c r="X12" s="884">
        <v>0</v>
      </c>
      <c r="Y12" s="888"/>
      <c r="Z12" s="886"/>
      <c r="AA12" s="886"/>
      <c r="AB12" s="881"/>
      <c r="AC12" s="885"/>
      <c r="AD12" s="886"/>
      <c r="AE12" s="886"/>
      <c r="AF12" s="887"/>
      <c r="AG12" s="885"/>
      <c r="AH12" s="886"/>
      <c r="AI12" s="886"/>
      <c r="AJ12" s="887"/>
      <c r="AK12" s="888"/>
      <c r="AL12" s="886"/>
      <c r="AM12" s="886"/>
      <c r="AN12" s="881"/>
      <c r="AO12" s="885"/>
      <c r="AP12" s="886"/>
      <c r="AQ12" s="886"/>
      <c r="AR12" s="887"/>
      <c r="AS12" s="879"/>
      <c r="AT12" s="880"/>
      <c r="AU12" s="880"/>
      <c r="AV12" s="881"/>
      <c r="AW12" s="889"/>
      <c r="AX12" s="880"/>
      <c r="AY12" s="880"/>
      <c r="AZ12" s="887"/>
      <c r="BA12" s="890"/>
      <c r="BB12" s="881"/>
      <c r="BC12" s="881"/>
      <c r="BD12" s="887"/>
    </row>
    <row r="13" spans="1:56" ht="23.25" customHeight="1">
      <c r="A13" s="891" t="s">
        <v>129</v>
      </c>
      <c r="B13" s="892">
        <f>SUM(PQetasGPRs!B6:B12)</f>
        <v>7213075.2000000002</v>
      </c>
      <c r="C13" s="893"/>
      <c r="D13" s="893"/>
      <c r="E13" s="894">
        <f>SUM(PQetasGPRs!E6:E12)</f>
        <v>0</v>
      </c>
      <c r="F13" s="894">
        <f>SUM(PQetasGPRs!F6:F12)</f>
        <v>953653</v>
      </c>
      <c r="G13" s="894">
        <f>SUM(PQetasGPRs!G6:G12)</f>
        <v>1562715.6999999997</v>
      </c>
      <c r="H13" s="894">
        <v>0</v>
      </c>
      <c r="I13" s="894">
        <v>0</v>
      </c>
      <c r="J13" s="894">
        <f>SUM(PQetasGPRs!J6:J12)</f>
        <v>0</v>
      </c>
      <c r="K13" s="894">
        <f>SUM(PQetasGPRs!K6:K12)</f>
        <v>0</v>
      </c>
      <c r="L13" s="894">
        <f>SUM(PQetasGPRs!L6:L12)</f>
        <v>0</v>
      </c>
      <c r="M13" s="894">
        <f>'PROD. QUÍM.'!F45</f>
        <v>0</v>
      </c>
      <c r="N13" s="894">
        <f>'PROD. QUÍM.'!F46</f>
        <v>0</v>
      </c>
      <c r="O13" s="894">
        <f>'PROD. QUÍM.'!F47</f>
        <v>0</v>
      </c>
      <c r="P13" s="894">
        <f>'PROD. QUÍM.'!F48</f>
        <v>0</v>
      </c>
      <c r="Q13" s="894"/>
      <c r="R13" s="894"/>
      <c r="S13" s="894"/>
      <c r="T13" s="894"/>
      <c r="U13" s="894"/>
      <c r="V13" s="894"/>
      <c r="W13" s="894"/>
      <c r="X13" s="894"/>
      <c r="Y13" s="894"/>
      <c r="Z13" s="894"/>
      <c r="AA13" s="894"/>
      <c r="AB13" s="894"/>
      <c r="AC13" s="895"/>
      <c r="AD13" s="895"/>
      <c r="AE13" s="895"/>
      <c r="AF13" s="895"/>
      <c r="AG13" s="895"/>
      <c r="AH13" s="895"/>
      <c r="AI13" s="895"/>
      <c r="AJ13" s="895"/>
      <c r="AK13" s="895"/>
      <c r="AL13" s="895"/>
      <c r="AM13" s="895"/>
      <c r="AN13" s="895"/>
      <c r="AO13" s="896"/>
      <c r="AP13" s="897"/>
      <c r="AQ13" s="897"/>
      <c r="AR13" s="898"/>
      <c r="AS13" s="896"/>
      <c r="AT13" s="897"/>
      <c r="AU13" s="897"/>
      <c r="AV13" s="899"/>
      <c r="AW13" s="895"/>
      <c r="AX13" s="895"/>
      <c r="AY13" s="895"/>
      <c r="AZ13" s="900"/>
      <c r="BA13" s="896"/>
      <c r="BB13" s="897"/>
      <c r="BC13" s="897"/>
      <c r="BD13" s="901"/>
    </row>
    <row r="14" spans="1:56" ht="12.75" customHeight="1">
      <c r="A14" s="902" t="s">
        <v>221</v>
      </c>
      <c r="B14" s="728"/>
      <c r="C14" s="728"/>
      <c r="D14" s="728"/>
      <c r="E14" s="728"/>
      <c r="F14" s="728"/>
      <c r="G14" s="728"/>
      <c r="H14" s="728"/>
      <c r="I14" s="728"/>
      <c r="J14" s="728"/>
      <c r="K14" s="728"/>
      <c r="L14" s="728"/>
      <c r="M14" s="903"/>
      <c r="N14" s="903"/>
      <c r="O14" s="903"/>
      <c r="P14" s="903"/>
      <c r="Q14" s="903"/>
      <c r="R14" s="903"/>
      <c r="S14" s="903"/>
      <c r="T14" s="903"/>
      <c r="U14" s="903"/>
      <c r="V14" s="903"/>
      <c r="W14" s="903"/>
      <c r="X14" s="903"/>
      <c r="Y14" s="903"/>
      <c r="Z14" s="903"/>
      <c r="AA14" s="903"/>
      <c r="AB14" s="903"/>
      <c r="AC14" s="903"/>
      <c r="AD14" s="903"/>
      <c r="AE14" s="903"/>
      <c r="AF14" s="903"/>
      <c r="AG14" s="903"/>
      <c r="AH14" s="903"/>
      <c r="AI14" s="903"/>
      <c r="AJ14" s="903"/>
      <c r="AK14" s="903"/>
      <c r="AL14" s="903"/>
      <c r="AM14" s="903"/>
      <c r="AN14" s="903"/>
      <c r="AO14" s="903"/>
      <c r="AP14" s="903"/>
      <c r="AQ14" s="903"/>
      <c r="AR14" s="903"/>
      <c r="AS14" s="903"/>
      <c r="AT14" s="903"/>
      <c r="AU14" s="903"/>
      <c r="AV14" s="903"/>
      <c r="AW14" s="903"/>
      <c r="AX14" s="903"/>
      <c r="AY14" s="903"/>
      <c r="AZ14" s="903"/>
      <c r="BA14" s="903"/>
      <c r="BB14" s="903"/>
      <c r="BC14" s="903"/>
      <c r="BD14" s="903"/>
    </row>
    <row r="15" spans="1:56" ht="12.75" customHeight="1">
      <c r="A15" s="904" t="s">
        <v>437</v>
      </c>
      <c r="B15" s="728"/>
      <c r="C15" s="728"/>
      <c r="D15" s="728"/>
      <c r="E15" s="728"/>
      <c r="F15" s="728"/>
      <c r="G15" s="728"/>
      <c r="H15" s="728"/>
      <c r="I15" s="728"/>
      <c r="J15" s="728"/>
      <c r="K15" s="728"/>
      <c r="L15" s="728"/>
      <c r="M15" s="903"/>
      <c r="N15" s="903"/>
      <c r="O15" s="903"/>
      <c r="P15" s="903"/>
      <c r="Q15" s="903"/>
      <c r="R15" s="903"/>
      <c r="S15" s="903"/>
      <c r="T15" s="903"/>
      <c r="U15" s="903"/>
      <c r="V15" s="903"/>
      <c r="W15" s="903"/>
      <c r="X15" s="903"/>
      <c r="Y15" s="903"/>
      <c r="Z15" s="903"/>
      <c r="AA15" s="903"/>
      <c r="AB15" s="903"/>
      <c r="AC15" s="903"/>
      <c r="AD15" s="903"/>
      <c r="AE15" s="903"/>
      <c r="AF15" s="903"/>
      <c r="AG15" s="903"/>
      <c r="AH15" s="903"/>
      <c r="AI15" s="903"/>
      <c r="AJ15" s="903"/>
      <c r="AK15" s="903"/>
      <c r="AL15" s="903"/>
      <c r="AM15" s="903"/>
      <c r="AN15" s="903"/>
      <c r="AO15" s="903"/>
      <c r="AP15" s="903"/>
      <c r="AQ15" s="903"/>
      <c r="AR15" s="903"/>
      <c r="AS15" s="903"/>
      <c r="AT15" s="903"/>
      <c r="AU15" s="903"/>
      <c r="AV15" s="903"/>
      <c r="AW15" s="903"/>
      <c r="AX15" s="903"/>
      <c r="AY15" s="903"/>
      <c r="AZ15" s="903"/>
      <c r="BA15" s="903"/>
      <c r="BB15" s="903"/>
      <c r="BC15" s="903"/>
      <c r="BD15" s="903"/>
    </row>
    <row r="16" spans="1:56" ht="12.75" customHeight="1">
      <c r="M16" s="392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  <c r="AC16" s="392"/>
      <c r="AD16" s="392"/>
      <c r="AE16" s="392"/>
      <c r="AF16" s="392"/>
      <c r="AG16" s="905">
        <f>(PQetasGPRs!AG7+PQetasGPRs!AH7)-PQetasGPRs!AI7</f>
        <v>0</v>
      </c>
      <c r="AH16" s="392"/>
      <c r="AI16" s="392"/>
      <c r="AJ16" s="392"/>
      <c r="AK16" s="392"/>
      <c r="AL16" s="392"/>
      <c r="AM16" s="392"/>
      <c r="AN16" s="392"/>
      <c r="AO16" s="392"/>
      <c r="AP16" s="392"/>
      <c r="AQ16" s="392"/>
      <c r="AR16" s="392"/>
      <c r="AS16" s="392"/>
      <c r="AT16" s="392"/>
      <c r="AU16" s="392"/>
      <c r="AV16" s="392"/>
      <c r="AW16" s="392"/>
      <c r="AX16" s="392"/>
      <c r="AY16" s="392"/>
      <c r="AZ16" s="392"/>
      <c r="BA16" s="392"/>
      <c r="BB16" s="392"/>
      <c r="BC16" s="392"/>
      <c r="BD16" s="392"/>
    </row>
    <row r="17" spans="1:36" ht="15" customHeight="1">
      <c r="A17" s="1312"/>
      <c r="B17" s="1312"/>
      <c r="C17" s="1312"/>
      <c r="D17" s="1312"/>
      <c r="E17" s="1312"/>
      <c r="F17" s="1312"/>
      <c r="G17" s="1312"/>
      <c r="H17" s="1312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6"/>
      <c r="B20" s="907"/>
      <c r="C20" s="907"/>
      <c r="D20" s="907"/>
      <c r="E20" s="907"/>
      <c r="F20" s="907"/>
      <c r="G20" s="907"/>
      <c r="H20" s="907"/>
      <c r="I20" s="907"/>
      <c r="J20" s="907"/>
      <c r="K20" s="907"/>
      <c r="L20" s="907"/>
      <c r="M20" s="907"/>
      <c r="N20" s="907"/>
      <c r="O20" s="907"/>
      <c r="P20" s="907"/>
      <c r="Q20" s="907"/>
      <c r="R20" s="907"/>
      <c r="S20" s="907"/>
      <c r="T20" s="907"/>
      <c r="U20" s="907"/>
      <c r="V20" s="907"/>
      <c r="W20" s="907"/>
      <c r="X20" s="907"/>
      <c r="Y20" s="907"/>
      <c r="Z20" s="907"/>
      <c r="AA20" s="907"/>
      <c r="AB20" s="907"/>
      <c r="AC20" s="907"/>
      <c r="AD20" s="907"/>
      <c r="AE20" s="907"/>
      <c r="AF20" s="907"/>
      <c r="AG20" s="907"/>
      <c r="AH20" s="907"/>
      <c r="AI20" s="907"/>
      <c r="AJ20" s="907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4">
        <f>ESCALA!A3</f>
        <v>44317</v>
      </c>
      <c r="B1" s="1315" t="s">
        <v>384</v>
      </c>
      <c r="C1" s="1315"/>
      <c r="D1" s="1315"/>
      <c r="E1" s="1315"/>
      <c r="F1" s="1315"/>
      <c r="G1" s="1315"/>
    </row>
    <row r="2" spans="1:7" ht="23.25" customHeight="1">
      <c r="A2" s="1314"/>
      <c r="B2" s="1316" t="s">
        <v>438</v>
      </c>
      <c r="C2" s="1316"/>
      <c r="D2" s="1316"/>
      <c r="E2" s="1317" t="s">
        <v>439</v>
      </c>
      <c r="F2" s="1317"/>
      <c r="G2" s="1317"/>
    </row>
    <row r="3" spans="1:7">
      <c r="A3" s="1314"/>
      <c r="B3" s="909" t="s">
        <v>40</v>
      </c>
      <c r="C3" s="909" t="s">
        <v>440</v>
      </c>
      <c r="D3" s="909" t="s">
        <v>184</v>
      </c>
      <c r="E3" s="908" t="s">
        <v>40</v>
      </c>
      <c r="F3" s="908" t="s">
        <v>440</v>
      </c>
      <c r="G3" s="908" t="s">
        <v>184</v>
      </c>
    </row>
    <row r="4" spans="1:7">
      <c r="A4" s="910">
        <v>1</v>
      </c>
      <c r="B4" s="911">
        <f>'1'!F37</f>
        <v>4</v>
      </c>
      <c r="C4" s="911">
        <f>'1'!G37</f>
        <v>0.2</v>
      </c>
      <c r="D4" s="911">
        <f>'1'!H37</f>
        <v>0.2</v>
      </c>
      <c r="E4" s="912">
        <f>'1'!I37</f>
        <v>0.3</v>
      </c>
      <c r="F4" s="912">
        <f>'1'!J37</f>
        <v>0.1</v>
      </c>
      <c r="G4" s="912">
        <f>'1'!K37</f>
        <v>0.1</v>
      </c>
    </row>
    <row r="5" spans="1:7">
      <c r="A5" s="910">
        <v>2</v>
      </c>
      <c r="B5" s="911">
        <f>'2'!F37</f>
        <v>3</v>
      </c>
      <c r="C5" s="911">
        <f>'2'!G37</f>
        <v>0.2</v>
      </c>
      <c r="D5" s="911">
        <f>'2'!H37</f>
        <v>0.2</v>
      </c>
      <c r="E5" s="912">
        <f>'2'!I37</f>
        <v>0.3</v>
      </c>
      <c r="F5" s="912">
        <f>'2'!J37</f>
        <v>0.1</v>
      </c>
      <c r="G5" s="912">
        <f>'2'!K37</f>
        <v>0.06</v>
      </c>
    </row>
    <row r="6" spans="1:7">
      <c r="A6" s="910">
        <v>3</v>
      </c>
      <c r="B6" s="911">
        <f>'3'!F37</f>
        <v>2.8</v>
      </c>
      <c r="C6" s="911">
        <f>'3'!G37</f>
        <v>0.2</v>
      </c>
      <c r="D6" s="911">
        <f>'3'!H37</f>
        <v>0.2</v>
      </c>
      <c r="E6" s="912">
        <f>'3'!I37</f>
        <v>0.3</v>
      </c>
      <c r="F6" s="912">
        <f>'3'!J37</f>
        <v>0.1</v>
      </c>
      <c r="G6" s="912">
        <f>'3'!K37</f>
        <v>0.06</v>
      </c>
    </row>
    <row r="7" spans="1:7">
      <c r="A7" s="910">
        <v>4</v>
      </c>
      <c r="B7" s="911">
        <f>'4'!F37</f>
        <v>2.8</v>
      </c>
      <c r="C7" s="911">
        <f>'4'!G37</f>
        <v>0.2</v>
      </c>
      <c r="D7" s="911">
        <f>'4'!H37</f>
        <v>0.2</v>
      </c>
      <c r="E7" s="912">
        <f>'4'!I37</f>
        <v>0.25</v>
      </c>
      <c r="F7" s="912">
        <f>'4'!J37</f>
        <v>0.06</v>
      </c>
      <c r="G7" s="912">
        <f>'4'!K37</f>
        <v>0.06</v>
      </c>
    </row>
    <row r="8" spans="1:7">
      <c r="A8" s="910">
        <v>5</v>
      </c>
      <c r="B8" s="911">
        <f>'5'!F37</f>
        <v>3.6</v>
      </c>
      <c r="C8" s="911">
        <f>'5'!G37</f>
        <v>0.3</v>
      </c>
      <c r="D8" s="911">
        <f>'5'!H37</f>
        <v>0.3</v>
      </c>
      <c r="E8" s="912">
        <f>'5'!I37</f>
        <v>0.3</v>
      </c>
      <c r="F8" s="912">
        <f>'5'!J37</f>
        <v>0.1</v>
      </c>
      <c r="G8" s="912">
        <f>'5'!K37</f>
        <v>0.1</v>
      </c>
    </row>
    <row r="9" spans="1:7">
      <c r="A9" s="910">
        <v>6</v>
      </c>
      <c r="B9" s="911">
        <f>'6'!F37</f>
        <v>3.2</v>
      </c>
      <c r="C9" s="911">
        <f>'6'!G37</f>
        <v>0.2</v>
      </c>
      <c r="D9" s="911">
        <f>'6'!H37</f>
        <v>0</v>
      </c>
      <c r="E9" s="912">
        <f>'6'!I37</f>
        <v>0.2</v>
      </c>
      <c r="F9" s="912">
        <f>'6'!J37</f>
        <v>0.1</v>
      </c>
      <c r="G9" s="912">
        <f>'6'!K37</f>
        <v>0.1</v>
      </c>
    </row>
    <row r="10" spans="1:7">
      <c r="A10" s="910">
        <v>7</v>
      </c>
      <c r="B10" s="911">
        <f>'7'!F37</f>
        <v>3</v>
      </c>
      <c r="C10" s="911">
        <f>'7'!G37</f>
        <v>0.2</v>
      </c>
      <c r="D10" s="911">
        <f>'7'!H37</f>
        <v>0.1</v>
      </c>
      <c r="E10" s="912">
        <f>'7'!I37</f>
        <v>0.2</v>
      </c>
      <c r="F10" s="912">
        <f>'7'!J37</f>
        <v>0.1</v>
      </c>
      <c r="G10" s="912">
        <f>'7'!K37</f>
        <v>0.06</v>
      </c>
    </row>
    <row r="11" spans="1:7">
      <c r="A11" s="910">
        <v>8</v>
      </c>
      <c r="B11" s="911">
        <f>'8'!F37</f>
        <v>3.4</v>
      </c>
      <c r="C11" s="911">
        <f>'8'!G37</f>
        <v>0.4</v>
      </c>
      <c r="D11" s="911">
        <f>'8'!H37</f>
        <v>0.2</v>
      </c>
      <c r="E11" s="912">
        <f>'8'!I37</f>
        <v>0.3</v>
      </c>
      <c r="F11" s="912">
        <f>'8'!J37</f>
        <v>0.1</v>
      </c>
      <c r="G11" s="912">
        <f>'8'!K37</f>
        <v>0.06</v>
      </c>
    </row>
    <row r="12" spans="1:7">
      <c r="A12" s="910">
        <v>9</v>
      </c>
      <c r="B12" s="911">
        <f>'9'!F37</f>
        <v>3.4</v>
      </c>
      <c r="C12" s="911">
        <f>'9'!G37</f>
        <v>0.2</v>
      </c>
      <c r="D12" s="911">
        <f>'9'!H37</f>
        <v>0</v>
      </c>
      <c r="E12" s="912">
        <f>'9'!I37</f>
        <v>0.2</v>
      </c>
      <c r="F12" s="912">
        <f>'9'!J37</f>
        <v>0.1</v>
      </c>
      <c r="G12" s="912">
        <f>'9'!K37</f>
        <v>0.06</v>
      </c>
    </row>
    <row r="13" spans="1:7">
      <c r="A13" s="910">
        <v>10</v>
      </c>
      <c r="B13" s="911">
        <f>'10'!F37</f>
        <v>3.4</v>
      </c>
      <c r="C13" s="911">
        <f>'10'!G37</f>
        <v>0.2</v>
      </c>
      <c r="D13" s="911">
        <f>'10'!H37</f>
        <v>0.2</v>
      </c>
      <c r="E13" s="912">
        <f>'10'!I37</f>
        <v>0.2</v>
      </c>
      <c r="F13" s="912">
        <f>'10'!J37</f>
        <v>0.1</v>
      </c>
      <c r="G13" s="912">
        <f>'10'!K37</f>
        <v>0.1</v>
      </c>
    </row>
    <row r="14" spans="1:7">
      <c r="A14" s="910">
        <v>11</v>
      </c>
      <c r="B14" s="911">
        <f>'11'!F37</f>
        <v>2.4</v>
      </c>
      <c r="C14" s="911">
        <f>'11'!G37</f>
        <v>0.02</v>
      </c>
      <c r="D14" s="911">
        <f>'11'!H37</f>
        <v>0</v>
      </c>
      <c r="E14" s="912">
        <f>'11'!I37</f>
        <v>0.15</v>
      </c>
      <c r="F14" s="912">
        <f>'11'!J37</f>
        <v>0.1</v>
      </c>
      <c r="G14" s="912">
        <f>'11'!K37</f>
        <v>0.03</v>
      </c>
    </row>
    <row r="15" spans="1:7">
      <c r="A15" s="910">
        <v>12</v>
      </c>
      <c r="B15" s="911">
        <f>'12'!F37</f>
        <v>3</v>
      </c>
      <c r="C15" s="911">
        <f>'12'!G37</f>
        <v>0.2</v>
      </c>
      <c r="D15" s="911">
        <f>'12'!H37</f>
        <v>0.1</v>
      </c>
      <c r="E15" s="912">
        <f>'12'!I37</f>
        <v>0.2</v>
      </c>
      <c r="F15" s="912">
        <f>'12'!J37</f>
        <v>0.06</v>
      </c>
      <c r="G15" s="912">
        <f>'12'!K37</f>
        <v>0.03</v>
      </c>
    </row>
    <row r="16" spans="1:7">
      <c r="A16" s="910">
        <v>13</v>
      </c>
      <c r="B16" s="911">
        <f>'13'!F37</f>
        <v>2.8</v>
      </c>
      <c r="C16" s="911">
        <f>'13'!G37</f>
        <v>0.2</v>
      </c>
      <c r="D16" s="911">
        <f>'13'!H37</f>
        <v>0.2</v>
      </c>
      <c r="E16" s="912">
        <f>'13'!I37</f>
        <v>2.4</v>
      </c>
      <c r="F16" s="912">
        <f>'13'!J37</f>
        <v>0.06</v>
      </c>
      <c r="G16" s="912">
        <f>'13'!K37</f>
        <v>0</v>
      </c>
    </row>
    <row r="17" spans="1:7">
      <c r="A17" s="910">
        <v>14</v>
      </c>
      <c r="B17" s="911">
        <f>'14'!F37</f>
        <v>2.8</v>
      </c>
      <c r="C17" s="911">
        <f>'14'!G37</f>
        <v>0.2</v>
      </c>
      <c r="D17" s="911">
        <f>'14'!H37</f>
        <v>0.1</v>
      </c>
      <c r="E17" s="912">
        <f>'14'!I37</f>
        <v>0.2</v>
      </c>
      <c r="F17" s="912">
        <f>'14'!J37</f>
        <v>0.06</v>
      </c>
      <c r="G17" s="912">
        <f>'14'!K37</f>
        <v>0.03</v>
      </c>
    </row>
    <row r="18" spans="1:7">
      <c r="A18" s="910">
        <v>15</v>
      </c>
      <c r="B18" s="911">
        <f>'15'!F37</f>
        <v>2.8</v>
      </c>
      <c r="C18" s="911">
        <f>'15'!G37</f>
        <v>0.2</v>
      </c>
      <c r="D18" s="911">
        <f>'15'!H37</f>
        <v>0</v>
      </c>
      <c r="E18" s="912">
        <f>'15'!I37</f>
        <v>0.25</v>
      </c>
      <c r="F18" s="912">
        <f>'15'!J37</f>
        <v>0.1</v>
      </c>
      <c r="G18" s="912">
        <f>'15'!K37</f>
        <v>0.06</v>
      </c>
    </row>
    <row r="19" spans="1:7">
      <c r="A19" s="910">
        <v>16</v>
      </c>
      <c r="B19" s="911">
        <f>'16'!F37</f>
        <v>2.6</v>
      </c>
      <c r="C19" s="911">
        <f>'16'!G37</f>
        <v>0.2</v>
      </c>
      <c r="D19" s="911">
        <f>'16'!H37</f>
        <v>0.1</v>
      </c>
      <c r="E19" s="912">
        <f>'16'!I37</f>
        <v>0.2</v>
      </c>
      <c r="F19" s="912">
        <f>'16'!J37</f>
        <v>0.1</v>
      </c>
      <c r="G19" s="912">
        <f>'16'!K37</f>
        <v>0.03</v>
      </c>
    </row>
    <row r="20" spans="1:7">
      <c r="A20" s="910">
        <v>17</v>
      </c>
      <c r="B20" s="911">
        <f>'17'!F37</f>
        <v>1.8</v>
      </c>
      <c r="C20" s="911">
        <f>'17'!G37</f>
        <v>0.2</v>
      </c>
      <c r="D20" s="911">
        <f>'17'!H37</f>
        <v>0.2</v>
      </c>
      <c r="E20" s="912">
        <f>'17'!I37</f>
        <v>0.15</v>
      </c>
      <c r="F20" s="912">
        <f>'17'!J37</f>
        <v>0.03</v>
      </c>
      <c r="G20" s="912">
        <f>'17'!K37</f>
        <v>0</v>
      </c>
    </row>
    <row r="21" spans="1:7">
      <c r="A21" s="910">
        <v>18</v>
      </c>
      <c r="B21" s="911">
        <f>'18'!F37</f>
        <v>1.6</v>
      </c>
      <c r="C21" s="911">
        <f>'18'!G37</f>
        <v>0.2</v>
      </c>
      <c r="D21" s="911">
        <f>'18'!H37</f>
        <v>0.2</v>
      </c>
      <c r="E21" s="912">
        <f>'18'!I37</f>
        <v>0.15</v>
      </c>
      <c r="F21" s="912">
        <f>'18'!J37</f>
        <v>0.03</v>
      </c>
      <c r="G21" s="912">
        <f>'18'!K37</f>
        <v>0</v>
      </c>
    </row>
    <row r="22" spans="1:7">
      <c r="A22" s="910">
        <v>19</v>
      </c>
      <c r="B22" s="911">
        <f>'19'!F37</f>
        <v>1.2</v>
      </c>
      <c r="C22" s="911">
        <f>'19'!G37</f>
        <v>0.2</v>
      </c>
      <c r="D22" s="911">
        <f>'19'!H37</f>
        <v>0</v>
      </c>
      <c r="E22" s="912">
        <f>'19'!I37</f>
        <v>0.2</v>
      </c>
      <c r="F22" s="912">
        <f>'19'!J37</f>
        <v>0.06</v>
      </c>
      <c r="G22" s="912">
        <f>'19'!K37</f>
        <v>0</v>
      </c>
    </row>
    <row r="23" spans="1:7">
      <c r="A23" s="910">
        <v>20</v>
      </c>
      <c r="B23" s="911">
        <f>'20'!F37</f>
        <v>1.6</v>
      </c>
      <c r="C23" s="911">
        <f>'20'!G37</f>
        <v>0.2</v>
      </c>
      <c r="D23" s="911">
        <f>'20'!H37</f>
        <v>0.1</v>
      </c>
      <c r="E23" s="912">
        <f>'20'!I37</f>
        <v>0.2</v>
      </c>
      <c r="F23" s="912">
        <f>'20'!J37</f>
        <v>0.06</v>
      </c>
      <c r="G23" s="912">
        <f>'20'!K37</f>
        <v>0.03</v>
      </c>
    </row>
    <row r="24" spans="1:7">
      <c r="A24" s="910">
        <v>21</v>
      </c>
      <c r="B24" s="911">
        <f>'21'!F37</f>
        <v>1.8</v>
      </c>
      <c r="C24" s="911">
        <f>'21'!G37</f>
        <v>0.2</v>
      </c>
      <c r="D24" s="911">
        <f>'21'!H37</f>
        <v>0.2</v>
      </c>
      <c r="E24" s="912">
        <f>'21'!I37</f>
        <v>0.15</v>
      </c>
      <c r="F24" s="912">
        <f>'21'!J37</f>
        <v>0.04</v>
      </c>
      <c r="G24" s="912">
        <f>'21'!K37</f>
        <v>0</v>
      </c>
    </row>
    <row r="25" spans="1:7">
      <c r="A25" s="910">
        <v>22</v>
      </c>
      <c r="B25" s="911">
        <f>'22'!F37</f>
        <v>1.6</v>
      </c>
      <c r="C25" s="911">
        <f>'22'!G37</f>
        <v>0.2</v>
      </c>
      <c r="D25" s="911">
        <f>'22'!H37</f>
        <v>0.2</v>
      </c>
      <c r="E25" s="912">
        <f>'22'!I37</f>
        <v>0.15</v>
      </c>
      <c r="F25" s="912">
        <f>'22'!J37</f>
        <v>0.06</v>
      </c>
      <c r="G25" s="912">
        <f>'22'!K37</f>
        <v>0.03</v>
      </c>
    </row>
    <row r="26" spans="1:7">
      <c r="A26" s="910">
        <v>23</v>
      </c>
      <c r="B26" s="911">
        <f>'23'!F37</f>
        <v>1.4</v>
      </c>
      <c r="C26" s="911">
        <f>'23'!G37</f>
        <v>0.2</v>
      </c>
      <c r="D26" s="911">
        <f>'23'!H37</f>
        <v>0.2</v>
      </c>
      <c r="E26" s="912">
        <f>'23'!I37</f>
        <v>0.2</v>
      </c>
      <c r="F26" s="912">
        <f>'23'!J37</f>
        <v>0.06</v>
      </c>
      <c r="G26" s="912">
        <f>'23'!K37</f>
        <v>0.06</v>
      </c>
    </row>
    <row r="27" spans="1:7">
      <c r="A27" s="910">
        <v>24</v>
      </c>
      <c r="B27" s="911">
        <f>'24'!F37</f>
        <v>1.6</v>
      </c>
      <c r="C27" s="911">
        <f>'24'!G37</f>
        <v>0.2</v>
      </c>
      <c r="D27" s="911">
        <f>'24'!H37</f>
        <v>0.1</v>
      </c>
      <c r="E27" s="912">
        <f>'24'!I37</f>
        <v>0.2</v>
      </c>
      <c r="F27" s="912">
        <f>'24'!J37</f>
        <v>0.06</v>
      </c>
      <c r="G27" s="912">
        <f>'24'!K37</f>
        <v>0.03</v>
      </c>
    </row>
    <row r="28" spans="1:7">
      <c r="A28" s="910">
        <v>25</v>
      </c>
      <c r="B28" s="911">
        <f>'25'!F37</f>
        <v>2.8</v>
      </c>
      <c r="C28" s="911">
        <f>'25'!G37</f>
        <v>0.2</v>
      </c>
      <c r="D28" s="911">
        <f>'25'!H37</f>
        <v>0.2</v>
      </c>
      <c r="E28" s="912">
        <f>'25'!I37</f>
        <v>0.15</v>
      </c>
      <c r="F28" s="912">
        <f>'25'!J37</f>
        <v>0.06</v>
      </c>
      <c r="G28" s="912">
        <f>'25'!K37</f>
        <v>0</v>
      </c>
    </row>
    <row r="29" spans="1:7">
      <c r="A29" s="910">
        <v>26</v>
      </c>
      <c r="B29" s="911">
        <f>'26'!F37</f>
        <v>2.4</v>
      </c>
      <c r="C29" s="911">
        <f>'26'!G37</f>
        <v>0.2</v>
      </c>
      <c r="D29" s="911">
        <f>'26'!H37</f>
        <v>0.2</v>
      </c>
      <c r="E29" s="912">
        <f>'26'!I37</f>
        <v>0.2</v>
      </c>
      <c r="F29" s="912">
        <f>'26'!J37</f>
        <v>0.06</v>
      </c>
      <c r="G29" s="912">
        <f>'26'!K37</f>
        <v>0.03</v>
      </c>
    </row>
    <row r="30" spans="1:7">
      <c r="A30" s="910">
        <v>27</v>
      </c>
      <c r="B30" s="911">
        <f>'27'!F37</f>
        <v>1.8</v>
      </c>
      <c r="C30" s="911">
        <f>'27'!G37</f>
        <v>0.2</v>
      </c>
      <c r="D30" s="911">
        <f>'27'!H37</f>
        <v>0.1</v>
      </c>
      <c r="E30" s="912">
        <f>'27'!I37</f>
        <v>0.2</v>
      </c>
      <c r="F30" s="912">
        <f>'27'!J37</f>
        <v>0.06</v>
      </c>
      <c r="G30" s="912">
        <f>'27'!K37</f>
        <v>0.03</v>
      </c>
    </row>
    <row r="31" spans="1:7">
      <c r="A31" s="910">
        <v>28</v>
      </c>
      <c r="B31" s="911">
        <f>'28'!F37</f>
        <v>2</v>
      </c>
      <c r="C31" s="911">
        <f>'28'!G37</f>
        <v>0.2</v>
      </c>
      <c r="D31" s="911">
        <f>'28'!H37</f>
        <v>0.1</v>
      </c>
      <c r="E31" s="912">
        <f>'28'!I37</f>
        <v>0.2</v>
      </c>
      <c r="F31" s="912">
        <f>'28'!J37</f>
        <v>0.06</v>
      </c>
      <c r="G31" s="912">
        <f>'28'!K37</f>
        <v>0.03</v>
      </c>
    </row>
    <row r="32" spans="1:7">
      <c r="A32" s="910">
        <v>29</v>
      </c>
      <c r="B32" s="911">
        <f>'29'!F37</f>
        <v>2.2000000000000002</v>
      </c>
      <c r="C32" s="911">
        <f>'29'!G37</f>
        <v>0.2</v>
      </c>
      <c r="D32" s="911">
        <f>'29'!H37</f>
        <v>0.2</v>
      </c>
      <c r="E32" s="912">
        <f>'29'!I37</f>
        <v>0.15</v>
      </c>
      <c r="F32" s="912">
        <f>'29'!J37</f>
        <v>0</v>
      </c>
      <c r="G32" s="912">
        <f>'29'!K37</f>
        <v>0</v>
      </c>
    </row>
    <row r="33" spans="1:7">
      <c r="A33" s="910">
        <v>30</v>
      </c>
      <c r="B33" s="911">
        <f>'30'!F37</f>
        <v>2.4</v>
      </c>
      <c r="C33" s="911">
        <f>'30'!G37</f>
        <v>0.2</v>
      </c>
      <c r="D33" s="911">
        <f>'30'!H37</f>
        <v>0.2</v>
      </c>
      <c r="E33" s="912">
        <f>'30'!I37</f>
        <v>0.15</v>
      </c>
      <c r="F33" s="912">
        <f>'30'!J37</f>
        <v>0.03</v>
      </c>
      <c r="G33" s="912">
        <f>'30'!K37</f>
        <v>0</v>
      </c>
    </row>
    <row r="34" spans="1:7">
      <c r="A34" s="910">
        <v>31</v>
      </c>
      <c r="B34" s="911">
        <f>'31'!F37</f>
        <v>2.6</v>
      </c>
      <c r="C34" s="911">
        <f>'31'!G37</f>
        <v>0.2</v>
      </c>
      <c r="D34" s="911">
        <f>'31'!H37</f>
        <v>0.2</v>
      </c>
      <c r="E34" s="912">
        <f>'31'!I37</f>
        <v>0.3</v>
      </c>
      <c r="F34" s="912">
        <f>'31'!J37</f>
        <v>0.1</v>
      </c>
      <c r="G34" s="912">
        <f>'31'!K37</f>
        <v>0.03</v>
      </c>
    </row>
    <row r="35" spans="1:7">
      <c r="A35" s="913"/>
      <c r="B35" s="913"/>
      <c r="C35" s="913"/>
      <c r="D35" s="913"/>
      <c r="E35" s="913"/>
      <c r="F35" s="913"/>
      <c r="G35" s="913"/>
    </row>
    <row r="36" spans="1:7">
      <c r="A36" s="914" t="s">
        <v>283</v>
      </c>
      <c r="B36" s="912">
        <f t="shared" ref="B36:G36" si="0">MAX(B4:B34)</f>
        <v>4</v>
      </c>
      <c r="C36" s="912">
        <f t="shared" si="0"/>
        <v>0.4</v>
      </c>
      <c r="D36" s="912">
        <f t="shared" si="0"/>
        <v>0.3</v>
      </c>
      <c r="E36" s="915">
        <f t="shared" si="0"/>
        <v>2.4</v>
      </c>
      <c r="F36" s="915">
        <f t="shared" si="0"/>
        <v>0.1</v>
      </c>
      <c r="G36" s="915">
        <f t="shared" si="0"/>
        <v>0.1</v>
      </c>
    </row>
    <row r="37" spans="1:7">
      <c r="A37" s="914" t="s">
        <v>284</v>
      </c>
      <c r="B37" s="912">
        <f t="shared" ref="B37:G37" si="1">MIN(B4:B34)</f>
        <v>1.2</v>
      </c>
      <c r="C37" s="912">
        <f t="shared" si="1"/>
        <v>0.02</v>
      </c>
      <c r="D37" s="912">
        <f t="shared" si="1"/>
        <v>0</v>
      </c>
      <c r="E37" s="915">
        <f t="shared" si="1"/>
        <v>0.15</v>
      </c>
      <c r="F37" s="915">
        <f t="shared" si="1"/>
        <v>0</v>
      </c>
      <c r="G37" s="915">
        <f t="shared" si="1"/>
        <v>0</v>
      </c>
    </row>
    <row r="38" spans="1:7">
      <c r="A38" s="914" t="s">
        <v>287</v>
      </c>
      <c r="B38" s="912">
        <f t="shared" ref="B38:G38" si="2">AVERAGE(B4:B34)</f>
        <v>2.5096774193548388</v>
      </c>
      <c r="C38" s="912">
        <f t="shared" si="2"/>
        <v>0.20387096774193561</v>
      </c>
      <c r="D38" s="912">
        <f t="shared" si="2"/>
        <v>0.14516129032258071</v>
      </c>
      <c r="E38" s="915">
        <f t="shared" si="2"/>
        <v>0.28064516129032274</v>
      </c>
      <c r="F38" s="915">
        <f t="shared" si="2"/>
        <v>7.1290322580645188E-2</v>
      </c>
      <c r="G38" s="915">
        <f t="shared" si="2"/>
        <v>3.9032258064516143E-2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2021-07-11T01:01:16Z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